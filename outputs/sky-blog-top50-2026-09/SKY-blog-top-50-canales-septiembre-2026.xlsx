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8c3c8bea674ef1" /></Relationships>
</file>

<file path=xl/workbook.xml><?xml version="1.0" encoding="utf-8"?>
<x:workbook xmlns:x="http://schemas.openxmlformats.org/spreadsheetml/2006/main">
  <x:sheets>
    <x:sheet xmlns:r="http://schemas.openxmlformats.org/officeDocument/2006/relationships" name="Top 50 blog" sheetId="1" r:id="Rdcb16c5e29194d18"/>
    <x:sheet xmlns:r="http://schemas.openxmlformats.org/officeDocument/2006/relationships" name="Valor orgánico" sheetId="2" r:id="R8f38cf85bbb44128"/>
    <x:sheet xmlns:r="http://schemas.openxmlformats.org/officeDocument/2006/relationships" name="Cálculo por consulta" sheetId="3" r:id="R4a330d488a374ec6"/>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
    <x:numFmt numFmtId="202" formatCode="0.00%"/>
    <x:numFmt numFmtId="203" formatCode="0.00"/>
    <x:numFmt numFmtId="204" formatCode="0.0000"/>
    <x:numFmt numFmtId="205" formatCode="yyyy-mm-dd"/>
    <x:numFmt numFmtId="206" formatCode="&quot;USD &quot;#,##0.00"/>
    <x:numFmt numFmtId="207" formatCode="0.0%"/>
  </x:numFmts>
  <x:fonts count="10">
    <x:font>
      <x:sz val="11"/>
      <x:name val="Carlito"/>
    </x:font>
    <x:font>
      <x:sz val="11"/>
      <x:color rgb="FF162C42"/>
      <x:name val="Arial"/>
    </x:font>
    <x:font>
      <x:b/>
      <x:sz val="16"/>
      <x:color rgb="FF102A43"/>
      <x:name val="Arial"/>
    </x:font>
    <x:font>
      <x:sz val="10"/>
      <x:color rgb="FF526579"/>
      <x:name val="Arial"/>
    </x:font>
    <x:font>
      <x:sz val="10"/>
      <x:color rgb="FF8A4B08"/>
      <x:name val="Arial"/>
    </x:font>
    <x:font>
      <x:b/>
      <x:sz val="11"/>
      <x:color rgb="FFFFFFFF"/>
      <x:name val="Arial"/>
    </x:font>
    <x:font>
      <x:sz val="11"/>
      <x:color rgb="FF185A93"/>
      <x:name val="Arial"/>
    </x:font>
    <x:font>
      <x:b/>
      <x:sz val="11"/>
      <x:color rgb="FF102A43"/>
      <x:name val="Arial"/>
    </x:font>
    <x:font>
      <x:b/>
      <x:sz val="15"/>
      <x:color rgb="FF102A43"/>
      <x:name val="Arial"/>
    </x:font>
    <x:font>
      <x:sz val="11"/>
      <x:color rgb="FF8A4B08"/>
      <x:name val="Arial"/>
    </x:font>
  </x:fonts>
  <x:fills count="5">
    <x:fill>
      <x:patternFill patternType="none"/>
    </x:fill>
    <x:fill>
      <x:patternFill patternType="gray125"/>
    </x:fill>
    <x:fill>
      <x:patternFill patternType="solid">
        <x:fgColor rgb="FF102A43"/>
      </x:patternFill>
    </x:fill>
    <x:fill>
      <x:patternFill patternType="solid">
        <x:fgColor rgb="FF102A43"/>
      </x:patternFill>
    </x:fill>
    <x:fill>
      <x:patternFill patternType="solid">
        <x:fgColor rgb="FF102A43"/>
      </x:patternFill>
    </x:fill>
  </x:fills>
  <x:borders count="2">
    <x:border>
      <x:left/>
      <x:right/>
      <x:top/>
      <x:bottom/>
      <x:diagonal/>
    </x:border>
    <x:border>
      <x:left/>
      <x:right/>
      <x:top/>
      <x:bottom style="thin">
        <x:color rgb="FFCBD5E1"/>
      </x:bottom>
      <x:diagonal/>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horizontal="right" vertical="center"/>
    </x:xf>
    <x:xf numFmtId="201" fontId="7" fillId="0" borderId="0" xfId="0" applyNumberFormat="1" applyFont="1" applyFill="1" applyBorder="1" applyAlignment="1">
      <x:alignment horizontal="righ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202" fontId="1" fillId="0"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wrapText="1"/>
    </x:xf>
    <x:xf numFmtId="0" fontId="8" fillId="0" borderId="0" xfId="0" applyNumberFormat="1" applyFont="1" applyFill="1" applyBorder="1"/>
    <x:xf numFmtId="0" fontId="3" fillId="0" borderId="0" xfId="0" applyNumberFormat="1" applyFont="1" applyFill="1" applyBorder="1"/>
    <x:xf numFmtId="0" fontId="1"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right"/>
    </x:xf>
    <x:xf numFmtId="201" fontId="1" fillId="0" borderId="0" xfId="0" applyNumberFormat="1" applyFont="1" applyFill="1" applyBorder="1" applyAlignment="1">
      <x:alignment horizontal="right"/>
    </x:xf>
    <x:xf numFmtId="204" fontId="1" fillId="0" borderId="0" xfId="0" applyNumberFormat="1" applyFont="1" applyFill="1" applyBorder="1" applyAlignment="1">
      <x:alignment horizontal="right"/>
    </x:xf>
    <x:xf numFmtId="205" fontId="1" fillId="0" borderId="0" xfId="0" applyNumberFormat="1" applyFont="1" applyFill="1" applyBorder="1"/>
    <x:xf numFmtId="0" fontId="9" fillId="0" borderId="0" xfId="0" applyNumberFormat="1" applyFont="1" applyFill="1" applyBorder="1"/>
    <x:xf numFmtId="206" fontId="1" fillId="0" borderId="0" xfId="0" applyNumberFormat="1" applyFont="1" applyFill="1" applyBorder="1"/>
    <x:xf numFmtId="201" fontId="1" fillId="0" borderId="0" xfId="0" applyNumberFormat="1" applyFont="1" applyFill="1" applyBorder="1"/>
    <x:xf numFmtId="207" fontId="1" fillId="0" borderId="0" xfId="0" applyNumberFormat="1" applyFont="1" applyFill="1" applyBorder="1"/>
    <x:xf numFmtId="201" fontId="5" fillId="4" borderId="0" xfId="0" applyNumberFormat="1" applyFont="1" applyFill="1" applyBorder="1" applyAlignment="1">
      <x:alignment horizontal="center" vertical="center" wrapText="1"/>
    </x:xf>
    <x:xf numFmtId="206" fontId="5" fillId="4" borderId="0" xfId="0" applyNumberFormat="1" applyFont="1" applyFill="1" applyBorder="1" applyAlignment="1">
      <x:alignment horizontal="center" vertical="center" wrapText="1"/>
    </x:xf>
    <x:xf numFmtId="0" fontId="1" fillId="0" borderId="0" xfId="0" applyNumberFormat="1" applyFont="1" applyFill="1" applyBorder="1" applyAlignment="1">
      <x:alignment wrapText="0"/>
    </x:xf>
    <x:xf numFmtId="0" fontId="5" fillId="4" borderId="0" xfId="0" applyNumberFormat="1" applyFont="1" applyFill="1" applyBorder="1" applyAlignment="1">
      <x:alignment horizontal="center" vertical="center" wrapText="0"/>
    </x:xf>
    <x:xf numFmtId="0" fontId="3" fillId="0" borderId="0" xfId="0" applyNumberFormat="1" applyFont="1" applyFill="1" applyBorder="1" applyAlignment="1">
      <x:alignment wrapText="0"/>
    </x:xf>
    <x:xf numFmtId="206" fontId="1" fillId="0" borderId="0" xfId="0" applyNumberFormat="1" applyFont="1" applyFill="1" applyBorder="1" applyAlignment="1">
      <x:alignment horizontal="right"/>
    </x:xf>
    <x:xf numFmtId="207" fontId="1" fillId="0" borderId="0" xfId="0" applyNumberFormat="1" applyFont="1" applyFill="1" applyBorder="1" applyAlignment="1">
      <x:alignment horizontal="right"/>
    </x:xf>
    <x:xf numFmtId="0" fontId="5" fillId="4" borderId="0" xfId="0" applyNumberFormat="1" applyFont="1" applyFill="1" applyBorder="1" applyAlignment="1">
      <x:alignment horizontal="right" vertical="center" wrapText="1"/>
    </x:xf>
    <x:xf numFmtId="201" fontId="5" fillId="4" borderId="0" xfId="0" applyNumberFormat="1" applyFont="1" applyFill="1" applyBorder="1" applyAlignment="1">
      <x:alignment horizontal="right" vertical="center" wrapText="1"/>
    </x:xf>
    <x:xf numFmtId="206" fontId="5" fillId="4" borderId="0" xfId="0" applyNumberFormat="1" applyFont="1" applyFill="1" applyBorder="1" applyAlignment="1">
      <x:alignment horizontal="right" vertical="center" wrapText="1"/>
    </x:xf>
    <x:xf numFmtId="0" fontId="0" fillId="4" borderId="0" xfId="0" applyNumberFormat="1" applyFont="1" applyFill="1" applyBorder="1"/>
    <x:xf numFmtId="206" fontId="1" fillId="0" borderId="0" xfId="0" applyNumberFormat="1" applyFont="1" applyFill="1" applyBorder="1" applyAlignment="1">
      <x:alignment horizontal="right" vertical="center"/>
    </x:xf>
    <x:xf numFmtId="207" fontId="1" fillId="0"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82ce7f46fd4882" /><Relationship Type="http://schemas.openxmlformats.org/officeDocument/2006/relationships/theme" Target="/xl/theme/theme1.xml" Id="R5b4a2104a25d40b7" /><Relationship Type="http://schemas.openxmlformats.org/officeDocument/2006/relationships/sharedStrings" Target="/xl/sharedStrings.xml" Id="R0757e88d5f0c4a00" /><Relationship Type="http://schemas.openxmlformats.org/officeDocument/2006/relationships/worksheet" Target="/xl/worksheets/sheet1.xml" Id="Rdcb16c5e29194d18" /><Relationship Type="http://schemas.openxmlformats.org/officeDocument/2006/relationships/worksheet" Target="/xl/worksheets/sheet2.xml" Id="R8f38cf85bbb44128" /><Relationship Type="http://schemas.openxmlformats.org/officeDocument/2006/relationships/worksheet" Target="/xl/worksheets/sheet3.xml" Id="R4a330d488a374ec6" /></Relationships>
</file>

<file path=xl/tables/table1.xml><?xml version="1.0" encoding="utf-8"?>
<x:table xmlns:x="http://schemas.openxmlformats.org/spreadsheetml/2006/main" id="3" name="SkyBlogTop50" displayName="SkyBlogTop50" ref="A11:AA61" headerRowCount="1" totalsRowCount="0" totalsRowShown="0">
  <x:tableColumns count="27">
    <x:tableColumn id="1" name="#"/>
    <x:tableColumn id="2" name="Página"/>
    <x:tableColumn id="3" name="Sesiones de página"/>
    <x:tableColumn id="4" name="Vistas de página"/>
    <x:tableColumn id="5" name="Organic Search"/>
    <x:tableColumn id="6" name="Direct"/>
    <x:tableColumn id="7" name="Email"/>
    <x:tableColumn id="8" name="Paid Search"/>
    <x:tableColumn id="9" name="AI Assistant"/>
    <x:tableColumn id="10" name="Unassigned"/>
    <x:tableColumn id="11" name="Cross-network"/>
    <x:tableColumn id="12" name="Referral"/>
    <x:tableColumn id="13" name="Organic Social"/>
    <x:tableColumn id="14" name="Paid Social"/>
    <x:tableColumn id="15" name="Display"/>
    <x:tableColumn id="16" name="Paid Other"/>
    <x:tableColumn id="17" name="Mobile Push Notifications"/>
    <x:tableColumn id="18" name="GSC clics"/>
    <x:tableColumn id="19" name="GSC impresiones"/>
    <x:tableColumn id="20" name="GSC CTR"/>
    <x:tableColumn id="21" name="GSC posición media"/>
    <x:tableColumn id="22" name="Principales búsquedas GSC (hasta 5)"/>
    <x:tableColumn id="23" name="Valor orgánico estimado USD"/>
    <x:tableColumn id="24" name="Clics valorados"/>
    <x:tableColumn id="25" name="Cobertura de valoración"/>
    <x:tableColumn id="26" name="Clics de consultas visibles"/>
    <x:tableColumn id="27" name="Clics no expuestos"/>
  </x:tableColumns>
  <x:tableStyleInfo name="TableStyleMedium2" showFirstColumn="0" showLastColumn="0" showRowStripes="1" showColumnStripes="0"/>
</x:table>
</file>

<file path=xl/tables/table2.xml><?xml version="1.0" encoding="utf-8"?>
<x:table xmlns:x="http://schemas.openxmlformats.org/spreadsheetml/2006/main" id="2" name="SkyOrganicQueryValue" displayName="SkyOrganicQueryValue" ref="A9:J4060" headerRowCount="1" totalsRowCount="0" totalsRowShown="0">
  <x:tableColumns count="10">
    <x:tableColumn id="1" name="URL GSC"/>
    <x:tableColumn id="2" name="Búsqueda"/>
    <x:tableColumn id="3" name="País"/>
    <x:tableColumn id="4" name="Marca"/>
    <x:tableColumn id="5" name="Clics GSC"/>
    <x:tableColumn id="6" name="CPC USD"/>
    <x:tableColumn id="7" name="Valor estimado USD"/>
    <x:tableColumn id="8" name="Captura CPC"/>
    <x:tableColumn id="9" name="Actualización proveedor"/>
    <x:tableColumn id="10" name="Clics valorado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8d4bd3d9cb4eea" /></Relationships>
</file>

<file path=xl/worksheets/_rels/sheet3.xml.rels>&#65279;<?xml version="1.0" encoding="utf-8"?><Relationships xmlns="http://schemas.openxmlformats.org/package/2006/relationships"><Relationship Type="http://schemas.openxmlformats.org/officeDocument/2006/relationships/table" Target="/xl/tables/table2.xml" Id="R2b8d682c69114eab" /></Relationships>
</file>

<file path=xl/worksheets/sheet1.xml><?xml version="1.0" encoding="utf-8"?>
<x:worksheet xmlns:x="http://schemas.openxmlformats.org/spreadsheetml/2006/main">
  <x:sheetPr>
    <x:tabColor rgb="FF102A43"/>
  </x:sheetPr>
  <x:sheetViews>
    <x:sheetView showGridLines="0" workbookViewId="0">
      <x:pane xSplit="2" ySplit="11" topLeftCell="C12" activePane="bottomRight" state="frozen"/>
    </x:sheetView>
  </x:sheetViews>
  <x:sheetFormatPr defaultRowHeight="15"/>
  <x:cols>
    <x:col min="1" max="1" width="7.110000133514404" hidden="0" customWidth="1"/>
    <x:col min="2" max="2" width="61.11000061035156" hidden="0" customWidth="1"/>
    <x:col min="3" max="3" width="12.220000267028809" hidden="0" customWidth="1"/>
    <x:col min="4" max="4" width="12.220000267028809" hidden="0" customWidth="1"/>
    <x:col min="5" max="5" width="13.890000343322754" hidden="0" customWidth="1"/>
    <x:col min="6" max="6" width="11.109999656677246" hidden="0" customWidth="1"/>
    <x:col min="7" max="7" width="11.109999656677246" hidden="0" customWidth="1"/>
    <x:col min="8" max="8" width="13.890000343322754" hidden="0" customWidth="1"/>
    <x:col min="9" max="9" width="13.890000343322754" hidden="0" customWidth="1"/>
    <x:col min="10" max="10" width="13.329999923706055" hidden="0" customWidth="1"/>
    <x:col min="11" max="11" width="14.4399995803833" hidden="0" customWidth="1"/>
    <x:col min="12" max="12" width="12.220000267028809" hidden="0" customWidth="1"/>
    <x:col min="13" max="13" width="14.4399995803833" hidden="0" customWidth="1"/>
    <x:col min="14" max="14" width="13.329999923706055" hidden="0" customWidth="1"/>
    <x:col min="15" max="15" width="11.109999656677246" hidden="0" customWidth="1"/>
    <x:col min="16" max="16" width="12.779999732971191" hidden="0" customWidth="1"/>
    <x:col min="17" max="17" width="17.780000686645508" hidden="0" customWidth="1"/>
    <x:col min="18" max="18" width="12.779999732971191" hidden="0" customWidth="1"/>
    <x:col min="19" max="19" width="15.5600004196167" hidden="0" customWidth="1"/>
    <x:col min="20" max="20" width="12.220000267028809" hidden="0" customWidth="1"/>
    <x:col min="21" max="21" width="15" hidden="0" customWidth="1"/>
    <x:col min="22" max="22" width="72.22000122070312" hidden="0" customWidth="1"/>
    <x:col min="23" max="23" width="21.110000610351562" hidden="0" customWidth="1"/>
    <x:col min="24" max="24" width="15.5600004196167" hidden="0" customWidth="1"/>
    <x:col min="25" max="25" width="18.329999923706055" hidden="0" customWidth="1"/>
    <x:col min="26" max="26" width="20.559999465942383" hidden="0" customWidth="1"/>
    <x:col min="27" max="27" width="18.329999923706055" hidden="0" customWidth="1"/>
  </x:cols>
  <x:sheetData>
    <x:row r="1" ht="18.75" customHeight="1">
      <x:c r="A1" s="2"/>
      <x:c r="B1" s="2"/>
      <x:c r="C1" s="2"/>
      <x:c r="D1" s="2"/>
      <x:c r="E1" s="2"/>
      <x:c r="F1" s="2"/>
      <x:c r="G1" s="2"/>
      <x:c r="H1" s="2"/>
      <x:c r="I1" s="2"/>
      <x:c r="J1" s="2"/>
      <x:c r="K1" s="2"/>
      <x:c r="L1" s="2"/>
      <x:c r="M1" s="2"/>
      <x:c r="N1" s="2"/>
      <x:c r="O1" s="2"/>
      <x:c r="P1" s="2"/>
      <x:c r="Q1" s="2"/>
      <x:c r="R1" s="2"/>
      <x:c r="S1" s="2"/>
      <x:c r="T1" s="2"/>
      <x:c r="U1" s="2"/>
      <x:c r="V1" s="2"/>
    </x:row>
    <x:row r="2" ht="27" customHeight="1">
      <x:c r="A2" s="2"/>
      <x:c r="B2" s="4" t="str">
        <x:v>SKY · Top 50 páginas del blog</x:v>
      </x:c>
      <x:c r="C2" s="5"/>
      <x:c r="D2" s="5"/>
      <x:c r="E2" s="5"/>
      <x:c r="F2" s="5"/>
      <x:c r="G2" s="5"/>
      <x:c r="H2" s="5"/>
      <x:c r="I2" s="5"/>
      <x:c r="J2" s="5"/>
      <x:c r="K2" s="5"/>
      <x:c r="L2" s="5"/>
      <x:c r="M2" s="5"/>
      <x:c r="N2" s="5"/>
      <x:c r="O2" s="5"/>
      <x:c r="P2" s="5"/>
      <x:c r="Q2" s="5"/>
      <x:c r="R2" s="2"/>
      <x:c r="S2" s="2"/>
      <x:c r="T2" s="2"/>
      <x:c r="U2" s="2"/>
      <x:c r="V2" s="2"/>
    </x:row>
    <x:row r="3" ht="18.75" customHeight="1">
      <x:c r="A3" s="2"/>
      <x:c r="B3" s="7" t="str">
        <x:v>1–30 septiembre 2026. blog.skyairline.com. Zona horaria: America/Santiago.</x:v>
      </x:c>
      <x:c r="C3" s="2"/>
      <x:c r="D3" s="2"/>
      <x:c r="E3" s="2"/>
      <x:c r="F3" s="2"/>
      <x:c r="G3" s="2"/>
      <x:c r="H3" s="2"/>
      <x:c r="I3" s="2"/>
      <x:c r="J3" s="2"/>
      <x:c r="K3" s="2"/>
      <x:c r="L3" s="2"/>
      <x:c r="M3" s="2"/>
      <x:c r="N3" s="2"/>
      <x:c r="O3" s="2"/>
      <x:c r="P3" s="2"/>
      <x:c r="Q3" s="2"/>
      <x:c r="R3" s="7" t="str">
        <x:v>Search Console: https://blog.skyairline.com/</x:v>
      </x:c>
      <x:c r="S3" s="2"/>
      <x:c r="T3" s="2"/>
      <x:c r="U3" s="2"/>
      <x:c r="V3" s="2"/>
      <x:c r="W3" s="28" t="str">
        <x:v>Valoración parcial con CPC de Chile y Perú. Detalle completo en las dos pestañas añadidas.</x:v>
      </x:c>
    </x:row>
    <x:row r="4" ht="18.75" customHeight="1">
      <x:c r="A4" s="2"/>
      <x:c r="B4" s="7" t="str">
        <x:v>Ranking por sesiones con actividad en cada página. Incluye portada, artículos y categorías.</x:v>
      </x:c>
      <x:c r="C4" s="2"/>
      <x:c r="D4" s="2"/>
      <x:c r="E4" s="2"/>
      <x:c r="F4" s="2"/>
      <x:c r="G4" s="2"/>
      <x:c r="H4" s="2"/>
      <x:c r="I4" s="2"/>
      <x:c r="J4" s="2"/>
      <x:c r="K4" s="2"/>
      <x:c r="L4" s="2"/>
      <x:c r="M4" s="2"/>
      <x:c r="N4" s="2"/>
      <x:c r="O4" s="2"/>
      <x:c r="P4" s="2"/>
      <x:c r="Q4" s="2"/>
      <x:c r="R4" s="7" t="str">
        <x:v>1–30 septiembre 2026. Búsqueda web de Google. Datos finales.</x:v>
      </x:c>
      <x:c r="S4" s="2"/>
      <x:c r="T4" s="2"/>
      <x:c r="U4" s="2"/>
      <x:c r="V4" s="2"/>
      <x:c r="W4" s="28" t="str">
        <x:v>Clics septiembre 2026 × CPC capturados el 15-10-2026. Valor estimado en USD.</x:v>
      </x:c>
    </x:row>
    <x:row r="5" ht="18.75" customHeight="1">
      <x:c r="A5" s="2"/>
      <x:c r="B5" s="7" t="str">
        <x:v>Fuente: GA4 Data API, SKY web GA4 - Prod, propiedad 354430952. Extracción: 15/10/2026, 15:32 Chile.</x:v>
      </x:c>
      <x:c r="C5" s="2"/>
      <x:c r="D5" s="2"/>
      <x:c r="E5" s="2"/>
      <x:c r="F5" s="2"/>
      <x:c r="G5" s="2"/>
      <x:c r="H5" s="2"/>
      <x:c r="I5" s="2"/>
      <x:c r="J5" s="2"/>
      <x:c r="K5" s="2"/>
      <x:c r="L5" s="2"/>
      <x:c r="M5" s="2"/>
      <x:c r="N5" s="2"/>
      <x:c r="O5" s="2"/>
      <x:c r="P5" s="2"/>
      <x:c r="Q5" s="2"/>
      <x:c r="R5" s="7" t="str">
        <x:v>GA4 y GSC conservan su propio calendario: clics y sesiones no son equivalentes.</x:v>
      </x:c>
      <x:c r="S5" s="2"/>
      <x:c r="T5" s="2"/>
      <x:c r="U5" s="2"/>
      <x:c r="V5" s="2"/>
      <x:c r="W5" s="28" t="str">
        <x:v>La cobertura usa clics GSC de cada página como denominador. No extrapolamos el valor.</x:v>
      </x:c>
    </x:row>
    <x:row r="6" ht="18.75" customHeight="1">
      <x:c r="A6" s="2"/>
      <x:c r="B6" s="7" t="str">
        <x:v>Canales: agrupación predeterminada de sesión de GA4. Todas las columnas de canal expresan sesiones.</x:v>
      </x:c>
      <x:c r="C6" s="2"/>
      <x:c r="D6" s="2"/>
      <x:c r="E6" s="2"/>
      <x:c r="F6" s="2"/>
      <x:c r="G6" s="2"/>
      <x:c r="H6" s="2"/>
      <x:c r="I6" s="2"/>
      <x:c r="J6" s="2"/>
      <x:c r="K6" s="2"/>
      <x:c r="L6" s="2"/>
      <x:c r="M6" s="2"/>
      <x:c r="N6" s="2"/>
      <x:c r="O6" s="2"/>
      <x:c r="P6" s="2"/>
      <x:c r="Q6" s="2"/>
      <x:c r="R6" s="7" t="str">
        <x:v>Fuente: Search Analytics API. Cruce por URL exacta. Métricas de página sin dimensión de consulta.</x:v>
      </x:c>
      <x:c r="S6" s="2"/>
      <x:c r="T6" s="2"/>
      <x:c r="U6" s="2"/>
      <x:c r="V6" s="2"/>
      <x:c r="W6" s="28" t="str">
        <x:v>«n.a.» indica que no hay clics con CPC disponible para esa página.</x:v>
      </x:c>
    </x:row>
    <x:row r="7" ht="18.75" customHeight="1">
      <x:c r="A7" s="2"/>
      <x:c r="B7" s="8" t="str">
        <x:v>En 14 páginas, la suma de canales difiere del total de sesiones. Se conservan las dos consultas originales de GA4.</x:v>
      </x:c>
      <x:c r="C7" s="2"/>
      <x:c r="D7" s="2"/>
      <x:c r="E7" s="2"/>
      <x:c r="F7" s="2"/>
      <x:c r="G7" s="2"/>
      <x:c r="H7" s="2"/>
      <x:c r="I7" s="2"/>
      <x:c r="J7" s="2"/>
      <x:c r="K7" s="2"/>
      <x:c r="L7" s="2"/>
      <x:c r="M7" s="2"/>
      <x:c r="N7" s="2"/>
      <x:c r="O7" s="2"/>
      <x:c r="P7" s="2"/>
      <x:c r="Q7" s="2"/>
      <x:c r="R7" s="7" t="str">
        <x:v>GSC consultado: 15-10-26, 4:41 p. m., Chile. 50/50 páginas con datos.</x:v>
      </x:c>
      <x:c r="S7" s="2"/>
      <x:c r="T7" s="2"/>
      <x:c r="U7" s="2"/>
      <x:c r="V7" s="2"/>
    </x:row>
    <x:row r="8" ht="18.75" customHeight="1">
      <x:c r="A8" s="2"/>
      <x:c r="B8" s="7" t="str">
        <x:v>Una sesión puede visitar varias páginas: no sumar las filas para calcular el total único del blog.</x:v>
      </x:c>
      <x:c r="C8" s="2"/>
      <x:c r="D8" s="2"/>
      <x:c r="E8" s="2"/>
      <x:c r="F8" s="2"/>
      <x:c r="G8" s="2"/>
      <x:c r="H8" s="2"/>
      <x:c r="I8" s="2"/>
      <x:c r="J8" s="2"/>
      <x:c r="K8" s="2"/>
      <x:c r="L8" s="2"/>
      <x:c r="M8" s="2"/>
      <x:c r="N8" s="2"/>
      <x:c r="O8" s="2"/>
      <x:c r="P8" s="2"/>
      <x:c r="Q8" s="2"/>
      <x:c r="R8" s="7" t="str">
        <x:v>Búsquedas ordenadas por clics. Se incluyen hasta cinco por página.</x:v>
      </x:c>
      <x:c r="S8" s="2"/>
      <x:c r="T8" s="2"/>
      <x:c r="U8" s="2"/>
      <x:c r="V8" s="2"/>
    </x:row>
    <x:row r="9" ht="18.75" customHeight="1">
      <x:c r="A9" s="2"/>
      <x:c r="B9" s="7" t="str">
        <x:v>Celda vacía: GA4 no devolvió una fila para ese canal y página. Cero: valor cero recibido de GA4.</x:v>
      </x:c>
      <x:c r="C9" s="2"/>
      <x:c r="D9" s="2"/>
      <x:c r="E9" s="2"/>
      <x:c r="F9" s="2"/>
      <x:c r="G9" s="2"/>
      <x:c r="H9" s="2"/>
      <x:c r="I9" s="2"/>
      <x:c r="J9" s="2"/>
      <x:c r="K9" s="2"/>
      <x:c r="L9" s="2"/>
      <x:c r="M9" s="2"/>
      <x:c r="N9" s="2"/>
      <x:c r="O9" s="2"/>
      <x:c r="P9" s="2"/>
      <x:c r="Q9" s="2"/>
      <x:c r="R9" s="8" t="str">
        <x:v>Google oculta algunas consultas por privacidad. Estas búsquedas no reconstruyen el total de la página.</x:v>
      </x:c>
      <x:c r="S9" s="2"/>
      <x:c r="T9" s="2"/>
      <x:c r="U9" s="2"/>
      <x:c r="V9" s="2"/>
    </x:row>
    <x:row r="10" ht="18.75" customHeight="1">
      <x:c r="A10" s="2"/>
      <x:c r="B10" s="2"/>
      <x:c r="C10" s="2"/>
      <x:c r="D10" s="2"/>
      <x:c r="E10" s="2"/>
      <x:c r="F10" s="2"/>
      <x:c r="G10" s="2"/>
      <x:c r="H10" s="2"/>
      <x:c r="I10" s="2"/>
      <x:c r="J10" s="2"/>
      <x:c r="K10" s="2"/>
      <x:c r="L10" s="2"/>
      <x:c r="M10" s="2"/>
      <x:c r="N10" s="2"/>
      <x:c r="O10" s="2"/>
      <x:c r="P10" s="2"/>
      <x:c r="Q10" s="2"/>
      <x:c r="R10" s="2"/>
      <x:c r="S10" s="2"/>
      <x:c r="T10" s="2"/>
      <x:c r="U10" s="2"/>
      <x:c r="V10" s="2"/>
    </x:row>
    <x:row r="11" ht="31.5" customHeight="1">
      <x:c r="A11" s="12" t="str">
        <x:v>#</x:v>
      </x:c>
      <x:c r="B11" s="12" t="str">
        <x:v>Página</x:v>
      </x:c>
      <x:c r="C11" s="12" t="str">
        <x:v>Sesiones de página</x:v>
      </x:c>
      <x:c r="D11" s="12" t="str">
        <x:v>Vistas de página</x:v>
      </x:c>
      <x:c r="E11" s="12" t="str">
        <x:v>Organic Search</x:v>
      </x:c>
      <x:c r="F11" s="12" t="str">
        <x:v>Direct</x:v>
      </x:c>
      <x:c r="G11" s="12" t="str">
        <x:v>Email</x:v>
      </x:c>
      <x:c r="H11" s="12" t="str">
        <x:v>Paid Search</x:v>
      </x:c>
      <x:c r="I11" s="12" t="str">
        <x:v>AI Assistant</x:v>
      </x:c>
      <x:c r="J11" s="12" t="str">
        <x:v>Unassigned</x:v>
      </x:c>
      <x:c r="K11" s="12" t="str">
        <x:v>Cross-network</x:v>
      </x:c>
      <x:c r="L11" s="12" t="str">
        <x:v>Referral</x:v>
      </x:c>
      <x:c r="M11" s="12" t="str">
        <x:v>Organic Social</x:v>
      </x:c>
      <x:c r="N11" s="12" t="str">
        <x:v>Paid Social</x:v>
      </x:c>
      <x:c r="O11" s="12" t="str">
        <x:v>Display</x:v>
      </x:c>
      <x:c r="P11" s="12" t="str">
        <x:v>Paid Other</x:v>
      </x:c>
      <x:c r="Q11" s="12" t="str">
        <x:v>Mobile Push Notifications</x:v>
      </x:c>
      <x:c r="R11" s="23" t="str">
        <x:v>GSC clics</x:v>
      </x:c>
      <x:c r="S11" s="23" t="str">
        <x:v>GSC impresiones</x:v>
      </x:c>
      <x:c r="T11" s="23" t="str">
        <x:v>GSC CTR</x:v>
      </x:c>
      <x:c r="U11" s="23" t="str">
        <x:v>GSC posición media</x:v>
      </x:c>
      <x:c r="V11" s="23" t="str">
        <x:v>Principales búsquedas GSC (hasta 5)</x:v>
      </x:c>
      <x:c r="W11" s="33" t="str">
        <x:v>Valor orgánico estimado USD</x:v>
      </x:c>
      <x:c r="X11" s="33" t="str">
        <x:v>Clics valorados</x:v>
      </x:c>
      <x:c r="Y11" s="33" t="str">
        <x:v>Cobertura de valoración</x:v>
      </x:c>
      <x:c r="Z11" s="33" t="str">
        <x:v>Clics de consultas visibles</x:v>
      </x:c>
      <x:c r="AA11" s="33" t="str">
        <x:v>Clics no expuestos</x:v>
      </x:c>
    </x:row>
    <x:row r="12" ht="74.25" customHeight="1">
      <x:c r="A12" s="17" t="n">
        <x:v>1</x:v>
      </x:c>
      <x:c r="B12" s="14" t="str">
        <x:v>https://blog.skyairline.com/equipaje-de-cabina/</x:v>
      </x:c>
      <x:c r="C12" s="19" t="n">
        <x:v>4990</x:v>
      </x:c>
      <x:c r="D12" s="18" t="n">
        <x:v>6546</x:v>
      </x:c>
      <x:c r="E12" s="18" t="n">
        <x:v>4217</x:v>
      </x:c>
      <x:c r="F12" s="18" t="n">
        <x:v>300</x:v>
      </x:c>
      <x:c r="G12" s="18" t="n">
        <x:v>15</x:v>
      </x:c>
      <x:c r="H12" s="18" t="n">
        <x:v>247</x:v>
      </x:c>
      <x:c r="I12" s="18" t="n">
        <x:v>36</x:v>
      </x:c>
      <x:c r="J12" s="18" t="n">
        <x:v>37</x:v>
      </x:c>
      <x:c r="K12" s="18" t="n">
        <x:v>22</x:v>
      </x:c>
      <x:c r="L12" s="18" t="n">
        <x:v>9</x:v>
      </x:c>
      <x:c r="M12" s="18" t="n">
        <x:v>7</x:v>
      </x:c>
      <x:c r="N12" s="18" t="n">
        <x:v>17</x:v>
      </x:c>
      <x:c r="O12" s="18" t="n">
        <x:v>9</x:v>
      </x:c>
      <x:c r="P12" s="18" t="n">
        <x:v>1</x:v>
      </x:c>
      <x:c r="Q12" s="18"/>
      <x:c r="R12" s="18" t="n">
        <x:v>4105</x:v>
      </x:c>
      <x:c r="S12" s="18" t="n">
        <x:v>54586</x:v>
      </x:c>
      <x:c r="T12" s="24" t="n">
        <x:v>0.07520243285824205</x:v>
      </x:c>
      <x:c r="U12" s="25" t="n">
        <x:v>3.6974132561462647</x:v>
      </x:c>
      <x:c r="V12" s="26" t="str">
        <x:v>1. bolso de mano sky
2. equipaje de mano sky
3. sky equipaje de mano
4. sky bolso de mano
5. equipaje de cabina sky</x:v>
      </x:c>
      <x:c r="W12" s="53" t="n">
        <x:f>IF(SUMIF('Cálculo por consulta'!$A$10:$A$4060,B12,'Cálculo por consulta'!$J$10:$J$4060)=0,"n.a.",ROUND(SUMIF('Cálculo por consulta'!$A$10:$A$4060,B12,'Cálculo por consulta'!$G$10:$G$4060),2))</x:f>
        <x:v>289.4</x:v>
      </x:c>
      <x:c r="X12" s="18" t="n">
        <x:f>SUMIF('Cálculo por consulta'!$A$10:$A$4060,B12,'Cálculo por consulta'!$J$10:$J$4060)</x:f>
        <x:v>677</x:v>
      </x:c>
      <x:c r="Y12" s="54" t="n">
        <x:f>IF(R12=0,"n.a.",X12/R12)</x:f>
        <x:v>0.16492082825822169</x:v>
      </x:c>
      <x:c r="Z12" s="18" t="n">
        <x:f>SUMIF('Cálculo por consulta'!$A$10:$A$4060,B12,'Cálculo por consulta'!$E$10:$E$4060)</x:f>
        <x:v>1570</x:v>
      </x:c>
      <x:c r="AA12" s="18" t="n">
        <x:f>R12-Z12</x:f>
        <x:v>2535</x:v>
      </x:c>
    </x:row>
    <x:row r="13" ht="74.25" customHeight="1">
      <x:c r="A13" s="17" t="n">
        <x:v>2</x:v>
      </x:c>
      <x:c r="B13" s="14" t="str">
        <x:v>https://blog.skyairline.com/equipaje-de-bodega/</x:v>
      </x:c>
      <x:c r="C13" s="19" t="n">
        <x:v>3584</x:v>
      </x:c>
      <x:c r="D13" s="18" t="n">
        <x:v>4462</x:v>
      </x:c>
      <x:c r="E13" s="18" t="n">
        <x:v>3163</x:v>
      </x:c>
      <x:c r="F13" s="18" t="n">
        <x:v>206</x:v>
      </x:c>
      <x:c r="G13" s="18" t="n">
        <x:v>6</x:v>
      </x:c>
      <x:c r="H13" s="18" t="n">
        <x:v>156</x:v>
      </x:c>
      <x:c r="I13" s="18" t="n">
        <x:v>10</x:v>
      </x:c>
      <x:c r="J13" s="18" t="n">
        <x:v>25</x:v>
      </x:c>
      <x:c r="K13" s="18" t="n">
        <x:v>9</x:v>
      </x:c>
      <x:c r="L13" s="18" t="n">
        <x:v>10</x:v>
      </x:c>
      <x:c r="M13" s="18"/>
      <x:c r="N13" s="18" t="n">
        <x:v>5</x:v>
      </x:c>
      <x:c r="O13" s="18"/>
      <x:c r="P13" s="18" t="n">
        <x:v>1</x:v>
      </x:c>
      <x:c r="Q13" s="18"/>
      <x:c r="R13" s="18" t="n">
        <x:v>3010</x:v>
      </x:c>
      <x:c r="S13" s="18" t="n">
        <x:v>70598</x:v>
      </x:c>
      <x:c r="T13" s="24" t="n">
        <x:v>0.04263576871866059</x:v>
      </x:c>
      <x:c r="U13" s="25" t="n">
        <x:v>4.964404090767443</x:v>
      </x:c>
      <x:c r="V13" s="26" t="str">
        <x:v>1. sky medidas equipaje
2. sky medidas de equipaje
3. sky equipaje de bodega
4. sky equipaje
5. medidas mochila sky</x:v>
      </x:c>
      <x:c r="W13" s="53" t="n">
        <x:f>IF(SUMIF('Cálculo por consulta'!$A$10:$A$4060,B13,'Cálculo por consulta'!$J$10:$J$4060)=0,"n.a.",ROUND(SUMIF('Cálculo por consulta'!$A$10:$A$4060,B13,'Cálculo por consulta'!$G$10:$G$4060),2))</x:f>
        <x:v>256.48</x:v>
      </x:c>
      <x:c r="X13" s="18" t="n">
        <x:f>SUMIF('Cálculo por consulta'!$A$10:$A$4060,B13,'Cálculo por consulta'!$J$10:$J$4060)</x:f>
        <x:v>441</x:v>
      </x:c>
      <x:c r="Y13" s="54" t="n">
        <x:f>IF(R13=0,"n.a.",X13/R13)</x:f>
        <x:v>0.14651162790697675</x:v>
      </x:c>
      <x:c r="Z13" s="18" t="n">
        <x:f>SUMIF('Cálculo por consulta'!$A$10:$A$4060,B13,'Cálculo por consulta'!$E$10:$E$4060)</x:f>
        <x:v>1274</x:v>
      </x:c>
      <x:c r="AA13" s="18" t="n">
        <x:f>R13-Z13</x:f>
        <x:v>1736</x:v>
      </x:c>
    </x:row>
    <x:row r="14" ht="74.25" customHeight="1">
      <x:c r="A14" s="17" t="n">
        <x:v>3</x:v>
      </x:c>
      <x:c r="B14" s="14" t="str">
        <x:v>https://blog.skyairline.com/tipos-de-equipaje/</x:v>
      </x:c>
      <x:c r="C14" s="19" t="n">
        <x:v>2773</x:v>
      </x:c>
      <x:c r="D14" s="18" t="n">
        <x:v>3566</x:v>
      </x:c>
      <x:c r="E14" s="18" t="n">
        <x:v>2348</x:v>
      </x:c>
      <x:c r="F14" s="18" t="n">
        <x:v>178</x:v>
      </x:c>
      <x:c r="G14" s="18" t="n">
        <x:v>7</x:v>
      </x:c>
      <x:c r="H14" s="18" t="n">
        <x:v>157</x:v>
      </x:c>
      <x:c r="I14" s="18" t="n">
        <x:v>11</x:v>
      </x:c>
      <x:c r="J14" s="18" t="n">
        <x:v>23</x:v>
      </x:c>
      <x:c r="K14" s="18" t="n">
        <x:v>11</x:v>
      </x:c>
      <x:c r="L14" s="18" t="n">
        <x:v>5</x:v>
      </x:c>
      <x:c r="M14" s="18"/>
      <x:c r="N14" s="18" t="n">
        <x:v>5</x:v>
      </x:c>
      <x:c r="O14" s="18" t="n">
        <x:v>28</x:v>
      </x:c>
      <x:c r="P14" s="18"/>
      <x:c r="Q14" s="18"/>
      <x:c r="R14" s="18" t="n">
        <x:v>2446</x:v>
      </x:c>
      <x:c r="S14" s="18" t="n">
        <x:v>54220</x:v>
      </x:c>
      <x:c r="T14" s="24" t="n">
        <x:v>0.045112504610844706</x:v>
      </x:c>
      <x:c r="U14" s="25" t="n">
        <x:v>4.295794909627444</x:v>
      </x:c>
      <x:c r="V14" s="26" t="str">
        <x:v>1. sky equipaje
2. equipaje sky
3. sky maletas
4. equipaje sky airlines
5. maleta sky</x:v>
      </x:c>
      <x:c r="W14" s="53" t="n">
        <x:f>IF(SUMIF('Cálculo por consulta'!$A$10:$A$4060,B14,'Cálculo por consulta'!$J$10:$J$4060)=0,"n.a.",ROUND(SUMIF('Cálculo por consulta'!$A$10:$A$4060,B14,'Cálculo por consulta'!$G$10:$G$4060),2))</x:f>
        <x:v>361.16</x:v>
      </x:c>
      <x:c r="X14" s="18" t="n">
        <x:f>SUMIF('Cálculo por consulta'!$A$10:$A$4060,B14,'Cálculo por consulta'!$J$10:$J$4060)</x:f>
        <x:v>389</x:v>
      </x:c>
      <x:c r="Y14" s="54" t="n">
        <x:f>IF(R14=0,"n.a.",X14/R14)</x:f>
        <x:v>0.1590351594439902</x:v>
      </x:c>
      <x:c r="Z14" s="18" t="n">
        <x:f>SUMIF('Cálculo por consulta'!$A$10:$A$4060,B14,'Cálculo por consulta'!$E$10:$E$4060)</x:f>
        <x:v>845</x:v>
      </x:c>
      <x:c r="AA14" s="18" t="n">
        <x:f>R14-Z14</x:f>
        <x:v>1601</x:v>
      </x:c>
    </x:row>
    <x:row r="15" ht="74.25" customHeight="1">
      <x:c r="A15" s="17" t="n">
        <x:v>4</x:v>
      </x:c>
      <x:c r="B15" s="14" t="str">
        <x:v>https://blog.skyairline.com/</x:v>
      </x:c>
      <x:c r="C15" s="19" t="n">
        <x:v>2198</x:v>
      </x:c>
      <x:c r="D15" s="18" t="n">
        <x:v>3667</x:v>
      </x:c>
      <x:c r="E15" s="18" t="n">
        <x:v>1472</x:v>
      </x:c>
      <x:c r="F15" s="18" t="n">
        <x:v>264</x:v>
      </x:c>
      <x:c r="G15" s="18" t="n">
        <x:v>226</x:v>
      </x:c>
      <x:c r="H15" s="18" t="n">
        <x:v>97</x:v>
      </x:c>
      <x:c r="I15" s="18" t="n">
        <x:v>40</x:v>
      </x:c>
      <x:c r="J15" s="18" t="n">
        <x:v>38</x:v>
      </x:c>
      <x:c r="K15" s="18" t="n">
        <x:v>9</x:v>
      </x:c>
      <x:c r="L15" s="18" t="n">
        <x:v>27</x:v>
      </x:c>
      <x:c r="M15" s="18" t="n">
        <x:v>10</x:v>
      </x:c>
      <x:c r="N15" s="18" t="n">
        <x:v>13</x:v>
      </x:c>
      <x:c r="O15" s="18" t="n">
        <x:v>1</x:v>
      </x:c>
      <x:c r="P15" s="18"/>
      <x:c r="Q15" s="18"/>
      <x:c r="R15" s="18" t="n">
        <x:v>20</x:v>
      </x:c>
      <x:c r="S15" s="18" t="n">
        <x:v>800</x:v>
      </x:c>
      <x:c r="T15" s="24" t="n">
        <x:v>0.025</x:v>
      </x:c>
      <x:c r="U15" s="25" t="n">
        <x:v>4.41125</x:v>
      </x:c>
      <x:c r="V15" s="26" t="str">
        <x:v>1. sky blog
2. blog sky
3. sky postulaciones tripulante de cabina
4. sky que puedo llevar en equipaje de mano
5. aereos</x:v>
      </x:c>
      <x:c r="W15" s="53" t="n">
        <x:f>IF(SUMIF('Cálculo por consulta'!$A$10:$A$4060,B15,'Cálculo por consulta'!$J$10:$J$4060)=0,"n.a.",ROUND(SUMIF('Cálculo por consulta'!$A$10:$A$4060,B15,'Cálculo por consulta'!$G$10:$G$4060),2))</x:f>
        <x:v>0.62</x:v>
      </x:c>
      <x:c r="X15" s="18" t="n">
        <x:f>SUMIF('Cálculo por consulta'!$A$10:$A$4060,B15,'Cálculo por consulta'!$J$10:$J$4060)</x:f>
        <x:v>1</x:v>
      </x:c>
      <x:c r="Y15" s="54" t="n">
        <x:f>IF(R15=0,"n.a.",X15/R15)</x:f>
        <x:v>0.05</x:v>
      </x:c>
      <x:c r="Z15" s="18" t="n">
        <x:f>SUMIF('Cálculo por consulta'!$A$10:$A$4060,B15,'Cálculo por consulta'!$E$10:$E$4060)</x:f>
        <x:v>8</x:v>
      </x:c>
      <x:c r="AA15" s="18" t="n">
        <x:f>R15-Z15</x:f>
        <x:v>12</x:v>
      </x:c>
    </x:row>
    <x:row r="16" ht="74.25" customHeight="1">
      <x:c r="A16" s="17" t="n">
        <x:v>5</x:v>
      </x:c>
      <x:c r="B16" s="14" t="str">
        <x:v>https://blog.skyairline.com/cambiar-vuelo-sky/</x:v>
      </x:c>
      <x:c r="C16" s="19" t="n">
        <x:v>1763</x:v>
      </x:c>
      <x:c r="D16" s="18" t="n">
        <x:v>2297</x:v>
      </x:c>
      <x:c r="E16" s="18" t="n">
        <x:v>1475</x:v>
      </x:c>
      <x:c r="F16" s="18" t="n">
        <x:v>100</x:v>
      </x:c>
      <x:c r="G16" s="18" t="n">
        <x:v>6</x:v>
      </x:c>
      <x:c r="H16" s="18" t="n">
        <x:v>119</x:v>
      </x:c>
      <x:c r="I16" s="18" t="n">
        <x:v>30</x:v>
      </x:c>
      <x:c r="J16" s="18" t="n">
        <x:v>12</x:v>
      </x:c>
      <x:c r="K16" s="18" t="n">
        <x:v>12</x:v>
      </x:c>
      <x:c r="L16" s="18" t="n">
        <x:v>5</x:v>
      </x:c>
      <x:c r="M16" s="18" t="n">
        <x:v>1</x:v>
      </x:c>
      <x:c r="N16" s="18" t="n">
        <x:v>2</x:v>
      </x:c>
      <x:c r="O16" s="18"/>
      <x:c r="P16" s="18"/>
      <x:c r="Q16" s="18" t="n">
        <x:v>1</x:v>
      </x:c>
      <x:c r="R16" s="18" t="n">
        <x:v>1417</x:v>
      </x:c>
      <x:c r="S16" s="18" t="n">
        <x:v>23755</x:v>
      </x:c>
      <x:c r="T16" s="24" t="n">
        <x:v>0.0596505998737108</x:v>
      </x:c>
      <x:c r="U16" s="25" t="n">
        <x:v>3.418017259524311</x:v>
      </x:c>
      <x:c r="V16" s="26" t="str">
        <x:v>1. sky cambio de vuelo
2. cambiar vuelo sky
3. sky cambio de pasajes
4. cambiar pasaje sky
5. cambio de pasaje sky</x:v>
      </x:c>
      <x:c r="W16" s="53" t="n">
        <x:f>IF(SUMIF('Cálculo por consulta'!$A$10:$A$4060,B16,'Cálculo por consulta'!$J$10:$J$4060)=0,"n.a.",ROUND(SUMIF('Cálculo por consulta'!$A$10:$A$4060,B16,'Cálculo por consulta'!$G$10:$G$4060),2))</x:f>
        <x:v>90.61</x:v>
      </x:c>
      <x:c r="X16" s="18" t="n">
        <x:f>SUMIF('Cálculo por consulta'!$A$10:$A$4060,B16,'Cálculo por consulta'!$J$10:$J$4060)</x:f>
        <x:v>196</x:v>
      </x:c>
      <x:c r="Y16" s="54" t="n">
        <x:f>IF(R16=0,"n.a.",X16/R16)</x:f>
        <x:v>0.13832039520112915</x:v>
      </x:c>
      <x:c r="Z16" s="18" t="n">
        <x:f>SUMIF('Cálculo por consulta'!$A$10:$A$4060,B16,'Cálculo por consulta'!$E$10:$E$4060)</x:f>
        <x:v>363</x:v>
      </x:c>
      <x:c r="AA16" s="18" t="n">
        <x:f>R16-Z16</x:f>
        <x:v>1054</x:v>
      </x:c>
    </x:row>
    <x:row r="17" ht="74.25" customHeight="1">
      <x:c r="A17" s="17" t="n">
        <x:v>6</x:v>
      </x:c>
      <x:c r="B17" s="14" t="str">
        <x:v>https://blog.skyairline.com/sky-fortalece-la-conectividad-aerea-en-chile-para-la-temporada-de-verano-con-nuevas-rutas/</x:v>
      </x:c>
      <x:c r="C17" s="19" t="n">
        <x:v>1623</x:v>
      </x:c>
      <x:c r="D17" s="18" t="n">
        <x:v>1818</x:v>
      </x:c>
      <x:c r="E17" s="18" t="n">
        <x:v>26</x:v>
      </x:c>
      <x:c r="F17" s="18" t="n">
        <x:v>12</x:v>
      </x:c>
      <x:c r="G17" s="18" t="n">
        <x:v>1572</x:v>
      </x:c>
      <x:c r="H17" s="18" t="n">
        <x:v>4</x:v>
      </x:c>
      <x:c r="I17" s="18" t="n">
        <x:v>7</x:v>
      </x:c>
      <x:c r="J17" s="18" t="n">
        <x:v>3</x:v>
      </x:c>
      <x:c r="K17" s="18"/>
      <x:c r="L17" s="18"/>
      <x:c r="M17" s="18"/>
      <x:c r="N17" s="18"/>
      <x:c r="O17" s="18"/>
      <x:c r="P17" s="18"/>
      <x:c r="Q17" s="18"/>
      <x:c r="R17" s="18" t="n">
        <x:v>10</x:v>
      </x:c>
      <x:c r="S17" s="18" t="n">
        <x:v>305</x:v>
      </x:c>
      <x:c r="T17" s="24" t="n">
        <x:v>0.03278688524590164</x:v>
      </x:c>
      <x:c r="U17" s="25" t="n">
        <x:v>4.504918032786885</x:v>
      </x:c>
      <x:c r="V17" s="26" t="str">
        <x:v>1. "sky"
2. e internacionales?
3. en diciembre
4. qué más?
5. ruta sky</x:v>
      </x:c>
      <x:c r="W17" s="53" t="str">
        <x:f>IF(SUMIF('Cálculo por consulta'!$A$10:$A$4060,B17,'Cálculo por consulta'!$J$10:$J$4060)=0,"n.a.",ROUND(SUMIF('Cálculo por consulta'!$A$10:$A$4060,B17,'Cálculo por consulta'!$G$10:$G$4060),2))</x:f>
        <x:v>n.a.</x:v>
      </x:c>
      <x:c r="X17" s="18" t="n">
        <x:f>SUMIF('Cálculo por consulta'!$A$10:$A$4060,B17,'Cálculo por consulta'!$J$10:$J$4060)</x:f>
        <x:v>0</x:v>
      </x:c>
      <x:c r="Y17" s="54" t="n">
        <x:f>IF(R17=0,"n.a.",X17/R17)</x:f>
        <x:v>0</x:v>
      </x:c>
      <x:c r="Z17" s="18" t="n">
        <x:f>SUMIF('Cálculo por consulta'!$A$10:$A$4060,B17,'Cálculo por consulta'!$E$10:$E$4060)</x:f>
        <x:v>0</x:v>
      </x:c>
      <x:c r="AA17" s="18" t="n">
        <x:f>R17-Z17</x:f>
        <x:v>10</x:v>
      </x:c>
    </x:row>
    <x:row r="18" ht="74.25" customHeight="1">
      <x:c r="A18" s="17" t="n">
        <x:v>7</x:v>
      </x:c>
      <x:c r="B18" s="14" t="str">
        <x:v>https://blog.skyairline.com/viajar-con-perros/</x:v>
      </x:c>
      <x:c r="C18" s="19" t="n">
        <x:v>1280</x:v>
      </x:c>
      <x:c r="D18" s="18" t="n">
        <x:v>1772</x:v>
      </x:c>
      <x:c r="E18" s="18" t="n">
        <x:v>1112</x:v>
      </x:c>
      <x:c r="F18" s="18" t="n">
        <x:v>57</x:v>
      </x:c>
      <x:c r="G18" s="18" t="n">
        <x:v>1</x:v>
      </x:c>
      <x:c r="H18" s="18" t="n">
        <x:v>74</x:v>
      </x:c>
      <x:c r="I18" s="18" t="n">
        <x:v>13</x:v>
      </x:c>
      <x:c r="J18" s="18" t="n">
        <x:v>12</x:v>
      </x:c>
      <x:c r="K18" s="18" t="n">
        <x:v>5</x:v>
      </x:c>
      <x:c r="L18" s="18" t="n">
        <x:v>1</x:v>
      </x:c>
      <x:c r="M18" s="18" t="n">
        <x:v>1</x:v>
      </x:c>
      <x:c r="N18" s="18" t="n">
        <x:v>6</x:v>
      </x:c>
      <x:c r="O18" s="18"/>
      <x:c r="P18" s="18"/>
      <x:c r="Q18" s="18"/>
      <x:c r="R18" s="18" t="n">
        <x:v>1118</x:v>
      </x:c>
      <x:c r="S18" s="18" t="n">
        <x:v>9649</x:v>
      </x:c>
      <x:c r="T18" s="24" t="n">
        <x:v>0.11586692921546274</x:v>
      </x:c>
      <x:c r="U18" s="25" t="n">
        <x:v>3.805782982692507</x:v>
      </x:c>
      <x:c r="V18" s="26" t="str">
        <x:v>1. sky mascotas
2. sky viaje con mascotas
3. sky mascotas en cabina
4. sky mascotas requisitos bodega
5. sky airlines mascotas</x:v>
      </x:c>
      <x:c r="W18" s="53" t="n">
        <x:f>IF(SUMIF('Cálculo por consulta'!$A$10:$A$4060,B18,'Cálculo por consulta'!$J$10:$J$4060)=0,"n.a.",ROUND(SUMIF('Cálculo por consulta'!$A$10:$A$4060,B18,'Cálculo por consulta'!$G$10:$G$4060),2))</x:f>
        <x:v>82.92</x:v>
      </x:c>
      <x:c r="X18" s="18" t="n">
        <x:f>SUMIF('Cálculo por consulta'!$A$10:$A$4060,B18,'Cálculo por consulta'!$J$10:$J$4060)</x:f>
        <x:v>87</x:v>
      </x:c>
      <x:c r="Y18" s="54" t="n">
        <x:f>IF(R18=0,"n.a.",X18/R18)</x:f>
        <x:v>0.0778175313059034</x:v>
      </x:c>
      <x:c r="Z18" s="18" t="n">
        <x:f>SUMIF('Cálculo por consulta'!$A$10:$A$4060,B18,'Cálculo por consulta'!$E$10:$E$4060)</x:f>
        <x:v>236</x:v>
      </x:c>
      <x:c r="AA18" s="18" t="n">
        <x:f>R18-Z18</x:f>
        <x:v>882</x:v>
      </x:c>
    </x:row>
    <x:row r="19" ht="74.25" customHeight="1">
      <x:c r="A19" s="17" t="n">
        <x:v>8</x:v>
      </x:c>
      <x:c r="B19" s="14" t="str">
        <x:v>https://blog.skyairline.com/curso-tripulante-cabina/</x:v>
      </x:c>
      <x:c r="C19" s="19" t="n">
        <x:v>1278</x:v>
      </x:c>
      <x:c r="D19" s="18" t="n">
        <x:v>1730</x:v>
      </x:c>
      <x:c r="E19" s="18" t="n">
        <x:v>1179</x:v>
      </x:c>
      <x:c r="F19" s="18" t="n">
        <x:v>59</x:v>
      </x:c>
      <x:c r="G19" s="18"/>
      <x:c r="H19" s="18" t="n">
        <x:v>8</x:v>
      </x:c>
      <x:c r="I19" s="18" t="n">
        <x:v>20</x:v>
      </x:c>
      <x:c r="J19" s="18" t="n">
        <x:v>10</x:v>
      </x:c>
      <x:c r="K19" s="18" t="n">
        <x:v>1</x:v>
      </x:c>
      <x:c r="L19" s="18" t="n">
        <x:v>1</x:v>
      </x:c>
      <x:c r="M19" s="18" t="n">
        <x:v>2</x:v>
      </x:c>
      <x:c r="N19" s="18"/>
      <x:c r="O19" s="18"/>
      <x:c r="P19" s="18"/>
      <x:c r="Q19" s="18"/>
      <x:c r="R19" s="18" t="n">
        <x:v>1022</x:v>
      </x:c>
      <x:c r="S19" s="18" t="n">
        <x:v>22683</x:v>
      </x:c>
      <x:c r="T19" s="24" t="n">
        <x:v>0.04505576863730547</x:v>
      </x:c>
      <x:c r="U19" s="25" t="n">
        <x:v>6.671516113388882</x:v>
      </x:c>
      <x:c r="V19" s="26" t="str">
        <x:v>1. tripulante de cabina sky
2. sky tripulante de cabina
3. tripulante de cabina
4. curso tripulante de cabina
5. sky postulaciones tripulante de cabina</x:v>
      </x:c>
      <x:c r="W19" s="53" t="n">
        <x:f>IF(SUMIF('Cálculo por consulta'!$A$10:$A$4060,B19,'Cálculo por consulta'!$J$10:$J$4060)=0,"n.a.",ROUND(SUMIF('Cálculo por consulta'!$A$10:$A$4060,B19,'Cálculo por consulta'!$G$10:$G$4060),2))</x:f>
        <x:v>141.66</x:v>
      </x:c>
      <x:c r="X19" s="18" t="n">
        <x:f>SUMIF('Cálculo por consulta'!$A$10:$A$4060,B19,'Cálculo por consulta'!$J$10:$J$4060)</x:f>
        <x:v>371</x:v>
      </x:c>
      <x:c r="Y19" s="54" t="n">
        <x:f>IF(R19=0,"n.a.",X19/R19)</x:f>
        <x:v>0.363013698630137</x:v>
      </x:c>
      <x:c r="Z19" s="18" t="n">
        <x:f>SUMIF('Cálculo por consulta'!$A$10:$A$4060,B19,'Cálculo por consulta'!$E$10:$E$4060)</x:f>
        <x:v>541</x:v>
      </x:c>
      <x:c r="AA19" s="18" t="n">
        <x:f>R19-Z19</x:f>
        <x:v>481</x:v>
      </x:c>
    </x:row>
    <x:row r="20" ht="74.25" customHeight="1">
      <x:c r="A20" s="17" t="n">
        <x:v>9</x:v>
      </x:c>
      <x:c r="B20" s="14" t="str">
        <x:v>https://blog.skyairline.com/equipaje-de-mano-permitido/</x:v>
      </x:c>
      <x:c r="C20" s="19" t="n">
        <x:v>1259</x:v>
      </x:c>
      <x:c r="D20" s="18" t="n">
        <x:v>1617</x:v>
      </x:c>
      <x:c r="E20" s="18" t="n">
        <x:v>1096</x:v>
      </x:c>
      <x:c r="F20" s="18" t="n">
        <x:v>77</x:v>
      </x:c>
      <x:c r="G20" s="18" t="n">
        <x:v>2</x:v>
      </x:c>
      <x:c r="H20" s="18" t="n">
        <x:v>48</x:v>
      </x:c>
      <x:c r="I20" s="18" t="n">
        <x:v>20</x:v>
      </x:c>
      <x:c r="J20" s="18" t="n">
        <x:v>9</x:v>
      </x:c>
      <x:c r="K20" s="18" t="n">
        <x:v>4</x:v>
      </x:c>
      <x:c r="L20" s="18" t="n">
        <x:v>1</x:v>
      </x:c>
      <x:c r="M20" s="18"/>
      <x:c r="N20" s="18" t="n">
        <x:v>3</x:v>
      </x:c>
      <x:c r="O20" s="18"/>
      <x:c r="P20" s="18"/>
      <x:c r="Q20" s="18"/>
      <x:c r="R20" s="18" t="n">
        <x:v>889</x:v>
      </x:c>
      <x:c r="S20" s="18" t="n">
        <x:v>20533</x:v>
      </x:c>
      <x:c r="T20" s="24" t="n">
        <x:v>0.043296157405152684</x:v>
      </x:c>
      <x:c r="U20" s="25" t="n">
        <x:v>6.335898310037501</x:v>
      </x:c>
      <x:c r="V20" s="26" t="str">
        <x:v>1. sky objetos prohibidos
2. elementos prohibidos en equipaje de mano
3. que no se puede llevar en el equipaje de mano sky
4. que no se puede llevar en el equipaje de mano
5. objetos prohibidos en equipaje de mano</x:v>
      </x:c>
      <x:c r="W20" s="53" t="n">
        <x:f>IF(SUMIF('Cálculo por consulta'!$A$10:$A$4060,B20,'Cálculo por consulta'!$J$10:$J$4060)=0,"n.a.",ROUND(SUMIF('Cálculo por consulta'!$A$10:$A$4060,B20,'Cálculo por consulta'!$G$10:$G$4060),2))</x:f>
        <x:v>7.58</x:v>
      </x:c>
      <x:c r="X20" s="18" t="n">
        <x:f>SUMIF('Cálculo por consulta'!$A$10:$A$4060,B20,'Cálculo por consulta'!$J$10:$J$4060)</x:f>
        <x:v>19</x:v>
      </x:c>
      <x:c r="Y20" s="54" t="n">
        <x:f>IF(R20=0,"n.a.",X20/R20)</x:f>
        <x:v>0.021372328458942633</x:v>
      </x:c>
      <x:c r="Z20" s="18" t="n">
        <x:f>SUMIF('Cálculo por consulta'!$A$10:$A$4060,B20,'Cálculo por consulta'!$E$10:$E$4060)</x:f>
        <x:v>96</x:v>
      </x:c>
      <x:c r="AA20" s="18" t="n">
        <x:f>R20-Z20</x:f>
        <x:v>793</x:v>
      </x:c>
    </x:row>
    <x:row r="21" ht="74.25" customHeight="1">
      <x:c r="A21" s="17" t="n">
        <x:v>10</x:v>
      </x:c>
      <x:c r="B21" s="14" t="str">
        <x:v>https://blog.skyairline.com/liquidos-en-avion/</x:v>
      </x:c>
      <x:c r="C21" s="19" t="n">
        <x:v>1072</x:v>
      </x:c>
      <x:c r="D21" s="18" t="n">
        <x:v>1399</x:v>
      </x:c>
      <x:c r="E21" s="18" t="n">
        <x:v>906</x:v>
      </x:c>
      <x:c r="F21" s="18" t="n">
        <x:v>76</x:v>
      </x:c>
      <x:c r="G21" s="18" t="n">
        <x:v>2</x:v>
      </x:c>
      <x:c r="H21" s="18" t="n">
        <x:v>18</x:v>
      </x:c>
      <x:c r="I21" s="18" t="n">
        <x:v>50</x:v>
      </x:c>
      <x:c r="J21" s="18" t="n">
        <x:v>11</x:v>
      </x:c>
      <x:c r="K21" s="18" t="n">
        <x:v>5</x:v>
      </x:c>
      <x:c r="L21" s="18" t="n">
        <x:v>2</x:v>
      </x:c>
      <x:c r="M21" s="18"/>
      <x:c r="N21" s="18" t="n">
        <x:v>1</x:v>
      </x:c>
      <x:c r="O21" s="18"/>
      <x:c r="P21" s="18"/>
      <x:c r="Q21" s="18"/>
      <x:c r="R21" s="18" t="n">
        <x:v>730</x:v>
      </x:c>
      <x:c r="S21" s="18" t="n">
        <x:v>44357</x:v>
      </x:c>
      <x:c r="T21" s="24" t="n">
        <x:v>0.0164573798949433</x:v>
      </x:c>
      <x:c r="U21" s="25" t="n">
        <x:v>6.063327096061501</x:v>
      </x:c>
      <x:c r="V21" s="26" t="str">
        <x:v>1. se puede llevar perfume en el avión
2. cuantos ml puedo llevar en equipaje de mano
3. cuantos perfumes puedo llevar en el avion
4. hasta cuantos ml se pueden llevar en el avion
5. puedo llevar perfume en el avion</x:v>
      </x:c>
      <x:c r="W21" s="53" t="n">
        <x:f>IF(SUMIF('Cálculo por consulta'!$A$10:$A$4060,B21,'Cálculo por consulta'!$J$10:$J$4060)=0,"n.a.",ROUND(SUMIF('Cálculo por consulta'!$A$10:$A$4060,B21,'Cálculo por consulta'!$G$10:$G$4060),2))</x:f>
        <x:v>3.39</x:v>
      </x:c>
      <x:c r="X21" s="18" t="n">
        <x:f>SUMIF('Cálculo por consulta'!$A$10:$A$4060,B21,'Cálculo por consulta'!$J$10:$J$4060)</x:f>
        <x:v>19</x:v>
      </x:c>
      <x:c r="Y21" s="54" t="n">
        <x:f>IF(R21=0,"n.a.",X21/R21)</x:f>
        <x:v>0.026027397260273973</x:v>
      </x:c>
      <x:c r="Z21" s="18" t="n">
        <x:f>SUMIF('Cálculo por consulta'!$A$10:$A$4060,B21,'Cálculo por consulta'!$E$10:$E$4060)</x:f>
        <x:v>109</x:v>
      </x:c>
      <x:c r="AA21" s="18" t="n">
        <x:f>R21-Z21</x:f>
        <x:v>621</x:v>
      </x:c>
    </x:row>
    <x:row r="22" ht="74.25" customHeight="1">
      <x:c r="A22" s="17" t="n">
        <x:v>11</x:v>
      </x:c>
      <x:c r="B22" s="14" t="str">
        <x:v>https://blog.skyairline.com/descubre-economy-premier-la-nueva-experiencia-para-viajar-mas-comodo/</x:v>
      </x:c>
      <x:c r="C22" s="19" t="n">
        <x:v>1029</x:v>
      </x:c>
      <x:c r="D22" s="18" t="n">
        <x:v>1179</x:v>
      </x:c>
      <x:c r="E22" s="18" t="n">
        <x:v>126</x:v>
      </x:c>
      <x:c r="F22" s="18" t="n">
        <x:v>13</x:v>
      </x:c>
      <x:c r="G22" s="18" t="n">
        <x:v>859</x:v>
      </x:c>
      <x:c r="H22" s="18" t="n">
        <x:v>11</x:v>
      </x:c>
      <x:c r="I22" s="18" t="n">
        <x:v>10</x:v>
      </x:c>
      <x:c r="J22" s="18" t="n">
        <x:v>9</x:v>
      </x:c>
      <x:c r="K22" s="18"/>
      <x:c r="L22" s="18" t="n">
        <x:v>1</x:v>
      </x:c>
      <x:c r="M22" s="18"/>
      <x:c r="N22" s="18" t="n">
        <x:v>1</x:v>
      </x:c>
      <x:c r="O22" s="18"/>
      <x:c r="P22" s="18"/>
      <x:c r="Q22" s="18"/>
      <x:c r="R22" s="18" t="n">
        <x:v>106</x:v>
      </x:c>
      <x:c r="S22" s="18" t="n">
        <x:v>1744</x:v>
      </x:c>
      <x:c r="T22" s="24" t="n">
        <x:v>0.06077981651376147</x:v>
      </x:c>
      <x:c r="U22" s="25" t="n">
        <x:v>3.852064220183486</x:v>
      </x:c>
      <x:c r="V22" s="26" t="str">
        <x:v>1. economy premier sky
2. sky economy premier
3. economy premier sky airline
4. sky premier
5. economy premier</x:v>
      </x:c>
      <x:c r="W22" s="53" t="str">
        <x:f>IF(SUMIF('Cálculo por consulta'!$A$10:$A$4060,B22,'Cálculo por consulta'!$J$10:$J$4060)=0,"n.a.",ROUND(SUMIF('Cálculo por consulta'!$A$10:$A$4060,B22,'Cálculo por consulta'!$G$10:$G$4060),2))</x:f>
        <x:v>n.a.</x:v>
      </x:c>
      <x:c r="X22" s="18" t="n">
        <x:f>SUMIF('Cálculo por consulta'!$A$10:$A$4060,B22,'Cálculo por consulta'!$J$10:$J$4060)</x:f>
        <x:v>0</x:v>
      </x:c>
      <x:c r="Y22" s="54" t="n">
        <x:f>IF(R22=0,"n.a.",X22/R22)</x:f>
        <x:v>0</x:v>
      </x:c>
      <x:c r="Z22" s="18" t="n">
        <x:f>SUMIF('Cálculo por consulta'!$A$10:$A$4060,B22,'Cálculo por consulta'!$E$10:$E$4060)</x:f>
        <x:v>29</x:v>
      </x:c>
      <x:c r="AA22" s="18" t="n">
        <x:f>R22-Z22</x:f>
        <x:v>77</x:v>
      </x:c>
    </x:row>
    <x:row r="23" ht="74.25" customHeight="1">
      <x:c r="A23" s="17" t="n">
        <x:v>12</x:v>
      </x:c>
      <x:c r="B23" s="14" t="str">
        <x:v>https://blog.skyairline.com/sky-plus/</x:v>
      </x:c>
      <x:c r="C23" s="19" t="n">
        <x:v>966</x:v>
      </x:c>
      <x:c r="D23" s="18" t="n">
        <x:v>1196</x:v>
      </x:c>
      <x:c r="E23" s="18" t="n">
        <x:v>759</x:v>
      </x:c>
      <x:c r="F23" s="18" t="n">
        <x:v>82</x:v>
      </x:c>
      <x:c r="G23" s="18" t="n">
        <x:v>8</x:v>
      </x:c>
      <x:c r="H23" s="18" t="n">
        <x:v>73</x:v>
      </x:c>
      <x:c r="I23" s="18" t="n">
        <x:v>14</x:v>
      </x:c>
      <x:c r="J23" s="18" t="n">
        <x:v>13</x:v>
      </x:c>
      <x:c r="K23" s="18" t="n">
        <x:v>6</x:v>
      </x:c>
      <x:c r="L23" s="18" t="n">
        <x:v>6</x:v>
      </x:c>
      <x:c r="M23" s="18"/>
      <x:c r="N23" s="18" t="n">
        <x:v>1</x:v>
      </x:c>
      <x:c r="O23" s="18"/>
      <x:c r="P23" s="18"/>
      <x:c r="Q23" s="18" t="n">
        <x:v>2</x:v>
      </x:c>
      <x:c r="R23" s="18" t="n">
        <x:v>801</x:v>
      </x:c>
      <x:c r="S23" s="18" t="n">
        <x:v>27096</x:v>
      </x:c>
      <x:c r="T23" s="24" t="n">
        <x:v>0.029561558901682904</x:v>
      </x:c>
      <x:c r="U23" s="25" t="n">
        <x:v>4.766533805727782</x:v>
      </x:c>
      <x:c r="V23" s="26" t="str">
        <x:v>1. sky plus
2. puntos sky plus
3. skyplus
4. sky puntos
5. puntos sky</x:v>
      </x:c>
      <x:c r="W23" s="53" t="n">
        <x:f>IF(SUMIF('Cálculo por consulta'!$A$10:$A$4060,B23,'Cálculo por consulta'!$J$10:$J$4060)=0,"n.a.",ROUND(SUMIF('Cálculo por consulta'!$A$10:$A$4060,B23,'Cálculo por consulta'!$G$10:$G$4060),2))</x:f>
        <x:v>103.74</x:v>
      </x:c>
      <x:c r="X23" s="18" t="n">
        <x:f>SUMIF('Cálculo por consulta'!$A$10:$A$4060,B23,'Cálculo por consulta'!$J$10:$J$4060)</x:f>
        <x:v>271</x:v>
      </x:c>
      <x:c r="Y23" s="54" t="n">
        <x:f>IF(R23=0,"n.a.",X23/R23)</x:f>
        <x:v>0.3383270911360799</x:v>
      </x:c>
      <x:c r="Z23" s="18" t="n">
        <x:f>SUMIF('Cálculo por consulta'!$A$10:$A$4060,B23,'Cálculo por consulta'!$E$10:$E$4060)</x:f>
        <x:v>404</x:v>
      </x:c>
      <x:c r="AA23" s="18" t="n">
        <x:f>R23-Z23</x:f>
        <x:v>397</x:v>
      </x:c>
    </x:row>
    <x:row r="24" ht="48.75" customHeight="1">
      <x:c r="A24" s="17" t="n">
        <x:v>13</x:v>
      </x:c>
      <x:c r="B24" s="14" t="str">
        <x:v>https://blog.skyairline.com/categoria/planificacion-de-viaje/</x:v>
      </x:c>
      <x:c r="C24" s="19" t="n">
        <x:v>910</x:v>
      </x:c>
      <x:c r="D24" s="18" t="n">
        <x:v>1681</x:v>
      </x:c>
      <x:c r="E24" s="18" t="n">
        <x:v>743</x:v>
      </x:c>
      <x:c r="F24" s="18" t="n">
        <x:v>52</x:v>
      </x:c>
      <x:c r="G24" s="18" t="n">
        <x:v>39</x:v>
      </x:c>
      <x:c r="H24" s="18" t="n">
        <x:v>43</x:v>
      </x:c>
      <x:c r="I24" s="18" t="n">
        <x:v>20</x:v>
      </x:c>
      <x:c r="J24" s="18" t="n">
        <x:v>6</x:v>
      </x:c>
      <x:c r="K24" s="18" t="n">
        <x:v>2</x:v>
      </x:c>
      <x:c r="L24" s="18" t="n">
        <x:v>2</x:v>
      </x:c>
      <x:c r="M24" s="18" t="n">
        <x:v>1</x:v>
      </x:c>
      <x:c r="N24" s="18" t="n">
        <x:v>1</x:v>
      </x:c>
      <x:c r="O24" s="18"/>
      <x:c r="P24" s="18"/>
      <x:c r="Q24" s="18"/>
      <x:c r="R24" s="18" t="n">
        <x:v>0</x:v>
      </x:c>
      <x:c r="S24" s="18" t="n">
        <x:v>20</x:v>
      </x:c>
      <x:c r="T24" s="24" t="n">
        <x:v>0</x:v>
      </x:c>
      <x:c r="U24" s="25" t="n">
        <x:v>8.5</x:v>
      </x:c>
      <x:c r="V24" s="26" t="str">
        <x:v>1. blog sky
2. sky blog
3. sky planner</x:v>
      </x:c>
      <x:c r="W24" s="53" t="str">
        <x:f>IF(SUMIF('Cálculo por consulta'!$A$10:$A$4060,B24,'Cálculo por consulta'!$J$10:$J$4060)=0,"n.a.",ROUND(SUMIF('Cálculo por consulta'!$A$10:$A$4060,B24,'Cálculo por consulta'!$G$10:$G$4060),2))</x:f>
        <x:v>n.a.</x:v>
      </x:c>
      <x:c r="X24" s="18" t="n">
        <x:f>SUMIF('Cálculo por consulta'!$A$10:$A$4060,B24,'Cálculo por consulta'!$J$10:$J$4060)</x:f>
        <x:v>0</x:v>
      </x:c>
      <x:c r="Y24" s="54" t="str">
        <x:f>IF(R24=0,"n.a.",X24/R24)</x:f>
        <x:v>n.a.</x:v>
      </x:c>
      <x:c r="Z24" s="18" t="n">
        <x:f>SUMIF('Cálculo por consulta'!$A$10:$A$4060,B24,'Cálculo por consulta'!$E$10:$E$4060)</x:f>
        <x:v>0</x:v>
      </x:c>
      <x:c r="AA24" s="18" t="n">
        <x:f>R24-Z24</x:f>
        <x:v>0</x:v>
      </x:c>
    </x:row>
    <x:row r="25" ht="74.25" customHeight="1">
      <x:c r="A25" s="17" t="n">
        <x:v>14</x:v>
      </x:c>
      <x:c r="B25" s="14" t="str">
        <x:v>https://blog.skyairline.com/mascotas-en-cabina/</x:v>
      </x:c>
      <x:c r="C25" s="19" t="n">
        <x:v>872</x:v>
      </x:c>
      <x:c r="D25" s="18" t="n">
        <x:v>1147</x:v>
      </x:c>
      <x:c r="E25" s="18" t="n">
        <x:v>732</x:v>
      </x:c>
      <x:c r="F25" s="18" t="n">
        <x:v>55</x:v>
      </x:c>
      <x:c r="G25" s="18"/>
      <x:c r="H25" s="18" t="n">
        <x:v>52</x:v>
      </x:c>
      <x:c r="I25" s="18" t="n">
        <x:v>20</x:v>
      </x:c>
      <x:c r="J25" s="18" t="n">
        <x:v>9</x:v>
      </x:c>
      <x:c r="K25" s="18" t="n">
        <x:v>1</x:v>
      </x:c>
      <x:c r="L25" s="18" t="n">
        <x:v>3</x:v>
      </x:c>
      <x:c r="M25" s="18"/>
      <x:c r="N25" s="18"/>
      <x:c r="O25" s="18"/>
      <x:c r="P25" s="18"/>
      <x:c r="Q25" s="18"/>
      <x:c r="R25" s="18" t="n">
        <x:v>687</x:v>
      </x:c>
      <x:c r="S25" s="18" t="n">
        <x:v>9580</x:v>
      </x:c>
      <x:c r="T25" s="24" t="n">
        <x:v>0.07171189979123173</x:v>
      </x:c>
      <x:c r="U25" s="25" t="n">
        <x:v>3.9577244258872653</x:v>
      </x:c>
      <x:c r="V25" s="26" t="str">
        <x:v>1. sky mascotas
2. sky mascotas en cabina
3. sky viajar con mascota
4. sky airlines mascotas
5. sky mascota en cabina</x:v>
      </x:c>
      <x:c r="W25" s="53" t="n">
        <x:f>IF(SUMIF('Cálculo por consulta'!$A$10:$A$4060,B25,'Cálculo por consulta'!$J$10:$J$4060)=0,"n.a.",ROUND(SUMIF('Cálculo por consulta'!$A$10:$A$4060,B25,'Cálculo por consulta'!$G$10:$G$4060),2))</x:f>
        <x:v>32.38</x:v>
      </x:c>
      <x:c r="X25" s="18" t="n">
        <x:f>SUMIF('Cálculo por consulta'!$A$10:$A$4060,B25,'Cálculo por consulta'!$J$10:$J$4060)</x:f>
        <x:v>40</x:v>
      </x:c>
      <x:c r="Y25" s="54" t="n">
        <x:f>IF(R25=0,"n.a.",X25/R25)</x:f>
        <x:v>0.05822416302765648</x:v>
      </x:c>
      <x:c r="Z25" s="18" t="n">
        <x:f>SUMIF('Cálculo por consulta'!$A$10:$A$4060,B25,'Cálculo por consulta'!$E$10:$E$4060)</x:f>
        <x:v>119</x:v>
      </x:c>
      <x:c r="AA25" s="18" t="n">
        <x:f>R25-Z25</x:f>
        <x:v>568</x:v>
      </x:c>
    </x:row>
    <x:row r="26" ht="74.25" customHeight="1">
      <x:c r="A26" s="17" t="n">
        <x:v>15</x:v>
      </x:c>
      <x:c r="B26" s="14" t="str">
        <x:v>https://blog.skyairline.com/categoria/oportunidades/</x:v>
      </x:c>
      <x:c r="C26" s="19" t="n">
        <x:v>737</x:v>
      </x:c>
      <x:c r="D26" s="18" t="n">
        <x:v>1161</x:v>
      </x:c>
      <x:c r="E26" s="18" t="n">
        <x:v>682</x:v>
      </x:c>
      <x:c r="F26" s="18" t="n">
        <x:v>22</x:v>
      </x:c>
      <x:c r="G26" s="18" t="n">
        <x:v>1</x:v>
      </x:c>
      <x:c r="H26" s="18" t="n">
        <x:v>11</x:v>
      </x:c>
      <x:c r="I26" s="18" t="n">
        <x:v>15</x:v>
      </x:c>
      <x:c r="J26" s="18" t="n">
        <x:v>2</x:v>
      </x:c>
      <x:c r="K26" s="18" t="n">
        <x:v>4</x:v>
      </x:c>
      <x:c r="L26" s="18"/>
      <x:c r="M26" s="18"/>
      <x:c r="N26" s="18"/>
      <x:c r="O26" s="18"/>
      <x:c r="P26" s="18"/>
      <x:c r="Q26" s="18"/>
      <x:c r="R26" s="18" t="n">
        <x:v>643</x:v>
      </x:c>
      <x:c r="S26" s="18" t="n">
        <x:v>4625</x:v>
      </x:c>
      <x:c r="T26" s="24" t="n">
        <x:v>0.13902702702702702</x:v>
      </x:c>
      <x:c r="U26" s="25" t="n">
        <x:v>5.5751351351351355</x:v>
      </x:c>
      <x:c r="V26" s="26" t="str">
        <x:v>1. sky trabaja con nosotros
2. sky airlines trabaja con nosotros
3. sky airline trabaja con nosotros
4. tripulante de cabina sky
5. sky empleos</x:v>
      </x:c>
      <x:c r="W26" s="53" t="n">
        <x:f>IF(SUMIF('Cálculo por consulta'!$A$10:$A$4060,B26,'Cálculo por consulta'!$J$10:$J$4060)=0,"n.a.",ROUND(SUMIF('Cálculo por consulta'!$A$10:$A$4060,B26,'Cálculo por consulta'!$G$10:$G$4060),2))</x:f>
        <x:v>39.05</x:v>
      </x:c>
      <x:c r="X26" s="18" t="n">
        <x:f>SUMIF('Cálculo por consulta'!$A$10:$A$4060,B26,'Cálculo por consulta'!$J$10:$J$4060)</x:f>
        <x:v>329</x:v>
      </x:c>
      <x:c r="Y26" s="54" t="n">
        <x:f>IF(R26=0,"n.a.",X26/R26)</x:f>
        <x:v>0.5116640746500778</x:v>
      </x:c>
      <x:c r="Z26" s="18" t="n">
        <x:f>SUMIF('Cálculo por consulta'!$A$10:$A$4060,B26,'Cálculo por consulta'!$E$10:$E$4060)</x:f>
        <x:v>459</x:v>
      </x:c>
      <x:c r="AA26" s="18" t="n">
        <x:f>R26-Z26</x:f>
        <x:v>184</x:v>
      </x:c>
    </x:row>
    <x:row r="27" ht="74.25" customHeight="1">
      <x:c r="A27" s="17" t="n">
        <x:v>16</x:v>
      </x:c>
      <x:c r="B27" s="14" t="str">
        <x:v>https://blog.skyairline.com/sky-fortalece-su-propuesta-de-valor-para-sus-pasajeros-con-economy-premier/</x:v>
      </x:c>
      <x:c r="C27" s="19" t="n">
        <x:v>730</x:v>
      </x:c>
      <x:c r="D27" s="18" t="n">
        <x:v>910</x:v>
      </x:c>
      <x:c r="E27" s="18" t="n">
        <x:v>560</x:v>
      </x:c>
      <x:c r="F27" s="18" t="n">
        <x:v>62</x:v>
      </x:c>
      <x:c r="G27" s="18" t="n">
        <x:v>26</x:v>
      </x:c>
      <x:c r="H27" s="18" t="n">
        <x:v>33</x:v>
      </x:c>
      <x:c r="I27" s="18" t="n">
        <x:v>21</x:v>
      </x:c>
      <x:c r="J27" s="18" t="n">
        <x:v>20</x:v>
      </x:c>
      <x:c r="K27" s="18" t="n">
        <x:v>5</x:v>
      </x:c>
      <x:c r="L27" s="18"/>
      <x:c r="M27" s="18"/>
      <x:c r="N27" s="18" t="n">
        <x:v>3</x:v>
      </x:c>
      <x:c r="O27" s="18"/>
      <x:c r="P27" s="18"/>
      <x:c r="Q27" s="18" t="n">
        <x:v>1</x:v>
      </x:c>
      <x:c r="R27" s="18" t="n">
        <x:v>534</x:v>
      </x:c>
      <x:c r="S27" s="18" t="n">
        <x:v>2947</x:v>
      </x:c>
      <x:c r="T27" s="24" t="n">
        <x:v>0.18120122158126908</x:v>
      </x:c>
      <x:c r="U27" s="25" t="n">
        <x:v>2.581269087207329</x:v>
      </x:c>
      <x:c r="V27" s="26" t="str">
        <x:v>1. economy premier sky
2. sky economy premier
3. economy premier sky airline
4. economy premium sky
5. economy premier</x:v>
      </x:c>
      <x:c r="W27" s="53" t="str">
        <x:f>IF(SUMIF('Cálculo por consulta'!$A$10:$A$4060,B27,'Cálculo por consulta'!$J$10:$J$4060)=0,"n.a.",ROUND(SUMIF('Cálculo por consulta'!$A$10:$A$4060,B27,'Cálculo por consulta'!$G$10:$G$4060),2))</x:f>
        <x:v>n.a.</x:v>
      </x:c>
      <x:c r="X27" s="18" t="n">
        <x:f>SUMIF('Cálculo por consulta'!$A$10:$A$4060,B27,'Cálculo por consulta'!$J$10:$J$4060)</x:f>
        <x:v>0</x:v>
      </x:c>
      <x:c r="Y27" s="54" t="n">
        <x:f>IF(R27=0,"n.a.",X27/R27)</x:f>
        <x:v>0</x:v>
      </x:c>
      <x:c r="Z27" s="18" t="n">
        <x:f>SUMIF('Cálculo por consulta'!$A$10:$A$4060,B27,'Cálculo por consulta'!$E$10:$E$4060)</x:f>
        <x:v>280</x:v>
      </x:c>
      <x:c r="AA27" s="18" t="n">
        <x:f>R27-Z27</x:f>
        <x:v>254</x:v>
      </x:c>
    </x:row>
    <x:row r="28" ht="74.25" customHeight="1">
      <x:c r="A28" s="17" t="n">
        <x:v>17</x:v>
      </x:c>
      <x:c r="B28" s="14" t="str">
        <x:v>https://blog.skyairline.com/categoria/destinos/</x:v>
      </x:c>
      <x:c r="C28" s="19" t="n">
        <x:v>633</x:v>
      </x:c>
      <x:c r="D28" s="18" t="n">
        <x:v>1494</x:v>
      </x:c>
      <x:c r="E28" s="18" t="n">
        <x:v>457</x:v>
      </x:c>
      <x:c r="F28" s="18" t="n">
        <x:v>47</x:v>
      </x:c>
      <x:c r="G28" s="18" t="n">
        <x:v>72</x:v>
      </x:c>
      <x:c r="H28" s="18" t="n">
        <x:v>26</x:v>
      </x:c>
      <x:c r="I28" s="18" t="n">
        <x:v>13</x:v>
      </x:c>
      <x:c r="J28" s="18" t="n">
        <x:v>5</x:v>
      </x:c>
      <x:c r="K28" s="18" t="n">
        <x:v>6</x:v>
      </x:c>
      <x:c r="L28" s="18" t="n">
        <x:v>2</x:v>
      </x:c>
      <x:c r="M28" s="18" t="n">
        <x:v>1</x:v>
      </x:c>
      <x:c r="N28" s="18" t="n">
        <x:v>3</x:v>
      </x:c>
      <x:c r="O28" s="18"/>
      <x:c r="P28" s="18"/>
      <x:c r="Q28" s="18"/>
      <x:c r="R28" s="18" t="n">
        <x:v>0</x:v>
      </x:c>
      <x:c r="S28" s="18" t="n">
        <x:v>28</x:v>
      </x:c>
      <x:c r="T28" s="24" t="n">
        <x:v>0</x:v>
      </x:c>
      <x:c r="U28" s="25" t="n">
        <x:v>3.607142857142857</x:v>
      </x:c>
      <x:c r="V28" s="26" t="str">
        <x:v>1. "sky airline"
2. "skyairline"
3. "skyairline.com"
4. actividad
5. blog sky</x:v>
      </x:c>
      <x:c r="W28" s="53" t="str">
        <x:f>IF(SUMIF('Cálculo por consulta'!$A$10:$A$4060,B28,'Cálculo por consulta'!$J$10:$J$4060)=0,"n.a.",ROUND(SUMIF('Cálculo por consulta'!$A$10:$A$4060,B28,'Cálculo por consulta'!$G$10:$G$4060),2))</x:f>
        <x:v>n.a.</x:v>
      </x:c>
      <x:c r="X28" s="18" t="n">
        <x:f>SUMIF('Cálculo por consulta'!$A$10:$A$4060,B28,'Cálculo por consulta'!$J$10:$J$4060)</x:f>
        <x:v>0</x:v>
      </x:c>
      <x:c r="Y28" s="54" t="str">
        <x:f>IF(R28=0,"n.a.",X28/R28)</x:f>
        <x:v>n.a.</x:v>
      </x:c>
      <x:c r="Z28" s="18" t="n">
        <x:f>SUMIF('Cálculo por consulta'!$A$10:$A$4060,B28,'Cálculo por consulta'!$E$10:$E$4060)</x:f>
        <x:v>0</x:v>
      </x:c>
      <x:c r="AA28" s="18" t="n">
        <x:f>R28-Z28</x:f>
        <x:v>0</x:v>
      </x:c>
    </x:row>
    <x:row r="29" ht="74.25" customHeight="1">
      <x:c r="A29" s="17" t="n">
        <x:v>18</x:v>
      </x:c>
      <x:c r="B29" s="14" t="str">
        <x:v>https://blog.skyairline.com/viajar-con-bebes/</x:v>
      </x:c>
      <x:c r="C29" s="19" t="n">
        <x:v>563</x:v>
      </x:c>
      <x:c r="D29" s="18" t="n">
        <x:v>695</x:v>
      </x:c>
      <x:c r="E29" s="18" t="n">
        <x:v>484</x:v>
      </x:c>
      <x:c r="F29" s="18" t="n">
        <x:v>24</x:v>
      </x:c>
      <x:c r="G29" s="18" t="n">
        <x:v>1</x:v>
      </x:c>
      <x:c r="H29" s="18" t="n">
        <x:v>28</x:v>
      </x:c>
      <x:c r="I29" s="18" t="n">
        <x:v>10</x:v>
      </x:c>
      <x:c r="J29" s="18" t="n">
        <x:v>6</x:v>
      </x:c>
      <x:c r="K29" s="18" t="n">
        <x:v>6</x:v>
      </x:c>
      <x:c r="L29" s="18" t="n">
        <x:v>1</x:v>
      </x:c>
      <x:c r="M29" s="18" t="n">
        <x:v>2</x:v>
      </x:c>
      <x:c r="N29" s="18" t="n">
        <x:v>1</x:v>
      </x:c>
      <x:c r="O29" s="18"/>
      <x:c r="P29" s="18"/>
      <x:c r="Q29" s="18"/>
      <x:c r="R29" s="18" t="n">
        <x:v>467</x:v>
      </x:c>
      <x:c r="S29" s="18" t="n">
        <x:v>20901</x:v>
      </x:c>
      <x:c r="T29" s="24" t="n">
        <x:v>0.0223434285440888</x:v>
      </x:c>
      <x:c r="U29" s="25" t="n">
        <x:v>4.9625376776230805</x:v>
      </x:c>
      <x:c r="V29" s="26" t="str">
        <x:v>1. los niños pagan pasaje en avion
2. a partir de que edad pagan pasaje los niños en avion
3. apartir de que edad pagan boleto de avion los niños
4. los bebes pagan pasaje de avion
5. un niño de 2 años paga pasaje en avión</x:v>
      </x:c>
      <x:c r="W29" s="53" t="n">
        <x:f>IF(SUMIF('Cálculo por consulta'!$A$10:$A$4060,B29,'Cálculo por consulta'!$J$10:$J$4060)=0,"n.a.",ROUND(SUMIF('Cálculo por consulta'!$A$10:$A$4060,B29,'Cálculo por consulta'!$G$10:$G$4060),2))</x:f>
        <x:v>0.69</x:v>
      </x:c>
      <x:c r="X29" s="18" t="n">
        <x:f>SUMIF('Cálculo por consulta'!$A$10:$A$4060,B29,'Cálculo por consulta'!$J$10:$J$4060)</x:f>
        <x:v>2</x:v>
      </x:c>
      <x:c r="Y29" s="54" t="n">
        <x:f>IF(R29=0,"n.a.",X29/R29)</x:f>
        <x:v>0.004282655246252677</x:v>
      </x:c>
      <x:c r="Z29" s="18" t="n">
        <x:f>SUMIF('Cálculo por consulta'!$A$10:$A$4060,B29,'Cálculo por consulta'!$E$10:$E$4060)</x:f>
        <x:v>72</x:v>
      </x:c>
      <x:c r="AA29" s="18" t="n">
        <x:f>R29-Z29</x:f>
        <x:v>395</x:v>
      </x:c>
    </x:row>
    <x:row r="30" ht="74.25" customHeight="1">
      <x:c r="A30" s="17" t="n">
        <x:v>19</x:v>
      </x:c>
      <x:c r="B30" s="14" t="str">
        <x:v>https://blog.skyairline.com/bebes/</x:v>
      </x:c>
      <x:c r="C30" s="19" t="n">
        <x:v>367</x:v>
      </x:c>
      <x:c r="D30" s="18" t="n">
        <x:v>475</x:v>
      </x:c>
      <x:c r="E30" s="18" t="n">
        <x:v>291</x:v>
      </x:c>
      <x:c r="F30" s="18" t="n">
        <x:v>25</x:v>
      </x:c>
      <x:c r="G30" s="18"/>
      <x:c r="H30" s="18" t="n">
        <x:v>19</x:v>
      </x:c>
      <x:c r="I30" s="18" t="n">
        <x:v>27</x:v>
      </x:c>
      <x:c r="J30" s="18"/>
      <x:c r="K30" s="18" t="n">
        <x:v>2</x:v>
      </x:c>
      <x:c r="L30" s="18" t="n">
        <x:v>2</x:v>
      </x:c>
      <x:c r="M30" s="18"/>
      <x:c r="N30" s="18"/>
      <x:c r="O30" s="18"/>
      <x:c r="P30" s="18"/>
      <x:c r="Q30" s="18"/>
      <x:c r="R30" s="18" t="n">
        <x:v>270</x:v>
      </x:c>
      <x:c r="S30" s="18" t="n">
        <x:v>4587</x:v>
      </x:c>
      <x:c r="T30" s="24" t="n">
        <x:v>0.058862001308044476</x:v>
      </x:c>
      <x:c r="U30" s="25" t="n">
        <x:v>3.7351209941138</x:v>
      </x:c>
      <x:c r="V30" s="26" t="str">
        <x:v>1. se puede llevar coche de bebé en el avión sky
2. aerolínea sky
3. coche sky
4. en peru
5. en sky?</x:v>
      </x:c>
      <x:c r="W30" s="53" t="n">
        <x:f>IF(SUMIF('Cálculo por consulta'!$A$10:$A$4060,B30,'Cálculo por consulta'!$J$10:$J$4060)=0,"n.a.",ROUND(SUMIF('Cálculo por consulta'!$A$10:$A$4060,B30,'Cálculo por consulta'!$G$10:$G$4060),2))</x:f>
        <x:v>0.8</x:v>
      </x:c>
      <x:c r="X30" s="18" t="n">
        <x:f>SUMIF('Cálculo por consulta'!$A$10:$A$4060,B30,'Cálculo por consulta'!$J$10:$J$4060)</x:f>
        <x:v>4</x:v>
      </x:c>
      <x:c r="Y30" s="54" t="n">
        <x:f>IF(R30=0,"n.a.",X30/R30)</x:f>
        <x:v>0.014814814814814815</x:v>
      </x:c>
      <x:c r="Z30" s="18" t="n">
        <x:f>SUMIF('Cálculo por consulta'!$A$10:$A$4060,B30,'Cálculo por consulta'!$E$10:$E$4060)</x:f>
        <x:v>12</x:v>
      </x:c>
      <x:c r="AA30" s="18" t="n">
        <x:f>R30-Z30</x:f>
        <x:v>258</x:v>
      </x:c>
    </x:row>
    <x:row r="31" ht="74.25" customHeight="1">
      <x:c r="A31" s="17" t="n">
        <x:v>20</x:v>
      </x:c>
      <x:c r="B31" s="14" t="str">
        <x:v>https://blog.skyairline.com/viajes-avion/</x:v>
      </x:c>
      <x:c r="C31" s="19" t="n">
        <x:v>308</x:v>
      </x:c>
      <x:c r="D31" s="18" t="n">
        <x:v>382</x:v>
      </x:c>
      <x:c r="E31" s="18" t="n">
        <x:v>263</x:v>
      </x:c>
      <x:c r="F31" s="18" t="n">
        <x:v>23</x:v>
      </x:c>
      <x:c r="G31" s="18"/>
      <x:c r="H31" s="18" t="n">
        <x:v>8</x:v>
      </x:c>
      <x:c r="I31" s="18" t="n">
        <x:v>9</x:v>
      </x:c>
      <x:c r="J31" s="18" t="n">
        <x:v>4</x:v>
      </x:c>
      <x:c r="K31" s="18"/>
      <x:c r="L31" s="18"/>
      <x:c r="M31" s="18"/>
      <x:c r="N31" s="18" t="n">
        <x:v>1</x:v>
      </x:c>
      <x:c r="O31" s="18"/>
      <x:c r="P31" s="18"/>
      <x:c r="Q31" s="18"/>
      <x:c r="R31" s="18" t="n">
        <x:v>215</x:v>
      </x:c>
      <x:c r="S31" s="18" t="n">
        <x:v>23921</x:v>
      </x:c>
      <x:c r="T31" s="24" t="n">
        <x:v>0.008987918565277371</x:v>
      </x:c>
      <x:c r="U31" s="25" t="n">
        <x:v>6.539149701099452</x:v>
      </x:c>
      <x:c r="V31" s="26" t="str">
        <x:v>1. sky mascotas requisitos bodega
2. cuanto tiempo antes debo estar en el aeropuerto vuelo nacional
3. sky instrumentos musicales
4. a que hora debo llegar al aeropuerto para vuelos nacionales
5. cuantas horas debo estar en el aeropuerto para un vuelo nacional</x:v>
      </x:c>
      <x:c r="W31" s="53" t="n">
        <x:f>IF(SUMIF('Cálculo por consulta'!$A$10:$A$4060,B31,'Cálculo por consulta'!$J$10:$J$4060)=0,"n.a.",ROUND(SUMIF('Cálculo por consulta'!$A$10:$A$4060,B31,'Cálculo por consulta'!$G$10:$G$4060),2))</x:f>
        <x:v>0.9</x:v>
      </x:c>
      <x:c r="X31" s="18" t="n">
        <x:f>SUMIF('Cálculo por consulta'!$A$10:$A$4060,B31,'Cálculo por consulta'!$J$10:$J$4060)</x:f>
        <x:v>4</x:v>
      </x:c>
      <x:c r="Y31" s="54" t="n">
        <x:f>IF(R31=0,"n.a.",X31/R31)</x:f>
        <x:v>0.018604651162790697</x:v>
      </x:c>
      <x:c r="Z31" s="18" t="n">
        <x:f>SUMIF('Cálculo por consulta'!$A$10:$A$4060,B31,'Cálculo por consulta'!$E$10:$E$4060)</x:f>
        <x:v>22</x:v>
      </x:c>
      <x:c r="AA31" s="18" t="n">
        <x:f>R31-Z31</x:f>
        <x:v>193</x:v>
      </x:c>
    </x:row>
    <x:row r="32" ht="74.25" customHeight="1">
      <x:c r="A32" s="17" t="n">
        <x:v>21</x:v>
      </x:c>
      <x:c r="B32" s="14" t="str">
        <x:v>https://blog.skyairline.com/categoria/noticias/</x:v>
      </x:c>
      <x:c r="C32" s="19" t="n">
        <x:v>301</x:v>
      </x:c>
      <x:c r="D32" s="18" t="n">
        <x:v>785</x:v>
      </x:c>
      <x:c r="E32" s="18" t="n">
        <x:v>101</x:v>
      </x:c>
      <x:c r="F32" s="18" t="n">
        <x:v>111</x:v>
      </x:c>
      <x:c r="G32" s="18" t="n">
        <x:v>24</x:v>
      </x:c>
      <x:c r="H32" s="18" t="n">
        <x:v>5</x:v>
      </x:c>
      <x:c r="I32" s="18" t="n">
        <x:v>9</x:v>
      </x:c>
      <x:c r="J32" s="18" t="n">
        <x:v>29</x:v>
      </x:c>
      <x:c r="K32" s="18" t="n">
        <x:v>1</x:v>
      </x:c>
      <x:c r="L32" s="18" t="n">
        <x:v>21</x:v>
      </x:c>
      <x:c r="M32" s="18"/>
      <x:c r="N32" s="18"/>
      <x:c r="O32" s="18"/>
      <x:c r="P32" s="18"/>
      <x:c r="Q32" s="18"/>
      <x:c r="R32" s="18" t="n">
        <x:v>25</x:v>
      </x:c>
      <x:c r="S32" s="18" t="n">
        <x:v>391</x:v>
      </x:c>
      <x:c r="T32" s="24" t="n">
        <x:v>0.0639386189258312</x:v>
      </x:c>
      <x:c r="U32" s="25" t="n">
        <x:v>4.731457800511508</x:v>
      </x:c>
      <x:c r="V32" s="26" t="str">
        <x:v>1. sky noticias
2. aerolineas sky
3. blog sky
4. buk sky airline
5. newsletter sky</x:v>
      </x:c>
      <x:c r="W32" s="53" t="str">
        <x:f>IF(SUMIF('Cálculo por consulta'!$A$10:$A$4060,B32,'Cálculo por consulta'!$J$10:$J$4060)=0,"n.a.",ROUND(SUMIF('Cálculo por consulta'!$A$10:$A$4060,B32,'Cálculo por consulta'!$G$10:$G$4060),2))</x:f>
        <x:v>n.a.</x:v>
      </x:c>
      <x:c r="X32" s="18" t="n">
        <x:f>SUMIF('Cálculo por consulta'!$A$10:$A$4060,B32,'Cálculo por consulta'!$J$10:$J$4060)</x:f>
        <x:v>0</x:v>
      </x:c>
      <x:c r="Y32" s="54" t="n">
        <x:f>IF(R32=0,"n.a.",X32/R32)</x:f>
        <x:v>0</x:v>
      </x:c>
      <x:c r="Z32" s="18" t="n">
        <x:f>SUMIF('Cálculo por consulta'!$A$10:$A$4060,B32,'Cálculo por consulta'!$E$10:$E$4060)</x:f>
        <x:v>1</x:v>
      </x:c>
      <x:c r="AA32" s="18" t="n">
        <x:f>R32-Z32</x:f>
        <x:v>24</x:v>
      </x:c>
    </x:row>
    <x:row r="33" ht="74.25" customHeight="1">
      <x:c r="A33" s="17" t="n">
        <x:v>22</x:v>
      </x:c>
      <x:c r="B33" s="14" t="str">
        <x:v>https://blog.skyairline.com/administra-tu-vuelo-sky/</x:v>
      </x:c>
      <x:c r="C33" s="19" t="n">
        <x:v>272</x:v>
      </x:c>
      <x:c r="D33" s="18" t="n">
        <x:v>346</x:v>
      </x:c>
      <x:c r="E33" s="18" t="n">
        <x:v>188</x:v>
      </x:c>
      <x:c r="F33" s="18" t="n">
        <x:v>22</x:v>
      </x:c>
      <x:c r="G33" s="18" t="n">
        <x:v>1</x:v>
      </x:c>
      <x:c r="H33" s="18" t="n">
        <x:v>13</x:v>
      </x:c>
      <x:c r="I33" s="18" t="n">
        <x:v>47</x:v>
      </x:c>
      <x:c r="J33" s="18" t="n">
        <x:v>1</x:v>
      </x:c>
      <x:c r="K33" s="18"/>
      <x:c r="L33" s="18"/>
      <x:c r="M33" s="18"/>
      <x:c r="N33" s="18"/>
      <x:c r="O33" s="18"/>
      <x:c r="P33" s="18"/>
      <x:c r="Q33" s="18"/>
      <x:c r="R33" s="18" t="n">
        <x:v>186</x:v>
      </x:c>
      <x:c r="S33" s="18" t="n">
        <x:v>18460</x:v>
      </x:c>
      <x:c r="T33" s="24" t="n">
        <x:v>0.010075839653304441</x:v>
      </x:c>
      <x:c r="U33" s="25" t="n">
        <x:v>7.0604550379198265</x:v>
      </x:c>
      <x:c r="V33" s="26" t="str">
        <x:v>1. comprar maleta en sky
2. sky administra tu vuelo
3. sky comprar maleta
4. adelantar vuelo sky
5. administra tu vuelo sky</x:v>
      </x:c>
      <x:c r="W33" s="53" t="n">
        <x:f>IF(SUMIF('Cálculo por consulta'!$A$10:$A$4060,B33,'Cálculo por consulta'!$J$10:$J$4060)=0,"n.a.",ROUND(SUMIF('Cálculo por consulta'!$A$10:$A$4060,B33,'Cálculo por consulta'!$G$10:$G$4060),2))</x:f>
        <x:v>4.01</x:v>
      </x:c>
      <x:c r="X33" s="18" t="n">
        <x:f>SUMIF('Cálculo por consulta'!$A$10:$A$4060,B33,'Cálculo por consulta'!$J$10:$J$4060)</x:f>
        <x:v>6</x:v>
      </x:c>
      <x:c r="Y33" s="54" t="n">
        <x:f>IF(R33=0,"n.a.",X33/R33)</x:f>
        <x:v>0.03225806451612903</x:v>
      </x:c>
      <x:c r="Z33" s="18" t="n">
        <x:f>SUMIF('Cálculo por consulta'!$A$10:$A$4060,B33,'Cálculo por consulta'!$E$10:$E$4060)</x:f>
        <x:v>14</x:v>
      </x:c>
      <x:c r="AA33" s="18" t="n">
        <x:f>R33-Z33</x:f>
        <x:v>172</x:v>
      </x:c>
    </x:row>
    <x:row r="34" ht="74.25" customHeight="1">
      <x:c r="A34" s="17" t="n">
        <x:v>23</x:v>
      </x:c>
      <x:c r="B34" s="14" t="str">
        <x:v>https://blog.skyairline.com/viaje-a-sao-paulo/</x:v>
      </x:c>
      <x:c r="C34" s="19" t="n">
        <x:v>258</x:v>
      </x:c>
      <x:c r="D34" s="18" t="n">
        <x:v>297</x:v>
      </x:c>
      <x:c r="E34" s="18" t="n">
        <x:v>1</x:v>
      </x:c>
      <x:c r="F34" s="18" t="n">
        <x:v>3</x:v>
      </x:c>
      <x:c r="G34" s="18" t="n">
        <x:v>253</x:v>
      </x:c>
      <x:c r="H34" s="18"/>
      <x:c r="I34" s="18"/>
      <x:c r="J34" s="18" t="n">
        <x:v>1</x:v>
      </x:c>
      <x:c r="K34" s="18"/>
      <x:c r="L34" s="18"/>
      <x:c r="M34" s="18"/>
      <x:c r="N34" s="18"/>
      <x:c r="O34" s="18"/>
      <x:c r="P34" s="18"/>
      <x:c r="Q34" s="18"/>
      <x:c r="R34" s="18" t="n">
        <x:v>2</x:v>
      </x:c>
      <x:c r="S34" s="18" t="n">
        <x:v>73</x:v>
      </x:c>
      <x:c r="T34" s="24" t="n">
        <x:v>0.0273972602739726</x:v>
      </x:c>
      <x:c r="U34" s="25" t="n">
        <x:v>8.698630136986301</x:v>
      </x:c>
      <x:c r="V34" s="26" t="str">
        <x:v>1. cantidad de habitantes en sao paulo
2. clima para sao paulo
3. mejor epoca para viajar a sao paulo
4. planifica tu viaje metro
5. que conocer en sao paulo brasil</x:v>
      </x:c>
      <x:c r="W34" s="53" t="str">
        <x:f>IF(SUMIF('Cálculo por consulta'!$A$10:$A$4060,B34,'Cálculo por consulta'!$J$10:$J$4060)=0,"n.a.",ROUND(SUMIF('Cálculo por consulta'!$A$10:$A$4060,B34,'Cálculo por consulta'!$G$10:$G$4060),2))</x:f>
        <x:v>n.a.</x:v>
      </x:c>
      <x:c r="X34" s="18" t="n">
        <x:f>SUMIF('Cálculo por consulta'!$A$10:$A$4060,B34,'Cálculo por consulta'!$J$10:$J$4060)</x:f>
        <x:v>0</x:v>
      </x:c>
      <x:c r="Y34" s="54" t="n">
        <x:f>IF(R34=0,"n.a.",X34/R34)</x:f>
        <x:v>0</x:v>
      </x:c>
      <x:c r="Z34" s="18" t="n">
        <x:f>SUMIF('Cálculo por consulta'!$A$10:$A$4060,B34,'Cálculo por consulta'!$E$10:$E$4060)</x:f>
        <x:v>0</x:v>
      </x:c>
      <x:c r="AA34" s="18" t="n">
        <x:f>R34-Z34</x:f>
        <x:v>2</x:v>
      </x:c>
    </x:row>
    <x:row r="35" ht="74.25" customHeight="1">
      <x:c r="A35" s="17" t="n">
        <x:v>24</x:v>
      </x:c>
      <x:c r="B35" s="14" t="str">
        <x:v>https://blog.skyairline.com/mililitros-permitidos-avion/</x:v>
      </x:c>
      <x:c r="C35" s="19" t="n">
        <x:v>255</x:v>
      </x:c>
      <x:c r="D35" s="18" t="n">
        <x:v>328</x:v>
      </x:c>
      <x:c r="E35" s="18" t="n">
        <x:v>222</x:v>
      </x:c>
      <x:c r="F35" s="18" t="n">
        <x:v>13</x:v>
      </x:c>
      <x:c r="G35" s="18"/>
      <x:c r="H35" s="18" t="n">
        <x:v>4</x:v>
      </x:c>
      <x:c r="I35" s="18" t="n">
        <x:v>10</x:v>
      </x:c>
      <x:c r="J35" s="18" t="n">
        <x:v>4</x:v>
      </x:c>
      <x:c r="K35" s="18" t="n">
        <x:v>1</x:v>
      </x:c>
      <x:c r="L35" s="18"/>
      <x:c r="M35" s="18"/>
      <x:c r="N35" s="18" t="n">
        <x:v>1</x:v>
      </x:c>
      <x:c r="O35" s="18"/>
      <x:c r="P35" s="18"/>
      <x:c r="Q35" s="18"/>
      <x:c r="R35" s="18" t="n">
        <x:v>215</x:v>
      </x:c>
      <x:c r="S35" s="18" t="n">
        <x:v>10842</x:v>
      </x:c>
      <x:c r="T35" s="24" t="n">
        <x:v>0.019830289614462277</x:v>
      </x:c>
      <x:c r="U35" s="25" t="n">
        <x:v>7.1605792289245525</x:v>
      </x:c>
      <x:c r="V35" s="26" t="str">
        <x:v>1. sky
2. sky equipaje de mano
3. cuanto liquido se puede llevar en equipaje de mano
4. equipaje de mano sky medidas
5. líquidos permitidos en equipaje de mano</x:v>
      </x:c>
      <x:c r="W35" s="53" t="n">
        <x:f>IF(SUMIF('Cálculo por consulta'!$A$10:$A$4060,B35,'Cálculo por consulta'!$J$10:$J$4060)=0,"n.a.",ROUND(SUMIF('Cálculo por consulta'!$A$10:$A$4060,B35,'Cálculo por consulta'!$G$10:$G$4060),2))</x:f>
        <x:v>4.18</x:v>
      </x:c>
      <x:c r="X35" s="18" t="n">
        <x:f>SUMIF('Cálculo por consulta'!$A$10:$A$4060,B35,'Cálculo por consulta'!$J$10:$J$4060)</x:f>
        <x:v>6</x:v>
      </x:c>
      <x:c r="Y35" s="54" t="n">
        <x:f>IF(R35=0,"n.a.",X35/R35)</x:f>
        <x:v>0.027906976744186046</x:v>
      </x:c>
      <x:c r="Z35" s="18" t="n">
        <x:f>SUMIF('Cálculo por consulta'!$A$10:$A$4060,B35,'Cálculo por consulta'!$E$10:$E$4060)</x:f>
        <x:v>10</x:v>
      </x:c>
      <x:c r="AA35" s="18" t="n">
        <x:f>R35-Z35</x:f>
        <x:v>205</x:v>
      </x:c>
    </x:row>
    <x:row r="36" ht="74.25" customHeight="1">
      <x:c r="A36" s="17" t="n">
        <x:v>25</x:v>
      </x:c>
      <x:c r="B36" s="14" t="str">
        <x:v>https://blog.skyairline.com/sky-aviones/</x:v>
      </x:c>
      <x:c r="C36" s="19" t="n">
        <x:v>247</x:v>
      </x:c>
      <x:c r="D36" s="18" t="n">
        <x:v>293</x:v>
      </x:c>
      <x:c r="E36" s="18" t="n">
        <x:v>205</x:v>
      </x:c>
      <x:c r="F36" s="18" t="n">
        <x:v>22</x:v>
      </x:c>
      <x:c r="G36" s="18" t="n">
        <x:v>1</x:v>
      </x:c>
      <x:c r="H36" s="18" t="n">
        <x:v>14</x:v>
      </x:c>
      <x:c r="I36" s="18" t="n">
        <x:v>4</x:v>
      </x:c>
      <x:c r="J36" s="18" t="n">
        <x:v>1</x:v>
      </x:c>
      <x:c r="K36" s="18"/>
      <x:c r="L36" s="18"/>
      <x:c r="M36" s="18"/>
      <x:c r="N36" s="18"/>
      <x:c r="O36" s="18"/>
      <x:c r="P36" s="18"/>
      <x:c r="Q36" s="18"/>
      <x:c r="R36" s="18" t="n">
        <x:v>184</x:v>
      </x:c>
      <x:c r="S36" s="18" t="n">
        <x:v>5023</x:v>
      </x:c>
      <x:c r="T36" s="24" t="n">
        <x:v>0.03663149512243679</x:v>
      </x:c>
      <x:c r="U36" s="25" t="n">
        <x:v>3.748357555245869</x:v>
      </x:c>
      <x:c r="V36" s="26" t="str">
        <x:v>1. flota sky airlines
2. aviones sky airlines
3. flota de sky airlines
4. que aviones usa sky airlines
5. sky airline flota</x:v>
      </x:c>
      <x:c r="W36" s="53" t="n">
        <x:f>IF(SUMIF('Cálculo por consulta'!$A$10:$A$4060,B36,'Cálculo por consulta'!$J$10:$J$4060)=0,"n.a.",ROUND(SUMIF('Cálculo por consulta'!$A$10:$A$4060,B36,'Cálculo por consulta'!$G$10:$G$4060),2))</x:f>
        <x:v>4.11</x:v>
      </x:c>
      <x:c r="X36" s="18" t="n">
        <x:f>SUMIF('Cálculo por consulta'!$A$10:$A$4060,B36,'Cálculo por consulta'!$J$10:$J$4060)</x:f>
        <x:v>7</x:v>
      </x:c>
      <x:c r="Y36" s="54" t="n">
        <x:f>IF(R36=0,"n.a.",X36/R36)</x:f>
        <x:v>0.03804347826086957</x:v>
      </x:c>
      <x:c r="Z36" s="18" t="n">
        <x:f>SUMIF('Cálculo por consulta'!$A$10:$A$4060,B36,'Cálculo por consulta'!$E$10:$E$4060)</x:f>
        <x:v>61</x:v>
      </x:c>
      <x:c r="AA36" s="18" t="n">
        <x:f>R36-Z36</x:f>
        <x:v>123</x:v>
      </x:c>
    </x:row>
    <x:row r="37" ht="48.75" customHeight="1">
      <x:c r="A37" s="17" t="n">
        <x:v>26</x:v>
      </x:c>
      <x:c r="B37" s="14" t="str">
        <x:v>https://blog.skyairline.com/sky-fortalece-su-red-internacional-desde-peru-con-nuevas-rutas-a-chile-y-brasil/</x:v>
      </x:c>
      <x:c r="C37" s="19" t="n">
        <x:v>243</x:v>
      </x:c>
      <x:c r="D37" s="18" t="n">
        <x:v>280</x:v>
      </x:c>
      <x:c r="E37" s="18" t="n">
        <x:v>30</x:v>
      </x:c>
      <x:c r="F37" s="18" t="n">
        <x:v>11</x:v>
      </x:c>
      <x:c r="G37" s="18" t="n">
        <x:v>171</x:v>
      </x:c>
      <x:c r="H37" s="18" t="n">
        <x:v>6</x:v>
      </x:c>
      <x:c r="I37" s="18" t="n">
        <x:v>16</x:v>
      </x:c>
      <x:c r="J37" s="18" t="n">
        <x:v>5</x:v>
      </x:c>
      <x:c r="K37" s="18"/>
      <x:c r="L37" s="18" t="n">
        <x:v>4</x:v>
      </x:c>
      <x:c r="M37" s="18"/>
      <x:c r="N37" s="18"/>
      <x:c r="O37" s="18"/>
      <x:c r="P37" s="18"/>
      <x:c r="Q37" s="18"/>
      <x:c r="R37" s="18" t="n">
        <x:v>17</x:v>
      </x:c>
      <x:c r="S37" s="18" t="n">
        <x:v>275</x:v>
      </x:c>
      <x:c r="T37" s="24" t="n">
        <x:v>0.06181818181818182</x:v>
      </x:c>
      <x:c r="U37" s="25" t="n">
        <x:v>3.978181818181818</x:v>
      </x:c>
      <x:c r="V37" s="26" t="str">
        <x:v>1. sky airline incrementa su oferta de vuelos directos conectando perú con brasil y chile
2. internacional</x:v>
      </x:c>
      <x:c r="W37" s="53" t="str">
        <x:f>IF(SUMIF('Cálculo por consulta'!$A$10:$A$4060,B37,'Cálculo por consulta'!$J$10:$J$4060)=0,"n.a.",ROUND(SUMIF('Cálculo por consulta'!$A$10:$A$4060,B37,'Cálculo por consulta'!$G$10:$G$4060),2))</x:f>
        <x:v>n.a.</x:v>
      </x:c>
      <x:c r="X37" s="18" t="n">
        <x:f>SUMIF('Cálculo por consulta'!$A$10:$A$4060,B37,'Cálculo por consulta'!$J$10:$J$4060)</x:f>
        <x:v>0</x:v>
      </x:c>
      <x:c r="Y37" s="54" t="n">
        <x:f>IF(R37=0,"n.a.",X37/R37)</x:f>
        <x:v>0</x:v>
      </x:c>
      <x:c r="Z37" s="18" t="n">
        <x:f>SUMIF('Cálculo por consulta'!$A$10:$A$4060,B37,'Cálculo por consulta'!$E$10:$E$4060)</x:f>
        <x:v>2</x:v>
      </x:c>
      <x:c r="AA37" s="18" t="n">
        <x:f>R37-Z37</x:f>
        <x:v>15</x:v>
      </x:c>
    </x:row>
    <x:row r="38" ht="74.25" customHeight="1">
      <x:c r="A38" s="17" t="n">
        <x:v>27</x:v>
      </x:c>
      <x:c r="B38" s="14" t="str">
        <x:v>https://blog.skyairline.com/documentos-viaje/</x:v>
      </x:c>
      <x:c r="C38" s="19" t="n">
        <x:v>233</x:v>
      </x:c>
      <x:c r="D38" s="18" t="n">
        <x:v>323</x:v>
      </x:c>
      <x:c r="E38" s="18" t="n">
        <x:v>196</x:v>
      </x:c>
      <x:c r="F38" s="18" t="n">
        <x:v>11</x:v>
      </x:c>
      <x:c r="G38" s="18" t="n">
        <x:v>1</x:v>
      </x:c>
      <x:c r="H38" s="18" t="n">
        <x:v>11</x:v>
      </x:c>
      <x:c r="I38" s="18" t="n">
        <x:v>11</x:v>
      </x:c>
      <x:c r="J38" s="18" t="n">
        <x:v>1</x:v>
      </x:c>
      <x:c r="K38" s="18" t="n">
        <x:v>1</x:v>
      </x:c>
      <x:c r="L38" s="18"/>
      <x:c r="M38" s="18"/>
      <x:c r="N38" s="18" t="n">
        <x:v>1</x:v>
      </x:c>
      <x:c r="O38" s="18"/>
      <x:c r="P38" s="18"/>
      <x:c r="Q38" s="18"/>
      <x:c r="R38" s="18" t="n">
        <x:v>202</x:v>
      </x:c>
      <x:c r="S38" s="18" t="n">
        <x:v>6726</x:v>
      </x:c>
      <x:c r="T38" s="24" t="n">
        <x:v>0.030032708890871247</x:v>
      </x:c>
      <x:c r="U38" s="25" t="n">
        <x:v>5.259887005649717</x:v>
      </x:c>
      <x:c r="V38" s="26" t="str">
        <x:v>1. sky se puede viajar con dni vencido
2. en sky airline
3. se puede viajar con comprobante de carnet
4. se puede viajar en avion con carnet vencido
5. se puede viajar en avion con comprobante de carnet de identidad</x:v>
      </x:c>
      <x:c r="W38" s="53" t="n">
        <x:f>IF(SUMIF('Cálculo por consulta'!$A$10:$A$4060,B38,'Cálculo por consulta'!$J$10:$J$4060)=0,"n.a.",ROUND(SUMIF('Cálculo por consulta'!$A$10:$A$4060,B38,'Cálculo por consulta'!$G$10:$G$4060),2))</x:f>
        <x:v>0.27</x:v>
      </x:c>
      <x:c r="X38" s="18" t="n">
        <x:f>SUMIF('Cálculo por consulta'!$A$10:$A$4060,B38,'Cálculo por consulta'!$J$10:$J$4060)</x:f>
        <x:v>1</x:v>
      </x:c>
      <x:c r="Y38" s="54" t="n">
        <x:f>IF(R38=0,"n.a.",X38/R38)</x:f>
        <x:v>0.0049504950495049506</x:v>
      </x:c>
      <x:c r="Z38" s="18" t="n">
        <x:f>SUMIF('Cálculo por consulta'!$A$10:$A$4060,B38,'Cálculo por consulta'!$E$10:$E$4060)</x:f>
        <x:v>7</x:v>
      </x:c>
      <x:c r="AA38" s="18" t="n">
        <x:f>R38-Z38</x:f>
        <x:v>195</x:v>
      </x:c>
    </x:row>
    <x:row r="39" ht="74.25" customHeight="1">
      <x:c r="A39" s="17" t="n">
        <x:v>28</x:v>
      </x:c>
      <x:c r="B39" s="14" t="str">
        <x:v>https://blog.skyairline.com/estaciones-en-chile/</x:v>
      </x:c>
      <x:c r="C39" s="19" t="n">
        <x:v>224</x:v>
      </x:c>
      <x:c r="D39" s="18" t="n">
        <x:v>268</x:v>
      </x:c>
      <x:c r="E39" s="18" t="n">
        <x:v>207</x:v>
      </x:c>
      <x:c r="F39" s="18" t="n">
        <x:v>13</x:v>
      </x:c>
      <x:c r="G39" s="18"/>
      <x:c r="H39" s="18"/>
      <x:c r="I39" s="18"/>
      <x:c r="J39" s="18" t="n">
        <x:v>2</x:v>
      </x:c>
      <x:c r="K39" s="18"/>
      <x:c r="L39" s="18" t="n">
        <x:v>2</x:v>
      </x:c>
      <x:c r="M39" s="18"/>
      <x:c r="N39" s="18"/>
      <x:c r="O39" s="18"/>
      <x:c r="P39" s="18"/>
      <x:c r="Q39" s="18"/>
      <x:c r="R39" s="18" t="n">
        <x:v>198</x:v>
      </x:c>
      <x:c r="S39" s="18" t="n">
        <x:v>111924</x:v>
      </x:c>
      <x:c r="T39" s="24" t="n">
        <x:v>0.0017690575747828885</x:v>
      </x:c>
      <x:c r="U39" s="25" t="n">
        <x:v>6.174091347700225</x:v>
      </x:c>
      <x:c r="V39" s="26" t="str">
        <x:v>1. en que estacion del año estamos
2. estaciones del año en chile
3. en que estacion del año estamos en chile
4. que estacion estamos en chile
5. cuando empieza el verano en chile</x:v>
      </x:c>
      <x:c r="W39" s="53" t="n">
        <x:f>IF(SUMIF('Cálculo por consulta'!$A$10:$A$4060,B39,'Cálculo por consulta'!$J$10:$J$4060)=0,"n.a.",ROUND(SUMIF('Cálculo por consulta'!$A$10:$A$4060,B39,'Cálculo por consulta'!$G$10:$G$4060),2))</x:f>
        <x:v>0.01</x:v>
      </x:c>
      <x:c r="X39" s="18" t="n">
        <x:f>SUMIF('Cálculo por consulta'!$A$10:$A$4060,B39,'Cálculo por consulta'!$J$10:$J$4060)</x:f>
        <x:v>1</x:v>
      </x:c>
      <x:c r="Y39" s="54" t="n">
        <x:f>IF(R39=0,"n.a.",X39/R39)</x:f>
        <x:v>0.005050505050505051</x:v>
      </x:c>
      <x:c r="Z39" s="18" t="n">
        <x:f>SUMIF('Cálculo por consulta'!$A$10:$A$4060,B39,'Cálculo por consulta'!$E$10:$E$4060)</x:f>
        <x:v>108</x:v>
      </x:c>
      <x:c r="AA39" s="18" t="n">
        <x:f>R39-Z39</x:f>
        <x:v>90</x:v>
      </x:c>
    </x:row>
    <x:row r="40" ht="74.25" customHeight="1">
      <x:c r="A40" s="17" t="n">
        <x:v>29</x:v>
      </x:c>
      <x:c r="B40" s="14" t="str">
        <x:v>https://blog.skyairline.com/ciudades-cercanas-rio-de-janeiro/</x:v>
      </x:c>
      <x:c r="C40" s="19" t="n">
        <x:v>205</x:v>
      </x:c>
      <x:c r="D40" s="18" t="n">
        <x:v>247</x:v>
      </x:c>
      <x:c r="E40" s="18" t="n">
        <x:v>197</x:v>
      </x:c>
      <x:c r="F40" s="18" t="n">
        <x:v>5</x:v>
      </x:c>
      <x:c r="G40" s="18" t="n">
        <x:v>1</x:v>
      </x:c>
      <x:c r="H40" s="18"/>
      <x:c r="I40" s="18"/>
      <x:c r="J40" s="18"/>
      <x:c r="K40" s="18"/>
      <x:c r="L40" s="18" t="n">
        <x:v>2</x:v>
      </x:c>
      <x:c r="M40" s="18"/>
      <x:c r="N40" s="18"/>
      <x:c r="O40" s="18"/>
      <x:c r="P40" s="18"/>
      <x:c r="Q40" s="18"/>
      <x:c r="R40" s="18" t="n">
        <x:v>160</x:v>
      </x:c>
      <x:c r="S40" s="18" t="n">
        <x:v>3960</x:v>
      </x:c>
      <x:c r="T40" s="24" t="n">
        <x:v>0.04040404040404041</x:v>
      </x:c>
      <x:c r="U40" s="25" t="n">
        <x:v>4.721717171717172</x:v>
      </x:c>
      <x:c r="V40" s="26" t="str">
        <x:v>1. ciudades cercanas a rio de janeiro
2. ciudades cerca de rio de janeiro
3. ciudades de rio de janeiro
4. ciudades cerca a rio de janeiro
5. lugar cerca de rio de janeiro</x:v>
      </x:c>
      <x:c r="W40" s="53" t="n">
        <x:f>IF(SUMIF('Cálculo por consulta'!$A$10:$A$4060,B40,'Cálculo por consulta'!$J$10:$J$4060)=0,"n.a.",ROUND(SUMIF('Cálculo por consulta'!$A$10:$A$4060,B40,'Cálculo por consulta'!$G$10:$G$4060),2))</x:f>
        <x:v>2.05</x:v>
      </x:c>
      <x:c r="X40" s="18" t="n">
        <x:f>SUMIF('Cálculo por consulta'!$A$10:$A$4060,B40,'Cálculo por consulta'!$J$10:$J$4060)</x:f>
        <x:v>4</x:v>
      </x:c>
      <x:c r="Y40" s="54" t="n">
        <x:f>IF(R40=0,"n.a.",X40/R40)</x:f>
        <x:v>0.025</x:v>
      </x:c>
      <x:c r="Z40" s="18" t="n">
        <x:f>SUMIF('Cálculo por consulta'!$A$10:$A$4060,B40,'Cálculo por consulta'!$E$10:$E$4060)</x:f>
        <x:v>35</x:v>
      </x:c>
      <x:c r="AA40" s="18" t="n">
        <x:f>R40-Z40</x:f>
        <x:v>125</x:v>
      </x:c>
    </x:row>
    <x:row r="41" ht="74.25" customHeight="1">
      <x:c r="A41" s="17" t="n">
        <x:v>30</x:v>
      </x:c>
      <x:c r="B41" s="14" t="str">
        <x:v>https://blog.skyairline.com/normas-para-viajar-en-avion/</x:v>
      </x:c>
      <x:c r="C41" s="19" t="n">
        <x:v>198</x:v>
      </x:c>
      <x:c r="D41" s="18" t="n">
        <x:v>272</x:v>
      </x:c>
      <x:c r="E41" s="18" t="n">
        <x:v>173</x:v>
      </x:c>
      <x:c r="F41" s="18" t="n">
        <x:v>4</x:v>
      </x:c>
      <x:c r="G41" s="18"/>
      <x:c r="H41" s="18" t="n">
        <x:v>11</x:v>
      </x:c>
      <x:c r="I41" s="18" t="n">
        <x:v>6</x:v>
      </x:c>
      <x:c r="J41" s="18" t="n">
        <x:v>2</x:v>
      </x:c>
      <x:c r="K41" s="18" t="n">
        <x:v>1</x:v>
      </x:c>
      <x:c r="L41" s="18"/>
      <x:c r="M41" s="18"/>
      <x:c r="N41" s="18" t="n">
        <x:v>1</x:v>
      </x:c>
      <x:c r="O41" s="18"/>
      <x:c r="P41" s="18"/>
      <x:c r="Q41" s="18"/>
      <x:c r="R41" s="18" t="n">
        <x:v>153</x:v>
      </x:c>
      <x:c r="S41" s="18" t="n">
        <x:v>4369</x:v>
      </x:c>
      <x:c r="T41" s="24" t="n">
        <x:v>0.03501945525291829</x:v>
      </x:c>
      <x:c r="U41" s="25" t="n">
        <x:v>5.615930418860151</x:v>
      </x:c>
      <x:c r="V41" s="26" t="str">
        <x:v>1. sky embarazadas
2. 2026
3. 26 semanas
4. 32 semana
5. 35 semanas</x:v>
      </x:c>
      <x:c r="W41" s="53" t="str">
        <x:f>IF(SUMIF('Cálculo por consulta'!$A$10:$A$4060,B41,'Cálculo por consulta'!$J$10:$J$4060)=0,"n.a.",ROUND(SUMIF('Cálculo por consulta'!$A$10:$A$4060,B41,'Cálculo por consulta'!$G$10:$G$4060),2))</x:f>
        <x:v>n.a.</x:v>
      </x:c>
      <x:c r="X41" s="18" t="n">
        <x:f>SUMIF('Cálculo por consulta'!$A$10:$A$4060,B41,'Cálculo por consulta'!$J$10:$J$4060)</x:f>
        <x:v>0</x:v>
      </x:c>
      <x:c r="Y41" s="54" t="n">
        <x:f>IF(R41=0,"n.a.",X41/R41)</x:f>
        <x:v>0</x:v>
      </x:c>
      <x:c r="Z41" s="18" t="n">
        <x:f>SUMIF('Cálculo por consulta'!$A$10:$A$4060,B41,'Cálculo por consulta'!$E$10:$E$4060)</x:f>
        <x:v>4</x:v>
      </x:c>
      <x:c r="AA41" s="18" t="n">
        <x:f>R41-Z41</x:f>
        <x:v>149</x:v>
      </x:c>
    </x:row>
    <x:row r="42" ht="74.25" customHeight="1">
      <x:c r="A42" s="17" t="n">
        <x:v>31</x:v>
      </x:c>
      <x:c r="B42" s="14" t="str">
        <x:v>https://blog.skyairline.com/platos-tipicos-de-lima/</x:v>
      </x:c>
      <x:c r="C42" s="19" t="n">
        <x:v>196</x:v>
      </x:c>
      <x:c r="D42" s="18" t="n">
        <x:v>228</x:v>
      </x:c>
      <x:c r="E42" s="18" t="n">
        <x:v>186</x:v>
      </x:c>
      <x:c r="F42" s="18" t="n">
        <x:v>9</x:v>
      </x:c>
      <x:c r="G42" s="18"/>
      <x:c r="H42" s="18"/>
      <x:c r="I42" s="18"/>
      <x:c r="J42" s="18"/>
      <x:c r="K42" s="18"/>
      <x:c r="L42" s="18" t="n">
        <x:v>1</x:v>
      </x:c>
      <x:c r="M42" s="18"/>
      <x:c r="N42" s="18"/>
      <x:c r="O42" s="18"/>
      <x:c r="P42" s="18"/>
      <x:c r="Q42" s="18"/>
      <x:c r="R42" s="18" t="n">
        <x:v>167</x:v>
      </x:c>
      <x:c r="S42" s="18" t="n">
        <x:v>8239</x:v>
      </x:c>
      <x:c r="T42" s="24" t="n">
        <x:v>0.020269450175992233</x:v>
      </x:c>
      <x:c r="U42" s="25" t="n">
        <x:v>8.672897196261683</x:v>
      </x:c>
      <x:c r="V42" s="26" t="str">
        <x:v>1. platos tipicos lima
2. platos típicos de lima
3. platos tipicos de lima
4. platos típicos lima
5. comida típica de perú lima</x:v>
      </x:c>
      <x:c r="W42" s="53" t="n">
        <x:f>IF(SUMIF('Cálculo por consulta'!$A$10:$A$4060,B42,'Cálculo por consulta'!$J$10:$J$4060)=0,"n.a.",ROUND(SUMIF('Cálculo por consulta'!$A$10:$A$4060,B42,'Cálculo por consulta'!$G$10:$G$4060),2))</x:f>
        <x:v>0.3</x:v>
      </x:c>
      <x:c r="X42" s="18" t="n">
        <x:f>SUMIF('Cálculo por consulta'!$A$10:$A$4060,B42,'Cálculo por consulta'!$J$10:$J$4060)</x:f>
        <x:v>3</x:v>
      </x:c>
      <x:c r="Y42" s="54" t="n">
        <x:f>IF(R42=0,"n.a.",X42/R42)</x:f>
        <x:v>0.017964071856287425</x:v>
      </x:c>
      <x:c r="Z42" s="18" t="n">
        <x:f>SUMIF('Cálculo por consulta'!$A$10:$A$4060,B42,'Cálculo por consulta'!$E$10:$E$4060)</x:f>
        <x:v>89</x:v>
      </x:c>
      <x:c r="AA42" s="18" t="n">
        <x:f>R42-Z42</x:f>
        <x:v>78</x:v>
      </x:c>
    </x:row>
    <x:row r="43" ht="74.25" customHeight="1">
      <x:c r="A43" s="17" t="n">
        <x:v>32</x:v>
      </x:c>
      <x:c r="B43" s="14" t="str">
        <x:v>https://blog.skyairline.com/pasaje-en-linea/</x:v>
      </x:c>
      <x:c r="C43" s="19" t="n">
        <x:v>195</x:v>
      </x:c>
      <x:c r="D43" s="18" t="n">
        <x:v>261</x:v>
      </x:c>
      <x:c r="E43" s="18" t="n">
        <x:v>146</x:v>
      </x:c>
      <x:c r="F43" s="18" t="n">
        <x:v>21</x:v>
      </x:c>
      <x:c r="G43" s="18"/>
      <x:c r="H43" s="18" t="n">
        <x:v>15</x:v>
      </x:c>
      <x:c r="I43" s="18" t="n">
        <x:v>8</x:v>
      </x:c>
      <x:c r="J43" s="18" t="n">
        <x:v>2</x:v>
      </x:c>
      <x:c r="K43" s="18" t="n">
        <x:v>2</x:v>
      </x:c>
      <x:c r="L43" s="18"/>
      <x:c r="M43" s="18"/>
      <x:c r="N43" s="18"/>
      <x:c r="O43" s="18"/>
      <x:c r="P43" s="18"/>
      <x:c r="Q43" s="18" t="n">
        <x:v>1</x:v>
      </x:c>
      <x:c r="R43" s="18" t="n">
        <x:v>156</x:v>
      </x:c>
      <x:c r="S43" s="18" t="n">
        <x:v>13534</x:v>
      </x:c>
      <x:c r="T43" s="24" t="n">
        <x:v>0.01152652578690705</x:v>
      </x:c>
      <x:c r="U43" s="25" t="n">
        <x:v>6.298655238658194</x:v>
      </x:c>
      <x:c r="V43" s="26" t="str">
        <x:v>1. como pagar sky con tarjeta de credito
2. como pagar sky en linea
3. sky pasajes
4. aerolíneas para comprar boletos de avión
5. como comprar un pasaje de avion</x:v>
      </x:c>
      <x:c r="W43" s="53" t="n">
        <x:f>IF(SUMIF('Cálculo por consulta'!$A$10:$A$4060,B43,'Cálculo por consulta'!$J$10:$J$4060)=0,"n.a.",ROUND(SUMIF('Cálculo por consulta'!$A$10:$A$4060,B43,'Cálculo por consulta'!$G$10:$G$4060),2))</x:f>
        <x:v>3.76</x:v>
      </x:c>
      <x:c r="X43" s="18" t="n">
        <x:f>SUMIF('Cálculo por consulta'!$A$10:$A$4060,B43,'Cálculo por consulta'!$J$10:$J$4060)</x:f>
        <x:v>11</x:v>
      </x:c>
      <x:c r="Y43" s="54" t="n">
        <x:f>IF(R43=0,"n.a.",X43/R43)</x:f>
        <x:v>0.07051282051282051</x:v>
      </x:c>
      <x:c r="Z43" s="18" t="n">
        <x:f>SUMIF('Cálculo por consulta'!$A$10:$A$4060,B43,'Cálculo por consulta'!$E$10:$E$4060)</x:f>
        <x:v>20</x:v>
      </x:c>
      <x:c r="AA43" s="18" t="n">
        <x:f>R43-Z43</x:f>
        <x:v>136</x:v>
      </x:c>
    </x:row>
    <x:row r="44" ht="74.25" customHeight="1">
      <x:c r="A44" s="17" t="n">
        <x:v>33</x:v>
      </x:c>
      <x:c r="B44" s="14" t="str">
        <x:v>https://blog.skyairline.com/sky-airline-2/</x:v>
      </x:c>
      <x:c r="C44" s="19" t="n">
        <x:v>190</x:v>
      </x:c>
      <x:c r="D44" s="18" t="n">
        <x:v>233</x:v>
      </x:c>
      <x:c r="E44" s="18" t="n">
        <x:v>142</x:v>
      </x:c>
      <x:c r="F44" s="18" t="n">
        <x:v>17</x:v>
      </x:c>
      <x:c r="G44" s="18" t="n">
        <x:v>2</x:v>
      </x:c>
      <x:c r="H44" s="18" t="n">
        <x:v>8</x:v>
      </x:c>
      <x:c r="I44" s="18" t="n">
        <x:v>20</x:v>
      </x:c>
      <x:c r="J44" s="18" t="n">
        <x:v>1</x:v>
      </x:c>
      <x:c r="K44" s="18"/>
      <x:c r="L44" s="18"/>
      <x:c r="M44" s="18"/>
      <x:c r="N44" s="18"/>
      <x:c r="O44" s="18"/>
      <x:c r="P44" s="18"/>
      <x:c r="Q44" s="18"/>
      <x:c r="R44" s="18" t="n">
        <x:v>163</x:v>
      </x:c>
      <x:c r="S44" s="18" t="n">
        <x:v>13849</x:v>
      </x:c>
      <x:c r="T44" s="24" t="n">
        <x:v>0.011769802873853707</x:v>
      </x:c>
      <x:c r="U44" s="25" t="n">
        <x:v>7.938912556863311</x:v>
      </x:c>
      <x:c r="V44" s="26" t="str">
        <x:v>1. billetera sky
2. teléfonos de sky servicio al cliente
3. billetera sky peru
4. teléfonos de sky servicio al cliente chile
5. billetera sky chile</x:v>
      </x:c>
      <x:c r="W44" s="53" t="n">
        <x:f>IF(SUMIF('Cálculo por consulta'!$A$10:$A$4060,B44,'Cálculo por consulta'!$J$10:$J$4060)=0,"n.a.",ROUND(SUMIF('Cálculo por consulta'!$A$10:$A$4060,B44,'Cálculo por consulta'!$G$10:$G$4060),2))</x:f>
        <x:v>43.88</x:v>
      </x:c>
      <x:c r="X44" s="18" t="n">
        <x:f>SUMIF('Cálculo por consulta'!$A$10:$A$4060,B44,'Cálculo por consulta'!$J$10:$J$4060)</x:f>
        <x:v>54</x:v>
      </x:c>
      <x:c r="Y44" s="54" t="n">
        <x:f>IF(R44=0,"n.a.",X44/R44)</x:f>
        <x:v>0.3312883435582822</x:v>
      </x:c>
      <x:c r="Z44" s="18" t="n">
        <x:f>SUMIF('Cálculo por consulta'!$A$10:$A$4060,B44,'Cálculo por consulta'!$E$10:$E$4060)</x:f>
        <x:v>73</x:v>
      </x:c>
      <x:c r="AA44" s="18" t="n">
        <x:f>R44-Z44</x:f>
        <x:v>90</x:v>
      </x:c>
    </x:row>
    <x:row r="45" ht="74.25" customHeight="1">
      <x:c r="A45" s="17" t="n">
        <x:v>34</x:v>
      </x:c>
      <x:c r="B45" s="14" t="str">
        <x:v>https://blog.skyairline.com/sur-argentino/</x:v>
      </x:c>
      <x:c r="C45" s="19" t="n">
        <x:v>181</x:v>
      </x:c>
      <x:c r="D45" s="18" t="n">
        <x:v>230</x:v>
      </x:c>
      <x:c r="E45" s="18" t="n">
        <x:v>179</x:v>
      </x:c>
      <x:c r="F45" s="18" t="n">
        <x:v>2</x:v>
      </x:c>
      <x:c r="G45" s="18"/>
      <x:c r="H45" s="18"/>
      <x:c r="I45" s="18"/>
      <x:c r="J45" s="18"/>
      <x:c r="K45" s="18"/>
      <x:c r="L45" s="18"/>
      <x:c r="M45" s="18"/>
      <x:c r="N45" s="18"/>
      <x:c r="O45" s="18"/>
      <x:c r="P45" s="18"/>
      <x:c r="Q45" s="18"/>
      <x:c r="R45" s="18" t="n">
        <x:v>158</x:v>
      </x:c>
      <x:c r="S45" s="18" t="n">
        <x:v>7634</x:v>
      </x:c>
      <x:c r="T45" s="24" t="n">
        <x:v>0.02069688236835211</x:v>
      </x:c>
      <x:c r="U45" s="25" t="n">
        <x:v>5.968561697668326</x:v>
      </x:c>
      <x:c r="V45" s="26" t="str">
        <x:v>1. lugares para visitar en el sur argentino en verano
2. lugares del sur de argentina
3. lugares del sur de argentina para visitar
4. lugares en el sur de argentina
5. sur argentino en verano</x:v>
      </x:c>
      <x:c r="W45" s="53" t="n">
        <x:f>IF(SUMIF('Cálculo por consulta'!$A$10:$A$4060,B45,'Cálculo por consulta'!$J$10:$J$4060)=0,"n.a.",ROUND(SUMIF('Cálculo por consulta'!$A$10:$A$4060,B45,'Cálculo por consulta'!$G$10:$G$4060),2))</x:f>
        <x:v>0.37</x:v>
      </x:c>
      <x:c r="X45" s="18" t="n">
        <x:f>SUMIF('Cálculo por consulta'!$A$10:$A$4060,B45,'Cálculo por consulta'!$J$10:$J$4060)</x:f>
        <x:v>1</x:v>
      </x:c>
      <x:c r="Y45" s="54" t="n">
        <x:f>IF(R45=0,"n.a.",X45/R45)</x:f>
        <x:v>0.006329113924050633</x:v>
      </x:c>
      <x:c r="Z45" s="18" t="n">
        <x:f>SUMIF('Cálculo por consulta'!$A$10:$A$4060,B45,'Cálculo por consulta'!$E$10:$E$4060)</x:f>
        <x:v>56</x:v>
      </x:c>
      <x:c r="AA45" s="18" t="n">
        <x:f>R45-Z45</x:f>
        <x:v>102</x:v>
      </x:c>
    </x:row>
    <x:row r="46" ht="74.25" customHeight="1">
      <x:c r="A46" s="17" t="n">
        <x:v>35</x:v>
      </x:c>
      <x:c r="B46" s="14" t="str">
        <x:v>https://blog.skyairline.com/vacunas-brasil/</x:v>
      </x:c>
      <x:c r="C46" s="19" t="n">
        <x:v>178</x:v>
      </x:c>
      <x:c r="D46" s="18" t="n">
        <x:v>235</x:v>
      </x:c>
      <x:c r="E46" s="18" t="n">
        <x:v>162</x:v>
      </x:c>
      <x:c r="F46" s="18" t="n">
        <x:v>11</x:v>
      </x:c>
      <x:c r="G46" s="18"/>
      <x:c r="H46" s="18" t="n">
        <x:v>3</x:v>
      </x:c>
      <x:c r="I46" s="18" t="n">
        <x:v>2</x:v>
      </x:c>
      <x:c r="J46" s="18"/>
      <x:c r="K46" s="18"/>
      <x:c r="L46" s="18"/>
      <x:c r="M46" s="18"/>
      <x:c r="N46" s="18"/>
      <x:c r="O46" s="18"/>
      <x:c r="P46" s="18"/>
      <x:c r="Q46" s="18"/>
      <x:c r="R46" s="18" t="n">
        <x:v>125</x:v>
      </x:c>
      <x:c r="S46" s="18" t="n">
        <x:v>8109</x:v>
      </x:c>
      <x:c r="T46" s="24" t="n">
        <x:v>0.015414971019854482</x:v>
      </x:c>
      <x:c r="U46" s="25" t="n">
        <x:v>5.758169934640523</x:v>
      </x:c>
      <x:c r="V46" s="26" t="str">
        <x:v>1. es necesario vacunarse para ir a brasil
2. hay que vacunarse para ir a brasil
3. vacunas para ir a brasil
4. para viajar a brasil se necesita vacuna
5. vacuna para ir a brasil</x:v>
      </x:c>
      <x:c r="W46" s="53" t="n">
        <x:f>IF(SUMIF('Cálculo por consulta'!$A$10:$A$4060,B46,'Cálculo por consulta'!$J$10:$J$4060)=0,"n.a.",ROUND(SUMIF('Cálculo por consulta'!$A$10:$A$4060,B46,'Cálculo por consulta'!$G$10:$G$4060),2))</x:f>
        <x:v>5.01</x:v>
      </x:c>
      <x:c r="X46" s="18" t="n">
        <x:f>SUMIF('Cálculo por consulta'!$A$10:$A$4060,B46,'Cálculo por consulta'!$J$10:$J$4060)</x:f>
        <x:v>22</x:v>
      </x:c>
      <x:c r="Y46" s="54" t="n">
        <x:f>IF(R46=0,"n.a.",X46/R46)</x:f>
        <x:v>0.176</x:v>
      </x:c>
      <x:c r="Z46" s="18" t="n">
        <x:f>SUMIF('Cálculo por consulta'!$A$10:$A$4060,B46,'Cálculo por consulta'!$E$10:$E$4060)</x:f>
        <x:v>36</x:v>
      </x:c>
      <x:c r="AA46" s="18" t="n">
        <x:f>R46-Z46</x:f>
        <x:v>89</x:v>
      </x:c>
    </x:row>
    <x:row r="47" ht="74.25" customHeight="1">
      <x:c r="A47" s="17" t="n">
        <x:v>36</x:v>
      </x:c>
      <x:c r="B47" s="14" t="str">
        <x:v>https://blog.skyairline.com/viaje-a-brasil-3/</x:v>
      </x:c>
      <x:c r="C47" s="19" t="n">
        <x:v>167</x:v>
      </x:c>
      <x:c r="D47" s="18" t="n">
        <x:v>195</x:v>
      </x:c>
      <x:c r="E47" s="18" t="n">
        <x:v>157</x:v>
      </x:c>
      <x:c r="F47" s="18" t="n">
        <x:v>6</x:v>
      </x:c>
      <x:c r="G47" s="18"/>
      <x:c r="H47" s="18"/>
      <x:c r="I47" s="18" t="n">
        <x:v>1</x:v>
      </x:c>
      <x:c r="J47" s="18" t="n">
        <x:v>2</x:v>
      </x:c>
      <x:c r="K47" s="18"/>
      <x:c r="L47" s="18" t="n">
        <x:v>1</x:v>
      </x:c>
      <x:c r="M47" s="18"/>
      <x:c r="N47" s="18"/>
      <x:c r="O47" s="18"/>
      <x:c r="P47" s="18"/>
      <x:c r="Q47" s="18"/>
      <x:c r="R47" s="18" t="n">
        <x:v>138</x:v>
      </x:c>
      <x:c r="S47" s="18" t="n">
        <x:v>17498</x:v>
      </x:c>
      <x:c r="T47" s="24" t="n">
        <x:v>0.007886615613212938</x:v>
      </x:c>
      <x:c r="U47" s="25" t="n">
        <x:v>6.79517659161047</x:v>
      </x:c>
      <x:c r="V47" s="26" t="str">
        <x:v>1. para viajar a brasil se necesita pasaporte
2. requisitos para viajar a brasil
3. requisitos para viajar a brasil desde chile
4. para ir a brasil se necesita pasaporte
5. requisitos para viajar a brasil desde perú</x:v>
      </x:c>
      <x:c r="W47" s="53" t="n">
        <x:f>IF(SUMIF('Cálculo por consulta'!$A$10:$A$4060,B47,'Cálculo por consulta'!$J$10:$J$4060)=0,"n.a.",ROUND(SUMIF('Cálculo por consulta'!$A$10:$A$4060,B47,'Cálculo por consulta'!$G$10:$G$4060),2))</x:f>
        <x:v>13.55</x:v>
      </x:c>
      <x:c r="X47" s="18" t="n">
        <x:f>SUMIF('Cálculo por consulta'!$A$10:$A$4060,B47,'Cálculo por consulta'!$J$10:$J$4060)</x:f>
        <x:v>40</x:v>
      </x:c>
      <x:c r="Y47" s="54" t="n">
        <x:f>IF(R47=0,"n.a.",X47/R47)</x:f>
        <x:v>0.2898550724637681</x:v>
      </x:c>
      <x:c r="Z47" s="18" t="n">
        <x:f>SUMIF('Cálculo por consulta'!$A$10:$A$4060,B47,'Cálculo por consulta'!$E$10:$E$4060)</x:f>
        <x:v>52</x:v>
      </x:c>
      <x:c r="AA47" s="18" t="n">
        <x:f>R47-Z47</x:f>
        <x:v>86</x:v>
      </x:c>
    </x:row>
    <x:row r="48" ht="74.25" customHeight="1">
      <x:c r="A48" s="17" t="n">
        <x:v>37</x:v>
      </x:c>
      <x:c r="B48" s="14" t="str">
        <x:v>https://blog.skyairline.com/check-in-automatico/</x:v>
      </x:c>
      <x:c r="C48" s="19" t="n">
        <x:v>160</x:v>
      </x:c>
      <x:c r="D48" s="18" t="n">
        <x:v>197</x:v>
      </x:c>
      <x:c r="E48" s="18" t="n">
        <x:v>134</x:v>
      </x:c>
      <x:c r="F48" s="18" t="n">
        <x:v>10</x:v>
      </x:c>
      <x:c r="G48" s="18"/>
      <x:c r="H48" s="18" t="n">
        <x:v>6</x:v>
      </x:c>
      <x:c r="I48" s="18" t="n">
        <x:v>4</x:v>
      </x:c>
      <x:c r="J48" s="18" t="n">
        <x:v>4</x:v>
      </x:c>
      <x:c r="K48" s="18"/>
      <x:c r="L48" s="18" t="n">
        <x:v>1</x:v>
      </x:c>
      <x:c r="M48" s="18" t="n">
        <x:v>1</x:v>
      </x:c>
      <x:c r="N48" s="18"/>
      <x:c r="O48" s="18"/>
      <x:c r="P48" s="18"/>
      <x:c r="Q48" s="18"/>
      <x:c r="R48" s="18" t="n">
        <x:v>124</x:v>
      </x:c>
      <x:c r="S48" s="18" t="n">
        <x:v>25017</x:v>
      </x:c>
      <x:c r="T48" s="24" t="n">
        <x:v>0.004956629491945477</x:v>
      </x:c>
      <x:c r="U48" s="25" t="n">
        <x:v>6.656273733860974</x:v>
      </x:c>
      <x:c r="V48" s="26" t="str">
        <x:v>1. como hacer check in en sky
2. check in sky
3. sky check-in automático
4. check-in sky con rut
5. hacer check in sky</x:v>
      </x:c>
      <x:c r="W48" s="53" t="n">
        <x:f>IF(SUMIF('Cálculo por consulta'!$A$10:$A$4060,B48,'Cálculo por consulta'!$J$10:$J$4060)=0,"n.a.",ROUND(SUMIF('Cálculo por consulta'!$A$10:$A$4060,B48,'Cálculo por consulta'!$G$10:$G$4060),2))</x:f>
        <x:v>8.14</x:v>
      </x:c>
      <x:c r="X48" s="18" t="n">
        <x:f>SUMIF('Cálculo por consulta'!$A$10:$A$4060,B48,'Cálculo por consulta'!$J$10:$J$4060)</x:f>
        <x:v>35</x:v>
      </x:c>
      <x:c r="Y48" s="54" t="n">
        <x:f>IF(R48=0,"n.a.",X48/R48)</x:f>
        <x:v>0.28225806451612906</x:v>
      </x:c>
      <x:c r="Z48" s="18" t="n">
        <x:f>SUMIF('Cálculo por consulta'!$A$10:$A$4060,B48,'Cálculo por consulta'!$E$10:$E$4060)</x:f>
        <x:v>50</x:v>
      </x:c>
      <x:c r="AA48" s="18" t="n">
        <x:f>R48-Z48</x:f>
        <x:v>74</x:v>
      </x:c>
    </x:row>
    <x:row r="49" ht="74.25" customHeight="1">
      <x:c r="A49" s="17" t="n">
        <x:v>38</x:v>
      </x:c>
      <x:c r="B49" s="14" t="str">
        <x:v>https://blog.skyairline.com/aeropuertos-en-buenos-aires/</x:v>
      </x:c>
      <x:c r="C49" s="19" t="n">
        <x:v>159</x:v>
      </x:c>
      <x:c r="D49" s="18" t="n">
        <x:v>183</x:v>
      </x:c>
      <x:c r="E49" s="18" t="n">
        <x:v>146</x:v>
      </x:c>
      <x:c r="F49" s="18" t="n">
        <x:v>7</x:v>
      </x:c>
      <x:c r="G49" s="18"/>
      <x:c r="H49" s="18" t="n">
        <x:v>4</x:v>
      </x:c>
      <x:c r="I49" s="18"/>
      <x:c r="J49" s="18"/>
      <x:c r="K49" s="18" t="n">
        <x:v>1</x:v>
      </x:c>
      <x:c r="L49" s="18" t="n">
        <x:v>1</x:v>
      </x:c>
      <x:c r="M49" s="18"/>
      <x:c r="N49" s="18"/>
      <x:c r="O49" s="18"/>
      <x:c r="P49" s="18"/>
      <x:c r="Q49" s="18"/>
      <x:c r="R49" s="18" t="n">
        <x:v>105</x:v>
      </x:c>
      <x:c r="S49" s="18" t="n">
        <x:v>16346</x:v>
      </x:c>
      <x:c r="T49" s="24" t="n">
        <x:v>0.006423589869081121</x:v>
      </x:c>
      <x:c r="U49" s="25" t="n">
        <x:v>4.980178636975406</x:v>
      </x:c>
      <x:c r="V49" s="26" t="str">
        <x:v>1. aeropuertos buenos aires
2. cuantos aeropuertos hay en buenos aires argentina
3. aeropuerto buenos aires
4. aeropuertos de buenos aires
5. aeropuertos en buenos aires</x:v>
      </x:c>
      <x:c r="W49" s="53" t="n">
        <x:f>IF(SUMIF('Cálculo por consulta'!$A$10:$A$4060,B49,'Cálculo por consulta'!$J$10:$J$4060)=0,"n.a.",ROUND(SUMIF('Cálculo por consulta'!$A$10:$A$4060,B49,'Cálculo por consulta'!$G$10:$G$4060),2))</x:f>
        <x:v>18.21</x:v>
      </x:c>
      <x:c r="X49" s="18" t="n">
        <x:f>SUMIF('Cálculo por consulta'!$A$10:$A$4060,B49,'Cálculo por consulta'!$J$10:$J$4060)</x:f>
        <x:v>21</x:v>
      </x:c>
      <x:c r="Y49" s="54" t="n">
        <x:f>IF(R49=0,"n.a.",X49/R49)</x:f>
        <x:v>0.2</x:v>
      </x:c>
      <x:c r="Z49" s="18" t="n">
        <x:f>SUMIF('Cálculo por consulta'!$A$10:$A$4060,B49,'Cálculo por consulta'!$E$10:$E$4060)</x:f>
        <x:v>55</x:v>
      </x:c>
      <x:c r="AA49" s="18" t="n">
        <x:f>R49-Z49</x:f>
        <x:v>50</x:v>
      </x:c>
    </x:row>
    <x:row r="50" ht="74.25" customHeight="1">
      <x:c r="A50" s="17" t="n">
        <x:v>39</x:v>
      </x:c>
      <x:c r="B50" s="14" t="str">
        <x:v>https://blog.skyairline.com/enchufe-brasil/</x:v>
      </x:c>
      <x:c r="C50" s="19" t="n">
        <x:v>155</x:v>
      </x:c>
      <x:c r="D50" s="18" t="n">
        <x:v>171</x:v>
      </x:c>
      <x:c r="E50" s="18" t="n">
        <x:v>153</x:v>
      </x:c>
      <x:c r="F50" s="18" t="n">
        <x:v>1</x:v>
      </x:c>
      <x:c r="G50" s="18"/>
      <x:c r="H50" s="18"/>
      <x:c r="I50" s="18"/>
      <x:c r="J50" s="18" t="n">
        <x:v>1</x:v>
      </x:c>
      <x:c r="K50" s="18"/>
      <x:c r="L50" s="18"/>
      <x:c r="M50" s="18"/>
      <x:c r="N50" s="18"/>
      <x:c r="O50" s="18"/>
      <x:c r="P50" s="18"/>
      <x:c r="Q50" s="18"/>
      <x:c r="R50" s="18" t="n">
        <x:v>112</x:v>
      </x:c>
      <x:c r="S50" s="18" t="n">
        <x:v>7887</x:v>
      </x:c>
      <x:c r="T50" s="24" t="n">
        <x:v>0.014200583238240142</x:v>
      </x:c>
      <x:c r="U50" s="25" t="n">
        <x:v>6.541650817801445</x:v>
      </x:c>
      <x:c r="V50" s="26" t="str">
        <x:v>1. enchufe brasil
2. enchufe en brasil
3. enchufes en brasil
4. como son los enchufes en brasil
5. enchufes brasil</x:v>
      </x:c>
      <x:c r="W50" s="53" t="n">
        <x:f>IF(SUMIF('Cálculo por consulta'!$A$10:$A$4060,B50,'Cálculo por consulta'!$J$10:$J$4060)=0,"n.a.",ROUND(SUMIF('Cálculo por consulta'!$A$10:$A$4060,B50,'Cálculo por consulta'!$G$10:$G$4060),2))</x:f>
        <x:v>4.85</x:v>
      </x:c>
      <x:c r="X50" s="18" t="n">
        <x:f>SUMIF('Cálculo por consulta'!$A$10:$A$4060,B50,'Cálculo por consulta'!$J$10:$J$4060)</x:f>
        <x:v>33</x:v>
      </x:c>
      <x:c r="Y50" s="54" t="n">
        <x:f>IF(R50=0,"n.a.",X50/R50)</x:f>
        <x:v>0.29464285714285715</x:v>
      </x:c>
      <x:c r="Z50" s="18" t="n">
        <x:f>SUMIF('Cálculo por consulta'!$A$10:$A$4060,B50,'Cálculo por consulta'!$E$10:$E$4060)</x:f>
        <x:v>55</x:v>
      </x:c>
      <x:c r="AA50" s="18" t="n">
        <x:f>R50-Z50</x:f>
        <x:v>57</x:v>
      </x:c>
    </x:row>
    <x:row r="51" ht="74.25" customHeight="1">
      <x:c r="A51" s="17" t="n">
        <x:v>40</x:v>
      </x:c>
      <x:c r="B51" s="14" t="str">
        <x:v>https://blog.skyairline.com/que-hacer-si-mi-vuelo-fue-cancelado/</x:v>
      </x:c>
      <x:c r="C51" s="19" t="n">
        <x:v>152</x:v>
      </x:c>
      <x:c r="D51" s="18" t="n">
        <x:v>188</x:v>
      </x:c>
      <x:c r="E51" s="18" t="n">
        <x:v>105</x:v>
      </x:c>
      <x:c r="F51" s="18" t="n">
        <x:v>14</x:v>
      </x:c>
      <x:c r="G51" s="18"/>
      <x:c r="H51" s="18" t="n">
        <x:v>12</x:v>
      </x:c>
      <x:c r="I51" s="18" t="n">
        <x:v>17</x:v>
      </x:c>
      <x:c r="J51" s="18"/>
      <x:c r="K51" s="18" t="n">
        <x:v>1</x:v>
      </x:c>
      <x:c r="L51" s="18"/>
      <x:c r="M51" s="18"/>
      <x:c r="N51" s="18"/>
      <x:c r="O51" s="18"/>
      <x:c r="P51" s="18"/>
      <x:c r="Q51" s="18" t="n">
        <x:v>3</x:v>
      </x:c>
      <x:c r="R51" s="18" t="n">
        <x:v>117</x:v>
      </x:c>
      <x:c r="S51" s="18" t="n">
        <x:v>7500</x:v>
      </x:c>
      <x:c r="T51" s="24" t="n">
        <x:v>0.0156</x:v>
      </x:c>
      <x:c r="U51" s="25" t="n">
        <x:v>5.905733333333333</x:v>
      </x:c>
      <x:c r="V51" s="26" t="str">
        <x:v>1. sky
2. sky airline
3. sky reembolso
4. adelantar vuelo sky
5. billetera sky</x:v>
      </x:c>
      <x:c r="W51" s="53" t="n">
        <x:f>IF(SUMIF('Cálculo por consulta'!$A$10:$A$4060,B51,'Cálculo por consulta'!$J$10:$J$4060)=0,"n.a.",ROUND(SUMIF('Cálculo por consulta'!$A$10:$A$4060,B51,'Cálculo por consulta'!$G$10:$G$4060),2))</x:f>
        <x:v>0.27</x:v>
      </x:c>
      <x:c r="X51" s="18" t="n">
        <x:f>SUMIF('Cálculo por consulta'!$A$10:$A$4060,B51,'Cálculo por consulta'!$J$10:$J$4060)</x:f>
        <x:v>1</x:v>
      </x:c>
      <x:c r="Y51" s="54" t="n">
        <x:f>IF(R51=0,"n.a.",X51/R51)</x:f>
        <x:v>0.008547008547008548</x:v>
      </x:c>
      <x:c r="Z51" s="18" t="n">
        <x:f>SUMIF('Cálculo por consulta'!$A$10:$A$4060,B51,'Cálculo por consulta'!$E$10:$E$4060)</x:f>
        <x:v>3</x:v>
      </x:c>
      <x:c r="AA51" s="18" t="n">
        <x:f>R51-Z51</x:f>
        <x:v>114</x:v>
      </x:c>
    </x:row>
    <x:row r="52" ht="74.25" customHeight="1">
      <x:c r="A52" s="17" t="n">
        <x:v>41</x:v>
      </x:c>
      <x:c r="B52" s="14" t="str">
        <x:v>https://blog.skyairline.com/panoramas-para-ninos-en-santiago/</x:v>
      </x:c>
      <x:c r="C52" s="19" t="n">
        <x:v>148</x:v>
      </x:c>
      <x:c r="D52" s="18" t="n">
        <x:v>192</x:v>
      </x:c>
      <x:c r="E52" s="18" t="n">
        <x:v>144</x:v>
      </x:c>
      <x:c r="F52" s="18" t="n">
        <x:v>3</x:v>
      </x:c>
      <x:c r="G52" s="18"/>
      <x:c r="H52" s="18"/>
      <x:c r="I52" s="18" t="n">
        <x:v>1</x:v>
      </x:c>
      <x:c r="J52" s="18"/>
      <x:c r="K52" s="18"/>
      <x:c r="L52" s="18"/>
      <x:c r="M52" s="18"/>
      <x:c r="N52" s="18"/>
      <x:c r="O52" s="18"/>
      <x:c r="P52" s="18"/>
      <x:c r="Q52" s="18"/>
      <x:c r="R52" s="18" t="n">
        <x:v>106</x:v>
      </x:c>
      <x:c r="S52" s="18" t="n">
        <x:v>7875</x:v>
      </x:c>
      <x:c r="T52" s="24" t="n">
        <x:v>0.01346031746031746</x:v>
      </x:c>
      <x:c r="U52" s="25" t="n">
        <x:v>10.25815873015873</x:v>
      </x:c>
      <x:c r="V52" s="26" t="str">
        <x:v>1. panoramas para niños en santiago
2. panorama para niños en santiago
3. panoramas para niños de 4 años en santiago
4. panoramas para niños en santiago este fin de semana
5. entretenimiento para niños en santiago</x:v>
      </x:c>
      <x:c r="W52" s="53" t="n">
        <x:f>IF(SUMIF('Cálculo por consulta'!$A$10:$A$4060,B52,'Cálculo por consulta'!$J$10:$J$4060)=0,"n.a.",ROUND(SUMIF('Cálculo por consulta'!$A$10:$A$4060,B52,'Cálculo por consulta'!$G$10:$G$4060),2))</x:f>
        <x:v>1.17</x:v>
      </x:c>
      <x:c r="X52" s="18" t="n">
        <x:f>SUMIF('Cálculo por consulta'!$A$10:$A$4060,B52,'Cálculo por consulta'!$J$10:$J$4060)</x:f>
        <x:v>3</x:v>
      </x:c>
      <x:c r="Y52" s="54" t="n">
        <x:f>IF(R52=0,"n.a.",X52/R52)</x:f>
        <x:v>0.02830188679245283</x:v>
      </x:c>
      <x:c r="Z52" s="18" t="n">
        <x:f>SUMIF('Cálculo por consulta'!$A$10:$A$4060,B52,'Cálculo por consulta'!$E$10:$E$4060)</x:f>
        <x:v>51</x:v>
      </x:c>
      <x:c r="AA52" s="18" t="n">
        <x:f>R52-Z52</x:f>
        <x:v>55</x:v>
      </x:c>
    </x:row>
    <x:row r="53" ht="74.25" customHeight="1">
      <x:c r="A53" s="17" t="n">
        <x:v>42</x:v>
      </x:c>
      <x:c r="B53" s="14" t="str">
        <x:v>https://blog.skyairline.com/tiempo-de-chile-a-brasil/</x:v>
      </x:c>
      <x:c r="C53" s="19" t="n">
        <x:v>148</x:v>
      </x:c>
      <x:c r="D53" s="18" t="n">
        <x:v>180</x:v>
      </x:c>
      <x:c r="E53" s="18" t="n">
        <x:v>139</x:v>
      </x:c>
      <x:c r="F53" s="18" t="n">
        <x:v>9</x:v>
      </x:c>
      <x:c r="G53" s="18"/>
      <x:c r="H53" s="18"/>
      <x:c r="I53" s="18"/>
      <x:c r="J53" s="18"/>
      <x:c r="K53" s="18"/>
      <x:c r="L53" s="18"/>
      <x:c r="M53" s="18"/>
      <x:c r="N53" s="18"/>
      <x:c r="O53" s="18"/>
      <x:c r="P53" s="18"/>
      <x:c r="Q53" s="18"/>
      <x:c r="R53" s="18" t="n">
        <x:v>149</x:v>
      </x:c>
      <x:c r="S53" s="18" t="n">
        <x:v>21471</x:v>
      </x:c>
      <x:c r="T53" s="24" t="n">
        <x:v>0.006939592939313493</x:v>
      </x:c>
      <x:c r="U53" s="25" t="n">
        <x:v>4.61617996367193</x:v>
      </x:c>
      <x:c r="V53" s="26" t="str">
        <x:v>1. cuantas horas son de chile a brasil
2. horas de viaje de chile a brasil
3. cuantas horas son de santiago a brasil en avión
4. cuanto dura el viaje a brasil en avion
5. cuanto dura un viaje de chile a brasil</x:v>
      </x:c>
      <x:c r="W53" s="53" t="n">
        <x:f>IF(SUMIF('Cálculo por consulta'!$A$10:$A$4060,B53,'Cálculo por consulta'!$J$10:$J$4060)=0,"n.a.",ROUND(SUMIF('Cálculo por consulta'!$A$10:$A$4060,B53,'Cálculo por consulta'!$G$10:$G$4060),2))</x:f>
        <x:v>3.82</x:v>
      </x:c>
      <x:c r="X53" s="18" t="n">
        <x:f>SUMIF('Cálculo por consulta'!$A$10:$A$4060,B53,'Cálculo por consulta'!$J$10:$J$4060)</x:f>
        <x:v>7</x:v>
      </x:c>
      <x:c r="Y53" s="54" t="n">
        <x:f>IF(R53=0,"n.a.",X53/R53)</x:f>
        <x:v>0.04697986577181208</x:v>
      </x:c>
      <x:c r="Z53" s="18" t="n">
        <x:f>SUMIF('Cálculo por consulta'!$A$10:$A$4060,B53,'Cálculo por consulta'!$E$10:$E$4060)</x:f>
        <x:v>31</x:v>
      </x:c>
      <x:c r="AA53" s="18" t="n">
        <x:f>R53-Z53</x:f>
        <x:v>118</x:v>
      </x:c>
    </x:row>
    <x:row r="54" ht="74.25" customHeight="1">
      <x:c r="A54" s="17" t="n">
        <x:v>43</x:v>
      </x:c>
      <x:c r="B54" s="14" t="str">
        <x:v>https://blog.skyairline.com/documentos-que-necesitas-para-viajar-a-argentina-desde-chile/</x:v>
      </x:c>
      <x:c r="C54" s="19" t="n">
        <x:v>147</x:v>
      </x:c>
      <x:c r="D54" s="18" t="n">
        <x:v>180</x:v>
      </x:c>
      <x:c r="E54" s="18" t="n">
        <x:v>134</x:v>
      </x:c>
      <x:c r="F54" s="18" t="n">
        <x:v>7</x:v>
      </x:c>
      <x:c r="G54" s="18"/>
      <x:c r="H54" s="18" t="n">
        <x:v>2</x:v>
      </x:c>
      <x:c r="I54" s="18" t="n">
        <x:v>4</x:v>
      </x:c>
      <x:c r="J54" s="18"/>
      <x:c r="K54" s="18"/>
      <x:c r="L54" s="18"/>
      <x:c r="M54" s="18"/>
      <x:c r="N54" s="18"/>
      <x:c r="O54" s="18"/>
      <x:c r="P54" s="18"/>
      <x:c r="Q54" s="18"/>
      <x:c r="R54" s="18" t="n">
        <x:v>102</x:v>
      </x:c>
      <x:c r="S54" s="18" t="n">
        <x:v>7262</x:v>
      </x:c>
      <x:c r="T54" s="24" t="n">
        <x:v>0.01404571743321399</x:v>
      </x:c>
      <x:c r="U54" s="25" t="n">
        <x:v>7.6060313963095565</x:v>
      </x:c>
      <x:c r="V54" s="26" t="str">
        <x:v>1. declaración jurada para ingresar a argentina 2026
2. que se necesita para viajar a argentina desde chile
3. requisitos para entrar a argentina desde chile
4. documentos para viajar a argentina desde chile
5. requisitos para viajar a argentina desde chile en avión</x:v>
      </x:c>
      <x:c r="W54" s="53" t="n">
        <x:f>IF(SUMIF('Cálculo por consulta'!$A$10:$A$4060,B54,'Cálculo por consulta'!$J$10:$J$4060)=0,"n.a.",ROUND(SUMIF('Cálculo por consulta'!$A$10:$A$4060,B54,'Cálculo por consulta'!$G$10:$G$4060),2))</x:f>
        <x:v>12.02</x:v>
      </x:c>
      <x:c r="X54" s="18" t="n">
        <x:f>SUMIF('Cálculo por consulta'!$A$10:$A$4060,B54,'Cálculo por consulta'!$J$10:$J$4060)</x:f>
        <x:v>22</x:v>
      </x:c>
      <x:c r="Y54" s="54" t="n">
        <x:f>IF(R54=0,"n.a.",X54/R54)</x:f>
        <x:v>0.21568627450980393</x:v>
      </x:c>
      <x:c r="Z54" s="18" t="n">
        <x:f>SUMIF('Cálculo por consulta'!$A$10:$A$4060,B54,'Cálculo por consulta'!$E$10:$E$4060)</x:f>
        <x:v>32</x:v>
      </x:c>
      <x:c r="AA54" s="18" t="n">
        <x:f>R54-Z54</x:f>
        <x:v>70</x:v>
      </x:c>
    </x:row>
    <x:row r="55" ht="61.5" customHeight="1">
      <x:c r="A55" s="17" t="n">
        <x:v>44</x:v>
      </x:c>
      <x:c r="B55" s="14" t="str">
        <x:v>https://blog.skyairline.com/innovacion-y-cercania-con-el-cliente-los-principales-avances-presentados-por-sky/</x:v>
      </x:c>
      <x:c r="C55" s="19" t="n">
        <x:v>147</x:v>
      </x:c>
      <x:c r="D55" s="18" t="n">
        <x:v>157</x:v>
      </x:c>
      <x:c r="E55" s="18" t="n">
        <x:v>11</x:v>
      </x:c>
      <x:c r="F55" s="18" t="n">
        <x:v>4</x:v>
      </x:c>
      <x:c r="G55" s="18" t="n">
        <x:v>128</x:v>
      </x:c>
      <x:c r="H55" s="18"/>
      <x:c r="I55" s="18" t="n">
        <x:v>1</x:v>
      </x:c>
      <x:c r="J55" s="18" t="n">
        <x:v>1</x:v>
      </x:c>
      <x:c r="K55" s="18"/>
      <x:c r="L55" s="18" t="n">
        <x:v>2</x:v>
      </x:c>
      <x:c r="M55" s="18"/>
      <x:c r="N55" s="18"/>
      <x:c r="O55" s="18"/>
      <x:c r="P55" s="18"/>
      <x:c r="Q55" s="18"/>
      <x:c r="R55" s="18" t="n">
        <x:v>2</x:v>
      </x:c>
      <x:c r="S55" s="18" t="n">
        <x:v>106</x:v>
      </x:c>
      <x:c r="T55" s="24" t="n">
        <x:v>0.018867924528301886</x:v>
      </x:c>
      <x:c r="U55" s="25" t="n">
        <x:v>4.7075471698113205</x:v>
      </x:c>
      <x:c r="V55" s="26" t="str">
        <x:v>1. "sky"
2. carmen gloria serrat
3. hitos sky
4. sky blog</x:v>
      </x:c>
      <x:c r="W55" s="53" t="str">
        <x:f>IF(SUMIF('Cálculo por consulta'!$A$10:$A$4060,B55,'Cálculo por consulta'!$J$10:$J$4060)=0,"n.a.",ROUND(SUMIF('Cálculo por consulta'!$A$10:$A$4060,B55,'Cálculo por consulta'!$G$10:$G$4060),2))</x:f>
        <x:v>n.a.</x:v>
      </x:c>
      <x:c r="X55" s="18" t="n">
        <x:f>SUMIF('Cálculo por consulta'!$A$10:$A$4060,B55,'Cálculo por consulta'!$J$10:$J$4060)</x:f>
        <x:v>0</x:v>
      </x:c>
      <x:c r="Y55" s="54" t="n">
        <x:f>IF(R55=0,"n.a.",X55/R55)</x:f>
        <x:v>0</x:v>
      </x:c>
      <x:c r="Z55" s="18" t="n">
        <x:f>SUMIF('Cálculo por consulta'!$A$10:$A$4060,B55,'Cálculo por consulta'!$E$10:$E$4060)</x:f>
        <x:v>0</x:v>
      </x:c>
      <x:c r="AA55" s="18" t="n">
        <x:f>R55-Z55</x:f>
        <x:v>2</x:v>
      </x:c>
    </x:row>
    <x:row r="56" ht="74.25" customHeight="1">
      <x:c r="A56" s="17" t="n">
        <x:v>45</x:v>
      </x:c>
      <x:c r="B56" s="14" t="str">
        <x:v>https://blog.skyairline.com/termas-geometricas/</x:v>
      </x:c>
      <x:c r="C56" s="19" t="n">
        <x:v>146</x:v>
      </x:c>
      <x:c r="D56" s="18" t="n">
        <x:v>164</x:v>
      </x:c>
      <x:c r="E56" s="18" t="n">
        <x:v>1</x:v>
      </x:c>
      <x:c r="F56" s="18" t="n">
        <x:v>2</x:v>
      </x:c>
      <x:c r="G56" s="18" t="n">
        <x:v>142</x:v>
      </x:c>
      <x:c r="H56" s="18" t="n">
        <x:v>1</x:v>
      </x:c>
      <x:c r="I56" s="18"/>
      <x:c r="J56" s="18"/>
      <x:c r="K56" s="18"/>
      <x:c r="L56" s="18"/>
      <x:c r="M56" s="18"/>
      <x:c r="N56" s="18"/>
      <x:c r="O56" s="18"/>
      <x:c r="P56" s="18"/>
      <x:c r="Q56" s="18"/>
      <x:c r="R56" s="18" t="n">
        <x:v>1</x:v>
      </x:c>
      <x:c r="S56" s="18" t="n">
        <x:v>887</x:v>
      </x:c>
      <x:c r="T56" s="24" t="n">
        <x:v>0.0011273957158962795</x:v>
      </x:c>
      <x:c r="U56" s="25" t="n">
        <x:v>10.977452085682074</x:v>
      </x:c>
      <x:c r="V56" s="26" t="str">
        <x:v>1. clima termas geometricas
2. como llegar a termas geometricas
3. donde estan las termas geometricas
4. donde quedan las termas geometricas
5. dónde quedan las termas geométricas</x:v>
      </x:c>
      <x:c r="W56" s="53" t="str">
        <x:f>IF(SUMIF('Cálculo por consulta'!$A$10:$A$4060,B56,'Cálculo por consulta'!$J$10:$J$4060)=0,"n.a.",ROUND(SUMIF('Cálculo por consulta'!$A$10:$A$4060,B56,'Cálculo por consulta'!$G$10:$G$4060),2))</x:f>
        <x:v>n.a.</x:v>
      </x:c>
      <x:c r="X56" s="18" t="n">
        <x:f>SUMIF('Cálculo por consulta'!$A$10:$A$4060,B56,'Cálculo por consulta'!$J$10:$J$4060)</x:f>
        <x:v>0</x:v>
      </x:c>
      <x:c r="Y56" s="54" t="n">
        <x:f>IF(R56=0,"n.a.",X56/R56)</x:f>
        <x:v>0</x:v>
      </x:c>
      <x:c r="Z56" s="18" t="n">
        <x:f>SUMIF('Cálculo por consulta'!$A$10:$A$4060,B56,'Cálculo por consulta'!$E$10:$E$4060)</x:f>
        <x:v>0</x:v>
      </x:c>
      <x:c r="AA56" s="18" t="n">
        <x:f>R56-Z56</x:f>
        <x:v>1</x:v>
      </x:c>
    </x:row>
    <x:row r="57" ht="74.25" customHeight="1">
      <x:c r="A57" s="17" t="n">
        <x:v>46</x:v>
      </x:c>
      <x:c r="B57" s="14" t="str">
        <x:v>https://blog.skyairline.com/enchufe-argentina/</x:v>
      </x:c>
      <x:c r="C57" s="19" t="n">
        <x:v>142</x:v>
      </x:c>
      <x:c r="D57" s="18" t="n">
        <x:v>178</x:v>
      </x:c>
      <x:c r="E57" s="18" t="n">
        <x:v>128</x:v>
      </x:c>
      <x:c r="F57" s="18" t="n">
        <x:v>11</x:v>
      </x:c>
      <x:c r="G57" s="18"/>
      <x:c r="H57" s="18"/>
      <x:c r="I57" s="18" t="n">
        <x:v>3</x:v>
      </x:c>
      <x:c r="J57" s="18"/>
      <x:c r="K57" s="18"/>
      <x:c r="L57" s="18"/>
      <x:c r="M57" s="18"/>
      <x:c r="N57" s="18"/>
      <x:c r="O57" s="18"/>
      <x:c r="P57" s="18"/>
      <x:c r="Q57" s="18"/>
      <x:c r="R57" s="18" t="n">
        <x:v>99</x:v>
      </x:c>
      <x:c r="S57" s="18" t="n">
        <x:v>11348</x:v>
      </x:c>
      <x:c r="T57" s="24" t="n">
        <x:v>0.008724004229820233</x:v>
      </x:c>
      <x:c r="U57" s="25" t="n">
        <x:v>7.4540888262248854</x:v>
      </x:c>
      <x:c r="V57" s="26" t="str">
        <x:v>1. enchufes en argentina
2. enchufe argentina
3. enchufe en argentina
4. tipo de enchufe en argentina
5. que enchufe se usa en argentina</x:v>
      </x:c>
      <x:c r="W57" s="53" t="n">
        <x:f>IF(SUMIF('Cálculo por consulta'!$A$10:$A$4060,B57,'Cálculo por consulta'!$J$10:$J$4060)=0,"n.a.",ROUND(SUMIF('Cálculo por consulta'!$A$10:$A$4060,B57,'Cálculo por consulta'!$G$10:$G$4060),2))</x:f>
        <x:v>1.52</x:v>
      </x:c>
      <x:c r="X57" s="18" t="n">
        <x:f>SUMIF('Cálculo por consulta'!$A$10:$A$4060,B57,'Cálculo por consulta'!$J$10:$J$4060)</x:f>
        <x:v>15</x:v>
      </x:c>
      <x:c r="Y57" s="54" t="n">
        <x:f>IF(R57=0,"n.a.",X57/R57)</x:f>
        <x:v>0.15151515151515152</x:v>
      </x:c>
      <x:c r="Z57" s="18" t="n">
        <x:f>SUMIF('Cálculo por consulta'!$A$10:$A$4060,B57,'Cálculo por consulta'!$E$10:$E$4060)</x:f>
        <x:v>54</x:v>
      </x:c>
      <x:c r="AA57" s="18" t="n">
        <x:f>R57-Z57</x:f>
        <x:v>45</x:v>
      </x:c>
    </x:row>
    <x:row r="58" ht="74.25" customHeight="1">
      <x:c r="A58" s="17" t="n">
        <x:v>47</x:v>
      </x:c>
      <x:c r="B58" s="14" t="str">
        <x:v>https://blog.skyairline.com/se-pueden-cambiar-los-pasajes-de-avion/</x:v>
      </x:c>
      <x:c r="C58" s="19" t="n">
        <x:v>139</x:v>
      </x:c>
      <x:c r="D58" s="18" t="n">
        <x:v>189</x:v>
      </x:c>
      <x:c r="E58" s="18" t="n">
        <x:v>124</x:v>
      </x:c>
      <x:c r="F58" s="18" t="n">
        <x:v>4</x:v>
      </x:c>
      <x:c r="G58" s="18"/>
      <x:c r="H58" s="18" t="n">
        <x:v>8</x:v>
      </x:c>
      <x:c r="I58" s="18"/>
      <x:c r="J58" s="18" t="n">
        <x:v>1</x:v>
      </x:c>
      <x:c r="K58" s="18"/>
      <x:c r="L58" s="18" t="n">
        <x:v>2</x:v>
      </x:c>
      <x:c r="M58" s="18"/>
      <x:c r="N58" s="18"/>
      <x:c r="O58" s="18"/>
      <x:c r="P58" s="18"/>
      <x:c r="Q58" s="18"/>
      <x:c r="R58" s="18" t="n">
        <x:v>120</x:v>
      </x:c>
      <x:c r="S58" s="18" t="n">
        <x:v>10647</x:v>
      </x:c>
      <x:c r="T58" s="24" t="n">
        <x:v>0.011270780501549732</x:v>
      </x:c>
      <x:c r="U58" s="25" t="n">
        <x:v>7.042922889076735</x:v>
      </x:c>
      <x:c r="V58" s="26" t="str">
        <x:v>1. cambiar vuelo sky
2. como cambiar la fecha de mi vuelo
3. con cuanto tiempo de anticipacion se puede cancelar un vuelo
4. cuanto sale cambiar un pasaje de avion
5. penalidad por cambio de vuelo</x:v>
      </x:c>
      <x:c r="W58" s="53" t="n">
        <x:f>IF(SUMIF('Cálculo por consulta'!$A$10:$A$4060,B58,'Cálculo por consulta'!$J$10:$J$4060)=0,"n.a.",ROUND(SUMIF('Cálculo por consulta'!$A$10:$A$4060,B58,'Cálculo por consulta'!$G$10:$G$4060),2))</x:f>
        <x:v>1.14</x:v>
      </x:c>
      <x:c r="X58" s="18" t="n">
        <x:f>SUMIF('Cálculo por consulta'!$A$10:$A$4060,B58,'Cálculo por consulta'!$J$10:$J$4060)</x:f>
        <x:v>3</x:v>
      </x:c>
      <x:c r="Y58" s="54" t="n">
        <x:f>IF(R58=0,"n.a.",X58/R58)</x:f>
        <x:v>0.025</x:v>
      </x:c>
      <x:c r="Z58" s="18" t="n">
        <x:f>SUMIF('Cálculo por consulta'!$A$10:$A$4060,B58,'Cálculo por consulta'!$E$10:$E$4060)</x:f>
        <x:v>14</x:v>
      </x:c>
      <x:c r="AA58" s="18" t="n">
        <x:f>R58-Z58</x:f>
        <x:v>106</x:v>
      </x:c>
    </x:row>
    <x:row r="59" ht="74.25" customHeight="1">
      <x:c r="A59" s="17" t="n">
        <x:v>48</x:v>
      </x:c>
      <x:c r="B59" s="14" t="str">
        <x:v>https://blog.skyairline.com/10-cosas-que-hacer-en-caminito/</x:v>
      </x:c>
      <x:c r="C59" s="19" t="n">
        <x:v>134</x:v>
      </x:c>
      <x:c r="D59" s="18" t="n">
        <x:v>171</x:v>
      </x:c>
      <x:c r="E59" s="18" t="n">
        <x:v>128</x:v>
      </x:c>
      <x:c r="F59" s="18" t="n">
        <x:v>4</x:v>
      </x:c>
      <x:c r="G59" s="18"/>
      <x:c r="H59" s="18"/>
      <x:c r="I59" s="18"/>
      <x:c r="J59" s="18"/>
      <x:c r="K59" s="18"/>
      <x:c r="L59" s="18"/>
      <x:c r="M59" s="18" t="n">
        <x:v>2</x:v>
      </x:c>
      <x:c r="N59" s="18"/>
      <x:c r="O59" s="18"/>
      <x:c r="P59" s="18"/>
      <x:c r="Q59" s="18"/>
      <x:c r="R59" s="18" t="n">
        <x:v>101</x:v>
      </x:c>
      <x:c r="S59" s="18" t="n">
        <x:v>7386</x:v>
      </x:c>
      <x:c r="T59" s="24" t="n">
        <x:v>0.013674519360953154</x:v>
      </x:c>
      <x:c r="U59" s="25" t="n">
        <x:v>7.905632277281343</x:v>
      </x:c>
      <x:c r="V59" s="26" t="str">
        <x:v>1. que hacer en caminito buenos aires
2. que hacer en caminito
3. caminito
4. caminito buenos aires
5. que hacer en caminito argentina</x:v>
      </x:c>
      <x:c r="W59" s="53" t="n">
        <x:f>IF(SUMIF('Cálculo por consulta'!$A$10:$A$4060,B59,'Cálculo por consulta'!$J$10:$J$4060)=0,"n.a.",ROUND(SUMIF('Cálculo por consulta'!$A$10:$A$4060,B59,'Cálculo por consulta'!$G$10:$G$4060),2))</x:f>
        <x:v>1.28</x:v>
      </x:c>
      <x:c r="X59" s="18" t="n">
        <x:f>SUMIF('Cálculo por consulta'!$A$10:$A$4060,B59,'Cálculo por consulta'!$J$10:$J$4060)</x:f>
        <x:v>5</x:v>
      </x:c>
      <x:c r="Y59" s="54" t="n">
        <x:f>IF(R59=0,"n.a.",X59/R59)</x:f>
        <x:v>0.04950495049504951</x:v>
      </x:c>
      <x:c r="Z59" s="18" t="n">
        <x:f>SUMIF('Cálculo por consulta'!$A$10:$A$4060,B59,'Cálculo por consulta'!$E$10:$E$4060)</x:f>
        <x:v>47</x:v>
      </x:c>
      <x:c r="AA59" s="18" t="n">
        <x:f>R59-Z59</x:f>
        <x:v>54</x:v>
      </x:c>
    </x:row>
    <x:row r="60" ht="74.25" customHeight="1">
      <x:c r="A60" s="17" t="n">
        <x:v>49</x:v>
      </x:c>
      <x:c r="B60" s="14" t="str">
        <x:v>https://blog.skyairline.com/corralco/</x:v>
      </x:c>
      <x:c r="C60" s="19" t="n">
        <x:v>130</x:v>
      </x:c>
      <x:c r="D60" s="18" t="n">
        <x:v>135</x:v>
      </x:c>
      <x:c r="E60" s="18" t="n">
        <x:v>11</x:v>
      </x:c>
      <x:c r="F60" s="18" t="n">
        <x:v>1</x:v>
      </x:c>
      <x:c r="G60" s="18" t="n">
        <x:v>117</x:v>
      </x:c>
      <x:c r="H60" s="18"/>
      <x:c r="I60" s="18"/>
      <x:c r="J60" s="18" t="n">
        <x:v>1</x:v>
      </x:c>
      <x:c r="K60" s="18"/>
      <x:c r="L60" s="18"/>
      <x:c r="M60" s="18"/>
      <x:c r="N60" s="18"/>
      <x:c r="O60" s="18"/>
      <x:c r="P60" s="18"/>
      <x:c r="Q60" s="18"/>
      <x:c r="R60" s="18" t="n">
        <x:v>2</x:v>
      </x:c>
      <x:c r="S60" s="18" t="n">
        <x:v>1165</x:v>
      </x:c>
      <x:c r="T60" s="24" t="n">
        <x:v>0.0017167381974248926</x:v>
      </x:c>
      <x:c r="U60" s="25" t="n">
        <x:v>10.884978540772533</x:v>
      </x:c>
      <x:c r="V60" s="26" t="str">
        <x:v>1. centro corralco
2. centro de esqui corralco
3. centro de esquí corralco
4. centro de ski corralco
5. centro de ski corralco donde queda</x:v>
      </x:c>
      <x:c r="W60" s="53" t="str">
        <x:f>IF(SUMIF('Cálculo por consulta'!$A$10:$A$4060,B60,'Cálculo por consulta'!$J$10:$J$4060)=0,"n.a.",ROUND(SUMIF('Cálculo por consulta'!$A$10:$A$4060,B60,'Cálculo por consulta'!$G$10:$G$4060),2))</x:f>
        <x:v>n.a.</x:v>
      </x:c>
      <x:c r="X60" s="18" t="n">
        <x:f>SUMIF('Cálculo por consulta'!$A$10:$A$4060,B60,'Cálculo por consulta'!$J$10:$J$4060)</x:f>
        <x:v>0</x:v>
      </x:c>
      <x:c r="Y60" s="54" t="n">
        <x:f>IF(R60=0,"n.a.",X60/R60)</x:f>
        <x:v>0</x:v>
      </x:c>
      <x:c r="Z60" s="18" t="n">
        <x:f>SUMIF('Cálculo por consulta'!$A$10:$A$4060,B60,'Cálculo por consulta'!$E$10:$E$4060)</x:f>
        <x:v>0</x:v>
      </x:c>
      <x:c r="AA60" s="18" t="n">
        <x:f>R60-Z60</x:f>
        <x:v>2</x:v>
      </x:c>
    </x:row>
    <x:row r="61" ht="74.25" customHeight="1">
      <x:c r="A61" s="17" t="n">
        <x:v>50</x:v>
      </x:c>
      <x:c r="B61" s="14" t="str">
        <x:v>https://blog.skyairline.com/maquillaje-en-avion/</x:v>
      </x:c>
      <x:c r="C61" s="19" t="n">
        <x:v>126</x:v>
      </x:c>
      <x:c r="D61" s="18" t="n">
        <x:v>142</x:v>
      </x:c>
      <x:c r="E61" s="18" t="n">
        <x:v>117</x:v>
      </x:c>
      <x:c r="F61" s="18" t="n">
        <x:v>7</x:v>
      </x:c>
      <x:c r="G61" s="18"/>
      <x:c r="H61" s="18" t="n">
        <x:v>1</x:v>
      </x:c>
      <x:c r="I61" s="18"/>
      <x:c r="J61" s="18"/>
      <x:c r="K61" s="18" t="n">
        <x:v>1</x:v>
      </x:c>
      <x:c r="L61" s="18"/>
      <x:c r="M61" s="18"/>
      <x:c r="N61" s="18"/>
      <x:c r="O61" s="18"/>
      <x:c r="P61" s="18"/>
      <x:c r="Q61" s="18"/>
      <x:c r="R61" s="18" t="n">
        <x:v>94</x:v>
      </x:c>
      <x:c r="S61" s="18" t="n">
        <x:v>3938</x:v>
      </x:c>
      <x:c r="T61" s="24" t="n">
        <x:v>0.023869984763839513</x:v>
      </x:c>
      <x:c r="U61" s="25" t="n">
        <x:v>5.488318943626206</x:v>
      </x:c>
      <x:c r="V61" s="26" t="str">
        <x:v>1. se puede llevar maquillaje en el equipaje de mano
2. puedo llevar maquillaje en el equipaje de mano
3. el maquillaje cuenta como liquido en avion
4. maquillaje cuenta como liquido en avion
5. maquillaje puedo llevar en el avion</x:v>
      </x:c>
      <x:c r="W61" s="53" t="n">
        <x:f>IF(SUMIF('Cálculo por consulta'!$A$10:$A$4060,B61,'Cálculo por consulta'!$J$10:$J$4060)=0,"n.a.",ROUND(SUMIF('Cálculo por consulta'!$A$10:$A$4060,B61,'Cálculo por consulta'!$G$10:$G$4060),2))</x:f>
        <x:v>1.25</x:v>
      </x:c>
      <x:c r="X61" s="18" t="n">
        <x:f>SUMIF('Cálculo por consulta'!$A$10:$A$4060,B61,'Cálculo por consulta'!$J$10:$J$4060)</x:f>
        <x:v>5</x:v>
      </x:c>
      <x:c r="Y61" s="54" t="n">
        <x:f>IF(R61=0,"n.a.",X61/R61)</x:f>
        <x:v>0.05319148936170213</x:v>
      </x:c>
      <x:c r="Z61" s="18" t="n">
        <x:f>SUMIF('Cálculo por consulta'!$A$10:$A$4060,B61,'Cálculo por consulta'!$E$10:$E$4060)</x:f>
        <x:v>26</x:v>
      </x:c>
      <x:c r="AA61" s="18" t="n">
        <x:f>R61-Z61</x:f>
        <x:v>68</x:v>
      </x:c>
    </x:row>
  </x:sheetData>
  <x:pageMargins left="0.7" right="0.7" top="0.75" bottom="0.75" header="0.3" footer="0.3"/>
  <x:tableParts count="1">
    <x:tablePart xmlns:r="http://schemas.openxmlformats.org/officeDocument/2006/relationships" r:id="R348d4bd3d9cb4eea"/>
  </x:tableParts>
</x:worksheet>
</file>

<file path=xl/worksheets/sheet2.xml><?xml version="1.0" encoding="utf-8"?>
<x:worksheet xmlns:x="http://schemas.openxmlformats.org/spreadsheetml/2006/main">
  <x:sheetPr>
    <x:tabColor rgb="FF102A43"/>
  </x:sheetPr>
  <x:sheetViews>
    <x:sheetView showGridLines="0" workbookViewId="0"/>
  </x:sheetViews>
  <x:sheetFormatPr defaultRowHeight="15"/>
  <x:cols>
    <x:col min="1" max="1" width="43.33000183105469" hidden="0" customWidth="1"/>
    <x:col min="2" max="2" width="18.889999389648438" hidden="0" customWidth="1"/>
    <x:col min="3" max="3" width="16.670000076293945" hidden="0" customWidth="1"/>
    <x:col min="4" max="4" width="20" hidden="0" customWidth="1"/>
  </x:cols>
  <x:sheetData>
    <x:row r="1">
      <x:c r="A1" s="1"/>
      <x:c r="B1" s="1"/>
      <x:c r="C1" s="1"/>
      <x:c r="D1" s="1"/>
      <x:c r="E1" s="1"/>
      <x:c r="F1" s="1"/>
    </x:row>
    <x:row r="2">
      <x:c r="A2" s="27" t="str">
        <x:v>Valor publicitario estimado del blog SKY</x:v>
      </x:c>
      <x:c r="B2" s="1"/>
      <x:c r="C2" s="1"/>
      <x:c r="D2" s="1"/>
      <x:c r="E2" s="1"/>
      <x:c r="F2" s="1"/>
    </x:row>
    <x:row r="3">
      <x:c r="A3" s="1"/>
      <x:c r="B3" s="1"/>
      <x:c r="C3" s="1"/>
      <x:c r="D3" s="1"/>
      <x:c r="E3" s="1"/>
      <x:c r="F3" s="1"/>
    </x:row>
    <x:row r="4">
      <x:c r="A4" s="1" t="str">
        <x:v>Clics de septiembre 2026 valorados con CPC capturados en octubre. USD.</x:v>
      </x:c>
      <x:c r="B4" s="1"/>
      <x:c r="C4" s="1"/>
      <x:c r="D4" s="1"/>
      <x:c r="E4" s="1"/>
      <x:c r="F4" s="1"/>
    </x:row>
    <x:row r="5">
      <x:c r="A5" s="38" t="str">
        <x:v>Resultado parcial: CPC de Chile y Perú. No extrapolado al tráfico sin valorar.</x:v>
      </x:c>
      <x:c r="B5" s="1"/>
      <x:c r="C5" s="1"/>
      <x:c r="D5" s="1"/>
      <x:c r="E5" s="1"/>
      <x:c r="F5" s="1"/>
    </x:row>
    <x:row r="6">
      <x:c r="A6" s="1"/>
      <x:c r="B6" s="1"/>
      <x:c r="C6" s="1"/>
      <x:c r="D6" s="1"/>
      <x:c r="E6" s="1"/>
      <x:c r="F6" s="1"/>
    </x:row>
    <x:row r="7" ht="21.75" customHeight="1">
      <x:c r="A7" s="33" t="str">
        <x:v>Métrica</x:v>
      </x:c>
      <x:c r="B7" s="33" t="str">
        <x:v>Resultado</x:v>
      </x:c>
      <x:c r="C7" s="1"/>
      <x:c r="D7" s="1"/>
      <x:c r="E7" s="1"/>
      <x:c r="F7" s="1"/>
    </x:row>
    <x:row r="8" ht="21.75" customHeight="1">
      <x:c r="A8" s="1" t="str">
        <x:v>Valor publicitario estimado USD</x:v>
      </x:c>
      <x:c r="B8" s="47" t="n">
        <x:f>IF(COUNT('Cálculo por consulta'!$F$10:$F$4060)=0,"n.a.",ROUND(SUM('Cálculo por consulta'!$G$10:$G$4060),2))</x:f>
        <x:v>2116.38</x:v>
      </x:c>
      <x:c r="C8" s="34"/>
      <x:c r="D8" s="34"/>
      <x:c r="E8" s="1"/>
      <x:c r="F8" s="1"/>
    </x:row>
    <x:row r="9" ht="21.75" customHeight="1">
      <x:c r="A9" s="1" t="str">
        <x:v>Clics totales del blog GSC</x:v>
      </x:c>
      <x:c r="B9" s="35" t="n">
        <x:f>'Cálculo por consulta'!$M$2</x:f>
        <x:v>28718</x:v>
      </x:c>
      <x:c r="C9" s="34"/>
      <x:c r="D9" s="34"/>
      <x:c r="E9" s="1"/>
      <x:c r="F9" s="1"/>
    </x:row>
    <x:row r="10" ht="21.75" customHeight="1">
      <x:c r="A10" s="1" t="str">
        <x:v>Clics de consultas visibles</x:v>
      </x:c>
      <x:c r="B10" s="35" t="n">
        <x:f>SUM('Cálculo por consulta'!$E$10:$E$4060)</x:f>
        <x:v>9301</x:v>
      </x:c>
      <x:c r="C10" s="34"/>
      <x:c r="D10" s="34"/>
      <x:c r="E10" s="1"/>
      <x:c r="F10" s="1"/>
    </x:row>
    <x:row r="11" ht="21.75" customHeight="1">
      <x:c r="A11" s="1" t="str">
        <x:v>Clics valorados</x:v>
      </x:c>
      <x:c r="B11" s="35" t="n">
        <x:f>SUM('Cálculo por consulta'!$J$10:$J$4060)</x:f>
        <x:v>3824</x:v>
      </x:c>
      <x:c r="C11" s="34"/>
      <x:c r="D11" s="34"/>
      <x:c r="E11" s="1"/>
      <x:c r="F11" s="1"/>
    </x:row>
    <x:row r="12" ht="21.75" customHeight="1">
      <x:c r="A12" s="1" t="str">
        <x:v>Cobertura de valoración</x:v>
      </x:c>
      <x:c r="B12" s="48" t="n">
        <x:f>IF(B9=0,"n.a.",B11/B9)</x:f>
        <x:v>0.1331569050769552</x:v>
      </x:c>
      <x:c r="C12" s="34"/>
      <x:c r="D12" s="34"/>
      <x:c r="E12" s="1"/>
      <x:c r="F12" s="1"/>
    </x:row>
    <x:row r="13" ht="21.75" customHeight="1">
      <x:c r="A13" s="1" t="str">
        <x:v>Cobertura de consultas</x:v>
      </x:c>
      <x:c r="B13" s="48" t="n">
        <x:f>IF(B9=0,"n.a.",B10/B9)</x:f>
        <x:v>0.32387352879727</x:v>
      </x:c>
      <x:c r="C13" s="34"/>
      <x:c r="D13" s="34"/>
      <x:c r="E13" s="1"/>
      <x:c r="F13" s="1"/>
    </x:row>
    <x:row r="14" ht="21.75" customHeight="1">
      <x:c r="A14" s="1" t="str">
        <x:v>Clics visibles sin valorar</x:v>
      </x:c>
      <x:c r="B14" s="35" t="n">
        <x:f>B10-B11</x:f>
        <x:v>5477</x:v>
      </x:c>
      <x:c r="C14" s="34"/>
      <x:c r="D14" s="34"/>
      <x:c r="E14" s="1"/>
      <x:c r="F14" s="1"/>
    </x:row>
    <x:row r="15" ht="21.75" customHeight="1">
      <x:c r="A15" s="1" t="str">
        <x:v>Clics no expuestos en el detalle</x:v>
      </x:c>
      <x:c r="B15" s="35" t="n">
        <x:f>B9-B10</x:f>
        <x:v>19417</x:v>
      </x:c>
      <x:c r="C15" s="34"/>
      <x:c r="D15" s="34"/>
      <x:c r="E15" s="1"/>
      <x:c r="F15" s="1"/>
    </x:row>
    <x:row r="16" ht="21.75" customHeight="1">
      <x:c r="A16" s="1"/>
      <x:c r="B16" s="34"/>
      <x:c r="C16" s="34"/>
      <x:c r="D16" s="34"/>
      <x:c r="E16" s="1"/>
      <x:c r="F16" s="1"/>
    </x:row>
    <x:row r="17" ht="21.75" customHeight="1">
      <x:c r="A17" s="44" t="str">
        <x:v>El resultado monetario es una estimación. No acredita ahorro efectivo, ingresos ni ROI.</x:v>
      </x:c>
      <x:c r="B17" s="34"/>
      <x:c r="C17" s="34"/>
      <x:c r="D17" s="34"/>
      <x:c r="E17" s="1"/>
      <x:c r="F17" s="1"/>
    </x:row>
    <x:row r="18" ht="21.75" customHeight="1">
      <x:c r="A18" s="44"/>
      <x:c r="B18" s="34"/>
      <x:c r="C18" s="34"/>
      <x:c r="D18" s="34"/>
      <x:c r="E18" s="1"/>
      <x:c r="F18" s="1"/>
    </x:row>
    <x:row r="19" ht="31.5" customHeight="1">
      <x:c r="A19" s="45" t="str">
        <x:v>País</x:v>
      </x:c>
      <x:c r="B19" s="49" t="str">
        <x:v>Clics visibles</x:v>
      </x:c>
      <x:c r="C19" s="49" t="str">
        <x:v>Clics valorados</x:v>
      </x:c>
      <x:c r="D19" s="49" t="str">
        <x:v>Valor estimado USD</x:v>
      </x:c>
      <x:c r="E19" s="1"/>
      <x:c r="F19" s="1"/>
    </x:row>
    <x:row r="20" ht="21.75" customHeight="1">
      <x:c r="A20" s="44" t="str">
        <x:v>Chile</x:v>
      </x:c>
      <x:c r="B20" s="35" t="n">
        <x:f>SUMIF('Cálculo por consulta'!$C$10:$C$4060,"chl",'Cálculo por consulta'!$E$10:$E$4060)</x:f>
        <x:v>5851</x:v>
      </x:c>
      <x:c r="C20" s="35" t="n">
        <x:f>SUMIF('Cálculo por consulta'!$C$10:$C$4060,"chl",'Cálculo por consulta'!$J$10:$J$4060)</x:f>
        <x:v>3113</x:v>
      </x:c>
      <x:c r="D20" s="47" t="n">
        <x:f>IF(C20=0,"n.a.",ROUND(SUMIF('Cálculo por consulta'!$C$10:$C$4060,"chl",'Cálculo por consulta'!$G$10:$G$4060),2))</x:f>
        <x:v>1700.37</x:v>
      </x:c>
      <x:c r="E20" s="1"/>
      <x:c r="F20" s="1"/>
    </x:row>
    <x:row r="21" ht="21.75" customHeight="1">
      <x:c r="A21" s="44" t="str">
        <x:v>Perú</x:v>
      </x:c>
      <x:c r="B21" s="35" t="n">
        <x:f>SUMIF('Cálculo por consulta'!$C$10:$C$4060,"per",'Cálculo por consulta'!$E$10:$E$4060)</x:f>
        <x:v>2207</x:v>
      </x:c>
      <x:c r="C21" s="35" t="n">
        <x:f>SUMIF('Cálculo por consulta'!$C$10:$C$4060,"per",'Cálculo por consulta'!$J$10:$J$4060)</x:f>
        <x:v>711</x:v>
      </x:c>
      <x:c r="D21" s="47" t="n">
        <x:f>IF(C21=0,"n.a.",ROUND(SUMIF('Cálculo por consulta'!$C$10:$C$4060,"per",'Cálculo por consulta'!$G$10:$G$4060),2))</x:f>
        <x:v>416.01</x:v>
      </x:c>
      <x:c r="E21" s="1"/>
      <x:c r="F21" s="1"/>
    </x:row>
    <x:row r="22" ht="21.75" customHeight="1">
      <x:c r="A22" s="44" t="str">
        <x:v>Otros países</x:v>
      </x:c>
      <x:c r="B22" s="35" t="n">
        <x:f>B10-SUM(B20:B21)</x:f>
        <x:v>1243</x:v>
      </x:c>
      <x:c r="C22" s="35" t="n">
        <x:f>B11-SUM(C20:C21)</x:f>
        <x:v>0</x:v>
      </x:c>
      <x:c r="D22" s="47" t="str">
        <x:v>Sin valorar</x:v>
      </x:c>
      <x:c r="E22" s="1"/>
      <x:c r="F22" s="1"/>
    </x:row>
    <x:row r="23" ht="21.75" customHeight="1">
      <x:c r="A23" s="44"/>
      <x:c r="B23" s="35"/>
      <x:c r="C23" s="35"/>
      <x:c r="D23" s="47"/>
      <x:c r="E23" s="1"/>
      <x:c r="F23" s="1"/>
    </x:row>
    <x:row r="24" ht="31.5" customHeight="1">
      <x:c r="A24" s="45" t="str">
        <x:v>Tipo de búsqueda</x:v>
      </x:c>
      <x:c r="B24" s="50" t="str">
        <x:v>Clics visibles</x:v>
      </x:c>
      <x:c r="C24" s="50" t="str">
        <x:v>Clics valorados</x:v>
      </x:c>
      <x:c r="D24" s="51" t="str">
        <x:v>Valor estimado USD</x:v>
      </x:c>
      <x:c r="E24" s="1"/>
      <x:c r="F24" s="1"/>
    </x:row>
    <x:row r="25" ht="21.75" customHeight="1">
      <x:c r="A25" s="44" t="str">
        <x:v>Marca</x:v>
      </x:c>
      <x:c r="B25" s="35" t="n">
        <x:f>SUMIF('Cálculo por consulta'!$D$10:$D$4060,A25,'Cálculo por consulta'!$E$10:$E$4060)</x:f>
        <x:v>6118</x:v>
      </x:c>
      <x:c r="C25" s="35" t="n">
        <x:f>SUMIF('Cálculo por consulta'!$D$10:$D$4060,A25,'Cálculo por consulta'!$J$10:$J$4060)</x:f>
        <x:v>2724</x:v>
      </x:c>
      <x:c r="D25" s="47" t="n">
        <x:f>IF(C25=0,"n.a.",ROUND(SUMIF('Cálculo por consulta'!$D$10:$D$4060,A25,'Cálculo por consulta'!$G$10:$G$4060),2))</x:f>
        <x:v>1497.4</x:v>
      </x:c>
      <x:c r="E25" s="1"/>
      <x:c r="F25" s="1"/>
    </x:row>
    <x:row r="26" ht="21.75" customHeight="1">
      <x:c r="A26" s="44" t="str">
        <x:v>Sin marca</x:v>
      </x:c>
      <x:c r="B26" s="35" t="n">
        <x:f>SUMIF('Cálculo por consulta'!$D$10:$D$4060,A26,'Cálculo por consulta'!$E$10:$E$4060)</x:f>
        <x:v>3183</x:v>
      </x:c>
      <x:c r="C26" s="35" t="n">
        <x:f>SUMIF('Cálculo por consulta'!$D$10:$D$4060,A26,'Cálculo por consulta'!$J$10:$J$4060)</x:f>
        <x:v>1100</x:v>
      </x:c>
      <x:c r="D26" s="47" t="n">
        <x:f>IF(C26=0,"n.a.",ROUND(SUMIF('Cálculo por consulta'!$D$10:$D$4060,A26,'Cálculo por consulta'!$G$10:$G$4060),2))</x:f>
        <x:v>618.98</x:v>
      </x:c>
      <x:c r="E26" s="1"/>
      <x:c r="F26" s="1"/>
    </x:row>
    <x:row r="27">
      <x:c r="A27" s="44"/>
      <x:c r="B27" s="1"/>
      <x:c r="C27" s="1"/>
      <x:c r="D27" s="1"/>
      <x:c r="E27" s="1"/>
      <x:c r="F27" s="1"/>
    </x:row>
    <x:row r="28">
      <x:c r="A28" s="46" t="str">
        <x:v>Marca: término completo SKY o skyairline/skyairlines. Los demás términos se clasifican sin marca.</x:v>
      </x:c>
      <x:c r="B28" s="1"/>
      <x:c r="C28" s="1"/>
      <x:c r="D28" s="1"/>
      <x:c r="E28" s="1"/>
      <x:c r="F28" s="1"/>
    </x:row>
    <x:row r="29">
      <x:c r="A29" s="46" t="str">
        <x:v>GSC no expone todas las consultas. Se conservan sus controles sin query como denominador.</x:v>
      </x:c>
      <x:c r="B29" s="1"/>
      <x:c r="C29" s="1"/>
      <x:c r="D29" s="1"/>
      <x:c r="E29" s="1"/>
      <x:c r="F29" s="1"/>
    </x:row>
    <x:row r="30">
      <x:c r="A30" s="46" t="str">
        <x:v>El valor usa todas las páginas y consultas disponibles; el top 50 conserva su ranking GA4.</x:v>
      </x:c>
      <x:c r="B30" s="1"/>
      <x:c r="C30" s="1"/>
      <x:c r="D30" s="1"/>
      <x:c r="E30" s="1"/>
      <x:c r="F30" s="1"/>
    </x:row>
    <x:row r="31">
      <x:c r="A31" s="46" t="str">
        <x:v>Las filas valoradas y las fechas del CPC pueden revisarse en Cálculo por consulta.</x:v>
      </x:c>
      <x:c r="B31" s="1"/>
      <x:c r="C31" s="1"/>
      <x:c r="D31" s="1"/>
      <x:c r="E31" s="1"/>
      <x:c r="F31" s="1"/>
    </x:row>
    <x:row r="32">
      <x:c r="A32" s="1"/>
      <x:c r="B32" s="1"/>
      <x:c r="C32" s="1"/>
      <x:c r="D32" s="1"/>
      <x:c r="E32" s="1"/>
      <x:c r="F32" s="1"/>
    </x:row>
    <x:row r="33">
      <x:c r="A33" s="1"/>
      <x:c r="B33" s="1"/>
      <x:c r="C33" s="1"/>
      <x:c r="D33" s="1"/>
      <x:c r="E33" s="1"/>
      <x:c r="F33" s="1"/>
    </x:row>
    <x:row r="34">
      <x:c r="A34" s="1"/>
      <x:c r="B34" s="1"/>
      <x:c r="C34" s="1"/>
      <x:c r="D34" s="1"/>
      <x:c r="E34" s="1"/>
      <x:c r="F34" s="1"/>
    </x:row>
    <x:row r="35">
      <x:c r="A35" s="1"/>
      <x:c r="B35" s="1"/>
      <x:c r="C35" s="1"/>
      <x:c r="D35" s="1"/>
      <x:c r="E35" s="1"/>
      <x:c r="F35" s="1"/>
    </x:row>
    <x:row r="36">
      <x:c r="A36" s="1"/>
      <x:c r="B36" s="1"/>
      <x:c r="C36" s="1"/>
      <x:c r="D36" s="1"/>
      <x:c r="E36" s="1"/>
      <x:c r="F36" s="1"/>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9" topLeftCell="C10" activePane="bottomRight" state="frozen"/>
    </x:sheetView>
  </x:sheetViews>
  <x:sheetFormatPr defaultRowHeight="15"/>
  <x:cols>
    <x:col min="1" max="1" width="57.779998779296875" hidden="0" customWidth="1"/>
    <x:col min="2" max="2" width="40" hidden="0" customWidth="1"/>
    <x:col min="3" max="3" width="7.78000020980835" hidden="0" customWidth="1"/>
    <x:col min="4" max="4" width="12.220000267028809" hidden="0" customWidth="1"/>
    <x:col min="5" max="5" width="12.220000267028809" hidden="0" customWidth="1"/>
    <x:col min="6" max="6" width="12.220000267028809" hidden="0" customWidth="1"/>
    <x:col min="7" max="7" width="16.110000610351562" hidden="0" customWidth="1"/>
    <x:col min="8" max="8" width="14.4399995803833" hidden="0" customWidth="1"/>
    <x:col min="9" max="9" width="23.889999389648438" hidden="0" customWidth="1"/>
    <x:col min="10" max="10" width="14.4399995803833" hidden="0" customWidth="1"/>
    <x:col min="11" max="11" width="2.6700000762939453" hidden="0" customWidth="1"/>
    <x:col min="12" max="12" width="57.779998779296875" hidden="0" customWidth="1"/>
    <x:col min="13" max="13" width="25.559999465942383" hidden="0" customWidth="1"/>
  </x:cols>
  <x:sheetData>
    <x:row r="1">
      <x:c r="A1" s="1"/>
      <x:c r="B1" s="1"/>
      <x:c r="C1" s="1"/>
      <x:c r="D1" s="1"/>
      <x:c r="E1" s="1"/>
      <x:c r="F1" s="1"/>
      <x:c r="G1" s="1"/>
      <x:c r="H1" s="1"/>
      <x:c r="I1" s="1"/>
      <x:c r="J1" s="1"/>
      <x:c r="K1" s="1"/>
      <x:c r="L1" s="1"/>
      <x:c r="M1" s="1"/>
    </x:row>
    <x:row r="2">
      <x:c r="A2" s="27" t="str">
        <x:v>Cálculo por consulta y país</x:v>
      </x:c>
      <x:c r="B2" s="1"/>
      <x:c r="C2" s="1"/>
      <x:c r="D2" s="1"/>
      <x:c r="E2" s="1"/>
      <x:c r="F2" s="1"/>
      <x:c r="G2" s="1"/>
      <x:c r="H2" s="1"/>
      <x:c r="I2" s="1"/>
      <x:c r="J2" s="1"/>
      <x:c r="K2" s="1"/>
      <x:c r="L2" s="1" t="str">
        <x:v>Control GSC blog (sin query)</x:v>
      </x:c>
      <x:c r="M2" s="1" t="n">
        <x:v>28718</x:v>
      </x:c>
    </x:row>
    <x:row r="3">
      <x:c r="A3" s="28" t="str">
        <x:v>Septiembre 2026. Búsqueda web. Filas con clics positivos disponibles en GSC.</x:v>
      </x:c>
      <x:c r="B3" s="1"/>
      <x:c r="C3" s="1"/>
      <x:c r="D3" s="1"/>
      <x:c r="E3" s="1"/>
      <x:c r="F3" s="1"/>
      <x:c r="G3" s="1"/>
      <x:c r="H3" s="1"/>
      <x:c r="I3" s="1"/>
      <x:c r="J3" s="1"/>
      <x:c r="K3" s="1"/>
      <x:c r="L3" s="1" t="str">
        <x:v>Captura GSC</x:v>
      </x:c>
      <x:c r="M3" s="1" t="d">
        <x:v>2026-10-15T20:03:27.304Z</x:v>
      </x:c>
    </x:row>
    <x:row r="4">
      <x:c r="A4" s="28" t="str">
        <x:v>GSC: https://blog.skyairline.com/ · extracción 2026-10-15T20:03:27.304Z</x:v>
      </x:c>
      <x:c r="B4" s="1"/>
      <x:c r="C4" s="1"/>
      <x:c r="D4" s="1"/>
      <x:c r="E4" s="1"/>
      <x:c r="F4" s="1"/>
      <x:c r="G4" s="1"/>
      <x:c r="H4" s="1"/>
      <x:c r="I4" s="1"/>
      <x:c r="J4" s="1"/>
      <x:c r="K4" s="1"/>
      <x:c r="L4" s="1" t="str">
        <x:v>Host exacto</x:v>
      </x:c>
      <x:c r="M4" s="1" t="str">
        <x:v>blog.skyairline.com</x:v>
      </x:c>
    </x:row>
    <x:row r="5">
      <x:c r="A5" s="28" t="str">
        <x:v>CPC: DataForSEO Labs, Chile y Perú, español. Captura 15-10-2026; fecha del proveedor por fila.</x:v>
      </x:c>
      <x:c r="B5" s="1"/>
      <x:c r="C5" s="1"/>
      <x:c r="D5" s="1"/>
      <x:c r="E5" s="1"/>
      <x:c r="F5" s="1"/>
      <x:c r="G5" s="1"/>
      <x:c r="H5" s="1"/>
      <x:c r="I5" s="1"/>
      <x:c r="J5" s="1"/>
      <x:c r="K5" s="1"/>
      <x:c r="L5" s="1" t="str">
        <x:v>Método</x:v>
      </x:c>
      <x:c r="M5" s="1" t="str">
        <x:v>gsc_clicks_country_cpc_v1</x:v>
      </x:c>
    </x:row>
    <x:row r="6">
      <x:c r="A6" s="28" t="str">
        <x:v>Fuente CPC: https://docs.dataforseo.com/v3/dataforseo_labs/google/keyword_overview/live/</x:v>
      </x:c>
      <x:c r="B6" s="1"/>
      <x:c r="C6" s="1"/>
      <x:c r="D6" s="1"/>
      <x:c r="E6" s="1"/>
      <x:c r="F6" s="1"/>
      <x:c r="G6" s="1"/>
      <x:c r="H6" s="1"/>
      <x:c r="I6" s="1"/>
      <x:c r="J6" s="1"/>
      <x:c r="K6" s="1"/>
      <x:c r="L6" s="1" t="str">
        <x:v>Período GSC/PT</x:v>
      </x:c>
      <x:c r="M6" s="1" t="str">
        <x:v>2026-09-01 a 2026-09-30</x:v>
      </x:c>
    </x:row>
    <x:row r="7">
      <x:c r="A7" s="28" t="str">
        <x:v>CPC vacío = sin valorar. CPC cero es válido. GSC puede omitir consultas por privacidad y límites.</x:v>
      </x:c>
      <x:c r="B7" s="1"/>
      <x:c r="C7" s="1"/>
      <x:c r="D7" s="1"/>
      <x:c r="E7" s="1"/>
      <x:c r="F7" s="1"/>
      <x:c r="G7" s="1"/>
      <x:c r="H7" s="1"/>
      <x:c r="I7" s="1"/>
      <x:c r="J7" s="1"/>
      <x:c r="K7" s="1"/>
      <x:c r="L7" s="1"/>
      <x:c r="M7" s="1"/>
    </x:row>
    <x:row r="8">
      <x:c r="A8" s="1"/>
      <x:c r="B8" s="1"/>
      <x:c r="C8" s="1"/>
      <x:c r="D8" s="1"/>
      <x:c r="E8" s="1"/>
      <x:c r="F8" s="1"/>
      <x:c r="G8" s="1"/>
      <x:c r="H8" s="1"/>
      <x:c r="I8" s="1"/>
      <x:c r="J8" s="1"/>
      <x:c r="K8" s="1"/>
      <x:c r="L8" s="1"/>
      <x:c r="M8" s="1"/>
    </x:row>
    <x:row r="9" ht="31.5" customHeight="1">
      <x:c r="A9" s="33" t="str">
        <x:v>URL GSC</x:v>
      </x:c>
      <x:c r="B9" s="33" t="str">
        <x:v>Búsqueda</x:v>
      </x:c>
      <x:c r="C9" s="33" t="str">
        <x:v>País</x:v>
      </x:c>
      <x:c r="D9" s="33" t="str">
        <x:v>Marca</x:v>
      </x:c>
      <x:c r="E9" s="33" t="str">
        <x:v>Clics GSC</x:v>
      </x:c>
      <x:c r="F9" s="33" t="str">
        <x:v>CPC USD</x:v>
      </x:c>
      <x:c r="G9" s="33" t="str">
        <x:v>Valor estimado USD</x:v>
      </x:c>
      <x:c r="H9" s="33" t="str">
        <x:v>Captura CPC</x:v>
      </x:c>
      <x:c r="I9" s="33" t="str">
        <x:v>Actualización proveedor</x:v>
      </x:c>
      <x:c r="J9" s="33" t="str">
        <x:v>Clics valorados</x:v>
      </x:c>
      <x:c r="K9" s="1"/>
      <x:c r="L9" s="33" t="str">
        <x:v>Control URL (sin query)</x:v>
      </x:c>
      <x:c r="M9" s="33" t="str">
        <x:v>Clics GSC</x:v>
      </x:c>
    </x:row>
    <x:row r="10" ht="18.75" customHeight="1">
      <x:c r="A10" s="1" t="str">
        <x:v>https://blog.skyairline.com/categoria/oportunidades/</x:v>
      </x:c>
      <x:c r="B10" s="1" t="str">
        <x:v>sky trabaja con nosotros</x:v>
      </x:c>
      <x:c r="C10" s="1" t="str">
        <x:v>chl</x:v>
      </x:c>
      <x:c r="D10" s="1" t="str">
        <x:v>Marca</x:v>
      </x:c>
      <x:c r="E10" s="35" t="n">
        <x:v>148</x:v>
      </x:c>
      <x:c r="F10" s="36" t="n">
        <x:v>0.07</x:v>
      </x:c>
      <x:c r="G10" s="36" t="n">
        <x:f>IF(ISNUMBER(F10),E10*F10,"")</x:f>
        <x:v>10.360000000000001</x:v>
      </x:c>
      <x:c r="H10" s="37" t="d">
        <x:v>2026-10-15T00:00:00.000Z</x:v>
      </x:c>
      <x:c r="I10" s="37" t="d">
        <x:v>2026-09-14T08:09:31.000Z</x:v>
      </x:c>
      <x:c r="J10" s="1" t="n">
        <x:f>IF(ISNUMBER(F10),E10,0)</x:f>
        <x:v>148</x:v>
      </x:c>
      <x:c r="K10" s="1"/>
      <x:c r="L10" s="1" t="str">
        <x:v>https://blog.skyairline.com/equipaje-de-cabina/</x:v>
      </x:c>
      <x:c r="M10" s="1" t="n">
        <x:v>4105</x:v>
      </x:c>
    </x:row>
    <x:row r="11" ht="18.75" customHeight="1">
      <x:c r="A11" s="1" t="str">
        <x:v>https://blog.skyairline.com/sky-plus/</x:v>
      </x:c>
      <x:c r="B11" s="1" t="str">
        <x:v>sky plus</x:v>
      </x:c>
      <x:c r="C11" s="1" t="str">
        <x:v>chl</x:v>
      </x:c>
      <x:c r="D11" s="1" t="str">
        <x:v>Marca</x:v>
      </x:c>
      <x:c r="E11" s="35" t="n">
        <x:v>105</x:v>
      </x:c>
      <x:c r="F11" s="36" t="n">
        <x:v>0.26</x:v>
      </x:c>
      <x:c r="G11" s="36" t="n">
        <x:f>IF(ISNUMBER(F11),E11*F11,"")</x:f>
        <x:v>27.3</x:v>
      </x:c>
      <x:c r="H11" s="37" t="d">
        <x:v>2026-10-15T00:00:00.000Z</x:v>
      </x:c>
      <x:c r="I11" s="37" t="d">
        <x:v>2026-09-16T03:55:46.999Z</x:v>
      </x:c>
      <x:c r="J11" s="1" t="n">
        <x:f>IF(ISNUMBER(F11),E11,0)</x:f>
        <x:v>105</x:v>
      </x:c>
      <x:c r="K11" s="1"/>
      <x:c r="L11" s="1" t="str">
        <x:v>https://blog.skyairline.com/equipaje-de-bodega/</x:v>
      </x:c>
      <x:c r="M11" s="1" t="n">
        <x:v>3010</x:v>
      </x:c>
    </x:row>
    <x:row r="12" ht="18.75" customHeight="1">
      <x:c r="A12" s="1" t="str">
        <x:v>https://blog.skyairline.com/equipaje-de-cabina/</x:v>
      </x:c>
      <x:c r="B12" s="1" t="str">
        <x:v>bolso de mano sky</x:v>
      </x:c>
      <x:c r="C12" s="1" t="str">
        <x:v>chl</x:v>
      </x:c>
      <x:c r="D12" s="1" t="str">
        <x:v>Marca</x:v>
      </x:c>
      <x:c r="E12" s="35" t="n">
        <x:v>103</x:v>
      </x:c>
      <x:c r="F12" s="36" t="n">
        <x:v>0.09</x:v>
      </x:c>
      <x:c r="G12" s="36" t="n">
        <x:f>IF(ISNUMBER(F12),E12*F12,"")</x:f>
        <x:v>9.27</x:v>
      </x:c>
      <x:c r="H12" s="37" t="d">
        <x:v>2026-10-15T00:00:00.000Z</x:v>
      </x:c>
      <x:c r="I12" s="37" t="d">
        <x:v>2026-09-17T14:46:19.000Z</x:v>
      </x:c>
      <x:c r="J12" s="1" t="n">
        <x:f>IF(ISNUMBER(F12),E12,0)</x:f>
        <x:v>103</x:v>
      </x:c>
      <x:c r="K12" s="1"/>
      <x:c r="L12" s="1" t="str">
        <x:v>https://blog.skyairline.com/tipos-de-equipaje/</x:v>
      </x:c>
      <x:c r="M12" s="1" t="n">
        <x:v>2446</x:v>
      </x:c>
    </x:row>
    <x:row r="13" ht="18.75" customHeight="1">
      <x:c r="A13" s="1" t="str">
        <x:v>https://blog.skyairline.com/sky-fortalece-su-propuesta-de-valor-para-sus-pasajeros-con-economy-premier/</x:v>
      </x:c>
      <x:c r="B13" s="1" t="str">
        <x:v>economy premier sky</x:v>
      </x:c>
      <x:c r="C13" s="1" t="str">
        <x:v>chl</x:v>
      </x:c>
      <x:c r="D13" s="1" t="str">
        <x:v>Marca</x:v>
      </x:c>
      <x:c r="E13" s="35" t="n">
        <x:v>74</x:v>
      </x:c>
      <x:c r="F13" s="36"/>
      <x:c r="G13" s="36" t="str">
        <x:f>IF(ISNUMBER(F13),E13*F13,"")</x:f>
      </x:c>
      <x:c r="H13" s="37"/>
      <x:c r="I13" s="37"/>
      <x:c r="J13" s="1" t="n">
        <x:f>IF(ISNUMBER(F13),E13,0)</x:f>
        <x:v>0</x:v>
      </x:c>
      <x:c r="K13" s="1"/>
      <x:c r="L13" s="1" t="str">
        <x:v>https://blog.skyairline.com/cambiar-vuelo-sky/</x:v>
      </x:c>
      <x:c r="M13" s="1" t="n">
        <x:v>1417</x:v>
      </x:c>
    </x:row>
    <x:row r="14" ht="18.75" customHeight="1">
      <x:c r="A14" s="1" t="str">
        <x:v>https://blog.skyairline.com/equipaje-de-cabina/</x:v>
      </x:c>
      <x:c r="B14" s="1" t="str">
        <x:v>equipaje de mano sky</x:v>
      </x:c>
      <x:c r="C14" s="1" t="str">
        <x:v>chl</x:v>
      </x:c>
      <x:c r="D14" s="1" t="str">
        <x:v>Marca</x:v>
      </x:c>
      <x:c r="E14" s="35" t="n">
        <x:v>60</x:v>
      </x:c>
      <x:c r="F14" s="36" t="n">
        <x:v>0.4</x:v>
      </x:c>
      <x:c r="G14" s="36" t="n">
        <x:f>IF(ISNUMBER(F14),E14*F14,"")</x:f>
        <x:v>24</x:v>
      </x:c>
      <x:c r="H14" s="37" t="d">
        <x:v>2026-10-15T00:00:00.000Z</x:v>
      </x:c>
      <x:c r="I14" s="37" t="d">
        <x:v>2026-10-15T04:49:49.999Z</x:v>
      </x:c>
      <x:c r="J14" s="1" t="n">
        <x:f>IF(ISNUMBER(F14),E14,0)</x:f>
        <x:v>60</x:v>
      </x:c>
      <x:c r="K14" s="1"/>
      <x:c r="L14" s="1" t="str">
        <x:v>https://blog.skyairline.com/viajar-con-perros/</x:v>
      </x:c>
      <x:c r="M14" s="1" t="n">
        <x:v>1118</x:v>
      </x:c>
    </x:row>
    <x:row r="15" ht="18.75" customHeight="1">
      <x:c r="A15" s="1" t="str">
        <x:v>https://blog.skyairline.com/curso-tripulante-cabina/</x:v>
      </x:c>
      <x:c r="B15" s="1" t="str">
        <x:v>tripulante de cabina sky</x:v>
      </x:c>
      <x:c r="C15" s="1" t="str">
        <x:v>chl</x:v>
      </x:c>
      <x:c r="D15" s="1" t="str">
        <x:v>Marca</x:v>
      </x:c>
      <x:c r="E15" s="35" t="n">
        <x:v>59</x:v>
      </x:c>
      <x:c r="F15" s="36" t="n">
        <x:v>0.25</x:v>
      </x:c>
      <x:c r="G15" s="36" t="n">
        <x:f>IF(ISNUMBER(F15),E15*F15,"")</x:f>
        <x:v>14.75</x:v>
      </x:c>
      <x:c r="H15" s="37" t="d">
        <x:v>2026-10-15T00:00:00.000Z</x:v>
      </x:c>
      <x:c r="I15" s="37" t="d">
        <x:v>2026-09-17T04:43:56.000Z</x:v>
      </x:c>
      <x:c r="J15" s="1" t="n">
        <x:f>IF(ISNUMBER(F15),E15,0)</x:f>
        <x:v>59</x:v>
      </x:c>
      <x:c r="K15" s="1"/>
      <x:c r="L15" s="1" t="str">
        <x:v>https://blog.skyairline.com/curso-tripulante-cabina/</x:v>
      </x:c>
      <x:c r="M15" s="1" t="n">
        <x:v>1022</x:v>
      </x:c>
    </x:row>
    <x:row r="16" ht="18.75" customHeight="1">
      <x:c r="A16" s="1" t="str">
        <x:v>https://blog.skyairline.com/equipaje-de-cabina/</x:v>
      </x:c>
      <x:c r="B16" s="1" t="str">
        <x:v>bolso de mano sky</x:v>
      </x:c>
      <x:c r="C16" s="1" t="str">
        <x:v>per</x:v>
      </x:c>
      <x:c r="D16" s="1" t="str">
        <x:v>Marca</x:v>
      </x:c>
      <x:c r="E16" s="35" t="n">
        <x:v>58</x:v>
      </x:c>
      <x:c r="F16" s="36" t="n">
        <x:v>0.7</x:v>
      </x:c>
      <x:c r="G16" s="36" t="n">
        <x:f>IF(ISNUMBER(F16),E16*F16,"")</x:f>
        <x:v>40.599999999999994</x:v>
      </x:c>
      <x:c r="H16" s="37" t="d">
        <x:v>2026-10-15T00:00:00.000Z</x:v>
      </x:c>
      <x:c r="I16" s="37" t="d">
        <x:v>2026-09-13T22:11:51.000Z</x:v>
      </x:c>
      <x:c r="J16" s="1" t="n">
        <x:f>IF(ISNUMBER(F16),E16,0)</x:f>
        <x:v>58</x:v>
      </x:c>
      <x:c r="K16" s="1"/>
      <x:c r="L16" s="1" t="str">
        <x:v>https://blog.skyairline.com/equipaje-de-mano-permitido/</x:v>
      </x:c>
      <x:c r="M16" s="1" t="n">
        <x:v>889</x:v>
      </x:c>
    </x:row>
    <x:row r="17" ht="18.75" customHeight="1">
      <x:c r="A17" s="1" t="str">
        <x:v>https://blog.skyairline.com/sky-plus/</x:v>
      </x:c>
      <x:c r="B17" s="1" t="str">
        <x:v>puntos sky plus</x:v>
      </x:c>
      <x:c r="C17" s="1" t="str">
        <x:v>chl</x:v>
      </x:c>
      <x:c r="D17" s="1" t="str">
        <x:v>Marca</x:v>
      </x:c>
      <x:c r="E17" s="35" t="n">
        <x:v>55</x:v>
      </x:c>
      <x:c r="F17" s="36" t="n">
        <x:v>0.43</x:v>
      </x:c>
      <x:c r="G17" s="36" t="n">
        <x:f>IF(ISNUMBER(F17),E17*F17,"")</x:f>
        <x:v>23.65</x:v>
      </x:c>
      <x:c r="H17" s="37" t="d">
        <x:v>2026-10-15T00:00:00.000Z</x:v>
      </x:c>
      <x:c r="I17" s="37" t="d">
        <x:v>2026-09-17T04:09:53.000Z</x:v>
      </x:c>
      <x:c r="J17" s="1" t="n">
        <x:f>IF(ISNUMBER(F17),E17,0)</x:f>
        <x:v>55</x:v>
      </x:c>
      <x:c r="K17" s="1"/>
      <x:c r="L17" s="1" t="str">
        <x:v>https://blog.skyairline.com/sky-plus/</x:v>
      </x:c>
      <x:c r="M17" s="1" t="n">
        <x:v>801</x:v>
      </x:c>
    </x:row>
    <x:row r="18" ht="18.75" customHeight="1">
      <x:c r="A18" s="1" t="str">
        <x:v>https://blog.skyairline.com/curso-tripulante-cabina/</x:v>
      </x:c>
      <x:c r="B18" s="1" t="str">
        <x:v>tripulante de cabina</x:v>
      </x:c>
      <x:c r="C18" s="1" t="str">
        <x:v>chl</x:v>
      </x:c>
      <x:c r="D18" s="1" t="str">
        <x:v>Sin marca</x:v>
      </x:c>
      <x:c r="E18" s="35" t="n">
        <x:v>53</x:v>
      </x:c>
      <x:c r="F18" s="36" t="n">
        <x:v>0.29</x:v>
      </x:c>
      <x:c r="G18" s="36" t="n">
        <x:f>IF(ISNUMBER(F18),E18*F18,"")</x:f>
        <x:v>15.37</x:v>
      </x:c>
      <x:c r="H18" s="37" t="d">
        <x:v>2026-10-15T00:00:00.000Z</x:v>
      </x:c>
      <x:c r="I18" s="37" t="d">
        <x:v>2026-09-15T16:41:37.999Z</x:v>
      </x:c>
      <x:c r="J18" s="1" t="n">
        <x:f>IF(ISNUMBER(F18),E18,0)</x:f>
        <x:v>53</x:v>
      </x:c>
      <x:c r="K18" s="1"/>
      <x:c r="L18" s="1" t="str">
        <x:v>https://blog.skyairline.com/liquidos-en-avion/</x:v>
      </x:c>
      <x:c r="M18" s="1" t="n">
        <x:v>730</x:v>
      </x:c>
    </x:row>
    <x:row r="19" ht="18.75" customHeight="1">
      <x:c r="A19" s="1" t="str">
        <x:v>https://blog.skyairline.com/curso-tripulante-cabina/</x:v>
      </x:c>
      <x:c r="B19" s="1" t="str">
        <x:v>sky tripulante de cabina</x:v>
      </x:c>
      <x:c r="C19" s="1" t="str">
        <x:v>chl</x:v>
      </x:c>
      <x:c r="D19" s="1" t="str">
        <x:v>Marca</x:v>
      </x:c>
      <x:c r="E19" s="35" t="n">
        <x:v>49</x:v>
      </x:c>
      <x:c r="F19" s="36" t="n">
        <x:v>0.82</x:v>
      </x:c>
      <x:c r="G19" s="36" t="n">
        <x:f>IF(ISNUMBER(F19),E19*F19,"")</x:f>
        <x:v>40.18</x:v>
      </x:c>
      <x:c r="H19" s="37" t="d">
        <x:v>2026-10-15T00:00:00.000Z</x:v>
      </x:c>
      <x:c r="I19" s="37" t="d">
        <x:v>2026-09-17T09:24:10.999Z</x:v>
      </x:c>
      <x:c r="J19" s="1" t="n">
        <x:f>IF(ISNUMBER(F19),E19,0)</x:f>
        <x:v>49</x:v>
      </x:c>
      <x:c r="K19" s="1"/>
      <x:c r="L19" s="1" t="str">
        <x:v>https://blog.skyairline.com/mascotas-en-cabina/</x:v>
      </x:c>
      <x:c r="M19" s="1" t="n">
        <x:v>687</x:v>
      </x:c>
    </x:row>
    <x:row r="20" ht="18.75" customHeight="1">
      <x:c r="A20" s="1" t="str">
        <x:v>https://blog.skyairline.com/categoria/oportunidades/</x:v>
      </x:c>
      <x:c r="B20" s="1" t="str">
        <x:v>sky airlines trabaja con nosotros</x:v>
      </x:c>
      <x:c r="C20" s="1" t="str">
        <x:v>chl</x:v>
      </x:c>
      <x:c r="D20" s="1" t="str">
        <x:v>Marca</x:v>
      </x:c>
      <x:c r="E20" s="35" t="n">
        <x:v>47</x:v>
      </x:c>
      <x:c r="F20" s="36" t="n">
        <x:v>0.11</x:v>
      </x:c>
      <x:c r="G20" s="36" t="n">
        <x:f>IF(ISNUMBER(F20),E20*F20,"")</x:f>
        <x:v>5.17</x:v>
      </x:c>
      <x:c r="H20" s="37" t="d">
        <x:v>2026-10-15T00:00:00.000Z</x:v>
      </x:c>
      <x:c r="I20" s="37" t="d">
        <x:v>2026-09-17T08:53:51.000Z</x:v>
      </x:c>
      <x:c r="J20" s="1" t="n">
        <x:f>IF(ISNUMBER(F20),E20,0)</x:f>
        <x:v>47</x:v>
      </x:c>
      <x:c r="K20" s="1"/>
      <x:c r="L20" s="1" t="str">
        <x:v>https://blog.skyairline.com/categoria/oportunidades/</x:v>
      </x:c>
      <x:c r="M20" s="1" t="n">
        <x:v>643</x:v>
      </x:c>
    </x:row>
    <x:row r="21" ht="18.75" customHeight="1">
      <x:c r="A21" s="1" t="str">
        <x:v>https://blog.skyairline.com/tipos-de-equipaje/</x:v>
      </x:c>
      <x:c r="B21" s="1" t="str">
        <x:v>equipaje sky</x:v>
      </x:c>
      <x:c r="C21" s="1" t="str">
        <x:v>chl</x:v>
      </x:c>
      <x:c r="D21" s="1" t="str">
        <x:v>Marca</x:v>
      </x:c>
      <x:c r="E21" s="35" t="n">
        <x:v>47</x:v>
      </x:c>
      <x:c r="F21" s="36" t="n">
        <x:v>1.49</x:v>
      </x:c>
      <x:c r="G21" s="36" t="n">
        <x:f>IF(ISNUMBER(F21),E21*F21,"")</x:f>
        <x:v>70.03</x:v>
      </x:c>
      <x:c r="H21" s="37" t="d">
        <x:v>2026-10-15T00:00:00.000Z</x:v>
      </x:c>
      <x:c r="I21" s="37" t="d">
        <x:v>2026-09-16T06:19:45.000Z</x:v>
      </x:c>
      <x:c r="J21" s="1" t="n">
        <x:f>IF(ISNUMBER(F21),E21,0)</x:f>
        <x:v>47</x:v>
      </x:c>
      <x:c r="K21" s="1"/>
      <x:c r="L21" s="1" t="str">
        <x:v>https://blog.skyairline.com/sky-fortalece-su-propuesta-de-valor-para-sus-pasajeros-con-economy-premier/</x:v>
      </x:c>
      <x:c r="M21" s="1" t="n">
        <x:v>534</x:v>
      </x:c>
    </x:row>
    <x:row r="22" ht="18.75" customHeight="1">
      <x:c r="A22" s="1" t="str">
        <x:v>https://blog.skyairline.com/tipos-de-equipaje/</x:v>
      </x:c>
      <x:c r="B22" s="1" t="str">
        <x:v>sky equipaje</x:v>
      </x:c>
      <x:c r="C22" s="1" t="str">
        <x:v>chl</x:v>
      </x:c>
      <x:c r="D22" s="1" t="str">
        <x:v>Marca</x:v>
      </x:c>
      <x:c r="E22" s="35" t="n">
        <x:v>43</x:v>
      </x:c>
      <x:c r="F22" s="36" t="n">
        <x:v>1.49</x:v>
      </x:c>
      <x:c r="G22" s="36" t="n">
        <x:f>IF(ISNUMBER(F22),E22*F22,"")</x:f>
        <x:v>64.07</x:v>
      </x:c>
      <x:c r="H22" s="37" t="d">
        <x:v>2026-10-15T00:00:00.000Z</x:v>
      </x:c>
      <x:c r="I22" s="37" t="d">
        <x:v>2026-09-14T05:55:45.000Z</x:v>
      </x:c>
      <x:c r="J22" s="1" t="n">
        <x:f>IF(ISNUMBER(F22),E22,0)</x:f>
        <x:v>43</x:v>
      </x:c>
      <x:c r="K22" s="1"/>
      <x:c r="L22" s="1" t="str">
        <x:v>https://blog.skyairline.com/viajar-con-bebes/</x:v>
      </x:c>
      <x:c r="M22" s="1" t="n">
        <x:v>467</x:v>
      </x:c>
    </x:row>
    <x:row r="23" ht="18.75" customHeight="1">
      <x:c r="A23" s="1" t="str">
        <x:v>https://blog.skyairline.com/viajar-con-perros/</x:v>
      </x:c>
      <x:c r="B23" s="1" t="str">
        <x:v>sky mascotas</x:v>
      </x:c>
      <x:c r="C23" s="1" t="str">
        <x:v>chl</x:v>
      </x:c>
      <x:c r="D23" s="1" t="str">
        <x:v>Marca</x:v>
      </x:c>
      <x:c r="E23" s="35" t="n">
        <x:v>42</x:v>
      </x:c>
      <x:c r="F23" s="36" t="n">
        <x:v>1.03</x:v>
      </x:c>
      <x:c r="G23" s="36" t="n">
        <x:f>IF(ISNUMBER(F23),E23*F23,"")</x:f>
        <x:v>43.26</x:v>
      </x:c>
      <x:c r="H23" s="37" t="d">
        <x:v>2026-10-15T00:00:00.000Z</x:v>
      </x:c>
      <x:c r="I23" s="37" t="d">
        <x:v>2026-09-16T12:05:26.000Z</x:v>
      </x:c>
      <x:c r="J23" s="1" t="n">
        <x:f>IF(ISNUMBER(F23),E23,0)</x:f>
        <x:v>42</x:v>
      </x:c>
      <x:c r="K23" s="1"/>
      <x:c r="L23" s="1" t="str">
        <x:v>https://blog.skyairline.com/bebes/</x:v>
      </x:c>
      <x:c r="M23" s="1" t="n">
        <x:v>270</x:v>
      </x:c>
    </x:row>
    <x:row r="24" ht="18.75" customHeight="1">
      <x:c r="A24" s="1" t="str">
        <x:v>https://blog.skyairline.com/sky-fortalece-su-propuesta-de-valor-para-sus-pasajeros-con-economy-premier/</x:v>
      </x:c>
      <x:c r="B24" s="1" t="str">
        <x:v>sky economy premier</x:v>
      </x:c>
      <x:c r="C24" s="1" t="str">
        <x:v>chl</x:v>
      </x:c>
      <x:c r="D24" s="1" t="str">
        <x:v>Marca</x:v>
      </x:c>
      <x:c r="E24" s="35" t="n">
        <x:v>40</x:v>
      </x:c>
      <x:c r="F24" s="36"/>
      <x:c r="G24" s="36" t="str">
        <x:f>IF(ISNUMBER(F24),E24*F24,"")</x:f>
      </x:c>
      <x:c r="H24" s="37"/>
      <x:c r="I24" s="37"/>
      <x:c r="J24" s="1" t="n">
        <x:f>IF(ISNUMBER(F24),E24,0)</x:f>
        <x:v>0</x:v>
      </x:c>
      <x:c r="K24" s="1"/>
      <x:c r="L24" s="1" t="str">
        <x:v>https://blog.skyairline.com/mililitros-permitidos-avion/</x:v>
      </x:c>
      <x:c r="M24" s="1" t="n">
        <x:v>215</x:v>
      </x:c>
    </x:row>
    <x:row r="25" ht="18.75" customHeight="1">
      <x:c r="A25" s="1" t="str">
        <x:v>https://blog.skyairline.com/equipaje-de-bodega/</x:v>
      </x:c>
      <x:c r="B25" s="1" t="str">
        <x:v>sky medidas de equipaje</x:v>
      </x:c>
      <x:c r="C25" s="1" t="str">
        <x:v>per</x:v>
      </x:c>
      <x:c r="D25" s="1" t="str">
        <x:v>Marca</x:v>
      </x:c>
      <x:c r="E25" s="35" t="n">
        <x:v>38</x:v>
      </x:c>
      <x:c r="F25" s="36"/>
      <x:c r="G25" s="36" t="str">
        <x:f>IF(ISNUMBER(F25),E25*F25,"")</x:f>
      </x:c>
      <x:c r="H25" s="37" t="d">
        <x:v>2026-10-15T00:00:00.000Z</x:v>
      </x:c>
      <x:c r="I25" s="37" t="d">
        <x:v>2026-09-15T11:34:40.000Z</x:v>
      </x:c>
      <x:c r="J25" s="1" t="n">
        <x:f>IF(ISNUMBER(F25),E25,0)</x:f>
        <x:v>0</x:v>
      </x:c>
      <x:c r="K25" s="1"/>
      <x:c r="L25" s="1" t="str">
        <x:v>https://blog.skyairline.com/viajes-avion/</x:v>
      </x:c>
      <x:c r="M25" s="1" t="n">
        <x:v>215</x:v>
      </x:c>
    </x:row>
    <x:row r="26" ht="18.75" customHeight="1">
      <x:c r="A26" s="1" t="str">
        <x:v>https://blog.skyairline.com/equipaje-de-cabina/</x:v>
      </x:c>
      <x:c r="B26" s="1" t="str">
        <x:v>sky bolso de mano</x:v>
      </x:c>
      <x:c r="C26" s="1" t="str">
        <x:v>chl</x:v>
      </x:c>
      <x:c r="D26" s="1" t="str">
        <x:v>Marca</x:v>
      </x:c>
      <x:c r="E26" s="35" t="n">
        <x:v>37</x:v>
      </x:c>
      <x:c r="F26" s="36" t="n">
        <x:v>0.22</x:v>
      </x:c>
      <x:c r="G26" s="36" t="n">
        <x:f>IF(ISNUMBER(F26),E26*F26,"")</x:f>
        <x:v>8.14</x:v>
      </x:c>
      <x:c r="H26" s="37" t="d">
        <x:v>2026-10-15T00:00:00.000Z</x:v>
      </x:c>
      <x:c r="I26" s="37" t="d">
        <x:v>2026-09-15T13:47:52.000Z</x:v>
      </x:c>
      <x:c r="J26" s="1" t="n">
        <x:f>IF(ISNUMBER(F26),E26,0)</x:f>
        <x:v>37</x:v>
      </x:c>
      <x:c r="K26" s="1"/>
      <x:c r="L26" s="1" t="str">
        <x:v>https://blog.skyairline.com/documentos-viaje/</x:v>
      </x:c>
      <x:c r="M26" s="1" t="n">
        <x:v>202</x:v>
      </x:c>
    </x:row>
    <x:row r="27" ht="18.75" customHeight="1">
      <x:c r="A27" s="1" t="str">
        <x:v>https://blog.skyairline.com/equipaje-de-cabina/</x:v>
      </x:c>
      <x:c r="B27" s="1" t="str">
        <x:v>sky equipaje de mano</x:v>
      </x:c>
      <x:c r="C27" s="1" t="str">
        <x:v>per</x:v>
      </x:c>
      <x:c r="D27" s="1" t="str">
        <x:v>Marca</x:v>
      </x:c>
      <x:c r="E27" s="35" t="n">
        <x:v>36</x:v>
      </x:c>
      <x:c r="F27" s="36" t="n">
        <x:v>0.44</x:v>
      </x:c>
      <x:c r="G27" s="36" t="n">
        <x:f>IF(ISNUMBER(F27),E27*F27,"")</x:f>
        <x:v>15.84</x:v>
      </x:c>
      <x:c r="H27" s="37" t="d">
        <x:v>2026-10-15T00:00:00.000Z</x:v>
      </x:c>
      <x:c r="I27" s="37" t="d">
        <x:v>2026-09-17T01:43:33.000Z</x:v>
      </x:c>
      <x:c r="J27" s="1" t="n">
        <x:f>IF(ISNUMBER(F27),E27,0)</x:f>
        <x:v>36</x:v>
      </x:c>
      <x:c r="K27" s="1"/>
      <x:c r="L27" s="1" t="str">
        <x:v>https://blog.skyairline.com/estaciones-en-chile/</x:v>
      </x:c>
      <x:c r="M27" s="1" t="n">
        <x:v>198</x:v>
      </x:c>
    </x:row>
    <x:row r="28" ht="18.75" customHeight="1">
      <x:c r="A28" s="1" t="str">
        <x:v>https://blog.skyairline.com/equipaje-de-bodega/</x:v>
      </x:c>
      <x:c r="B28" s="1" t="str">
        <x:v>sky medidas equipaje</x:v>
      </x:c>
      <x:c r="C28" s="1" t="str">
        <x:v>chl</x:v>
      </x:c>
      <x:c r="D28" s="1" t="str">
        <x:v>Marca</x:v>
      </x:c>
      <x:c r="E28" s="35" t="n">
        <x:v>35</x:v>
      </x:c>
      <x:c r="F28" s="36"/>
      <x:c r="G28" s="36" t="str">
        <x:f>IF(ISNUMBER(F28),E28*F28,"")</x:f>
      </x:c>
      <x:c r="H28" s="37" t="d">
        <x:v>2026-10-15T00:00:00.000Z</x:v>
      </x:c>
      <x:c r="I28" s="37" t="d">
        <x:v>2026-09-14T10:28:42.000Z</x:v>
      </x:c>
      <x:c r="J28" s="1" t="n">
        <x:f>IF(ISNUMBER(F28),E28,0)</x:f>
        <x:v>0</x:v>
      </x:c>
      <x:c r="K28" s="1"/>
      <x:c r="L28" s="1" t="str">
        <x:v>https://blog.skyairline.com/administra-tu-vuelo-sky/</x:v>
      </x:c>
      <x:c r="M28" s="1" t="n">
        <x:v>186</x:v>
      </x:c>
    </x:row>
    <x:row r="29" ht="18.75" customHeight="1">
      <x:c r="A29" s="1" t="str">
        <x:v>https://blog.skyairline.com/equipaje-de-cabina/</x:v>
      </x:c>
      <x:c r="B29" s="1" t="str">
        <x:v>sky equipaje de mano</x:v>
      </x:c>
      <x:c r="C29" s="1" t="str">
        <x:v>chl</x:v>
      </x:c>
      <x:c r="D29" s="1" t="str">
        <x:v>Marca</x:v>
      </x:c>
      <x:c r="E29" s="35" t="n">
        <x:v>35</x:v>
      </x:c>
      <x:c r="F29" s="36" t="n">
        <x:v>1.31</x:v>
      </x:c>
      <x:c r="G29" s="36" t="n">
        <x:f>IF(ISNUMBER(F29),E29*F29,"")</x:f>
        <x:v>45.85</x:v>
      </x:c>
      <x:c r="H29" s="37" t="d">
        <x:v>2026-10-15T00:00:00.000Z</x:v>
      </x:c>
      <x:c r="I29" s="37" t="d">
        <x:v>2026-09-17T08:53:51.000Z</x:v>
      </x:c>
      <x:c r="J29" s="1" t="n">
        <x:f>IF(ISNUMBER(F29),E29,0)</x:f>
        <x:v>35</x:v>
      </x:c>
      <x:c r="K29" s="1"/>
      <x:c r="L29" s="1" t="str">
        <x:v>https://blog.skyairline.com/sky-aviones/</x:v>
      </x:c>
      <x:c r="M29" s="1" t="n">
        <x:v>184</x:v>
      </x:c>
    </x:row>
    <x:row r="30" ht="18.75" customHeight="1">
      <x:c r="A30" s="1" t="str">
        <x:v>https://blog.skyairline.com/tipos-de-equipaje/</x:v>
      </x:c>
      <x:c r="B30" s="1" t="str">
        <x:v>sky maletas</x:v>
      </x:c>
      <x:c r="C30" s="1" t="str">
        <x:v>chl</x:v>
      </x:c>
      <x:c r="D30" s="1" t="str">
        <x:v>Marca</x:v>
      </x:c>
      <x:c r="E30" s="35" t="n">
        <x:v>35</x:v>
      </x:c>
      <x:c r="F30" s="36" t="n">
        <x:v>1.46</x:v>
      </x:c>
      <x:c r="G30" s="36" t="n">
        <x:f>IF(ISNUMBER(F30),E30*F30,"")</x:f>
        <x:v>51.1</x:v>
      </x:c>
      <x:c r="H30" s="37" t="d">
        <x:v>2026-10-15T00:00:00.000Z</x:v>
      </x:c>
      <x:c r="I30" s="37" t="d">
        <x:v>2026-09-12T23:35:50.000Z</x:v>
      </x:c>
      <x:c r="J30" s="1" t="n">
        <x:f>IF(ISNUMBER(F30),E30,0)</x:f>
        <x:v>35</x:v>
      </x:c>
      <x:c r="K30" s="1"/>
      <x:c r="L30" s="1" t="str">
        <x:v>https://blog.skyairline.com/platos-tipicos-de-lima/</x:v>
      </x:c>
      <x:c r="M30" s="1" t="n">
        <x:v>167</x:v>
      </x:c>
    </x:row>
    <x:row r="31" ht="18.75" customHeight="1">
      <x:c r="A31" s="1" t="str">
        <x:v>https://blog.skyairline.com/equipaje-de-cabina/</x:v>
      </x:c>
      <x:c r="B31" s="1" t="str">
        <x:v>equipaje de mano sky</x:v>
      </x:c>
      <x:c r="C31" s="1" t="str">
        <x:v>per</x:v>
      </x:c>
      <x:c r="D31" s="1" t="str">
        <x:v>Marca</x:v>
      </x:c>
      <x:c r="E31" s="35" t="n">
        <x:v>33</x:v>
      </x:c>
      <x:c r="F31" s="36"/>
      <x:c r="G31" s="36" t="str">
        <x:f>IF(ISNUMBER(F31),E31*F31,"")</x:f>
      </x:c>
      <x:c r="H31" s="37" t="d">
        <x:v>2026-10-15T00:00:00.000Z</x:v>
      </x:c>
      <x:c r="I31" s="37" t="d">
        <x:v>2026-09-16T05:34:43.000Z</x:v>
      </x:c>
      <x:c r="J31" s="1" t="n">
        <x:f>IF(ISNUMBER(F31),E31,0)</x:f>
        <x:v>0</x:v>
      </x:c>
      <x:c r="K31" s="1"/>
      <x:c r="L31" s="1" t="str">
        <x:v>https://blog.skyairline.com/sky-airline-2/</x:v>
      </x:c>
      <x:c r="M31" s="1" t="n">
        <x:v>163</x:v>
      </x:c>
    </x:row>
    <x:row r="32" ht="18.75" customHeight="1">
      <x:c r="A32" s="1" t="str">
        <x:v>https://blog.skyairline.com/equipaje-de-cabina/</x:v>
      </x:c>
      <x:c r="B32" s="1" t="str">
        <x:v>equipaje de cabina sky</x:v>
      </x:c>
      <x:c r="C32" s="1" t="str">
        <x:v>chl</x:v>
      </x:c>
      <x:c r="D32" s="1" t="str">
        <x:v>Marca</x:v>
      </x:c>
      <x:c r="E32" s="35" t="n">
        <x:v>30</x:v>
      </x:c>
      <x:c r="F32" s="36" t="n">
        <x:v>0.37</x:v>
      </x:c>
      <x:c r="G32" s="36" t="n">
        <x:f>IF(ISNUMBER(F32),E32*F32,"")</x:f>
        <x:v>11.1</x:v>
      </x:c>
      <x:c r="H32" s="37" t="d">
        <x:v>2026-10-15T00:00:00.000Z</x:v>
      </x:c>
      <x:c r="I32" s="37" t="d">
        <x:v>2026-09-13T01:26:20.000Z</x:v>
      </x:c>
      <x:c r="J32" s="1" t="n">
        <x:f>IF(ISNUMBER(F32),E32,0)</x:f>
        <x:v>30</x:v>
      </x:c>
      <x:c r="K32" s="1"/>
      <x:c r="L32" s="1" t="str">
        <x:v>https://blog.skyairline.com/ciudades-cercanas-rio-de-janeiro/</x:v>
      </x:c>
      <x:c r="M32" s="1" t="n">
        <x:v>160</x:v>
      </x:c>
    </x:row>
    <x:row r="33" ht="18.75" customHeight="1">
      <x:c r="A33" s="1" t="str">
        <x:v>https://blog.skyairline.com/equipaje-de-cabina/</x:v>
      </x:c>
      <x:c r="B33" s="1" t="str">
        <x:v>sky maleta de mano</x:v>
      </x:c>
      <x:c r="C33" s="1" t="str">
        <x:v>per</x:v>
      </x:c>
      <x:c r="D33" s="1" t="str">
        <x:v>Marca</x:v>
      </x:c>
      <x:c r="E33" s="35" t="n">
        <x:v>29</x:v>
      </x:c>
      <x:c r="F33" s="36"/>
      <x:c r="G33" s="36" t="str">
        <x:f>IF(ISNUMBER(F33),E33*F33,"")</x:f>
      </x:c>
      <x:c r="H33" s="37"/>
      <x:c r="I33" s="37"/>
      <x:c r="J33" s="1" t="n">
        <x:f>IF(ISNUMBER(F33),E33,0)</x:f>
        <x:v>0</x:v>
      </x:c>
      <x:c r="K33" s="1"/>
      <x:c r="L33" s="1" t="str">
        <x:v>https://blog.skyairline.com/sur-argentino/</x:v>
      </x:c>
      <x:c r="M33" s="1" t="n">
        <x:v>158</x:v>
      </x:c>
    </x:row>
    <x:row r="34" ht="18.75" customHeight="1">
      <x:c r="A34" s="1" t="str">
        <x:v>https://blog.skyairline.com/tipos-de-equipaje/</x:v>
      </x:c>
      <x:c r="B34" s="1" t="str">
        <x:v>sky equipaje</x:v>
      </x:c>
      <x:c r="C34" s="1" t="str">
        <x:v>per</x:v>
      </x:c>
      <x:c r="D34" s="1" t="str">
        <x:v>Marca</x:v>
      </x:c>
      <x:c r="E34" s="35" t="n">
        <x:v>29</x:v>
      </x:c>
      <x:c r="F34" s="36" t="n">
        <x:v>0.63</x:v>
      </x:c>
      <x:c r="G34" s="36" t="n">
        <x:f>IF(ISNUMBER(F34),E34*F34,"")</x:f>
        <x:v>18.27</x:v>
      </x:c>
      <x:c r="H34" s="37" t="d">
        <x:v>2026-10-15T00:00:00.000Z</x:v>
      </x:c>
      <x:c r="I34" s="37" t="d">
        <x:v>2026-09-13T03:15:08.000Z</x:v>
      </x:c>
      <x:c r="J34" s="1" t="n">
        <x:f>IF(ISNUMBER(F34),E34,0)</x:f>
        <x:v>29</x:v>
      </x:c>
      <x:c r="K34" s="1"/>
      <x:c r="L34" s="1" t="str">
        <x:v>https://blog.skyairline.com/pasaje-en-linea/</x:v>
      </x:c>
      <x:c r="M34" s="1" t="n">
        <x:v>156</x:v>
      </x:c>
    </x:row>
    <x:row r="35" ht="18.75" customHeight="1">
      <x:c r="A35" s="1" t="str">
        <x:v>https://blog.skyairline.com/cambiar-vuelo-sky/</x:v>
      </x:c>
      <x:c r="B35" s="1" t="str">
        <x:v>sky cambio de vuelo</x:v>
      </x:c>
      <x:c r="C35" s="1" t="str">
        <x:v>chl</x:v>
      </x:c>
      <x:c r="D35" s="1" t="str">
        <x:v>Marca</x:v>
      </x:c>
      <x:c r="E35" s="35" t="n">
        <x:v>27</x:v>
      </x:c>
      <x:c r="F35" s="36" t="n">
        <x:v>0.58</x:v>
      </x:c>
      <x:c r="G35" s="36" t="n">
        <x:f>IF(ISNUMBER(F35),E35*F35,"")</x:f>
        <x:v>15.659999999999998</x:v>
      </x:c>
      <x:c r="H35" s="37" t="d">
        <x:v>2026-10-15T00:00:00.000Z</x:v>
      </x:c>
      <x:c r="I35" s="37" t="d">
        <x:v>2026-09-13T04:56:21.000Z</x:v>
      </x:c>
      <x:c r="J35" s="1" t="n">
        <x:f>IF(ISNUMBER(F35),E35,0)</x:f>
        <x:v>27</x:v>
      </x:c>
      <x:c r="K35" s="1"/>
      <x:c r="L35" s="1" t="str">
        <x:v>https://blog.skyairline.com/normas-para-viajar-en-avion/</x:v>
      </x:c>
      <x:c r="M35" s="1" t="n">
        <x:v>153</x:v>
      </x:c>
    </x:row>
    <x:row r="36" ht="18.75" customHeight="1">
      <x:c r="A36" s="1" t="str">
        <x:v>https://blog.skyairline.com/curso-tripulante-cabina/</x:v>
      </x:c>
      <x:c r="B36" s="1" t="str">
        <x:v>curso tripulante de cabina</x:v>
      </x:c>
      <x:c r="C36" s="1" t="str">
        <x:v>chl</x:v>
      </x:c>
      <x:c r="D36" s="1" t="str">
        <x:v>Sin marca</x:v>
      </x:c>
      <x:c r="E36" s="35" t="n">
        <x:v>27</x:v>
      </x:c>
      <x:c r="F36" s="36" t="n">
        <x:v>0.27</x:v>
      </x:c>
      <x:c r="G36" s="36" t="n">
        <x:f>IF(ISNUMBER(F36),E36*F36,"")</x:f>
        <x:v>7.290000000000001</x:v>
      </x:c>
      <x:c r="H36" s="37" t="d">
        <x:v>2026-10-15T00:00:00.000Z</x:v>
      </x:c>
      <x:c r="I36" s="37" t="d">
        <x:v>2026-09-13T02:03:59.000Z</x:v>
      </x:c>
      <x:c r="J36" s="1" t="n">
        <x:f>IF(ISNUMBER(F36),E36,0)</x:f>
        <x:v>27</x:v>
      </x:c>
      <x:c r="K36" s="1"/>
      <x:c r="L36" s="1" t="str">
        <x:v>https://blog.skyairline.com/tiempo-de-chile-a-brasil/</x:v>
      </x:c>
      <x:c r="M36" s="1" t="n">
        <x:v>149</x:v>
      </x:c>
    </x:row>
    <x:row r="37" ht="18.75" customHeight="1">
      <x:c r="A37" s="1" t="str">
        <x:v>https://blog.skyairline.com/cambiar-vuelo-sky/</x:v>
      </x:c>
      <x:c r="B37" s="1" t="str">
        <x:v>sky cambio de pasajes</x:v>
      </x:c>
      <x:c r="C37" s="1" t="str">
        <x:v>chl</x:v>
      </x:c>
      <x:c r="D37" s="1" t="str">
        <x:v>Marca</x:v>
      </x:c>
      <x:c r="E37" s="35" t="n">
        <x:v>26</x:v>
      </x:c>
      <x:c r="F37" s="36"/>
      <x:c r="G37" s="36" t="str">
        <x:f>IF(ISNUMBER(F37),E37*F37,"")</x:f>
      </x:c>
      <x:c r="H37" s="37"/>
      <x:c r="I37" s="37"/>
      <x:c r="J37" s="1" t="n">
        <x:f>IF(ISNUMBER(F37),E37,0)</x:f>
        <x:v>0</x:v>
      </x:c>
      <x:c r="K37" s="1"/>
      <x:c r="L37" s="1" t="str">
        <x:v>https://blog.skyairline.com/viaje-a-brasil-3/</x:v>
      </x:c>
      <x:c r="M37" s="1" t="n">
        <x:v>138</x:v>
      </x:c>
    </x:row>
    <x:row r="38" ht="18.75" customHeight="1">
      <x:c r="A38" s="1" t="str">
        <x:v>https://blog.skyairline.com/cambiar-vuelo-sky/</x:v>
      </x:c>
      <x:c r="B38" s="1" t="str">
        <x:v>cambiar vuelo sky</x:v>
      </x:c>
      <x:c r="C38" s="1" t="str">
        <x:v>chl</x:v>
      </x:c>
      <x:c r="D38" s="1" t="str">
        <x:v>Marca</x:v>
      </x:c>
      <x:c r="E38" s="35" t="n">
        <x:v>25</x:v>
      </x:c>
      <x:c r="F38" s="36" t="n">
        <x:v>0.49</x:v>
      </x:c>
      <x:c r="G38" s="36" t="n">
        <x:f>IF(ISNUMBER(F38),E38*F38,"")</x:f>
        <x:v>12.25</x:v>
      </x:c>
      <x:c r="H38" s="37" t="d">
        <x:v>2026-10-15T00:00:00.000Z</x:v>
      </x:c>
      <x:c r="I38" s="37" t="d">
        <x:v>2026-09-17T15:48:30.000Z</x:v>
      </x:c>
      <x:c r="J38" s="1" t="n">
        <x:f>IF(ISNUMBER(F38),E38,0)</x:f>
        <x:v>25</x:v>
      </x:c>
      <x:c r="K38" s="1"/>
      <x:c r="L38" s="1" t="str">
        <x:v>https://blog.skyairline.com/vacunas-brasil/</x:v>
      </x:c>
      <x:c r="M38" s="1" t="n">
        <x:v>125</x:v>
      </x:c>
    </x:row>
    <x:row r="39" ht="18.75" customHeight="1">
      <x:c r="A39" s="1" t="str">
        <x:v>https://blog.skyairline.com/equipaje-de-bodega/</x:v>
      </x:c>
      <x:c r="B39" s="1" t="str">
        <x:v>medidas bolso de mano sky</x:v>
      </x:c>
      <x:c r="C39" s="1" t="str">
        <x:v>chl</x:v>
      </x:c>
      <x:c r="D39" s="1" t="str">
        <x:v>Marca</x:v>
      </x:c>
      <x:c r="E39" s="35" t="n">
        <x:v>25</x:v>
      </x:c>
      <x:c r="F39" s="36" t="n">
        <x:v>0.16</x:v>
      </x:c>
      <x:c r="G39" s="36" t="n">
        <x:f>IF(ISNUMBER(F39),E39*F39,"")</x:f>
        <x:v>4</x:v>
      </x:c>
      <x:c r="H39" s="37" t="d">
        <x:v>2026-10-15T00:00:00.000Z</x:v>
      </x:c>
      <x:c r="I39" s="37" t="d">
        <x:v>2026-09-16T07:08:31.000Z</x:v>
      </x:c>
      <x:c r="J39" s="1" t="n">
        <x:f>IF(ISNUMBER(F39),E39,0)</x:f>
        <x:v>25</x:v>
      </x:c>
      <x:c r="K39" s="1"/>
      <x:c r="L39" s="1" t="str">
        <x:v>https://blog.skyairline.com/check-in-automatico/</x:v>
      </x:c>
      <x:c r="M39" s="1" t="n">
        <x:v>124</x:v>
      </x:c>
    </x:row>
    <x:row r="40" ht="18.75" customHeight="1">
      <x:c r="A40" s="1" t="str">
        <x:v>https://blog.skyairline.com/sky-fortalece-su-propuesta-de-valor-para-sus-pasajeros-con-economy-premier/</x:v>
      </x:c>
      <x:c r="B40" s="1" t="str">
        <x:v>economy premier sky airline</x:v>
      </x:c>
      <x:c r="C40" s="1" t="str">
        <x:v>chl</x:v>
      </x:c>
      <x:c r="D40" s="1" t="str">
        <x:v>Marca</x:v>
      </x:c>
      <x:c r="E40" s="35" t="n">
        <x:v>24</x:v>
      </x:c>
      <x:c r="F40" s="36"/>
      <x:c r="G40" s="36" t="str">
        <x:f>IF(ISNUMBER(F40),E40*F40,"")</x:f>
      </x:c>
      <x:c r="H40" s="37"/>
      <x:c r="I40" s="37"/>
      <x:c r="J40" s="1" t="n">
        <x:f>IF(ISNUMBER(F40),E40,0)</x:f>
        <x:v>0</x:v>
      </x:c>
      <x:c r="K40" s="1"/>
      <x:c r="L40" s="1" t="str">
        <x:v>https://blog.skyairline.com/se-pueden-cambiar-los-pasajes-de-avion/</x:v>
      </x:c>
      <x:c r="M40" s="1" t="n">
        <x:v>120</x:v>
      </x:c>
    </x:row>
    <x:row r="41" ht="18.75" customHeight="1">
      <x:c r="A41" s="1" t="str">
        <x:v>https://blog.skyairline.com/sky-plus/</x:v>
      </x:c>
      <x:c r="B41" s="1" t="str">
        <x:v>skyplus</x:v>
      </x:c>
      <x:c r="C41" s="1" t="str">
        <x:v>chl</x:v>
      </x:c>
      <x:c r="D41" s="1" t="str">
        <x:v>Sin marca</x:v>
      </x:c>
      <x:c r="E41" s="35" t="n">
        <x:v>23</x:v>
      </x:c>
      <x:c r="F41" s="36" t="n">
        <x:v>0.26</x:v>
      </x:c>
      <x:c r="G41" s="36" t="n">
        <x:f>IF(ISNUMBER(F41),E41*F41,"")</x:f>
        <x:v>5.98</x:v>
      </x:c>
      <x:c r="H41" s="37" t="d">
        <x:v>2026-10-15T00:00:00.000Z</x:v>
      </x:c>
      <x:c r="I41" s="37" t="d">
        <x:v>2026-09-16T08:22:17.000Z</x:v>
      </x:c>
      <x:c r="J41" s="1" t="n">
        <x:f>IF(ISNUMBER(F41),E41,0)</x:f>
        <x:v>23</x:v>
      </x:c>
      <x:c r="K41" s="1"/>
      <x:c r="L41" s="1" t="str">
        <x:v>https://blog.skyairline.com/que-hacer-si-mi-vuelo-fue-cancelado/</x:v>
      </x:c>
      <x:c r="M41" s="1" t="n">
        <x:v>117</x:v>
      </x:c>
    </x:row>
    <x:row r="42" ht="18.75" customHeight="1">
      <x:c r="A42" s="1" t="str">
        <x:v>https://blog.skyairline.com/equipaje-de-bodega/</x:v>
      </x:c>
      <x:c r="B42" s="1" t="str">
        <x:v>bolso de mano sky</x:v>
      </x:c>
      <x:c r="C42" s="1" t="str">
        <x:v>chl</x:v>
      </x:c>
      <x:c r="D42" s="1" t="str">
        <x:v>Marca</x:v>
      </x:c>
      <x:c r="E42" s="35" t="n">
        <x:v>22</x:v>
      </x:c>
      <x:c r="F42" s="36" t="n">
        <x:v>0.09</x:v>
      </x:c>
      <x:c r="G42" s="36" t="n">
        <x:f>IF(ISNUMBER(F42),E42*F42,"")</x:f>
        <x:v>1.98</x:v>
      </x:c>
      <x:c r="H42" s="37" t="d">
        <x:v>2026-10-15T00:00:00.000Z</x:v>
      </x:c>
      <x:c r="I42" s="37" t="d">
        <x:v>2026-09-17T14:46:19.000Z</x:v>
      </x:c>
      <x:c r="J42" s="1" t="n">
        <x:f>IF(ISNUMBER(F42),E42,0)</x:f>
        <x:v>22</x:v>
      </x:c>
      <x:c r="K42" s="1"/>
      <x:c r="L42" s="1" t="str">
        <x:v>https://blog.skyairline.com/comprar-pasajes-baratos/</x:v>
      </x:c>
      <x:c r="M42" s="1" t="n">
        <x:v>112</x:v>
      </x:c>
    </x:row>
    <x:row r="43" ht="18.75" customHeight="1">
      <x:c r="A43" s="1" t="str">
        <x:v>https://blog.skyairline.com/equipaje-de-bodega/</x:v>
      </x:c>
      <x:c r="B43" s="1" t="str">
        <x:v>equipaje sky</x:v>
      </x:c>
      <x:c r="C43" s="1" t="str">
        <x:v>chl</x:v>
      </x:c>
      <x:c r="D43" s="1" t="str">
        <x:v>Marca</x:v>
      </x:c>
      <x:c r="E43" s="35" t="n">
        <x:v>22</x:v>
      </x:c>
      <x:c r="F43" s="36" t="n">
        <x:v>1.49</x:v>
      </x:c>
      <x:c r="G43" s="36" t="n">
        <x:f>IF(ISNUMBER(F43),E43*F43,"")</x:f>
        <x:v>32.78</x:v>
      </x:c>
      <x:c r="H43" s="37" t="d">
        <x:v>2026-10-15T00:00:00.000Z</x:v>
      </x:c>
      <x:c r="I43" s="37" t="d">
        <x:v>2026-09-16T06:19:45.000Z</x:v>
      </x:c>
      <x:c r="J43" s="1" t="n">
        <x:f>IF(ISNUMBER(F43),E43,0)</x:f>
        <x:v>22</x:v>
      </x:c>
      <x:c r="K43" s="1"/>
      <x:c r="L43" s="1" t="str">
        <x:v>https://blog.skyairline.com/enchufe-brasil/</x:v>
      </x:c>
      <x:c r="M43" s="1" t="n">
        <x:v>112</x:v>
      </x:c>
    </x:row>
    <x:row r="44" ht="18.75" customHeight="1">
      <x:c r="A44" s="1" t="str">
        <x:v>https://blog.skyairline.com/tipos-de-equipaje/</x:v>
      </x:c>
      <x:c r="B44" s="1" t="str">
        <x:v>equipaje sky</x:v>
      </x:c>
      <x:c r="C44" s="1" t="str">
        <x:v>per</x:v>
      </x:c>
      <x:c r="D44" s="1" t="str">
        <x:v>Marca</x:v>
      </x:c>
      <x:c r="E44" s="35" t="n">
        <x:v>22</x:v>
      </x:c>
      <x:c r="F44" s="36" t="n">
        <x:v>0.63</x:v>
      </x:c>
      <x:c r="G44" s="36" t="n">
        <x:f>IF(ISNUMBER(F44),E44*F44,"")</x:f>
        <x:v>13.86</x:v>
      </x:c>
      <x:c r="H44" s="37" t="d">
        <x:v>2026-10-15T00:00:00.000Z</x:v>
      </x:c>
      <x:c r="I44" s="37" t="d">
        <x:v>2026-09-16T15:18:05.000Z</x:v>
      </x:c>
      <x:c r="J44" s="1" t="n">
        <x:f>IF(ISNUMBER(F44),E44,0)</x:f>
        <x:v>22</x:v>
      </x:c>
      <x:c r="K44" s="1"/>
      <x:c r="L44" s="1" t="str">
        <x:v>https://blog.skyairline.com/descubre-economy-premier-la-nueva-experiencia-para-viajar-mas-comodo/</x:v>
      </x:c>
      <x:c r="M44" s="1" t="n">
        <x:v>106</x:v>
      </x:c>
    </x:row>
    <x:row r="45" ht="18.75" customHeight="1">
      <x:c r="A45" s="1" t="str">
        <x:v>https://blog.skyairline.com/tipos-de-equipaje/</x:v>
      </x:c>
      <x:c r="B45" s="1" t="str">
        <x:v>maleta sky</x:v>
      </x:c>
      <x:c r="C45" s="1" t="str">
        <x:v>chl</x:v>
      </x:c>
      <x:c r="D45" s="1" t="str">
        <x:v>Marca</x:v>
      </x:c>
      <x:c r="E45" s="35" t="n">
        <x:v>22</x:v>
      </x:c>
      <x:c r="F45" s="36" t="n">
        <x:v>0.14</x:v>
      </x:c>
      <x:c r="G45" s="36" t="n">
        <x:f>IF(ISNUMBER(F45),E45*F45,"")</x:f>
        <x:v>3.08</x:v>
      </x:c>
      <x:c r="H45" s="37" t="d">
        <x:v>2026-10-15T00:00:00.000Z</x:v>
      </x:c>
      <x:c r="I45" s="37" t="d">
        <x:v>2026-09-14T10:52:27.000Z</x:v>
      </x:c>
      <x:c r="J45" s="1" t="n">
        <x:f>IF(ISNUMBER(F45),E45,0)</x:f>
        <x:v>22</x:v>
      </x:c>
      <x:c r="K45" s="1"/>
      <x:c r="L45" s="1" t="str">
        <x:v>https://blog.skyairline.com/paises-baratos-para-viajar-desde-chile-con-sky/</x:v>
      </x:c>
      <x:c r="M45" s="1" t="n">
        <x:v>106</x:v>
      </x:c>
    </x:row>
    <x:row r="46" ht="18.75" customHeight="1">
      <x:c r="A46" s="1" t="str">
        <x:v>https://blog.skyairline.com/equipaje-de-bodega/</x:v>
      </x:c>
      <x:c r="B46" s="1" t="str">
        <x:v>medidas mochila sky</x:v>
      </x:c>
      <x:c r="C46" s="1" t="str">
        <x:v>chl</x:v>
      </x:c>
      <x:c r="D46" s="1" t="str">
        <x:v>Marca</x:v>
      </x:c>
      <x:c r="E46" s="35" t="n">
        <x:v>21</x:v>
      </x:c>
      <x:c r="F46" s="36" t="n">
        <x:v>0.08</x:v>
      </x:c>
      <x:c r="G46" s="36" t="n">
        <x:f>IF(ISNUMBER(F46),E46*F46,"")</x:f>
        <x:v>1.68</x:v>
      </x:c>
      <x:c r="H46" s="37" t="d">
        <x:v>2026-10-15T00:00:00.000Z</x:v>
      </x:c>
      <x:c r="I46" s="37" t="d">
        <x:v>2026-09-14T01:38:40.000Z</x:v>
      </x:c>
      <x:c r="J46" s="1" t="n">
        <x:f>IF(ISNUMBER(F46),E46,0)</x:f>
        <x:v>21</x:v>
      </x:c>
      <x:c r="K46" s="1"/>
      <x:c r="L46" s="1" t="str">
        <x:v>https://blog.skyairline.com/panoramas-para-ninos-en-santiago/</x:v>
      </x:c>
      <x:c r="M46" s="1" t="n">
        <x:v>106</x:v>
      </x:c>
    </x:row>
    <x:row r="47" ht="18.75" customHeight="1">
      <x:c r="A47" s="1" t="str">
        <x:v>https://blog.skyairline.com/equipaje-de-cabina/</x:v>
      </x:c>
      <x:c r="B47" s="1" t="str">
        <x:v>sky bolso de mano</x:v>
      </x:c>
      <x:c r="C47" s="1" t="str">
        <x:v>per</x:v>
      </x:c>
      <x:c r="D47" s="1" t="str">
        <x:v>Marca</x:v>
      </x:c>
      <x:c r="E47" s="35" t="n">
        <x:v>21</x:v>
      </x:c>
      <x:c r="F47" s="36" t="n">
        <x:v>0.33</x:v>
      </x:c>
      <x:c r="G47" s="36" t="n">
        <x:f>IF(ISNUMBER(F47),E47*F47,"")</x:f>
        <x:v>6.930000000000001</x:v>
      </x:c>
      <x:c r="H47" s="37" t="d">
        <x:v>2026-10-15T00:00:00.000Z</x:v>
      </x:c>
      <x:c r="I47" s="37" t="d">
        <x:v>2026-09-13T07:57:58.000Z</x:v>
      </x:c>
      <x:c r="J47" s="1" t="n">
        <x:f>IF(ISNUMBER(F47),E47,0)</x:f>
        <x:v>21</x:v>
      </x:c>
      <x:c r="K47" s="1"/>
      <x:c r="L47" s="1" t="str">
        <x:v>https://blog.skyairline.com/aeropuertos-en-buenos-aires/</x:v>
      </x:c>
      <x:c r="M47" s="1" t="n">
        <x:v>105</x:v>
      </x:c>
    </x:row>
    <x:row r="48" ht="18.75" customHeight="1">
      <x:c r="A48" s="1" t="str">
        <x:v>https://blog.skyairline.com/categoria/oportunidades/</x:v>
      </x:c>
      <x:c r="B48" s="1" t="str">
        <x:v>tripulante de cabina sky</x:v>
      </x:c>
      <x:c r="C48" s="1" t="str">
        <x:v>chl</x:v>
      </x:c>
      <x:c r="D48" s="1" t="str">
        <x:v>Marca</x:v>
      </x:c>
      <x:c r="E48" s="35" t="n">
        <x:v>20</x:v>
      </x:c>
      <x:c r="F48" s="36" t="n">
        <x:v>0.25</x:v>
      </x:c>
      <x:c r="G48" s="36" t="n">
        <x:f>IF(ISNUMBER(F48),E48*F48,"")</x:f>
        <x:v>5</x:v>
      </x:c>
      <x:c r="H48" s="37" t="d">
        <x:v>2026-10-15T00:00:00.000Z</x:v>
      </x:c>
      <x:c r="I48" s="37" t="d">
        <x:v>2026-09-17T04:43:56.000Z</x:v>
      </x:c>
      <x:c r="J48" s="1" t="n">
        <x:f>IF(ISNUMBER(F48),E48,0)</x:f>
        <x:v>20</x:v>
      </x:c>
      <x:c r="K48" s="1"/>
      <x:c r="L48" s="1" t="str">
        <x:v>https://blog.skyairline.com/documentos-que-necesitas-para-viajar-a-argentina-desde-chile/</x:v>
      </x:c>
      <x:c r="M48" s="1" t="n">
        <x:v>102</x:v>
      </x:c>
    </x:row>
    <x:row r="49" ht="18.75" customHeight="1">
      <x:c r="A49" s="1" t="str">
        <x:v>https://blog.skyairline.com/equipaje-de-bodega/</x:v>
      </x:c>
      <x:c r="B49" s="1" t="str">
        <x:v>sky equipaje de mano</x:v>
      </x:c>
      <x:c r="C49" s="1" t="str">
        <x:v>chl</x:v>
      </x:c>
      <x:c r="D49" s="1" t="str">
        <x:v>Marca</x:v>
      </x:c>
      <x:c r="E49" s="35" t="n">
        <x:v>20</x:v>
      </x:c>
      <x:c r="F49" s="36" t="n">
        <x:v>1.31</x:v>
      </x:c>
      <x:c r="G49" s="36" t="n">
        <x:f>IF(ISNUMBER(F49),E49*F49,"")</x:f>
        <x:v>26.200000000000003</x:v>
      </x:c>
      <x:c r="H49" s="37" t="d">
        <x:v>2026-10-15T00:00:00.000Z</x:v>
      </x:c>
      <x:c r="I49" s="37" t="d">
        <x:v>2026-09-17T08:53:51.000Z</x:v>
      </x:c>
      <x:c r="J49" s="1" t="n">
        <x:f>IF(ISNUMBER(F49),E49,0)</x:f>
        <x:v>20</x:v>
      </x:c>
      <x:c r="K49" s="1"/>
      <x:c r="L49" s="1" t="str">
        <x:v>https://blog.skyairline.com/10-cosas-que-hacer-en-caminito/</x:v>
      </x:c>
      <x:c r="M49" s="1" t="n">
        <x:v>101</x:v>
      </x:c>
    </x:row>
    <x:row r="50" ht="18.75" customHeight="1">
      <x:c r="A50" s="1" t="str">
        <x:v>https://blog.skyairline.com/equipaje-de-bodega/</x:v>
      </x:c>
      <x:c r="B50" s="1" t="str">
        <x:v>sky medidas bolso de mano</x:v>
      </x:c>
      <x:c r="C50" s="1" t="str">
        <x:v>chl</x:v>
      </x:c>
      <x:c r="D50" s="1" t="str">
        <x:v>Marca</x:v>
      </x:c>
      <x:c r="E50" s="35" t="n">
        <x:v>20</x:v>
      </x:c>
      <x:c r="F50" s="36" t="n">
        <x:v>0.05</x:v>
      </x:c>
      <x:c r="G50" s="36" t="n">
        <x:f>IF(ISNUMBER(F50),E50*F50,"")</x:f>
        <x:v>1</x:v>
      </x:c>
      <x:c r="H50" s="37" t="d">
        <x:v>2026-10-15T00:00:00.000Z</x:v>
      </x:c>
      <x:c r="I50" s="37" t="d">
        <x:v>2026-09-13T08:17:28.000Z</x:v>
      </x:c>
      <x:c r="J50" s="1" t="n">
        <x:f>IF(ISNUMBER(F50),E50,0)</x:f>
        <x:v>20</x:v>
      </x:c>
      <x:c r="K50" s="1"/>
      <x:c r="L50" s="1" t="str">
        <x:v>https://blog.skyairline.com/enchufe-argentina/</x:v>
      </x:c>
      <x:c r="M50" s="1" t="n">
        <x:v>99</x:v>
      </x:c>
    </x:row>
    <x:row r="51" ht="18.75" customHeight="1">
      <x:c r="A51" s="1" t="str">
        <x:v>https://blog.skyairline.com/equipaje-de-cabina/</x:v>
      </x:c>
      <x:c r="B51" s="1" t="str">
        <x:v>sky medidas equipaje de mano</x:v>
      </x:c>
      <x:c r="C51" s="1" t="str">
        <x:v>chl</x:v>
      </x:c>
      <x:c r="D51" s="1" t="str">
        <x:v>Marca</x:v>
      </x:c>
      <x:c r="E51" s="35" t="n">
        <x:v>20</x:v>
      </x:c>
      <x:c r="F51" s="36"/>
      <x:c r="G51" s="36" t="str">
        <x:f>IF(ISNUMBER(F51),E51*F51,"")</x:f>
      </x:c>
      <x:c r="H51" s="37" t="d">
        <x:v>2026-10-15T00:00:00.000Z</x:v>
      </x:c>
      <x:c r="I51" s="37" t="d">
        <x:v>2026-09-17T07:51:38.000Z</x:v>
      </x:c>
      <x:c r="J51" s="1" t="n">
        <x:f>IF(ISNUMBER(F51),E51,0)</x:f>
        <x:v>0</x:v>
      </x:c>
      <x:c r="K51" s="1"/>
      <x:c r="L51" s="1" t="str">
        <x:v>https://blog.skyairline.com/santiago-lima-duracion-vuelo/</x:v>
      </x:c>
      <x:c r="M51" s="1" t="n">
        <x:v>95</x:v>
      </x:c>
    </x:row>
    <x:row r="52" ht="18.75" customHeight="1">
      <x:c r="A52" s="1" t="str">
        <x:v>https://blog.skyairline.com/bailes-tipicos-de-chile/</x:v>
      </x:c>
      <x:c r="B52" s="1" t="str">
        <x:v>bailes tipicos de chile</x:v>
      </x:c>
      <x:c r="C52" s="1" t="str">
        <x:v>chl</x:v>
      </x:c>
      <x:c r="D52" s="1" t="str">
        <x:v>Sin marca</x:v>
      </x:c>
      <x:c r="E52" s="35" t="n">
        <x:v>19</x:v>
      </x:c>
      <x:c r="F52" s="36"/>
      <x:c r="G52" s="36" t="str">
        <x:f>IF(ISNUMBER(F52),E52*F52,"")</x:f>
      </x:c>
      <x:c r="H52" s="37" t="d">
        <x:v>2026-10-15T00:00:00.000Z</x:v>
      </x:c>
      <x:c r="I52" s="37" t="d">
        <x:v>2026-09-13T18:18:48.000Z</x:v>
      </x:c>
      <x:c r="J52" s="1" t="n">
        <x:f>IF(ISNUMBER(F52),E52,0)</x:f>
        <x:v>0</x:v>
      </x:c>
      <x:c r="K52" s="1"/>
      <x:c r="L52" s="1" t="str">
        <x:v>https://blog.skyairline.com/maquillaje-en-avion/</x:v>
      </x:c>
      <x:c r="M52" s="1" t="n">
        <x:v>94</x:v>
      </x:c>
    </x:row>
    <x:row r="53" ht="18.75" customHeight="1">
      <x:c r="A53" s="1" t="str">
        <x:v>https://blog.skyairline.com/equipaje-de-cabina/</x:v>
      </x:c>
      <x:c r="B53" s="1" t="str">
        <x:v>maleta cabina sky</x:v>
      </x:c>
      <x:c r="C53" s="1" t="str">
        <x:v>chl</x:v>
      </x:c>
      <x:c r="D53" s="1" t="str">
        <x:v>Marca</x:v>
      </x:c>
      <x:c r="E53" s="35" t="n">
        <x:v>19</x:v>
      </x:c>
      <x:c r="F53" s="36" t="n">
        <x:v>0.04</x:v>
      </x:c>
      <x:c r="G53" s="36" t="n">
        <x:f>IF(ISNUMBER(F53),E53*F53,"")</x:f>
        <x:v>0.76</x:v>
      </x:c>
      <x:c r="H53" s="37" t="d">
        <x:v>2026-10-15T00:00:00.000Z</x:v>
      </x:c>
      <x:c r="I53" s="37" t="d">
        <x:v>2026-09-17T04:11:22.000Z</x:v>
      </x:c>
      <x:c r="J53" s="1" t="n">
        <x:f>IF(ISNUMBER(F53),E53,0)</x:f>
        <x:v>19</x:v>
      </x:c>
      <x:c r="K53" s="1"/>
      <x:c r="L53" s="1" t="str">
        <x:v>https://blog.skyairline.com/se-puede-llegar-en-avion-a-pucon/</x:v>
      </x:c>
      <x:c r="M53" s="1" t="n">
        <x:v>89</x:v>
      </x:c>
    </x:row>
    <x:row r="54" ht="18.75" customHeight="1">
      <x:c r="A54" s="1" t="str">
        <x:v>https://blog.skyairline.com/equipaje-de-cabina/</x:v>
      </x:c>
      <x:c r="B54" s="1" t="str">
        <x:v>medidas equipaje de mano sky</x:v>
      </x:c>
      <x:c r="C54" s="1" t="str">
        <x:v>chl</x:v>
      </x:c>
      <x:c r="D54" s="1" t="str">
        <x:v>Marca</x:v>
      </x:c>
      <x:c r="E54" s="35" t="n">
        <x:v>19</x:v>
      </x:c>
      <x:c r="F54" s="36" t="n">
        <x:v>0.35</x:v>
      </x:c>
      <x:c r="G54" s="36" t="n">
        <x:f>IF(ISNUMBER(F54),E54*F54,"")</x:f>
        <x:v>6.6499999999999995</x:v>
      </x:c>
      <x:c r="H54" s="37" t="d">
        <x:v>2026-10-15T00:00:00.000Z</x:v>
      </x:c>
      <x:c r="I54" s="37" t="d">
        <x:v>2026-09-15T16:47:03.000Z</x:v>
      </x:c>
      <x:c r="J54" s="1" t="n">
        <x:f>IF(ISNUMBER(F54),E54,0)</x:f>
        <x:v>19</x:v>
      </x:c>
      <x:c r="K54" s="1"/>
      <x:c r="L54" s="1" t="str">
        <x:v>https://blog.skyairline.com/aeropuerto-chiloe/</x:v>
      </x:c>
      <x:c r="M54" s="1" t="n">
        <x:v>88</x:v>
      </x:c>
    </x:row>
    <x:row r="55" ht="18.75" customHeight="1">
      <x:c r="A55" s="1" t="str">
        <x:v>https://blog.skyairline.com/tipos-de-equipaje/</x:v>
      </x:c>
      <x:c r="B55" s="1" t="str">
        <x:v>sky maletas</x:v>
      </x:c>
      <x:c r="C55" s="1" t="str">
        <x:v>per</x:v>
      </x:c>
      <x:c r="D55" s="1" t="str">
        <x:v>Marca</x:v>
      </x:c>
      <x:c r="E55" s="35" t="n">
        <x:v>19</x:v>
      </x:c>
      <x:c r="F55" s="36" t="n">
        <x:v>0.3</x:v>
      </x:c>
      <x:c r="G55" s="36" t="n">
        <x:f>IF(ISNUMBER(F55),E55*F55,"")</x:f>
        <x:v>5.7</x:v>
      </x:c>
      <x:c r="H55" s="37" t="d">
        <x:v>2026-10-15T00:00:00.000Z</x:v>
      </x:c>
      <x:c r="I55" s="37" t="d">
        <x:v>2026-09-13T09:30:32.999Z</x:v>
      </x:c>
      <x:c r="J55" s="1" t="n">
        <x:f>IF(ISNUMBER(F55),E55,0)</x:f>
        <x:v>19</x:v>
      </x:c>
      <x:c r="K55" s="1"/>
      <x:c r="L55" s="1" t="str">
        <x:v>https://blog.skyairline.com/bailes-tipicos-de-chile/</x:v>
      </x:c>
      <x:c r="M55" s="1" t="n">
        <x:v>85</x:v>
      </x:c>
    </x:row>
    <x:row r="56" ht="18.75" customHeight="1">
      <x:c r="A56" s="1" t="str">
        <x:v>https://blog.skyairline.com/categoria/oportunidades/</x:v>
      </x:c>
      <x:c r="B56" s="1" t="str">
        <x:v>sky airline trabaja con nosotros</x:v>
      </x:c>
      <x:c r="C56" s="1" t="str">
        <x:v>chl</x:v>
      </x:c>
      <x:c r="D56" s="1" t="str">
        <x:v>Marca</x:v>
      </x:c>
      <x:c r="E56" s="35" t="n">
        <x:v>18</x:v>
      </x:c>
      <x:c r="F56" s="36"/>
      <x:c r="G56" s="36" t="str">
        <x:f>IF(ISNUMBER(F56),E56*F56,"")</x:f>
      </x:c>
      <x:c r="H56" s="37"/>
      <x:c r="I56" s="37"/>
      <x:c r="J56" s="1" t="n">
        <x:f>IF(ISNUMBER(F56),E56,0)</x:f>
        <x:v>0</x:v>
      </x:c>
      <x:c r="K56" s="1"/>
      <x:c r="L56" s="1" t="str">
        <x:v>https://blog.skyairline.com/cambiar-el-pasaje/</x:v>
      </x:c>
      <x:c r="M56" s="1" t="n">
        <x:v>85</x:v>
      </x:c>
    </x:row>
    <x:row r="57" ht="18.75" customHeight="1">
      <x:c r="A57" s="1" t="str">
        <x:v>https://blog.skyairline.com/equipaje-de-bodega/</x:v>
      </x:c>
      <x:c r="B57" s="1" t="str">
        <x:v>bolso de mano sky medidas</x:v>
      </x:c>
      <x:c r="C57" s="1" t="str">
        <x:v>chl</x:v>
      </x:c>
      <x:c r="D57" s="1" t="str">
        <x:v>Marca</x:v>
      </x:c>
      <x:c r="E57" s="35" t="n">
        <x:v>18</x:v>
      </x:c>
      <x:c r="F57" s="36" t="n">
        <x:v>0.02</x:v>
      </x:c>
      <x:c r="G57" s="36" t="n">
        <x:f>IF(ISNUMBER(F57),E57*F57,"")</x:f>
        <x:v>0.36</x:v>
      </x:c>
      <x:c r="H57" s="37" t="d">
        <x:v>2026-10-15T00:00:00.000Z</x:v>
      </x:c>
      <x:c r="I57" s="37" t="d">
        <x:v>2026-09-16T18:49:32.000Z</x:v>
      </x:c>
      <x:c r="J57" s="1" t="n">
        <x:f>IF(ISNUMBER(F57),E57,0)</x:f>
        <x:v>18</x:v>
      </x:c>
      <x:c r="K57" s="1"/>
      <x:c r="L57" s="1" t="str">
        <x:v>https://blog.skyairline.com/bicicleta-en-avion/</x:v>
      </x:c>
      <x:c r="M57" s="1" t="n">
        <x:v>83</x:v>
      </x:c>
    </x:row>
    <x:row r="58" ht="18.75" customHeight="1">
      <x:c r="A58" s="1" t="str">
        <x:v>https://blog.skyairline.com/equipaje-de-bodega/</x:v>
      </x:c>
      <x:c r="B58" s="1" t="str">
        <x:v>sky equipaje</x:v>
      </x:c>
      <x:c r="C58" s="1" t="str">
        <x:v>chl</x:v>
      </x:c>
      <x:c r="D58" s="1" t="str">
        <x:v>Marca</x:v>
      </x:c>
      <x:c r="E58" s="35" t="n">
        <x:v>18</x:v>
      </x:c>
      <x:c r="F58" s="36" t="n">
        <x:v>1.49</x:v>
      </x:c>
      <x:c r="G58" s="36" t="n">
        <x:f>IF(ISNUMBER(F58),E58*F58,"")</x:f>
        <x:v>26.82</x:v>
      </x:c>
      <x:c r="H58" s="37" t="d">
        <x:v>2026-10-15T00:00:00.000Z</x:v>
      </x:c>
      <x:c r="I58" s="37" t="d">
        <x:v>2026-09-14T05:55:45.000Z</x:v>
      </x:c>
      <x:c r="J58" s="1" t="n">
        <x:f>IF(ISNUMBER(F58),E58,0)</x:f>
        <x:v>18</x:v>
      </x:c>
      <x:c r="K58" s="1"/>
      <x:c r="L58" s="1" t="str">
        <x:v>https://blog.skyairline.com/auroras-australes-en-chile-cuando-y-donde-verlas/</x:v>
      </x:c>
      <x:c r="M58" s="1" t="n">
        <x:v>82</x:v>
      </x:c>
    </x:row>
    <x:row r="59" ht="18.75" customHeight="1">
      <x:c r="A59" s="1" t="str">
        <x:v>https://blog.skyairline.com/equipaje-de-bodega/</x:v>
      </x:c>
      <x:c r="B59" s="1" t="str">
        <x:v>sky equipaje de bodega</x:v>
      </x:c>
      <x:c r="C59" s="1" t="str">
        <x:v>chl</x:v>
      </x:c>
      <x:c r="D59" s="1" t="str">
        <x:v>Marca</x:v>
      </x:c>
      <x:c r="E59" s="35" t="n">
        <x:v>18</x:v>
      </x:c>
      <x:c r="F59" s="36"/>
      <x:c r="G59" s="36" t="str">
        <x:f>IF(ISNUMBER(F59),E59*F59,"")</x:f>
      </x:c>
      <x:c r="H59" s="37" t="d">
        <x:v>2026-10-15T00:00:00.000Z</x:v>
      </x:c>
      <x:c r="I59" s="37" t="d">
        <x:v>2026-09-12T18:38:11.000Z</x:v>
      </x:c>
      <x:c r="J59" s="1" t="n">
        <x:f>IF(ISNUMBER(F59),E59,0)</x:f>
        <x:v>0</x:v>
      </x:c>
      <x:c r="K59" s="1"/>
      <x:c r="L59" s="1" t="str">
        <x:v>https://blog.skyairline.com/viajar-con-bebe/</x:v>
      </x:c>
      <x:c r="M59" s="1" t="n">
        <x:v>79</x:v>
      </x:c>
    </x:row>
    <x:row r="60" ht="18.75" customHeight="1">
      <x:c r="A60" s="1" t="str">
        <x:v>https://blog.skyairline.com/sky-fortalece-su-propuesta-de-valor-para-sus-pasajeros-con-economy-premier/</x:v>
      </x:c>
      <x:c r="B60" s="1" t="str">
        <x:v>economy premium sky</x:v>
      </x:c>
      <x:c r="C60" s="1" t="str">
        <x:v>chl</x:v>
      </x:c>
      <x:c r="D60" s="1" t="str">
        <x:v>Marca</x:v>
      </x:c>
      <x:c r="E60" s="35" t="n">
        <x:v>18</x:v>
      </x:c>
      <x:c r="F60" s="36"/>
      <x:c r="G60" s="36" t="str">
        <x:f>IF(ISNUMBER(F60),E60*F60,"")</x:f>
      </x:c>
      <x:c r="H60" s="37"/>
      <x:c r="I60" s="37"/>
      <x:c r="J60" s="1" t="n">
        <x:f>IF(ISNUMBER(F60),E60,0)</x:f>
        <x:v>0</x:v>
      </x:c>
      <x:c r="K60" s="1"/>
      <x:c r="L60" s="1" t="str">
        <x:v>https://blog.skyairline.com/zofri-iquique/</x:v>
      </x:c>
      <x:c r="M60" s="1" t="n">
        <x:v>79</x:v>
      </x:c>
    </x:row>
    <x:row r="61" ht="18.75" customHeight="1">
      <x:c r="A61" s="1" t="str">
        <x:v>https://blog.skyairline.com/sky-plus/</x:v>
      </x:c>
      <x:c r="B61" s="1" t="str">
        <x:v>puntos sky</x:v>
      </x:c>
      <x:c r="C61" s="1" t="str">
        <x:v>chl</x:v>
      </x:c>
      <x:c r="D61" s="1" t="str">
        <x:v>Marca</x:v>
      </x:c>
      <x:c r="E61" s="35" t="n">
        <x:v>18</x:v>
      </x:c>
      <x:c r="F61" s="36"/>
      <x:c r="G61" s="36" t="str">
        <x:f>IF(ISNUMBER(F61),E61*F61,"")</x:f>
      </x:c>
      <x:c r="H61" s="37"/>
      <x:c r="I61" s="37"/>
      <x:c r="J61" s="1" t="n">
        <x:f>IF(ISNUMBER(F61),E61,0)</x:f>
        <x:v>0</x:v>
      </x:c>
      <x:c r="K61" s="1"/>
      <x:c r="L61" s="1" t="str">
        <x:v>https://blog.skyairline.com/enchufe-peru/</x:v>
      </x:c>
      <x:c r="M61" s="1" t="n">
        <x:v>69</x:v>
      </x:c>
    </x:row>
    <x:row r="62" ht="18.75" customHeight="1">
      <x:c r="A62" s="1" t="str">
        <x:v>https://blog.skyairline.com/equipaje-de-cabina/</x:v>
      </x:c>
      <x:c r="B62" s="1" t="str">
        <x:v>equipaje de mano sky medidas</x:v>
      </x:c>
      <x:c r="C62" s="1" t="str">
        <x:v>chl</x:v>
      </x:c>
      <x:c r="D62" s="1" t="str">
        <x:v>Marca</x:v>
      </x:c>
      <x:c r="E62" s="35" t="n">
        <x:v>17</x:v>
      </x:c>
      <x:c r="F62" s="36" t="n">
        <x:v>0.95</x:v>
      </x:c>
      <x:c r="G62" s="36" t="n">
        <x:f>IF(ISNUMBER(F62),E62*F62,"")</x:f>
        <x:v>16.15</x:v>
      </x:c>
      <x:c r="H62" s="37" t="d">
        <x:v>2026-10-15T00:00:00.000Z</x:v>
      </x:c>
      <x:c r="I62" s="37" t="d">
        <x:v>2026-09-16T21:38:35.000Z</x:v>
      </x:c>
      <x:c r="J62" s="1" t="n">
        <x:f>IF(ISNUMBER(F62),E62,0)</x:f>
        <x:v>17</x:v>
      </x:c>
      <x:c r="K62" s="1"/>
      <x:c r="L62" s="1" t="str">
        <x:v>https://blog.skyairline.com/punta-sal/</x:v>
      </x:c>
      <x:c r="M62" s="1" t="n">
        <x:v>69</x:v>
      </x:c>
    </x:row>
    <x:row r="63" ht="18.75" customHeight="1">
      <x:c r="A63" s="1" t="str">
        <x:v>https://blog.skyairline.com/equipaje-de-cabina/</x:v>
      </x:c>
      <x:c r="B63" s="1" t="str">
        <x:v>sky medidas bolso de mano</x:v>
      </x:c>
      <x:c r="C63" s="1" t="str">
        <x:v>chl</x:v>
      </x:c>
      <x:c r="D63" s="1" t="str">
        <x:v>Marca</x:v>
      </x:c>
      <x:c r="E63" s="35" t="n">
        <x:v>17</x:v>
      </x:c>
      <x:c r="F63" s="36" t="n">
        <x:v>0.05</x:v>
      </x:c>
      <x:c r="G63" s="36" t="n">
        <x:f>IF(ISNUMBER(F63),E63*F63,"")</x:f>
        <x:v>0.8500000000000001</x:v>
      </x:c>
      <x:c r="H63" s="37" t="d">
        <x:v>2026-10-15T00:00:00.000Z</x:v>
      </x:c>
      <x:c r="I63" s="37" t="d">
        <x:v>2026-09-13T08:17:28.000Z</x:v>
      </x:c>
      <x:c r="J63" s="1" t="n">
        <x:f>IF(ISNUMBER(F63),E63,0)</x:f>
        <x:v>17</x:v>
      </x:c>
      <x:c r="K63" s="1"/>
      <x:c r="L63" s="1" t="str">
        <x:v>https://blog.skyairline.com/donde-viajar-con-ninos/</x:v>
      </x:c>
      <x:c r="M63" s="1" t="n">
        <x:v>68</x:v>
      </x:c>
    </x:row>
    <x:row r="64" ht="18.75" customHeight="1">
      <x:c r="A64" s="1" t="str">
        <x:v>https://blog.skyairline.com/mascotas-en-cabina/</x:v>
      </x:c>
      <x:c r="B64" s="1" t="str">
        <x:v>sky mascotas</x:v>
      </x:c>
      <x:c r="C64" s="1" t="str">
        <x:v>chl</x:v>
      </x:c>
      <x:c r="D64" s="1" t="str">
        <x:v>Marca</x:v>
      </x:c>
      <x:c r="E64" s="35" t="n">
        <x:v>17</x:v>
      </x:c>
      <x:c r="F64" s="36" t="n">
        <x:v>1.03</x:v>
      </x:c>
      <x:c r="G64" s="36" t="n">
        <x:f>IF(ISNUMBER(F64),E64*F64,"")</x:f>
        <x:v>17.51</x:v>
      </x:c>
      <x:c r="H64" s="37" t="d">
        <x:v>2026-10-15T00:00:00.000Z</x:v>
      </x:c>
      <x:c r="I64" s="37" t="d">
        <x:v>2026-09-16T12:05:26.000Z</x:v>
      </x:c>
      <x:c r="J64" s="1" t="n">
        <x:f>IF(ISNUMBER(F64),E64,0)</x:f>
        <x:v>17</x:v>
      </x:c>
      <x:c r="K64" s="1"/>
      <x:c r="L64" s="1" t="str">
        <x:v>https://blog.skyairline.com/punta-del-este-montevideo/</x:v>
      </x:c>
      <x:c r="M64" s="1" t="n">
        <x:v>65</x:v>
      </x:c>
    </x:row>
    <x:row r="65" ht="18.75" customHeight="1">
      <x:c r="A65" s="1" t="str">
        <x:v>https://blog.skyairline.com/tipos-de-equipaje/</x:v>
      </x:c>
      <x:c r="B65" s="1" t="str">
        <x:v>sky medidas de equipaje</x:v>
      </x:c>
      <x:c r="C65" s="1" t="str">
        <x:v>per</x:v>
      </x:c>
      <x:c r="D65" s="1" t="str">
        <x:v>Marca</x:v>
      </x:c>
      <x:c r="E65" s="35" t="n">
        <x:v>17</x:v>
      </x:c>
      <x:c r="F65" s="36"/>
      <x:c r="G65" s="36" t="str">
        <x:f>IF(ISNUMBER(F65),E65*F65,"")</x:f>
      </x:c>
      <x:c r="H65" s="37" t="d">
        <x:v>2026-10-15T00:00:00.000Z</x:v>
      </x:c>
      <x:c r="I65" s="37" t="d">
        <x:v>2026-09-15T11:34:40.000Z</x:v>
      </x:c>
      <x:c r="J65" s="1" t="n">
        <x:f>IF(ISNUMBER(F65),E65,0)</x:f>
        <x:v>0</x:v>
      </x:c>
      <x:c r="K65" s="1"/>
      <x:c r="L65" s="1" t="str">
        <x:v>https://blog.skyairline.com/que-es-el-equipaje-documentado/</x:v>
      </x:c>
      <x:c r="M65" s="1" t="n">
        <x:v>64</x:v>
      </x:c>
    </x:row>
    <x:row r="66" ht="18.75" customHeight="1">
      <x:c r="A66" s="1" t="str">
        <x:v>https://blog.skyairline.com/cambiar-vuelo-sky/</x:v>
      </x:c>
      <x:c r="B66" s="1" t="str">
        <x:v>cambiar pasaje sky</x:v>
      </x:c>
      <x:c r="C66" s="1" t="str">
        <x:v>chl</x:v>
      </x:c>
      <x:c r="D66" s="1" t="str">
        <x:v>Marca</x:v>
      </x:c>
      <x:c r="E66" s="35" t="n">
        <x:v>16</x:v>
      </x:c>
      <x:c r="F66" s="36" t="n">
        <x:v>0.77</x:v>
      </x:c>
      <x:c r="G66" s="36" t="n">
        <x:f>IF(ISNUMBER(F66),E66*F66,"")</x:f>
        <x:v>12.32</x:v>
      </x:c>
      <x:c r="H66" s="37" t="d">
        <x:v>2026-10-15T00:00:00.000Z</x:v>
      </x:c>
      <x:c r="I66" s="37" t="d">
        <x:v>2026-09-12T16:52:35.000Z</x:v>
      </x:c>
      <x:c r="J66" s="1" t="n">
        <x:f>IF(ISNUMBER(F66),E66,0)</x:f>
        <x:v>16</x:v>
      </x:c>
      <x:c r="K66" s="1"/>
      <x:c r="L66" s="1" t="str">
        <x:v>https://blog.skyairline.com/como-ir-de-punta-cana-a-santo-domingo/</x:v>
      </x:c>
      <x:c r="M66" s="1" t="n">
        <x:v>63</x:v>
      </x:c>
    </x:row>
    <x:row r="67" ht="18.75" customHeight="1">
      <x:c r="A67" s="1" t="str">
        <x:v>https://blog.skyairline.com/sky-fortalece-su-propuesta-de-valor-para-sus-pasajeros-con-economy-premier/</x:v>
      </x:c>
      <x:c r="B67" s="1" t="str">
        <x:v>economy premier</x:v>
      </x:c>
      <x:c r="C67" s="1" t="str">
        <x:v>chl</x:v>
      </x:c>
      <x:c r="D67" s="1" t="str">
        <x:v>Sin marca</x:v>
      </x:c>
      <x:c r="E67" s="35" t="n">
        <x:v>16</x:v>
      </x:c>
      <x:c r="F67" s="36"/>
      <x:c r="G67" s="36" t="str">
        <x:f>IF(ISNUMBER(F67),E67*F67,"")</x:f>
      </x:c>
      <x:c r="H67" s="37"/>
      <x:c r="I67" s="37"/>
      <x:c r="J67" s="1" t="n">
        <x:f>IF(ISNUMBER(F67),E67,0)</x:f>
        <x:v>0</x:v>
      </x:c>
      <x:c r="K67" s="1"/>
      <x:c r="L67" s="1" t="str">
        <x:v>https://blog.skyairline.com/aerolinea-moderna-y-flexible/</x:v>
      </x:c>
      <x:c r="M67" s="1" t="n">
        <x:v>62</x:v>
      </x:c>
    </x:row>
    <x:row r="68" ht="18.75" customHeight="1">
      <x:c r="A68" s="1" t="str">
        <x:v>https://blog.skyairline.com/sky-fortalece-su-propuesta-de-valor-para-sus-pasajeros-con-economy-premier/</x:v>
      </x:c>
      <x:c r="B68" s="1" t="str">
        <x:v>economy premier sky</x:v>
      </x:c>
      <x:c r="C68" s="1" t="str">
        <x:v>per</x:v>
      </x:c>
      <x:c r="D68" s="1" t="str">
        <x:v>Marca</x:v>
      </x:c>
      <x:c r="E68" s="35" t="n">
        <x:v>16</x:v>
      </x:c>
      <x:c r="F68" s="36"/>
      <x:c r="G68" s="36" t="str">
        <x:f>IF(ISNUMBER(F68),E68*F68,"")</x:f>
      </x:c>
      <x:c r="H68" s="37"/>
      <x:c r="I68" s="37"/>
      <x:c r="J68" s="1" t="n">
        <x:f>IF(ISNUMBER(F68),E68,0)</x:f>
        <x:v>0</x:v>
      </x:c>
      <x:c r="K68" s="1"/>
      <x:c r="L68" s="1" t="str">
        <x:v>https://blog.skyairline.com/que-es-el-check-in/</x:v>
      </x:c>
      <x:c r="M68" s="1" t="n">
        <x:v>60</x:v>
      </x:c>
    </x:row>
    <x:row r="69" ht="18.75" customHeight="1">
      <x:c r="A69" s="1" t="str">
        <x:v>https://blog.skyairline.com/viajar-con-perros/</x:v>
      </x:c>
      <x:c r="B69" s="1" t="str">
        <x:v>sky viaje con mascotas</x:v>
      </x:c>
      <x:c r="C69" s="1" t="str">
        <x:v>chl</x:v>
      </x:c>
      <x:c r="D69" s="1" t="str">
        <x:v>Marca</x:v>
      </x:c>
      <x:c r="E69" s="35" t="n">
        <x:v>16</x:v>
      </x:c>
      <x:c r="F69" s="36"/>
      <x:c r="G69" s="36" t="str">
        <x:f>IF(ISNUMBER(F69),E69*F69,"")</x:f>
      </x:c>
      <x:c r="H69" s="37" t="d">
        <x:v>2026-10-15T00:00:00.000Z</x:v>
      </x:c>
      <x:c r="I69" s="37" t="d">
        <x:v>2026-09-14T10:55:23.000Z</x:v>
      </x:c>
      <x:c r="J69" s="1" t="n">
        <x:f>IF(ISNUMBER(F69),E69,0)</x:f>
        <x:v>0</x:v>
      </x:c>
      <x:c r="K69" s="1"/>
      <x:c r="L69" s="1" t="str">
        <x:v>https://blog.skyairline.com/botiquin-basico-de-viaje/</x:v>
      </x:c>
      <x:c r="M69" s="1" t="n">
        <x:v>57</x:v>
      </x:c>
    </x:row>
    <x:row r="70" ht="18.75" customHeight="1">
      <x:c r="A70" s="1" t="str">
        <x:v>https://blog.skyairline.com/curso-tripulante-cabina/</x:v>
      </x:c>
      <x:c r="B70" s="1" t="str">
        <x:v>sky tripulante de cabina</x:v>
      </x:c>
      <x:c r="C70" s="1" t="str">
        <x:v>per</x:v>
      </x:c>
      <x:c r="D70" s="1" t="str">
        <x:v>Marca</x:v>
      </x:c>
      <x:c r="E70" s="35" t="n">
        <x:v>15</x:v>
      </x:c>
      <x:c r="F70" s="36" t="n">
        <x:v>0.58</x:v>
      </x:c>
      <x:c r="G70" s="36" t="n">
        <x:f>IF(ISNUMBER(F70),E70*F70,"")</x:f>
        <x:v>8.7</x:v>
      </x:c>
      <x:c r="H70" s="37" t="d">
        <x:v>2026-10-15T00:00:00.000Z</x:v>
      </x:c>
      <x:c r="I70" s="37" t="d">
        <x:v>2026-09-17T09:37:17.000Z</x:v>
      </x:c>
      <x:c r="J70" s="1" t="n">
        <x:f>IF(ISNUMBER(F70),E70,0)</x:f>
        <x:v>15</x:v>
      </x:c>
      <x:c r="K70" s="1"/>
      <x:c r="L70" s="1" t="str">
        <x:v>https://blog.skyairline.com/seguro-de-viaje/</x:v>
      </x:c>
      <x:c r="M70" s="1" t="n">
        <x:v>57</x:v>
      </x:c>
    </x:row>
    <x:row r="71" ht="18.75" customHeight="1">
      <x:c r="A71" s="1" t="str">
        <x:v>https://blog.skyairline.com/equipaje-de-bodega/</x:v>
      </x:c>
      <x:c r="B71" s="1" t="str">
        <x:v>sky equipaje</x:v>
      </x:c>
      <x:c r="C71" s="1" t="str">
        <x:v>per</x:v>
      </x:c>
      <x:c r="D71" s="1" t="str">
        <x:v>Marca</x:v>
      </x:c>
      <x:c r="E71" s="35" t="n">
        <x:v>15</x:v>
      </x:c>
      <x:c r="F71" s="36" t="n">
        <x:v>0.63</x:v>
      </x:c>
      <x:c r="G71" s="36" t="n">
        <x:f>IF(ISNUMBER(F71),E71*F71,"")</x:f>
        <x:v>9.45</x:v>
      </x:c>
      <x:c r="H71" s="37" t="d">
        <x:v>2026-10-15T00:00:00.000Z</x:v>
      </x:c>
      <x:c r="I71" s="37" t="d">
        <x:v>2026-09-13T03:15:08.000Z</x:v>
      </x:c>
      <x:c r="J71" s="1" t="n">
        <x:f>IF(ISNUMBER(F71),E71,0)</x:f>
        <x:v>15</x:v>
      </x:c>
      <x:c r="K71" s="1"/>
      <x:c r="L71" s="1" t="str">
        <x:v>https://blog.skyairline.com/como-identificar-fraudes-en-la-compra-de-boletos-de-avion/</x:v>
      </x:c>
      <x:c r="M71" s="1" t="n">
        <x:v>56</x:v>
      </x:c>
    </x:row>
    <x:row r="72" ht="18.75" customHeight="1">
      <x:c r="A72" s="1" t="str">
        <x:v>https://blog.skyairline.com/equipaje-de-cabina/</x:v>
      </x:c>
      <x:c r="B72" s="1" t="str">
        <x:v>equipaje en cabina sky medidas</x:v>
      </x:c>
      <x:c r="C72" s="1" t="str">
        <x:v>chl</x:v>
      </x:c>
      <x:c r="D72" s="1" t="str">
        <x:v>Marca</x:v>
      </x:c>
      <x:c r="E72" s="35" t="n">
        <x:v>15</x:v>
      </x:c>
      <x:c r="F72" s="36"/>
      <x:c r="G72" s="36" t="str">
        <x:f>IF(ISNUMBER(F72),E72*F72,"")</x:f>
      </x:c>
      <x:c r="H72" s="37" t="d">
        <x:v>2026-10-15T00:00:00.000Z</x:v>
      </x:c>
      <x:c r="I72" s="37" t="d">
        <x:v>2026-09-17T07:06:38.000Z</x:v>
      </x:c>
      <x:c r="J72" s="1" t="n">
        <x:f>IF(ISNUMBER(F72),E72,0)</x:f>
        <x:v>0</x:v>
      </x:c>
      <x:c r="K72" s="1"/>
      <x:c r="L72" s="1" t="str">
        <x:v>https://blog.skyairline.com/folklore-de-chile/</x:v>
      </x:c>
      <x:c r="M72" s="1" t="n">
        <x:v>52</x:v>
      </x:c>
    </x:row>
    <x:row r="73" ht="18.75" customHeight="1">
      <x:c r="A73" s="1" t="str">
        <x:v>https://blog.skyairline.com/equipaje-de-cabina/</x:v>
      </x:c>
      <x:c r="B73" s="1" t="str">
        <x:v>medidas bolso de mano sky</x:v>
      </x:c>
      <x:c r="C73" s="1" t="str">
        <x:v>chl</x:v>
      </x:c>
      <x:c r="D73" s="1" t="str">
        <x:v>Marca</x:v>
      </x:c>
      <x:c r="E73" s="35" t="n">
        <x:v>15</x:v>
      </x:c>
      <x:c r="F73" s="36" t="n">
        <x:v>0.16</x:v>
      </x:c>
      <x:c r="G73" s="36" t="n">
        <x:f>IF(ISNUMBER(F73),E73*F73,"")</x:f>
        <x:v>2.4</x:v>
      </x:c>
      <x:c r="H73" s="37" t="d">
        <x:v>2026-10-15T00:00:00.000Z</x:v>
      </x:c>
      <x:c r="I73" s="37" t="d">
        <x:v>2026-09-16T07:08:31.000Z</x:v>
      </x:c>
      <x:c r="J73" s="1" t="n">
        <x:f>IF(ISNUMBER(F73),E73,0)</x:f>
        <x:v>15</x:v>
      </x:c>
      <x:c r="K73" s="1"/>
      <x:c r="L73" s="1" t="str">
        <x:v>https://blog.skyairline.com/santiago-a-mendoza/</x:v>
      </x:c>
      <x:c r="M73" s="1" t="n">
        <x:v>52</x:v>
      </x:c>
    </x:row>
    <x:row r="74" ht="18.75" customHeight="1">
      <x:c r="A74" s="1" t="str">
        <x:v>https://blog.skyairline.com/equipaje-de-cabina/</x:v>
      </x:c>
      <x:c r="B74" s="1" t="str">
        <x:v>medidas sky equipaje de mano</x:v>
      </x:c>
      <x:c r="C74" s="1" t="str">
        <x:v>chl</x:v>
      </x:c>
      <x:c r="D74" s="1" t="str">
        <x:v>Marca</x:v>
      </x:c>
      <x:c r="E74" s="35" t="n">
        <x:v>15</x:v>
      </x:c>
      <x:c r="F74" s="36"/>
      <x:c r="G74" s="36" t="str">
        <x:f>IF(ISNUMBER(F74),E74*F74,"")</x:f>
      </x:c>
      <x:c r="H74" s="37"/>
      <x:c r="I74" s="37"/>
      <x:c r="J74" s="1" t="n">
        <x:f>IF(ISNUMBER(F74),E74,0)</x:f>
        <x:v>0</x:v>
      </x:c>
      <x:c r="K74" s="1"/>
      <x:c r="L74" s="1" t="str">
        <x:v>https://blog.skyairline.com/requisitos-para-viajar-a-mexico-desde-chile/</x:v>
      </x:c>
      <x:c r="M74" s="1" t="n">
        <x:v>50</x:v>
      </x:c>
    </x:row>
    <x:row r="75" ht="18.75" customHeight="1">
      <x:c r="A75" s="1" t="str">
        <x:v>https://blog.skyairline.com/equipaje-de-cabina/</x:v>
      </x:c>
      <x:c r="B75" s="1" t="str">
        <x:v>sky maleta cabina</x:v>
      </x:c>
      <x:c r="C75" s="1" t="str">
        <x:v>chl</x:v>
      </x:c>
      <x:c r="D75" s="1" t="str">
        <x:v>Marca</x:v>
      </x:c>
      <x:c r="E75" s="35" t="n">
        <x:v>15</x:v>
      </x:c>
      <x:c r="F75" s="36"/>
      <x:c r="G75" s="36" t="str">
        <x:f>IF(ISNUMBER(F75),E75*F75,"")</x:f>
      </x:c>
      <x:c r="H75" s="37"/>
      <x:c r="I75" s="37"/>
      <x:c r="J75" s="1" t="n">
        <x:f>IF(ISNUMBER(F75),E75,0)</x:f>
        <x:v>0</x:v>
      </x:c>
      <x:c r="K75" s="1"/>
      <x:c r="L75" s="1" t="str">
        <x:v>https://blog.skyairline.com/airbus-a320/</x:v>
      </x:c>
      <x:c r="M75" s="1" t="n">
        <x:v>49</x:v>
      </x:c>
    </x:row>
    <x:row r="76" ht="18.75" customHeight="1">
      <x:c r="A76" s="1" t="str">
        <x:v>https://blog.skyairline.com/sky-airline-2/</x:v>
      </x:c>
      <x:c r="B76" s="1" t="str">
        <x:v>billetera sky</x:v>
      </x:c>
      <x:c r="C76" s="1" t="str">
        <x:v>chl</x:v>
      </x:c>
      <x:c r="D76" s="1" t="str">
        <x:v>Marca</x:v>
      </x:c>
      <x:c r="E76" s="35" t="n">
        <x:v>15</x:v>
      </x:c>
      <x:c r="F76" s="36" t="n">
        <x:v>0.47</x:v>
      </x:c>
      <x:c r="G76" s="36" t="n">
        <x:f>IF(ISNUMBER(F76),E76*F76,"")</x:f>
        <x:v>7.05</x:v>
      </x:c>
      <x:c r="H76" s="37" t="d">
        <x:v>2026-10-15T00:00:00.000Z</x:v>
      </x:c>
      <x:c r="I76" s="37" t="d">
        <x:v>2026-09-14T07:02:32.000Z</x:v>
      </x:c>
      <x:c r="J76" s="1" t="n">
        <x:f>IF(ISNUMBER(F76),E76,0)</x:f>
        <x:v>15</x:v>
      </x:c>
      <x:c r="K76" s="1"/>
      <x:c r="L76" s="1" t="str">
        <x:v>https://blog.skyairline.com/beto-carrero/</x:v>
      </x:c>
      <x:c r="M76" s="1" t="n">
        <x:v>48</x:v>
      </x:c>
    </x:row>
    <x:row r="77" ht="18.75" customHeight="1">
      <x:c r="A77" s="1" t="str">
        <x:v>https://blog.skyairline.com/sky-plus/</x:v>
      </x:c>
      <x:c r="B77" s="1" t="str">
        <x:v>sky puntos</x:v>
      </x:c>
      <x:c r="C77" s="1" t="str">
        <x:v>chl</x:v>
      </x:c>
      <x:c r="D77" s="1" t="str">
        <x:v>Marca</x:v>
      </x:c>
      <x:c r="E77" s="35" t="n">
        <x:v>15</x:v>
      </x:c>
      <x:c r="F77" s="36" t="n">
        <x:v>0.43</x:v>
      </x:c>
      <x:c r="G77" s="36" t="n">
        <x:f>IF(ISNUMBER(F77),E77*F77,"")</x:f>
        <x:v>6.45</x:v>
      </x:c>
      <x:c r="H77" s="37" t="d">
        <x:v>2026-10-15T00:00:00.000Z</x:v>
      </x:c>
      <x:c r="I77" s="37" t="d">
        <x:v>2026-09-16T00:23:54.999Z</x:v>
      </x:c>
      <x:c r="J77" s="1" t="n">
        <x:f>IF(ISNUMBER(F77),E77,0)</x:f>
        <x:v>15</x:v>
      </x:c>
      <x:c r="K77" s="1"/>
      <x:c r="L77" s="1" t="str">
        <x:v>https://blog.skyairline.com/escoger-una-maleta/</x:v>
      </x:c>
      <x:c r="M77" s="1" t="n">
        <x:v>47</x:v>
      </x:c>
    </x:row>
    <x:row r="78" ht="18.75" customHeight="1">
      <x:c r="A78" s="1" t="str">
        <x:v>https://blog.skyairline.com/tipos-de-equipaje/</x:v>
      </x:c>
      <x:c r="B78" s="1" t="str">
        <x:v>maletas sky</x:v>
      </x:c>
      <x:c r="C78" s="1" t="str">
        <x:v>chl</x:v>
      </x:c>
      <x:c r="D78" s="1" t="str">
        <x:v>Marca</x:v>
      </x:c>
      <x:c r="E78" s="35" t="n">
        <x:v>15</x:v>
      </x:c>
      <x:c r="F78" s="36" t="n">
        <x:v>1.46</x:v>
      </x:c>
      <x:c r="G78" s="36" t="n">
        <x:f>IF(ISNUMBER(F78),E78*F78,"")</x:f>
        <x:v>21.9</x:v>
      </x:c>
      <x:c r="H78" s="37" t="d">
        <x:v>2026-10-15T00:00:00.000Z</x:v>
      </x:c>
      <x:c r="I78" s="37" t="d">
        <x:v>2026-09-15T14:59:52.000Z</x:v>
      </x:c>
      <x:c r="J78" s="1" t="n">
        <x:f>IF(ISNUMBER(F78),E78,0)</x:f>
        <x:v>15</x:v>
      </x:c>
      <x:c r="K78" s="1"/>
      <x:c r="L78" s="1" t="str">
        <x:v>https://blog.skyairline.com/asistencia-al-viajero/</x:v>
      </x:c>
      <x:c r="M78" s="1" t="n">
        <x:v>46</x:v>
      </x:c>
    </x:row>
    <x:row r="79" ht="18.75" customHeight="1">
      <x:c r="A79" s="1" t="str">
        <x:v>https://blog.skyairline.com/tipos-de-equipaje/</x:v>
      </x:c>
      <x:c r="B79" s="1" t="str">
        <x:v>sky equipaje</x:v>
      </x:c>
      <x:c r="C79" s="1" t="str">
        <x:v>ury</x:v>
      </x:c>
      <x:c r="D79" s="1" t="str">
        <x:v>Marca</x:v>
      </x:c>
      <x:c r="E79" s="35" t="n">
        <x:v>15</x:v>
      </x:c>
      <x:c r="F79" s="36"/>
      <x:c r="G79" s="36" t="str">
        <x:f>IF(ISNUMBER(F79),E79*F79,"")</x:f>
      </x:c>
      <x:c r="H79" s="37"/>
      <x:c r="I79" s="37"/>
      <x:c r="J79" s="1" t="n">
        <x:f>IF(ISNUMBER(F79),E79,0)</x:f>
        <x:v>0</x:v>
      </x:c>
      <x:c r="K79" s="1"/>
      <x:c r="L79" s="1" t="str">
        <x:v>https://blog.skyairline.com/servicios-de-aerolinea/</x:v>
      </x:c>
      <x:c r="M79" s="1" t="n">
        <x:v>46</x:v>
      </x:c>
    </x:row>
    <x:row r="80" ht="18.75" customHeight="1">
      <x:c r="A80" s="1" t="str">
        <x:v>https://blog.skyairline.com/viajar-con-perros/</x:v>
      </x:c>
      <x:c r="B80" s="1" t="str">
        <x:v>sky mascotas</x:v>
      </x:c>
      <x:c r="C80" s="1" t="str">
        <x:v>per</x:v>
      </x:c>
      <x:c r="D80" s="1" t="str">
        <x:v>Marca</x:v>
      </x:c>
      <x:c r="E80" s="35" t="n">
        <x:v>15</x:v>
      </x:c>
      <x:c r="F80" s="36" t="n">
        <x:v>0.58</x:v>
      </x:c>
      <x:c r="G80" s="36" t="n">
        <x:f>IF(ISNUMBER(F80),E80*F80,"")</x:f>
        <x:v>8.7</x:v>
      </x:c>
      <x:c r="H80" s="37" t="d">
        <x:v>2026-10-15T00:00:00.000Z</x:v>
      </x:c>
      <x:c r="I80" s="37" t="d">
        <x:v>2026-09-16T03:04:54.000Z</x:v>
      </x:c>
      <x:c r="J80" s="1" t="n">
        <x:f>IF(ISNUMBER(F80),E80,0)</x:f>
        <x:v>15</x:v>
      </x:c>
      <x:c r="K80" s="1"/>
      <x:c r="L80" s="1" t="str">
        <x:v>https://blog.skyairline.com/aeropuerto-temuco/</x:v>
      </x:c>
      <x:c r="M80" s="1" t="n">
        <x:v>45</x:v>
      </x:c>
    </x:row>
    <x:row r="81" ht="18.75" customHeight="1">
      <x:c r="A81" s="1" t="str">
        <x:v>https://blog.skyairline.com/cambiar-vuelo-sky/</x:v>
      </x:c>
      <x:c r="B81" s="1" t="str">
        <x:v>cambio de pasaje sky</x:v>
      </x:c>
      <x:c r="C81" s="1" t="str">
        <x:v>chl</x:v>
      </x:c>
      <x:c r="D81" s="1" t="str">
        <x:v>Marca</x:v>
      </x:c>
      <x:c r="E81" s="35" t="n">
        <x:v>14</x:v>
      </x:c>
      <x:c r="F81" s="36" t="n">
        <x:v>0.48</x:v>
      </x:c>
      <x:c r="G81" s="36" t="n">
        <x:f>IF(ISNUMBER(F81),E81*F81,"")</x:f>
        <x:v>6.72</x:v>
      </x:c>
      <x:c r="H81" s="37" t="d">
        <x:v>2026-10-15T00:00:00.000Z</x:v>
      </x:c>
      <x:c r="I81" s="37" t="d">
        <x:v>2026-09-16T08:54:54.000Z</x:v>
      </x:c>
      <x:c r="J81" s="1" t="n">
        <x:f>IF(ISNUMBER(F81),E81,0)</x:f>
        <x:v>14</x:v>
      </x:c>
      <x:c r="K81" s="1"/>
      <x:c r="L81" s="1" t="str">
        <x:v>https://blog.skyairline.com/donde-queda-punta-cana/</x:v>
      </x:c>
      <x:c r="M81" s="1" t="n">
        <x:v>45</x:v>
      </x:c>
    </x:row>
    <x:row r="82" ht="18.75" customHeight="1">
      <x:c r="A82" s="1" t="str">
        <x:v>https://blog.skyairline.com/categoria/oportunidades/</x:v>
      </x:c>
      <x:c r="B82" s="1" t="str">
        <x:v>sky empleos</x:v>
      </x:c>
      <x:c r="C82" s="1" t="str">
        <x:v>chl</x:v>
      </x:c>
      <x:c r="D82" s="1" t="str">
        <x:v>Marca</x:v>
      </x:c>
      <x:c r="E82" s="35" t="n">
        <x:v>14</x:v>
      </x:c>
      <x:c r="F82" s="36" t="n">
        <x:v>0.01</x:v>
      </x:c>
      <x:c r="G82" s="36" t="n">
        <x:f>IF(ISNUMBER(F82),E82*F82,"")</x:f>
        <x:v>0.14</x:v>
      </x:c>
      <x:c r="H82" s="37" t="d">
        <x:v>2026-10-15T00:00:00.000Z</x:v>
      </x:c>
      <x:c r="I82" s="37" t="d">
        <x:v>2026-09-15T07:13:37.000Z</x:v>
      </x:c>
      <x:c r="J82" s="1" t="n">
        <x:f>IF(ISNUMBER(F82),E82,0)</x:f>
        <x:v>14</x:v>
      </x:c>
      <x:c r="K82" s="1"/>
      <x:c r="L82" s="1" t="str">
        <x:v>https://blog.skyairline.com/lugares-nieve-chile/</x:v>
      </x:c>
      <x:c r="M82" s="1" t="n">
        <x:v>44</x:v>
      </x:c>
    </x:row>
    <x:row r="83" ht="18.75" customHeight="1">
      <x:c r="A83" s="1" t="str">
        <x:v>https://blog.skyairline.com/enchufe-brasil/</x:v>
      </x:c>
      <x:c r="B83" s="1" t="str">
        <x:v>enchufe brasil</x:v>
      </x:c>
      <x:c r="C83" s="1" t="str">
        <x:v>chl</x:v>
      </x:c>
      <x:c r="D83" s="1" t="str">
        <x:v>Sin marca</x:v>
      </x:c>
      <x:c r="E83" s="35" t="n">
        <x:v>14</x:v>
      </x:c>
      <x:c r="F83" s="36" t="n">
        <x:v>0.16</x:v>
      </x:c>
      <x:c r="G83" s="36" t="n">
        <x:f>IF(ISNUMBER(F83),E83*F83,"")</x:f>
        <x:v>2.24</x:v>
      </x:c>
      <x:c r="H83" s="37" t="d">
        <x:v>2026-10-15T00:00:00.000Z</x:v>
      </x:c>
      <x:c r="I83" s="37" t="d">
        <x:v>2026-09-16T18:02:56.000Z</x:v>
      </x:c>
      <x:c r="J83" s="1" t="n">
        <x:f>IF(ISNUMBER(F83),E83,0)</x:f>
        <x:v>14</x:v>
      </x:c>
      <x:c r="K83" s="1"/>
      <x:c r="L83" s="1" t="str">
        <x:v>https://blog.skyairline.com/aeropuerto-santiago/</x:v>
      </x:c>
      <x:c r="M83" s="1" t="n">
        <x:v>43</x:v>
      </x:c>
    </x:row>
    <x:row r="84" ht="18.75" customHeight="1">
      <x:c r="A84" s="1" t="str">
        <x:v>https://blog.skyairline.com/equipaje-de-cabina/</x:v>
      </x:c>
      <x:c r="B84" s="1" t="str">
        <x:v>equipaje de mano sky medidas</x:v>
      </x:c>
      <x:c r="C84" s="1" t="str">
        <x:v>per</x:v>
      </x:c>
      <x:c r="D84" s="1" t="str">
        <x:v>Marca</x:v>
      </x:c>
      <x:c r="E84" s="35" t="n">
        <x:v>14</x:v>
      </x:c>
      <x:c r="F84" s="36"/>
      <x:c r="G84" s="36" t="str">
        <x:f>IF(ISNUMBER(F84),E84*F84,"")</x:f>
      </x:c>
      <x:c r="H84" s="37" t="d">
        <x:v>2026-10-15T00:00:00.000Z</x:v>
      </x:c>
      <x:c r="I84" s="37" t="d">
        <x:v>2026-10-15T15:02:04.000Z</x:v>
      </x:c>
      <x:c r="J84" s="1" t="n">
        <x:f>IF(ISNUMBER(F84),E84,0)</x:f>
        <x:v>0</x:v>
      </x:c>
      <x:c r="K84" s="1"/>
      <x:c r="L84" s="1" t="str">
        <x:v>https://blog.skyairline.com/clima-florianopolis/</x:v>
      </x:c>
      <x:c r="M84" s="1" t="n">
        <x:v>43</x:v>
      </x:c>
    </x:row>
    <x:row r="85" ht="18.75" customHeight="1">
      <x:c r="A85" s="1" t="str">
        <x:v>https://blog.skyairline.com/equipaje-de-cabina/</x:v>
      </x:c>
      <x:c r="B85" s="1" t="str">
        <x:v>medidas maleta de cabina sky</x:v>
      </x:c>
      <x:c r="C85" s="1" t="str">
        <x:v>chl</x:v>
      </x:c>
      <x:c r="D85" s="1" t="str">
        <x:v>Marca</x:v>
      </x:c>
      <x:c r="E85" s="35" t="n">
        <x:v>14</x:v>
      </x:c>
      <x:c r="F85" s="36"/>
      <x:c r="G85" s="36" t="str">
        <x:f>IF(ISNUMBER(F85),E85*F85,"")</x:f>
      </x:c>
      <x:c r="H85" s="37" t="d">
        <x:v>2026-10-15T00:00:00.000Z</x:v>
      </x:c>
      <x:c r="I85" s="37" t="d">
        <x:v>2026-09-14T04:11:03.999Z</x:v>
      </x:c>
      <x:c r="J85" s="1" t="n">
        <x:f>IF(ISNUMBER(F85),E85,0)</x:f>
        <x:v>0</x:v>
      </x:c>
      <x:c r="K85" s="1"/>
      <x:c r="L85" s="1" t="str">
        <x:v>https://blog.skyairline.com/viaje-a-peru/</x:v>
      </x:c>
      <x:c r="M85" s="1" t="n">
        <x:v>42</x:v>
      </x:c>
    </x:row>
    <x:row r="86" ht="18.75" customHeight="1">
      <x:c r="A86" s="1" t="str">
        <x:v>https://blog.skyairline.com/equipaje-de-cabina/</x:v>
      </x:c>
      <x:c r="B86" s="1" t="str">
        <x:v>sky mochila de mano</x:v>
      </x:c>
      <x:c r="C86" s="1" t="str">
        <x:v>chl</x:v>
      </x:c>
      <x:c r="D86" s="1" t="str">
        <x:v>Marca</x:v>
      </x:c>
      <x:c r="E86" s="35" t="n">
        <x:v>14</x:v>
      </x:c>
      <x:c r="F86" s="36"/>
      <x:c r="G86" s="36" t="str">
        <x:f>IF(ISNUMBER(F86),E86*F86,"")</x:f>
      </x:c>
      <x:c r="H86" s="37"/>
      <x:c r="I86" s="37"/>
      <x:c r="J86" s="1" t="n">
        <x:f>IF(ISNUMBER(F86),E86,0)</x:f>
        <x:v>0</x:v>
      </x:c>
      <x:c r="K86" s="1"/>
      <x:c r="L86" s="1" t="str">
        <x:v>https://blog.skyairline.com/estacionamiento-aeropuerto-santiago/</x:v>
      </x:c>
      <x:c r="M86" s="1" t="n">
        <x:v>41</x:v>
      </x:c>
    </x:row>
    <x:row r="87" ht="18.75" customHeight="1">
      <x:c r="A87" s="1" t="str">
        <x:v>https://blog.skyairline.com/sky-fortalece-su-propuesta-de-valor-para-sus-pasajeros-con-economy-premier/</x:v>
      </x:c>
      <x:c r="B87" s="1" t="str">
        <x:v>sky economy premier</x:v>
      </x:c>
      <x:c r="C87" s="1" t="str">
        <x:v>per</x:v>
      </x:c>
      <x:c r="D87" s="1" t="str">
        <x:v>Marca</x:v>
      </x:c>
      <x:c r="E87" s="35" t="n">
        <x:v>14</x:v>
      </x:c>
      <x:c r="F87" s="36"/>
      <x:c r="G87" s="36" t="str">
        <x:f>IF(ISNUMBER(F87),E87*F87,"")</x:f>
      </x:c>
      <x:c r="H87" s="37"/>
      <x:c r="I87" s="37"/>
      <x:c r="J87" s="1" t="n">
        <x:f>IF(ISNUMBER(F87),E87,0)</x:f>
        <x:v>0</x:v>
      </x:c>
      <x:c r="K87" s="1"/>
      <x:c r="L87" s="1" t="str">
        <x:v>https://blog.skyairline.com/copec-y-sky-se-unen-para-integrar-chile/</x:v>
      </x:c>
      <x:c r="M87" s="1" t="n">
        <x:v>39</x:v>
      </x:c>
    </x:row>
    <x:row r="88" ht="18.75" customHeight="1">
      <x:c r="A88" s="1" t="str">
        <x:v>https://blog.skyairline.com/tipos-de-equipaje/</x:v>
      </x:c>
      <x:c r="B88" s="1" t="str">
        <x:v>equipaje sky airlines</x:v>
      </x:c>
      <x:c r="C88" s="1" t="str">
        <x:v>per</x:v>
      </x:c>
      <x:c r="D88" s="1" t="str">
        <x:v>Marca</x:v>
      </x:c>
      <x:c r="E88" s="35" t="n">
        <x:v>14</x:v>
      </x:c>
      <x:c r="F88" s="36"/>
      <x:c r="G88" s="36" t="str">
        <x:f>IF(ISNUMBER(F88),E88*F88,"")</x:f>
      </x:c>
      <x:c r="H88" s="37" t="d">
        <x:v>2026-10-15T00:00:00.000Z</x:v>
      </x:c>
      <x:c r="I88" s="37" t="d">
        <x:v>2026-09-16T16:09:30.000Z</x:v>
      </x:c>
      <x:c r="J88" s="1" t="n">
        <x:f>IF(ISNUMBER(F88),E88,0)</x:f>
        <x:v>0</x:v>
      </x:c>
      <x:c r="K88" s="1"/>
      <x:c r="L88" s="1" t="str">
        <x:v>https://blog.skyairline.com/estado-de-vuelo/</x:v>
      </x:c>
      <x:c r="M88" s="1" t="n">
        <x:v>39</x:v>
      </x:c>
    </x:row>
    <x:row r="89" ht="18.75" customHeight="1">
      <x:c r="A89" s="1" t="str">
        <x:v>https://blog.skyairline.com/curso-tripulante-cabina/</x:v>
      </x:c>
      <x:c r="B89" s="1" t="str">
        <x:v>sky postulaciones tripulante de cabina</x:v>
      </x:c>
      <x:c r="C89" s="1" t="str">
        <x:v>chl</x:v>
      </x:c>
      <x:c r="D89" s="1" t="str">
        <x:v>Marca</x:v>
      </x:c>
      <x:c r="E89" s="35" t="n">
        <x:v>13</x:v>
      </x:c>
      <x:c r="F89" s="36" t="n">
        <x:v>0.62</x:v>
      </x:c>
      <x:c r="G89" s="36" t="n">
        <x:f>IF(ISNUMBER(F89),E89*F89,"")</x:f>
        <x:v>8.06</x:v>
      </x:c>
      <x:c r="H89" s="37" t="d">
        <x:v>2026-10-15T00:00:00.000Z</x:v>
      </x:c>
      <x:c r="I89" s="37" t="d">
        <x:v>2026-09-13T22:26:24.000Z</x:v>
      </x:c>
      <x:c r="J89" s="1" t="n">
        <x:f>IF(ISNUMBER(F89),E89,0)</x:f>
        <x:v>13</x:v>
      </x:c>
      <x:c r="K89" s="1"/>
      <x:c r="L89" s="1" t="str">
        <x:v>https://blog.skyairline.com/salvador-de-bahia/</x:v>
      </x:c>
      <x:c r="M89" s="1" t="n">
        <x:v>39</x:v>
      </x:c>
    </x:row>
    <x:row r="90" ht="18.75" customHeight="1">
      <x:c r="A90" s="1" t="str">
        <x:v>https://blog.skyairline.com/equipaje-de-bodega/</x:v>
      </x:c>
      <x:c r="B90" s="1" t="str">
        <x:v>equipaje de mano sky</x:v>
      </x:c>
      <x:c r="C90" s="1" t="str">
        <x:v>chl</x:v>
      </x:c>
      <x:c r="D90" s="1" t="str">
        <x:v>Marca</x:v>
      </x:c>
      <x:c r="E90" s="35" t="n">
        <x:v>13</x:v>
      </x:c>
      <x:c r="F90" s="36" t="n">
        <x:v>0.4</x:v>
      </x:c>
      <x:c r="G90" s="36" t="n">
        <x:f>IF(ISNUMBER(F90),E90*F90,"")</x:f>
        <x:v>5.2</x:v>
      </x:c>
      <x:c r="H90" s="37" t="d">
        <x:v>2026-10-15T00:00:00.000Z</x:v>
      </x:c>
      <x:c r="I90" s="37" t="d">
        <x:v>2026-10-15T04:49:49.999Z</x:v>
      </x:c>
      <x:c r="J90" s="1" t="n">
        <x:f>IF(ISNUMBER(F90),E90,0)</x:f>
        <x:v>13</x:v>
      </x:c>
      <x:c r="K90" s="1"/>
      <x:c r="L90" s="1" t="str">
        <x:v>https://blog.skyairline.com/vuelos-multidestino/</x:v>
      </x:c>
      <x:c r="M90" s="1" t="n">
        <x:v>38</x:v>
      </x:c>
    </x:row>
    <x:row r="91" ht="18.75" customHeight="1">
      <x:c r="A91" s="1" t="str">
        <x:v>https://blog.skyairline.com/equipaje-de-bodega/</x:v>
      </x:c>
      <x:c r="B91" s="1" t="str">
        <x:v>medidas de bolso de mano sky</x:v>
      </x:c>
      <x:c r="C91" s="1" t="str">
        <x:v>per</x:v>
      </x:c>
      <x:c r="D91" s="1" t="str">
        <x:v>Marca</x:v>
      </x:c>
      <x:c r="E91" s="35" t="n">
        <x:v>13</x:v>
      </x:c>
      <x:c r="F91" s="36"/>
      <x:c r="G91" s="36" t="str">
        <x:f>IF(ISNUMBER(F91),E91*F91,"")</x:f>
      </x:c>
      <x:c r="H91" s="37"/>
      <x:c r="I91" s="37"/>
      <x:c r="J91" s="1" t="n">
        <x:f>IF(ISNUMBER(F91),E91,0)</x:f>
        <x:v>0</x:v>
      </x:c>
      <x:c r="K91" s="1"/>
      <x:c r="L91" s="1" t="str">
        <x:v>https://blog.skyairline.com/aeropuertos-en-el-sur-de-chile/</x:v>
      </x:c>
      <x:c r="M91" s="1" t="n">
        <x:v>37</x:v>
      </x:c>
    </x:row>
    <x:row r="92" ht="18.75" customHeight="1">
      <x:c r="A92" s="1" t="str">
        <x:v>https://blog.skyairline.com/equipaje-de-bodega/</x:v>
      </x:c>
      <x:c r="B92" s="1" t="str">
        <x:v>medidas mochila sky</x:v>
      </x:c>
      <x:c r="C92" s="1" t="str">
        <x:v>per</x:v>
      </x:c>
      <x:c r="D92" s="1" t="str">
        <x:v>Marca</x:v>
      </x:c>
      <x:c r="E92" s="35" t="n">
        <x:v>13</x:v>
      </x:c>
      <x:c r="F92" s="36"/>
      <x:c r="G92" s="36" t="str">
        <x:f>IF(ISNUMBER(F92),E92*F92,"")</x:f>
      </x:c>
      <x:c r="H92" s="37" t="d">
        <x:v>2026-10-15T00:00:00.000Z</x:v>
      </x:c>
      <x:c r="I92" s="37" t="d">
        <x:v>2026-09-17T14:30:31.000Z</x:v>
      </x:c>
      <x:c r="J92" s="1" t="n">
        <x:f>IF(ISNUMBER(F92),E92,0)</x:f>
        <x:v>0</x:v>
      </x:c>
      <x:c r="K92" s="1"/>
      <x:c r="L92" s="1" t="str">
        <x:v>https://blog.skyairline.com/florianopolis-a-rio-de-janeiro/</x:v>
      </x:c>
      <x:c r="M92" s="1" t="n">
        <x:v>37</x:v>
      </x:c>
    </x:row>
    <x:row r="93" ht="18.75" customHeight="1">
      <x:c r="A93" s="1" t="str">
        <x:v>https://blog.skyairline.com/equipaje-de-bodega/</x:v>
      </x:c>
      <x:c r="B93" s="1" t="str">
        <x:v>sky equipaje de bodega</x:v>
      </x:c>
      <x:c r="C93" s="1" t="str">
        <x:v>per</x:v>
      </x:c>
      <x:c r="D93" s="1" t="str">
        <x:v>Marca</x:v>
      </x:c>
      <x:c r="E93" s="35" t="n">
        <x:v>13</x:v>
      </x:c>
      <x:c r="F93" s="36" t="n">
        <x:v>0.89</x:v>
      </x:c>
      <x:c r="G93" s="36" t="n">
        <x:f>IF(ISNUMBER(F93),E93*F93,"")</x:f>
        <x:v>11.57</x:v>
      </x:c>
      <x:c r="H93" s="37" t="d">
        <x:v>2026-10-15T00:00:00.000Z</x:v>
      </x:c>
      <x:c r="I93" s="37" t="d">
        <x:v>2026-09-17T13:40:51.000Z</x:v>
      </x:c>
      <x:c r="J93" s="1" t="n">
        <x:f>IF(ISNUMBER(F93),E93,0)</x:f>
        <x:v>13</x:v>
      </x:c>
      <x:c r="K93" s="1"/>
      <x:c r="L93" s="1" t="str">
        <x:v>https://blog.skyairline.com/comidas-y-bebidas-tipicas-del-18-de-septiembre/</x:v>
      </x:c>
      <x:c r="M93" s="1" t="n">
        <x:v>36</x:v>
      </x:c>
    </x:row>
    <x:row r="94" ht="18.75" customHeight="1">
      <x:c r="A94" s="1" t="str">
        <x:v>https://blog.skyairline.com/equipaje-de-cabina/</x:v>
      </x:c>
      <x:c r="B94" s="1" t="str">
        <x:v>equipaje de cabina sky</x:v>
      </x:c>
      <x:c r="C94" s="1" t="str">
        <x:v>per</x:v>
      </x:c>
      <x:c r="D94" s="1" t="str">
        <x:v>Marca</x:v>
      </x:c>
      <x:c r="E94" s="35" t="n">
        <x:v>13</x:v>
      </x:c>
      <x:c r="F94" s="36" t="n">
        <x:v>0.02</x:v>
      </x:c>
      <x:c r="G94" s="36" t="n">
        <x:f>IF(ISNUMBER(F94),E94*F94,"")</x:f>
        <x:v>0.26</x:v>
      </x:c>
      <x:c r="H94" s="37" t="d">
        <x:v>2026-10-15T00:00:00.000Z</x:v>
      </x:c>
      <x:c r="I94" s="37" t="d">
        <x:v>2026-09-13T19:00:49.000Z</x:v>
      </x:c>
      <x:c r="J94" s="1" t="n">
        <x:f>IF(ISNUMBER(F94),E94,0)</x:f>
        <x:v>13</x:v>
      </x:c>
      <x:c r="K94" s="1"/>
      <x:c r="L94" s="1" t="str">
        <x:v>https://blog.skyairline.com/caracteristicas-de-la-zona-sur-de-chile-geografia-y-biodiversidad/</x:v>
      </x:c>
      <x:c r="M94" s="1" t="n">
        <x:v>33</x:v>
      </x:c>
    </x:row>
    <x:row r="95" ht="18.75" customHeight="1">
      <x:c r="A95" s="1" t="str">
        <x:v>https://blog.skyairline.com/estaciones-en-chile/</x:v>
      </x:c>
      <x:c r="B95" s="1" t="str">
        <x:v>en que estacion del año estamos</x:v>
      </x:c>
      <x:c r="C95" s="1" t="str">
        <x:v>chl</x:v>
      </x:c>
      <x:c r="D95" s="1" t="str">
        <x:v>Sin marca</x:v>
      </x:c>
      <x:c r="E95" s="35" t="n">
        <x:v>13</x:v>
      </x:c>
      <x:c r="F95" s="36"/>
      <x:c r="G95" s="36" t="str">
        <x:f>IF(ISNUMBER(F95),E95*F95,"")</x:f>
      </x:c>
      <x:c r="H95" s="37" t="d">
        <x:v>2026-10-15T00:00:00.000Z</x:v>
      </x:c>
      <x:c r="I95" s="37" t="d">
        <x:v>2026-09-12T19:49:14.000Z</x:v>
      </x:c>
      <x:c r="J95" s="1" t="n">
        <x:f>IF(ISNUMBER(F95),E95,0)</x:f>
        <x:v>0</x:v>
      </x:c>
      <x:c r="K95" s="1"/>
      <x:c r="L95" s="1" t="str">
        <x:v>https://blog.skyairline.com/viajar-en-grupo/</x:v>
      </x:c>
      <x:c r="M95" s="1" t="n">
        <x:v>33</x:v>
      </x:c>
    </x:row>
    <x:row r="96" ht="18.75" customHeight="1">
      <x:c r="A96" s="1" t="str">
        <x:v>https://blog.skyairline.com/platos-tipicos-de-lima/</x:v>
      </x:c>
      <x:c r="B96" s="1" t="str">
        <x:v>platos tipicos lima</x:v>
      </x:c>
      <x:c r="C96" s="1" t="str">
        <x:v>per</x:v>
      </x:c>
      <x:c r="D96" s="1" t="str">
        <x:v>Sin marca</x:v>
      </x:c>
      <x:c r="E96" s="35" t="n">
        <x:v>13</x:v>
      </x:c>
      <x:c r="F96" s="36"/>
      <x:c r="G96" s="36" t="str">
        <x:f>IF(ISNUMBER(F96),E96*F96,"")</x:f>
      </x:c>
      <x:c r="H96" s="37" t="d">
        <x:v>2026-10-15T00:00:00.000Z</x:v>
      </x:c>
      <x:c r="I96" s="37" t="d">
        <x:v>2026-09-15T18:13:08.000Z</x:v>
      </x:c>
      <x:c r="J96" s="1" t="n">
        <x:f>IF(ISNUMBER(F96),E96,0)</x:f>
        <x:v>0</x:v>
      </x:c>
      <x:c r="K96" s="1"/>
      <x:c r="L96" s="1" t="str">
        <x:v>https://blog.skyairline.com/mejores-asientos-avion/</x:v>
      </x:c>
      <x:c r="M96" s="1" t="n">
        <x:v>32</x:v>
      </x:c>
    </x:row>
    <x:row r="97" ht="18.75" customHeight="1">
      <x:c r="A97" s="1" t="str">
        <x:v>https://blog.skyairline.com/cambiar-vuelo-sky/</x:v>
      </x:c>
      <x:c r="B97" s="1" t="str">
        <x:v>cambio de vuelo sky</x:v>
      </x:c>
      <x:c r="C97" s="1" t="str">
        <x:v>chl</x:v>
      </x:c>
      <x:c r="D97" s="1" t="str">
        <x:v>Marca</x:v>
      </x:c>
      <x:c r="E97" s="35" t="n">
        <x:v>12</x:v>
      </x:c>
      <x:c r="F97" s="36" t="n">
        <x:v>0.58</x:v>
      </x:c>
      <x:c r="G97" s="36" t="n">
        <x:f>IF(ISNUMBER(F97),E97*F97,"")</x:f>
        <x:v>6.959999999999999</x:v>
      </x:c>
      <x:c r="H97" s="37" t="d">
        <x:v>2026-10-15T00:00:00.000Z</x:v>
      </x:c>
      <x:c r="I97" s="37" t="d">
        <x:v>2026-09-16T14:57:00.000Z</x:v>
      </x:c>
      <x:c r="J97" s="1" t="n">
        <x:f>IF(ISNUMBER(F97),E97,0)</x:f>
        <x:v>12</x:v>
      </x:c>
      <x:c r="K97" s="1"/>
      <x:c r="L97" s="1" t="str">
        <x:v>https://blog.skyairline.com/angra-dos-reis/</x:v>
      </x:c>
      <x:c r="M97" s="1" t="n">
        <x:v>31</x:v>
      </x:c>
    </x:row>
    <x:row r="98" ht="18.75" customHeight="1">
      <x:c r="A98" s="1" t="str">
        <x:v>https://blog.skyairline.com/categoria/oportunidades/</x:v>
      </x:c>
      <x:c r="B98" s="1" t="str">
        <x:v>trabaja con nosotros sky</x:v>
      </x:c>
      <x:c r="C98" s="1" t="str">
        <x:v>chl</x:v>
      </x:c>
      <x:c r="D98" s="1" t="str">
        <x:v>Marca</x:v>
      </x:c>
      <x:c r="E98" s="35" t="n">
        <x:v>12</x:v>
      </x:c>
      <x:c r="F98" s="36"/>
      <x:c r="G98" s="36" t="str">
        <x:f>IF(ISNUMBER(F98),E98*F98,"")</x:f>
      </x:c>
      <x:c r="H98" s="37"/>
      <x:c r="I98" s="37"/>
      <x:c r="J98" s="1" t="n">
        <x:f>IF(ISNUMBER(F98),E98,0)</x:f>
        <x:v>0</x:v>
      </x:c>
      <x:c r="K98" s="1"/>
      <x:c r="L98" s="1" t="str">
        <x:v>https://blog.skyairline.com/centros-comerciales-en-mendoza/</x:v>
      </x:c>
      <x:c r="M98" s="1" t="n">
        <x:v>31</x:v>
      </x:c>
    </x:row>
    <x:row r="99" ht="18.75" customHeight="1">
      <x:c r="A99" s="1" t="str">
        <x:v>https://blog.skyairline.com/curso-tripulante-cabina/</x:v>
      </x:c>
      <x:c r="B99" s="1" t="str">
        <x:v>tripulante de cabina sky</x:v>
      </x:c>
      <x:c r="C99" s="1" t="str">
        <x:v>per</x:v>
      </x:c>
      <x:c r="D99" s="1" t="str">
        <x:v>Marca</x:v>
      </x:c>
      <x:c r="E99" s="35" t="n">
        <x:v>12</x:v>
      </x:c>
      <x:c r="F99" s="36"/>
      <x:c r="G99" s="36" t="str">
        <x:f>IF(ISNUMBER(F99),E99*F99,"")</x:f>
      </x:c>
      <x:c r="H99" s="37" t="d">
        <x:v>2026-10-15T00:00:00.000Z</x:v>
      </x:c>
      <x:c r="I99" s="37" t="d">
        <x:v>2026-09-17T21:06:16.000Z</x:v>
      </x:c>
      <x:c r="J99" s="1" t="n">
        <x:f>IF(ISNUMBER(F99),E99,0)</x:f>
        <x:v>0</x:v>
      </x:c>
      <x:c r="K99" s="1"/>
      <x:c r="L99" s="1" t="str">
        <x:v>https://blog.skyairline.com/musica-tipica-de-brasil/</x:v>
      </x:c>
      <x:c r="M99" s="1" t="n">
        <x:v>31</x:v>
      </x:c>
    </x:row>
    <x:row r="100" ht="18.75" customHeight="1">
      <x:c r="A100" s="1" t="str">
        <x:v>https://blog.skyairline.com/equipaje-de-bodega/</x:v>
      </x:c>
      <x:c r="B100" s="1" t="str">
        <x:v>dimensiones bolso de mano sky</x:v>
      </x:c>
      <x:c r="C100" s="1" t="str">
        <x:v>chl</x:v>
      </x:c>
      <x:c r="D100" s="1" t="str">
        <x:v>Marca</x:v>
      </x:c>
      <x:c r="E100" s="35" t="n">
        <x:v>12</x:v>
      </x:c>
      <x:c r="F100" s="36"/>
      <x:c r="G100" s="36" t="str">
        <x:f>IF(ISNUMBER(F100),E100*F100,"")</x:f>
      </x:c>
      <x:c r="H100" s="37"/>
      <x:c r="I100" s="37"/>
      <x:c r="J100" s="1" t="n">
        <x:f>IF(ISNUMBER(F100),E100,0)</x:f>
        <x:v>0</x:v>
      </x:c>
      <x:c r="K100" s="1"/>
      <x:c r="L100" s="1" t="str">
        <x:v>https://blog.skyairline.com/que-estudia-tripulante-cabina/</x:v>
      </x:c>
      <x:c r="M100" s="1" t="n">
        <x:v>30</x:v>
      </x:c>
    </x:row>
    <x:row r="101" ht="18.75" customHeight="1">
      <x:c r="A101" s="1" t="str">
        <x:v>https://blog.skyairline.com/equipaje-de-bodega/</x:v>
      </x:c>
      <x:c r="B101" s="1" t="str">
        <x:v>medidas equipaje sky</x:v>
      </x:c>
      <x:c r="C101" s="1" t="str">
        <x:v>chl</x:v>
      </x:c>
      <x:c r="D101" s="1" t="str">
        <x:v>Marca</x:v>
      </x:c>
      <x:c r="E101" s="35" t="n">
        <x:v>12</x:v>
      </x:c>
      <x:c r="F101" s="36"/>
      <x:c r="G101" s="36" t="str">
        <x:f>IF(ISNUMBER(F101),E101*F101,"")</x:f>
      </x:c>
      <x:c r="H101" s="37" t="d">
        <x:v>2026-10-15T00:00:00.000Z</x:v>
      </x:c>
      <x:c r="I101" s="37" t="d">
        <x:v>2026-09-16T17:10:37.999Z</x:v>
      </x:c>
      <x:c r="J101" s="1" t="n">
        <x:f>IF(ISNUMBER(F101),E101,0)</x:f>
        <x:v>0</x:v>
      </x:c>
      <x:c r="K101" s="1"/>
      <x:c r="L101" s="1" t="str">
        <x:v>https://blog.skyairline.com/lugares-polanco/</x:v>
      </x:c>
      <x:c r="M101" s="1" t="n">
        <x:v>29</x:v>
      </x:c>
    </x:row>
    <x:row r="102" ht="18.75" customHeight="1">
      <x:c r="A102" s="1" t="str">
        <x:v>https://blog.skyairline.com/equipaje-de-cabina/</x:v>
      </x:c>
      <x:c r="B102" s="1" t="str">
        <x:v>bolso de mano sky medidas</x:v>
      </x:c>
      <x:c r="C102" s="1" t="str">
        <x:v>chl</x:v>
      </x:c>
      <x:c r="D102" s="1" t="str">
        <x:v>Marca</x:v>
      </x:c>
      <x:c r="E102" s="35" t="n">
        <x:v>12</x:v>
      </x:c>
      <x:c r="F102" s="36" t="n">
        <x:v>0.02</x:v>
      </x:c>
      <x:c r="G102" s="36" t="n">
        <x:f>IF(ISNUMBER(F102),E102*F102,"")</x:f>
        <x:v>0.24</x:v>
      </x:c>
      <x:c r="H102" s="37" t="d">
        <x:v>2026-10-15T00:00:00.000Z</x:v>
      </x:c>
      <x:c r="I102" s="37" t="d">
        <x:v>2026-09-16T18:49:32.000Z</x:v>
      </x:c>
      <x:c r="J102" s="1" t="n">
        <x:f>IF(ISNUMBER(F102),E102,0)</x:f>
        <x:v>12</x:v>
      </x:c>
      <x:c r="K102" s="1"/>
      <x:c r="L102" s="1" t="str">
        <x:v>https://blog.skyairline.com/como-ir-de-santiago-a-pucon-sin-preocupaciones/</x:v>
      </x:c>
      <x:c r="M102" s="1" t="n">
        <x:v>28</x:v>
      </x:c>
    </x:row>
    <x:row r="103" ht="18.75" customHeight="1">
      <x:c r="A103" s="1" t="str">
        <x:v>https://blog.skyairline.com/equipaje-de-cabina/</x:v>
      </x:c>
      <x:c r="B103" s="1" t="str">
        <x:v>bolso mano sky</x:v>
      </x:c>
      <x:c r="C103" s="1" t="str">
        <x:v>chl</x:v>
      </x:c>
      <x:c r="D103" s="1" t="str">
        <x:v>Marca</x:v>
      </x:c>
      <x:c r="E103" s="35" t="n">
        <x:v>12</x:v>
      </x:c>
      <x:c r="F103" s="36"/>
      <x:c r="G103" s="36" t="str">
        <x:f>IF(ISNUMBER(F103),E103*F103,"")</x:f>
      </x:c>
      <x:c r="H103" s="37" t="d">
        <x:v>2026-10-15T00:00:00.000Z</x:v>
      </x:c>
      <x:c r="I103" s="37" t="d">
        <x:v>2026-10-15T18:45:35.000Z</x:v>
      </x:c>
      <x:c r="J103" s="1" t="n">
        <x:f>IF(ISNUMBER(F103),E103,0)</x:f>
        <x:v>0</x:v>
      </x:c>
      <x:c r="K103" s="1"/>
      <x:c r="L103" s="1" t="str">
        <x:v>https://blog.skyairline.com/comprar-recuerdos-cancun/</x:v>
      </x:c>
      <x:c r="M103" s="1" t="n">
        <x:v>28</x:v>
      </x:c>
    </x:row>
    <x:row r="104" ht="18.75" customHeight="1">
      <x:c r="A104" s="1" t="str">
        <x:v>https://blog.skyairline.com/equipaje-de-cabina/</x:v>
      </x:c>
      <x:c r="B104" s="1" t="str">
        <x:v>equipaje cabina sky</x:v>
      </x:c>
      <x:c r="C104" s="1" t="str">
        <x:v>chl</x:v>
      </x:c>
      <x:c r="D104" s="1" t="str">
        <x:v>Marca</x:v>
      </x:c>
      <x:c r="E104" s="35" t="n">
        <x:v>12</x:v>
      </x:c>
      <x:c r="F104" s="36"/>
      <x:c r="G104" s="36" t="str">
        <x:f>IF(ISNUMBER(F104),E104*F104,"")</x:f>
      </x:c>
      <x:c r="H104" s="37" t="d">
        <x:v>2026-10-15T00:00:00.000Z</x:v>
      </x:c>
      <x:c r="I104" s="37" t="d">
        <x:v>2026-09-13T22:19:28.000Z</x:v>
      </x:c>
      <x:c r="J104" s="1" t="n">
        <x:f>IF(ISNUMBER(F104),E104,0)</x:f>
        <x:v>0</x:v>
      </x:c>
      <x:c r="K104" s="1"/>
      <x:c r="L104" s="1" t="str">
        <x:v>https://blog.skyairline.com/terminal-sur-santiago/</x:v>
      </x:c>
      <x:c r="M104" s="1" t="n">
        <x:v>28</x:v>
      </x:c>
    </x:row>
    <x:row r="105" ht="18.75" customHeight="1">
      <x:c r="A105" s="1" t="str">
        <x:v>https://blog.skyairline.com/equipaje-de-cabina/</x:v>
      </x:c>
      <x:c r="B105" s="1" t="str">
        <x:v>equipaje en cabina sky medidas</x:v>
      </x:c>
      <x:c r="C105" s="1" t="str">
        <x:v>per</x:v>
      </x:c>
      <x:c r="D105" s="1" t="str">
        <x:v>Marca</x:v>
      </x:c>
      <x:c r="E105" s="35" t="n">
        <x:v>12</x:v>
      </x:c>
      <x:c r="F105" s="36" t="n">
        <x:v>0.96</x:v>
      </x:c>
      <x:c r="G105" s="36" t="n">
        <x:f>IF(ISNUMBER(F105),E105*F105,"")</x:f>
        <x:v>11.52</x:v>
      </x:c>
      <x:c r="H105" s="37" t="d">
        <x:v>2026-10-15T00:00:00.000Z</x:v>
      </x:c>
      <x:c r="I105" s="37" t="d">
        <x:v>2026-09-12T22:22:16.000Z</x:v>
      </x:c>
      <x:c r="J105" s="1" t="n">
        <x:f>IF(ISNUMBER(F105),E105,0)</x:f>
        <x:v>12</x:v>
      </x:c>
      <x:c r="K105" s="1"/>
      <x:c r="L105" s="1" t="str">
        <x:v>https://blog.skyairline.com/sky-consolida-su-crecimiento-con-avances-en-sostenibilidad-puntualidad-e-inclusion/</x:v>
      </x:c>
      <x:c r="M105" s="1" t="n">
        <x:v>26</x:v>
      </x:c>
    </x:row>
    <x:row r="106" ht="18.75" customHeight="1">
      <x:c r="A106" s="1" t="str">
        <x:v>https://blog.skyairline.com/equipaje-de-cabina/</x:v>
      </x:c>
      <x:c r="B106" s="1" t="str">
        <x:v>maleta de cabina sky</x:v>
      </x:c>
      <x:c r="C106" s="1" t="str">
        <x:v>chl</x:v>
      </x:c>
      <x:c r="D106" s="1" t="str">
        <x:v>Marca</x:v>
      </x:c>
      <x:c r="E106" s="35" t="n">
        <x:v>12</x:v>
      </x:c>
      <x:c r="F106" s="36" t="n">
        <x:v>0.13</x:v>
      </x:c>
      <x:c r="G106" s="36" t="n">
        <x:f>IF(ISNUMBER(F106),E106*F106,"")</x:f>
        <x:v>1.56</x:v>
      </x:c>
      <x:c r="H106" s="37" t="d">
        <x:v>2026-10-15T00:00:00.000Z</x:v>
      </x:c>
      <x:c r="I106" s="37" t="d">
        <x:v>2026-09-17T17:07:17.000Z</x:v>
      </x:c>
      <x:c r="J106" s="1" t="n">
        <x:f>IF(ISNUMBER(F106),E106,0)</x:f>
        <x:v>12</x:v>
      </x:c>
      <x:c r="K106" s="1"/>
      <x:c r="L106" s="1" t="str">
        <x:v>https://blog.skyairline.com/camboriu/</x:v>
      </x:c>
      <x:c r="M106" s="1" t="n">
        <x:v>25</x:v>
      </x:c>
    </x:row>
    <x:row r="107" ht="18.75" customHeight="1">
      <x:c r="A107" s="1" t="str">
        <x:v>https://blog.skyairline.com/equipaje-de-cabina/</x:v>
      </x:c>
      <x:c r="B107" s="1" t="str">
        <x:v>medidas maleta cabina sky</x:v>
      </x:c>
      <x:c r="C107" s="1" t="str">
        <x:v>chl</x:v>
      </x:c>
      <x:c r="D107" s="1" t="str">
        <x:v>Marca</x:v>
      </x:c>
      <x:c r="E107" s="35" t="n">
        <x:v>12</x:v>
      </x:c>
      <x:c r="F107" s="36"/>
      <x:c r="G107" s="36" t="str">
        <x:f>IF(ISNUMBER(F107),E107*F107,"")</x:f>
      </x:c>
      <x:c r="H107" s="37" t="d">
        <x:v>2026-10-15T00:00:00.000Z</x:v>
      </x:c>
      <x:c r="I107" s="37" t="d">
        <x:v>2026-09-12T20:36:57.000Z</x:v>
      </x:c>
      <x:c r="J107" s="1" t="n">
        <x:f>IF(ISNUMBER(F107),E107,0)</x:f>
        <x:v>0</x:v>
      </x:c>
      <x:c r="K107" s="1"/>
      <x:c r="L107" s="1" t="str">
        <x:v>https://blog.skyairline.com/categoria/noticias/</x:v>
      </x:c>
      <x:c r="M107" s="1" t="n">
        <x:v>25</x:v>
      </x:c>
    </x:row>
    <x:row r="108" ht="18.75" customHeight="1">
      <x:c r="A108" s="1" t="str">
        <x:v>https://blog.skyairline.com/platos-tipicos-de-lima/</x:v>
      </x:c>
      <x:c r="B108" s="1" t="str">
        <x:v>platos típicos de lima</x:v>
      </x:c>
      <x:c r="C108" s="1" t="str">
        <x:v>per</x:v>
      </x:c>
      <x:c r="D108" s="1" t="str">
        <x:v>Sin marca</x:v>
      </x:c>
      <x:c r="E108" s="35" t="n">
        <x:v>12</x:v>
      </x:c>
      <x:c r="F108" s="36"/>
      <x:c r="G108" s="36" t="str">
        <x:f>IF(ISNUMBER(F108),E108*F108,"")</x:f>
      </x:c>
      <x:c r="H108" s="37" t="d">
        <x:v>2026-10-15T00:00:00.000Z</x:v>
      </x:c>
      <x:c r="I108" s="37" t="d">
        <x:v>2026-09-15T05:00:28.000Z</x:v>
      </x:c>
      <x:c r="J108" s="1" t="n">
        <x:f>IF(ISNUMBER(F108),E108,0)</x:f>
        <x:v>0</x:v>
      </x:c>
      <x:c r="K108" s="1"/>
      <x:c r="L108" s="1" t="str">
        <x:v>https://blog.skyairline.com/comprar-pasajes-sky/</x:v>
      </x:c>
      <x:c r="M108" s="1" t="n">
        <x:v>25</x:v>
      </x:c>
    </x:row>
    <x:row r="109" ht="18.75" customHeight="1">
      <x:c r="A109" s="1" t="str">
        <x:v>https://blog.skyairline.com/se-puede-llegar-en-avion-a-pucon/</x:v>
      </x:c>
      <x:c r="B109" s="1" t="str">
        <x:v>aeropuerto pucon</x:v>
      </x:c>
      <x:c r="C109" s="1" t="str">
        <x:v>chl</x:v>
      </x:c>
      <x:c r="D109" s="1" t="str">
        <x:v>Sin marca</x:v>
      </x:c>
      <x:c r="E109" s="35" t="n">
        <x:v>12</x:v>
      </x:c>
      <x:c r="F109" s="36" t="n">
        <x:v>0.83</x:v>
      </x:c>
      <x:c r="G109" s="36" t="n">
        <x:f>IF(ISNUMBER(F109),E109*F109,"")</x:f>
        <x:v>9.959999999999999</x:v>
      </x:c>
      <x:c r="H109" s="37" t="d">
        <x:v>2026-10-15T00:00:00.000Z</x:v>
      </x:c>
      <x:c r="I109" s="37" t="d">
        <x:v>2026-09-15T07:31:45.000Z</x:v>
      </x:c>
      <x:c r="J109" s="1" t="n">
        <x:f>IF(ISNUMBER(F109),E109,0)</x:f>
        <x:v>12</x:v>
      </x:c>
      <x:c r="K109" s="1"/>
      <x:c r="L109" s="1" t="str">
        <x:v>https://blog.skyairline.com/playas-cerca-santiago/</x:v>
      </x:c>
      <x:c r="M109" s="1" t="n">
        <x:v>25</x:v>
      </x:c>
    </x:row>
    <x:row r="110" ht="18.75" customHeight="1">
      <x:c r="A110" s="1" t="str">
        <x:v>https://blog.skyairline.com/sky-plus/</x:v>
      </x:c>
      <x:c r="B110" s="1" t="str">
        <x:v>sky plus</x:v>
      </x:c>
      <x:c r="C110" s="1" t="str">
        <x:v>per</x:v>
      </x:c>
      <x:c r="D110" s="1" t="str">
        <x:v>Marca</x:v>
      </x:c>
      <x:c r="E110" s="35" t="n">
        <x:v>12</x:v>
      </x:c>
      <x:c r="F110" s="36" t="n">
        <x:v>0.12</x:v>
      </x:c>
      <x:c r="G110" s="36" t="n">
        <x:f>IF(ISNUMBER(F110),E110*F110,"")</x:f>
        <x:v>1.44</x:v>
      </x:c>
      <x:c r="H110" s="37" t="d">
        <x:v>2026-10-15T00:00:00.000Z</x:v>
      </x:c>
      <x:c r="I110" s="37" t="d">
        <x:v>2026-09-15T14:16:52.000Z</x:v>
      </x:c>
      <x:c r="J110" s="1" t="n">
        <x:f>IF(ISNUMBER(F110),E110,0)</x:f>
        <x:v>12</x:v>
      </x:c>
      <x:c r="K110" s="1"/>
      <x:c r="L110" s="1" t="str">
        <x:v>https://blog.skyairline.com/sky-lanza-nuevo-programa-de-fidelidad-sky-plus/</x:v>
      </x:c>
      <x:c r="M110" s="1" t="n">
        <x:v>25</x:v>
      </x:c>
    </x:row>
    <x:row r="111" ht="18.75" customHeight="1">
      <x:c r="A111" s="1" t="str">
        <x:v>https://blog.skyairline.com/viajar-con-perros/</x:v>
      </x:c>
      <x:c r="B111" s="1" t="str">
        <x:v>sky viaje con mascotas</x:v>
      </x:c>
      <x:c r="C111" s="1" t="str">
        <x:v>per</x:v>
      </x:c>
      <x:c r="D111" s="1" t="str">
        <x:v>Marca</x:v>
      </x:c>
      <x:c r="E111" s="35" t="n">
        <x:v>12</x:v>
      </x:c>
      <x:c r="F111" s="36"/>
      <x:c r="G111" s="36" t="str">
        <x:f>IF(ISNUMBER(F111),E111*F111,"")</x:f>
      </x:c>
      <x:c r="H111" s="37" t="d">
        <x:v>2026-10-15T00:00:00.000Z</x:v>
      </x:c>
      <x:c r="I111" s="37" t="d">
        <x:v>2026-09-13T17:19:20.000Z</x:v>
      </x:c>
      <x:c r="J111" s="1" t="n">
        <x:f>IF(ISNUMBER(F111),E111,0)</x:f>
        <x:v>0</x:v>
      </x:c>
      <x:c r="K111" s="1"/>
      <x:c r="L111" s="1" t="str">
        <x:v>https://blog.skyairline.com/perder-el-equipaje/</x:v>
      </x:c>
      <x:c r="M111" s="1" t="n">
        <x:v>24</x:v>
      </x:c>
    </x:row>
    <x:row r="112" ht="18.75" customHeight="1">
      <x:c r="A112" s="1" t="str">
        <x:v>https://blog.skyairline.com/viajar-en-grupo/</x:v>
      </x:c>
      <x:c r="B112" s="1" t="str">
        <x:v>sky grupos</x:v>
      </x:c>
      <x:c r="C112" s="1" t="str">
        <x:v>chl</x:v>
      </x:c>
      <x:c r="D112" s="1" t="str">
        <x:v>Marca</x:v>
      </x:c>
      <x:c r="E112" s="35" t="n">
        <x:v>12</x:v>
      </x:c>
      <x:c r="F112" s="36"/>
      <x:c r="G112" s="36" t="str">
        <x:f>IF(ISNUMBER(F112),E112*F112,"")</x:f>
      </x:c>
      <x:c r="H112" s="37" t="d">
        <x:v>2026-10-15T00:00:00.000Z</x:v>
      </x:c>
      <x:c r="I112" s="37" t="d">
        <x:v>2026-09-16T08:34:31.000Z</x:v>
      </x:c>
      <x:c r="J112" s="1" t="n">
        <x:f>IF(ISNUMBER(F112),E112,0)</x:f>
        <x:v>0</x:v>
      </x:c>
      <x:c r="K112" s="1"/>
      <x:c r="L112" s="1" t="str">
        <x:v>https://blog.skyairline.com/punta-cana-en-temporada-baja/</x:v>
      </x:c>
      <x:c r="M112" s="1" t="n">
        <x:v>24</x:v>
      </x:c>
    </x:row>
    <x:row r="113" ht="18.75" customHeight="1">
      <x:c r="A113" s="1" t="str">
        <x:v>https://blog.skyairline.com/curso-tripulante-cabina/</x:v>
      </x:c>
      <x:c r="B113" s="1" t="str">
        <x:v>sky curso tripulante de cabina</x:v>
      </x:c>
      <x:c r="C113" s="1" t="str">
        <x:v>chl</x:v>
      </x:c>
      <x:c r="D113" s="1" t="str">
        <x:v>Marca</x:v>
      </x:c>
      <x:c r="E113" s="35" t="n">
        <x:v>11</x:v>
      </x:c>
      <x:c r="F113" s="36"/>
      <x:c r="G113" s="36" t="str">
        <x:f>IF(ISNUMBER(F113),E113*F113,"")</x:f>
      </x:c>
      <x:c r="H113" s="37" t="d">
        <x:v>2026-10-15T00:00:00.000Z</x:v>
      </x:c>
      <x:c r="I113" s="37" t="d">
        <x:v>2026-09-15T11:23:43.000Z</x:v>
      </x:c>
      <x:c r="J113" s="1" t="n">
        <x:f>IF(ISNUMBER(F113),E113,0)</x:f>
        <x:v>0</x:v>
      </x:c>
      <x:c r="K113" s="1"/>
      <x:c r="L113" s="1" t="str">
        <x:v>https://blog.skyairline.com/aeropuerto-lima/</x:v>
      </x:c>
      <x:c r="M113" s="1" t="n">
        <x:v>23</x:v>
      </x:c>
    </x:row>
    <x:row r="114" ht="18.75" customHeight="1">
      <x:c r="A114" s="1" t="str">
        <x:v>https://blog.skyairline.com/curso-tripulante-cabina/</x:v>
      </x:c>
      <x:c r="B114" s="1" t="str">
        <x:v>tripulante de cabina curso</x:v>
      </x:c>
      <x:c r="C114" s="1" t="str">
        <x:v>chl</x:v>
      </x:c>
      <x:c r="D114" s="1" t="str">
        <x:v>Sin marca</x:v>
      </x:c>
      <x:c r="E114" s="35" t="n">
        <x:v>11</x:v>
      </x:c>
      <x:c r="F114" s="36" t="n">
        <x:v>0.27</x:v>
      </x:c>
      <x:c r="G114" s="36" t="n">
        <x:f>IF(ISNUMBER(F114),E114*F114,"")</x:f>
        <x:v>2.97</x:v>
      </x:c>
      <x:c r="H114" s="37" t="d">
        <x:v>2026-10-15T00:00:00.000Z</x:v>
      </x:c>
      <x:c r="I114" s="37" t="d">
        <x:v>2026-09-14T15:21:51.000Z</x:v>
      </x:c>
      <x:c r="J114" s="1" t="n">
        <x:f>IF(ISNUMBER(F114),E114,0)</x:f>
        <x:v>11</x:v>
      </x:c>
      <x:c r="K114" s="1"/>
      <x:c r="L114" s="1" t="str">
        <x:v>https://blog.skyairline.com/bailes-tipicos-del-peru/</x:v>
      </x:c>
      <x:c r="M114" s="1" t="n">
        <x:v>23</x:v>
      </x:c>
    </x:row>
    <x:row r="115" ht="18.75" customHeight="1">
      <x:c r="A115" s="1" t="str">
        <x:v>https://blog.skyairline.com/equipaje-de-bodega/</x:v>
      </x:c>
      <x:c r="B115" s="1" t="str">
        <x:v>medidas sky</x:v>
      </x:c>
      <x:c r="C115" s="1" t="str">
        <x:v>per</x:v>
      </x:c>
      <x:c r="D115" s="1" t="str">
        <x:v>Marca</x:v>
      </x:c>
      <x:c r="E115" s="35" t="n">
        <x:v>11</x:v>
      </x:c>
      <x:c r="F115" s="36"/>
      <x:c r="G115" s="36" t="str">
        <x:f>IF(ISNUMBER(F115),E115*F115,"")</x:f>
      </x:c>
      <x:c r="H115" s="37" t="d">
        <x:v>2026-10-15T00:00:00.000Z</x:v>
      </x:c>
      <x:c r="I115" s="37" t="d">
        <x:v>2026-10-15T03:58:55.000Z</x:v>
      </x:c>
      <x:c r="J115" s="1" t="n">
        <x:f>IF(ISNUMBER(F115),E115,0)</x:f>
        <x:v>0</x:v>
      </x:c>
      <x:c r="K115" s="1"/>
      <x:c r="L115" s="1" t="str">
        <x:v>https://blog.skyairline.com/escapada-romantica-fin-de-semana/</x:v>
      </x:c>
      <x:c r="M115" s="1" t="n">
        <x:v>23</x:v>
      </x:c>
    </x:row>
    <x:row r="116" ht="18.75" customHeight="1">
      <x:c r="A116" s="1" t="str">
        <x:v>https://blog.skyairline.com/equipaje-de-bodega/</x:v>
      </x:c>
      <x:c r="B116" s="1" t="str">
        <x:v>sky maletas</x:v>
      </x:c>
      <x:c r="C116" s="1" t="str">
        <x:v>chl</x:v>
      </x:c>
      <x:c r="D116" s="1" t="str">
        <x:v>Marca</x:v>
      </x:c>
      <x:c r="E116" s="35" t="n">
        <x:v>11</x:v>
      </x:c>
      <x:c r="F116" s="36" t="n">
        <x:v>1.46</x:v>
      </x:c>
      <x:c r="G116" s="36" t="n">
        <x:f>IF(ISNUMBER(F116),E116*F116,"")</x:f>
        <x:v>16.06</x:v>
      </x:c>
      <x:c r="H116" s="37" t="d">
        <x:v>2026-10-15T00:00:00.000Z</x:v>
      </x:c>
      <x:c r="I116" s="37" t="d">
        <x:v>2026-09-12T23:35:50.000Z</x:v>
      </x:c>
      <x:c r="J116" s="1" t="n">
        <x:f>IF(ISNUMBER(F116),E116,0)</x:f>
        <x:v>11</x:v>
      </x:c>
      <x:c r="K116" s="1"/>
      <x:c r="L116" s="1" t="str">
        <x:v>https://blog.skyairline.com/clima-de-la-zona-sur-de-chile-temperaturas-y-estaciones/</x:v>
      </x:c>
      <x:c r="M116" s="1" t="n">
        <x:v>22</x:v>
      </x:c>
    </x:row>
    <x:row r="117" ht="18.75" customHeight="1">
      <x:c r="A117" s="1" t="str">
        <x:v>https://blog.skyairline.com/equipaje-de-bodega/</x:v>
      </x:c>
      <x:c r="B117" s="1" t="str">
        <x:v>sky medidas equipaje</x:v>
      </x:c>
      <x:c r="C117" s="1" t="str">
        <x:v>ury</x:v>
      </x:c>
      <x:c r="D117" s="1" t="str">
        <x:v>Marca</x:v>
      </x:c>
      <x:c r="E117" s="35" t="n">
        <x:v>11</x:v>
      </x:c>
      <x:c r="F117" s="36"/>
      <x:c r="G117" s="36" t="str">
        <x:f>IF(ISNUMBER(F117),E117*F117,"")</x:f>
      </x:c>
      <x:c r="H117" s="37"/>
      <x:c r="I117" s="37"/>
      <x:c r="J117" s="1" t="n">
        <x:f>IF(ISNUMBER(F117),E117,0)</x:f>
        <x:v>0</x:v>
      </x:c>
      <x:c r="K117" s="1"/>
      <x:c r="L117" s="1" t="str">
        <x:v>https://blog.skyairline.com/mejor-fecha-para-viajar-a-tarapoto/</x:v>
      </x:c>
      <x:c r="M117" s="1" t="n">
        <x:v>22</x:v>
      </x:c>
    </x:row>
    <x:row r="118" ht="18.75" customHeight="1">
      <x:c r="A118" s="1" t="str">
        <x:v>https://blog.skyairline.com/equipaje-de-bodega/</x:v>
      </x:c>
      <x:c r="B118" s="1" t="str">
        <x:v>sky medidas equipaje de mano</x:v>
      </x:c>
      <x:c r="C118" s="1" t="str">
        <x:v>chl</x:v>
      </x:c>
      <x:c r="D118" s="1" t="str">
        <x:v>Marca</x:v>
      </x:c>
      <x:c r="E118" s="35" t="n">
        <x:v>11</x:v>
      </x:c>
      <x:c r="F118" s="36"/>
      <x:c r="G118" s="36" t="str">
        <x:f>IF(ISNUMBER(F118),E118*F118,"")</x:f>
      </x:c>
      <x:c r="H118" s="37" t="d">
        <x:v>2026-10-15T00:00:00.000Z</x:v>
      </x:c>
      <x:c r="I118" s="37" t="d">
        <x:v>2026-09-17T07:51:38.000Z</x:v>
      </x:c>
      <x:c r="J118" s="1" t="n">
        <x:f>IF(ISNUMBER(F118),E118,0)</x:f>
        <x:v>0</x:v>
      </x:c>
      <x:c r="K118" s="1"/>
      <x:c r="L118" s="1" t="str">
        <x:v>https://blog.skyairline.com/que-es-hostal/</x:v>
      </x:c>
      <x:c r="M118" s="1" t="n">
        <x:v>22</x:v>
      </x:c>
    </x:row>
    <x:row r="119" ht="18.75" customHeight="1">
      <x:c r="A119" s="1" t="str">
        <x:v>https://blog.skyairline.com/equipaje-de-cabina/</x:v>
      </x:c>
      <x:c r="B119" s="1" t="str">
        <x:v>articulo personal sky</x:v>
      </x:c>
      <x:c r="C119" s="1" t="str">
        <x:v>chl</x:v>
      </x:c>
      <x:c r="D119" s="1" t="str">
        <x:v>Marca</x:v>
      </x:c>
      <x:c r="E119" s="35" t="n">
        <x:v>11</x:v>
      </x:c>
      <x:c r="F119" s="36"/>
      <x:c r="G119" s="36" t="str">
        <x:f>IF(ISNUMBER(F119),E119*F119,"")</x:f>
      </x:c>
      <x:c r="H119" s="37"/>
      <x:c r="I119" s="37"/>
      <x:c r="J119" s="1" t="n">
        <x:f>IF(ISNUMBER(F119),E119,0)</x:f>
        <x:v>0</x:v>
      </x:c>
      <x:c r="K119" s="1"/>
      <x:c r="L119" s="1" t="str">
        <x:v>https://blog.skyairline.com/volcanes-en-puerto-montt-cuales-visitar-y-como-llegar/</x:v>
      </x:c>
      <x:c r="M119" s="1" t="n">
        <x:v>22</x:v>
      </x:c>
    </x:row>
    <x:row r="120" ht="18.75" customHeight="1">
      <x:c r="A120" s="1" t="str">
        <x:v>https://blog.skyairline.com/equipaje-de-cabina/</x:v>
      </x:c>
      <x:c r="B120" s="1" t="str">
        <x:v>bolso de mano sky airlines</x:v>
      </x:c>
      <x:c r="C120" s="1" t="str">
        <x:v>chl</x:v>
      </x:c>
      <x:c r="D120" s="1" t="str">
        <x:v>Marca</x:v>
      </x:c>
      <x:c r="E120" s="35" t="n">
        <x:v>11</x:v>
      </x:c>
      <x:c r="F120" s="36" t="n">
        <x:v>0.33</x:v>
      </x:c>
      <x:c r="G120" s="36" t="n">
        <x:f>IF(ISNUMBER(F120),E120*F120,"")</x:f>
        <x:v>3.6300000000000003</x:v>
      </x:c>
      <x:c r="H120" s="37" t="d">
        <x:v>2026-10-15T00:00:00.000Z</x:v>
      </x:c>
      <x:c r="I120" s="37" t="d">
        <x:v>2026-09-17T13:49:37.000Z</x:v>
      </x:c>
      <x:c r="J120" s="1" t="n">
        <x:f>IF(ISNUMBER(F120),E120,0)</x:f>
        <x:v>11</x:v>
      </x:c>
      <x:c r="K120" s="1"/>
      <x:c r="L120" s="1" t="str">
        <x:v>https://blog.skyairline.com/a-que-paises-puedo-viajar-sin-pasaporte-desde-chile/</x:v>
      </x:c>
      <x:c r="M120" s="1" t="n">
        <x:v>21</x:v>
      </x:c>
    </x:row>
    <x:row r="121" ht="18.75" customHeight="1">
      <x:c r="A121" s="1" t="str">
        <x:v>https://blog.skyairline.com/equipaje-de-cabina/</x:v>
      </x:c>
      <x:c r="B121" s="1" t="str">
        <x:v>maleta cabina sky medidas</x:v>
      </x:c>
      <x:c r="C121" s="1" t="str">
        <x:v>chl</x:v>
      </x:c>
      <x:c r="D121" s="1" t="str">
        <x:v>Marca</x:v>
      </x:c>
      <x:c r="E121" s="35" t="n">
        <x:v>11</x:v>
      </x:c>
      <x:c r="F121" s="36"/>
      <x:c r="G121" s="36" t="str">
        <x:f>IF(ISNUMBER(F121),E121*F121,"")</x:f>
      </x:c>
      <x:c r="H121" s="37"/>
      <x:c r="I121" s="37"/>
      <x:c r="J121" s="1" t="n">
        <x:f>IF(ISNUMBER(F121),E121,0)</x:f>
        <x:v>0</x:v>
      </x:c>
      <x:c r="K121" s="1"/>
      <x:c r="L121" s="1" t="str">
        <x:v>https://blog.skyairline.com/como-llegar-chiclayo/</x:v>
      </x:c>
      <x:c r="M121" s="1" t="n">
        <x:v>21</x:v>
      </x:c>
    </x:row>
    <x:row r="122" ht="18.75" customHeight="1">
      <x:c r="A122" s="1" t="str">
        <x:v>https://blog.skyairline.com/tipos-de-equipaje/</x:v>
      </x:c>
      <x:c r="B122" s="1" t="str">
        <x:v>maletas sky airline</x:v>
      </x:c>
      <x:c r="C122" s="1" t="str">
        <x:v>chl</x:v>
      </x:c>
      <x:c r="D122" s="1" t="str">
        <x:v>Marca</x:v>
      </x:c>
      <x:c r="E122" s="35" t="n">
        <x:v>11</x:v>
      </x:c>
      <x:c r="F122" s="36"/>
      <x:c r="G122" s="36" t="str">
        <x:f>IF(ISNUMBER(F122),E122*F122,"")</x:f>
      </x:c>
      <x:c r="H122" s="37"/>
      <x:c r="I122" s="37"/>
      <x:c r="J122" s="1" t="n">
        <x:f>IF(ISNUMBER(F122),E122,0)</x:f>
        <x:v>0</x:v>
      </x:c>
      <x:c r="K122" s="1"/>
      <x:c r="L122" s="1" t="str">
        <x:v>https://blog.skyairline.com/frutas-del-sur-de-chile-variedades-y-beneficios/</x:v>
      </x:c>
      <x:c r="M122" s="1" t="n">
        <x:v>21</x:v>
      </x:c>
    </x:row>
    <x:row r="123" ht="18.75" customHeight="1">
      <x:c r="A123" s="1" t="str">
        <x:v>https://blog.skyairline.com/tipos-de-equipaje/</x:v>
      </x:c>
      <x:c r="B123" s="1" t="str">
        <x:v>sky equipaje</x:v>
      </x:c>
      <x:c r="C123" s="1" t="str">
        <x:v>arg</x:v>
      </x:c>
      <x:c r="D123" s="1" t="str">
        <x:v>Marca</x:v>
      </x:c>
      <x:c r="E123" s="35" t="n">
        <x:v>11</x:v>
      </x:c>
      <x:c r="F123" s="36"/>
      <x:c r="G123" s="36" t="str">
        <x:f>IF(ISNUMBER(F123),E123*F123,"")</x:f>
      </x:c>
      <x:c r="H123" s="37"/>
      <x:c r="I123" s="37"/>
      <x:c r="J123" s="1" t="n">
        <x:f>IF(ISNUMBER(F123),E123,0)</x:f>
        <x:v>0</x:v>
      </x:c>
      <x:c r="K123" s="1"/>
      <x:c r="L123" s="1" t="str">
        <x:v>https://blog.skyairline.com/sky-suma-a-cajamarca-y-talara-a-su-red-de-destinos/</x:v>
      </x:c>
      <x:c r="M123" s="1" t="n">
        <x:v>21</x:v>
      </x:c>
    </x:row>
    <x:row r="124" ht="18.75" customHeight="1">
      <x:c r="A124" s="1" t="str">
        <x:v>https://blog.skyairline.com/tipos-de-equipaje/</x:v>
      </x:c>
      <x:c r="B124" s="1" t="str">
        <x:v>sky medidas equipaje</x:v>
      </x:c>
      <x:c r="C124" s="1" t="str">
        <x:v>chl</x:v>
      </x:c>
      <x:c r="D124" s="1" t="str">
        <x:v>Marca</x:v>
      </x:c>
      <x:c r="E124" s="35" t="n">
        <x:v>11</x:v>
      </x:c>
      <x:c r="F124" s="36"/>
      <x:c r="G124" s="36" t="str">
        <x:f>IF(ISNUMBER(F124),E124*F124,"")</x:f>
      </x:c>
      <x:c r="H124" s="37" t="d">
        <x:v>2026-10-15T00:00:00.000Z</x:v>
      </x:c>
      <x:c r="I124" s="37" t="d">
        <x:v>2026-09-14T10:28:42.000Z</x:v>
      </x:c>
      <x:c r="J124" s="1" t="n">
        <x:f>IF(ISNUMBER(F124),E124,0)</x:f>
        <x:v>0</x:v>
      </x:c>
      <x:c r="K124" s="1"/>
      <x:c r="L124" s="1" t="str">
        <x:v>https://blog.skyairline.com/</x:v>
      </x:c>
      <x:c r="M124" s="1" t="n">
        <x:v>20</x:v>
      </x:c>
    </x:row>
    <x:row r="125" ht="18.75" customHeight="1">
      <x:c r="A125" s="1" t="str">
        <x:v>https://blog.skyairline.com/tipos-de-equipaje/</x:v>
      </x:c>
      <x:c r="B125" s="1" t="str">
        <x:v>tipos de equipaje sky</x:v>
      </x:c>
      <x:c r="C125" s="1" t="str">
        <x:v>chl</x:v>
      </x:c>
      <x:c r="D125" s="1" t="str">
        <x:v>Marca</x:v>
      </x:c>
      <x:c r="E125" s="35" t="n">
        <x:v>11</x:v>
      </x:c>
      <x:c r="F125" s="36"/>
      <x:c r="G125" s="36" t="str">
        <x:f>IF(ISNUMBER(F125),E125*F125,"")</x:f>
      </x:c>
      <x:c r="H125" s="37" t="d">
        <x:v>2026-10-15T00:00:00.000Z</x:v>
      </x:c>
      <x:c r="I125" s="37" t="d">
        <x:v>2026-09-16T23:21:01.000Z</x:v>
      </x:c>
      <x:c r="J125" s="1" t="n">
        <x:f>IF(ISNUMBER(F125),E125,0)</x:f>
        <x:v>0</x:v>
      </x:c>
      <x:c r="K125" s="1"/>
      <x:c r="L125" s="1" t="str">
        <x:v>https://blog.skyairline.com/clima-en-salvador-de-bahia-temperatura-y-mejor-epoca-para-viajar/</x:v>
      </x:c>
      <x:c r="M125" s="1" t="n">
        <x:v>20</x:v>
      </x:c>
    </x:row>
    <x:row r="126" ht="18.75" customHeight="1">
      <x:c r="A126" s="1" t="str">
        <x:v>https://blog.skyairline.com/categoria/oportunidades/</x:v>
      </x:c>
      <x:c r="B126" s="1" t="str">
        <x:v>sky tripulante de cabina</x:v>
      </x:c>
      <x:c r="C126" s="1" t="str">
        <x:v>chl</x:v>
      </x:c>
      <x:c r="D126" s="1" t="str">
        <x:v>Marca</x:v>
      </x:c>
      <x:c r="E126" s="35" t="n">
        <x:v>10</x:v>
      </x:c>
      <x:c r="F126" s="36" t="n">
        <x:v>0.82</x:v>
      </x:c>
      <x:c r="G126" s="36" t="n">
        <x:f>IF(ISNUMBER(F126),E126*F126,"")</x:f>
        <x:v>8.2</x:v>
      </x:c>
      <x:c r="H126" s="37" t="d">
        <x:v>2026-10-15T00:00:00.000Z</x:v>
      </x:c>
      <x:c r="I126" s="37" t="d">
        <x:v>2026-09-17T09:24:10.999Z</x:v>
      </x:c>
      <x:c r="J126" s="1" t="n">
        <x:f>IF(ISNUMBER(F126),E126,0)</x:f>
        <x:v>10</x:v>
      </x:c>
      <x:c r="K126" s="1"/>
      <x:c r="L126" s="1" t="str">
        <x:v>https://blog.skyairline.com/comprar-en-chile/</x:v>
      </x:c>
      <x:c r="M126" s="1" t="n">
        <x:v>20</x:v>
      </x:c>
    </x:row>
    <x:row r="127" ht="18.75" customHeight="1">
      <x:c r="A127" s="1" t="str">
        <x:v>https://blog.skyairline.com/equipaje-de-bodega/</x:v>
      </x:c>
      <x:c r="B127" s="1" t="str">
        <x:v>equipaje de mano sky medidas</x:v>
      </x:c>
      <x:c r="C127" s="1" t="str">
        <x:v>chl</x:v>
      </x:c>
      <x:c r="D127" s="1" t="str">
        <x:v>Marca</x:v>
      </x:c>
      <x:c r="E127" s="35" t="n">
        <x:v>10</x:v>
      </x:c>
      <x:c r="F127" s="36" t="n">
        <x:v>0.95</x:v>
      </x:c>
      <x:c r="G127" s="36" t="n">
        <x:f>IF(ISNUMBER(F127),E127*F127,"")</x:f>
        <x:v>9.5</x:v>
      </x:c>
      <x:c r="H127" s="37" t="d">
        <x:v>2026-10-15T00:00:00.000Z</x:v>
      </x:c>
      <x:c r="I127" s="37" t="d">
        <x:v>2026-09-16T21:38:35.000Z</x:v>
      </x:c>
      <x:c r="J127" s="1" t="n">
        <x:f>IF(ISNUMBER(F127),E127,0)</x:f>
        <x:v>10</x:v>
      </x:c>
      <x:c r="K127" s="1"/>
      <x:c r="L127" s="1" t="str">
        <x:v>https://blog.skyairline.com/modo-avion-durante-los-vuelos/</x:v>
      </x:c>
      <x:c r="M127" s="1" t="n">
        <x:v>20</x:v>
      </x:c>
    </x:row>
    <x:row r="128" ht="18.75" customHeight="1">
      <x:c r="A128" s="1" t="str">
        <x:v>https://blog.skyairline.com/equipaje-de-bodega/</x:v>
      </x:c>
      <x:c r="B128" s="1" t="str">
        <x:v>medidas maleta de cabina sky</x:v>
      </x:c>
      <x:c r="C128" s="1" t="str">
        <x:v>chl</x:v>
      </x:c>
      <x:c r="D128" s="1" t="str">
        <x:v>Marca</x:v>
      </x:c>
      <x:c r="E128" s="35" t="n">
        <x:v>10</x:v>
      </x:c>
      <x:c r="F128" s="36"/>
      <x:c r="G128" s="36" t="str">
        <x:f>IF(ISNUMBER(F128),E128*F128,"")</x:f>
      </x:c>
      <x:c r="H128" s="37" t="d">
        <x:v>2026-10-15T00:00:00.000Z</x:v>
      </x:c>
      <x:c r="I128" s="37" t="d">
        <x:v>2026-09-14T04:11:03.999Z</x:v>
      </x:c>
      <x:c r="J128" s="1" t="n">
        <x:f>IF(ISNUMBER(F128),E128,0)</x:f>
        <x:v>0</x:v>
      </x:c>
      <x:c r="K128" s="1"/>
      <x:c r="L128" s="1" t="str">
        <x:v>https://blog.skyairline.com/paquete-de-viaje-en-sky/</x:v>
      </x:c>
      <x:c r="M128" s="1" t="n">
        <x:v>20</x:v>
      </x:c>
    </x:row>
    <x:row r="129" ht="18.75" customHeight="1">
      <x:c r="A129" s="1" t="str">
        <x:v>https://blog.skyairline.com/equipaje-de-bodega/</x:v>
      </x:c>
      <x:c r="B129" s="1" t="str">
        <x:v>sky bolso de mano</x:v>
      </x:c>
      <x:c r="C129" s="1" t="str">
        <x:v>chl</x:v>
      </x:c>
      <x:c r="D129" s="1" t="str">
        <x:v>Marca</x:v>
      </x:c>
      <x:c r="E129" s="35" t="n">
        <x:v>10</x:v>
      </x:c>
      <x:c r="F129" s="36" t="n">
        <x:v>0.22</x:v>
      </x:c>
      <x:c r="G129" s="36" t="n">
        <x:f>IF(ISNUMBER(F129),E129*F129,"")</x:f>
        <x:v>2.2</x:v>
      </x:c>
      <x:c r="H129" s="37" t="d">
        <x:v>2026-10-15T00:00:00.000Z</x:v>
      </x:c>
      <x:c r="I129" s="37" t="d">
        <x:v>2026-09-15T13:47:52.000Z</x:v>
      </x:c>
      <x:c r="J129" s="1" t="n">
        <x:f>IF(ISNUMBER(F129),E129,0)</x:f>
        <x:v>10</x:v>
      </x:c>
      <x:c r="K129" s="1"/>
      <x:c r="L129" s="1" t="str">
        <x:v>https://blog.skyairline.com/pueblos-originarios-del-norte-de-chile-historia-y-cultura/</x:v>
      </x:c>
      <x:c r="M129" s="1" t="n">
        <x:v>20</x:v>
      </x:c>
    </x:row>
    <x:row r="130" ht="18.75" customHeight="1">
      <x:c r="A130" s="1" t="str">
        <x:v>https://blog.skyairline.com/equipaje-de-bodega/</x:v>
      </x:c>
      <x:c r="B130" s="1" t="str">
        <x:v>sky equipaje de mano</x:v>
      </x:c>
      <x:c r="C130" s="1" t="str">
        <x:v>per</x:v>
      </x:c>
      <x:c r="D130" s="1" t="str">
        <x:v>Marca</x:v>
      </x:c>
      <x:c r="E130" s="35" t="n">
        <x:v>10</x:v>
      </x:c>
      <x:c r="F130" s="36" t="n">
        <x:v>0.44</x:v>
      </x:c>
      <x:c r="G130" s="36" t="n">
        <x:f>IF(ISNUMBER(F130),E130*F130,"")</x:f>
        <x:v>4.4</x:v>
      </x:c>
      <x:c r="H130" s="37" t="d">
        <x:v>2026-10-15T00:00:00.000Z</x:v>
      </x:c>
      <x:c r="I130" s="37" t="d">
        <x:v>2026-09-17T01:43:33.000Z</x:v>
      </x:c>
      <x:c r="J130" s="1" t="n">
        <x:f>IF(ISNUMBER(F130),E130,0)</x:f>
        <x:v>10</x:v>
      </x:c>
      <x:c r="K130" s="1"/>
      <x:c r="L130" s="1" t="str">
        <x:v>https://blog.skyairline.com/que-hacer-en-talara/</x:v>
      </x:c>
      <x:c r="M130" s="1" t="n">
        <x:v>20</x:v>
      </x:c>
    </x:row>
    <x:row r="131" ht="18.75" customHeight="1">
      <x:c r="A131" s="1" t="str">
        <x:v>https://blog.skyairline.com/equipaje-de-bodega/</x:v>
      </x:c>
      <x:c r="B131" s="1" t="str">
        <x:v>sky maletas medidas</x:v>
      </x:c>
      <x:c r="C131" s="1" t="str">
        <x:v>chl</x:v>
      </x:c>
      <x:c r="D131" s="1" t="str">
        <x:v>Marca</x:v>
      </x:c>
      <x:c r="E131" s="35" t="n">
        <x:v>10</x:v>
      </x:c>
      <x:c r="F131" s="36"/>
      <x:c r="G131" s="36" t="str">
        <x:f>IF(ISNUMBER(F131),E131*F131,"")</x:f>
      </x:c>
      <x:c r="H131" s="37"/>
      <x:c r="I131" s="37"/>
      <x:c r="J131" s="1" t="n">
        <x:f>IF(ISNUMBER(F131),E131,0)</x:f>
        <x:v>0</x:v>
      </x:c>
      <x:c r="K131" s="1"/>
      <x:c r="L131" s="1" t="str">
        <x:v>https://blog.skyairline.com/sky-airline-reporta-sus-resultados-al-primer-semestre-del-2024/</x:v>
      </x:c>
      <x:c r="M131" s="1" t="n">
        <x:v>20</x:v>
      </x:c>
    </x:row>
    <x:row r="132" ht="18.75" customHeight="1">
      <x:c r="A132" s="1" t="str">
        <x:v>https://blog.skyairline.com/equipaje-de-bodega/</x:v>
      </x:c>
      <x:c r="B132" s="1" t="str">
        <x:v>sky maletas medidas</x:v>
      </x:c>
      <x:c r="C132" s="1" t="str">
        <x:v>per</x:v>
      </x:c>
      <x:c r="D132" s="1" t="str">
        <x:v>Marca</x:v>
      </x:c>
      <x:c r="E132" s="35" t="n">
        <x:v>10</x:v>
      </x:c>
      <x:c r="F132" s="36"/>
      <x:c r="G132" s="36" t="str">
        <x:f>IF(ISNUMBER(F132),E132*F132,"")</x:f>
      </x:c>
      <x:c r="H132" s="37"/>
      <x:c r="I132" s="37"/>
      <x:c r="J132" s="1" t="n">
        <x:f>IF(ISNUMBER(F132),E132,0)</x:f>
        <x:v>0</x:v>
      </x:c>
      <x:c r="K132" s="1"/>
      <x:c r="L132" s="1" t="str">
        <x:v>https://blog.skyairline.com/sky-app/</x:v>
      </x:c>
      <x:c r="M132" s="1" t="n">
        <x:v>20</x:v>
      </x:c>
    </x:row>
    <x:row r="133" ht="18.75" customHeight="1">
      <x:c r="A133" s="1" t="str">
        <x:v>https://blog.skyairline.com/equipaje-de-cabina/</x:v>
      </x:c>
      <x:c r="B133" s="1" t="str">
        <x:v>medidas bolso de mano sky 2026</x:v>
      </x:c>
      <x:c r="C133" s="1" t="str">
        <x:v>per</x:v>
      </x:c>
      <x:c r="D133" s="1" t="str">
        <x:v>Marca</x:v>
      </x:c>
      <x:c r="E133" s="35" t="n">
        <x:v>10</x:v>
      </x:c>
      <x:c r="F133" s="36" t="n">
        <x:v>0.89</x:v>
      </x:c>
      <x:c r="G133" s="36" t="n">
        <x:f>IF(ISNUMBER(F133),E133*F133,"")</x:f>
        <x:v>8.9</x:v>
      </x:c>
      <x:c r="H133" s="37" t="d">
        <x:v>2026-10-15T00:00:00.000Z</x:v>
      </x:c>
      <x:c r="I133" s="37" t="d">
        <x:v>2026-09-16T08:06:26.000Z</x:v>
      </x:c>
      <x:c r="J133" s="1" t="n">
        <x:f>IF(ISNUMBER(F133),E133,0)</x:f>
        <x:v>10</x:v>
      </x:c>
      <x:c r="K133" s="1"/>
      <x:c r="L133" s="1" t="str">
        <x:v>https://blog.skyairline.com/clima-de-la-zona-norte-de-chile-temperaturas-y-estaciones/</x:v>
      </x:c>
      <x:c r="M133" s="1" t="n">
        <x:v>19</x:v>
      </x:c>
    </x:row>
    <x:row r="134" ht="18.75" customHeight="1">
      <x:c r="A134" s="1" t="str">
        <x:v>https://blog.skyairline.com/equipaje-de-cabina/</x:v>
      </x:c>
      <x:c r="B134" s="1" t="str">
        <x:v>medidas de equipaje de mano sky</x:v>
      </x:c>
      <x:c r="C134" s="1" t="str">
        <x:v>per</x:v>
      </x:c>
      <x:c r="D134" s="1" t="str">
        <x:v>Marca</x:v>
      </x:c>
      <x:c r="E134" s="35" t="n">
        <x:v>10</x:v>
      </x:c>
      <x:c r="F134" s="36"/>
      <x:c r="G134" s="36" t="str">
        <x:f>IF(ISNUMBER(F134),E134*F134,"")</x:f>
      </x:c>
      <x:c r="H134" s="37" t="d">
        <x:v>2026-10-15T00:00:00.000Z</x:v>
      </x:c>
      <x:c r="I134" s="37" t="d">
        <x:v>2026-09-16T21:10:26.000Z</x:v>
      </x:c>
      <x:c r="J134" s="1" t="n">
        <x:f>IF(ISNUMBER(F134),E134,0)</x:f>
        <x:v>0</x:v>
      </x:c>
      <x:c r="K134" s="1"/>
      <x:c r="L134" s="1" t="str">
        <x:v>https://blog.skyairline.com/peliculas-para-ver-en-el-avion/</x:v>
      </x:c>
      <x:c r="M134" s="1" t="n">
        <x:v>19</x:v>
      </x:c>
    </x:row>
    <x:row r="135" ht="18.75" customHeight="1">
      <x:c r="A135" s="1" t="str">
        <x:v>https://blog.skyairline.com/equipaje-de-cabina/</x:v>
      </x:c>
      <x:c r="B135" s="1" t="str">
        <x:v>sky articulo personal</x:v>
      </x:c>
      <x:c r="C135" s="1" t="str">
        <x:v>per</x:v>
      </x:c>
      <x:c r="D135" s="1" t="str">
        <x:v>Marca</x:v>
      </x:c>
      <x:c r="E135" s="35" t="n">
        <x:v>10</x:v>
      </x:c>
      <x:c r="F135" s="36"/>
      <x:c r="G135" s="36" t="str">
        <x:f>IF(ISNUMBER(F135),E135*F135,"")</x:f>
      </x:c>
      <x:c r="H135" s="37"/>
      <x:c r="I135" s="37"/>
      <x:c r="J135" s="1" t="n">
        <x:f>IF(ISNUMBER(F135),E135,0)</x:f>
        <x:v>0</x:v>
      </x:c>
      <x:c r="K135" s="1"/>
      <x:c r="L135" s="1" t="str">
        <x:v>https://blog.skyairline.com/que-es-una-bitacora/</x:v>
      </x:c>
      <x:c r="M135" s="1" t="n">
        <x:v>19</x:v>
      </x:c>
    </x:row>
    <x:row r="136" ht="18.75" customHeight="1">
      <x:c r="A136" s="1" t="str">
        <x:v>https://blog.skyairline.com/equipaje-de-cabina/</x:v>
      </x:c>
      <x:c r="B136" s="1" t="str">
        <x:v>sky medidas bolso de mano</x:v>
      </x:c>
      <x:c r="C136" s="1" t="str">
        <x:v>per</x:v>
      </x:c>
      <x:c r="D136" s="1" t="str">
        <x:v>Marca</x:v>
      </x:c>
      <x:c r="E136" s="35" t="n">
        <x:v>10</x:v>
      </x:c>
      <x:c r="F136" s="36"/>
      <x:c r="G136" s="36" t="str">
        <x:f>IF(ISNUMBER(F136),E136*F136,"")</x:f>
      </x:c>
      <x:c r="H136" s="37" t="d">
        <x:v>2026-10-15T00:00:00.000Z</x:v>
      </x:c>
      <x:c r="I136" s="37" t="d">
        <x:v>2026-09-12T21:21:10.000Z</x:v>
      </x:c>
      <x:c r="J136" s="1" t="n">
        <x:f>IF(ISNUMBER(F136),E136,0)</x:f>
        <x:v>0</x:v>
      </x:c>
      <x:c r="K136" s="1"/>
      <x:c r="L136" s="1" t="str">
        <x:v>https://blog.skyairline.com/mitos-chilenos-cuentos-y-leyendas-de-nuestros-pueblos/</x:v>
      </x:c>
      <x:c r="M136" s="1" t="n">
        <x:v>18</x:v>
      </x:c>
    </x:row>
    <x:row r="137" ht="18.75" customHeight="1">
      <x:c r="A137" s="1" t="str">
        <x:v>https://blog.skyairline.com/equipaje-de-mano-permitido/</x:v>
      </x:c>
      <x:c r="B137" s="1" t="str">
        <x:v>sky objetos prohibidos</x:v>
      </x:c>
      <x:c r="C137" s="1" t="str">
        <x:v>chl</x:v>
      </x:c>
      <x:c r="D137" s="1" t="str">
        <x:v>Marca</x:v>
      </x:c>
      <x:c r="E137" s="35" t="n">
        <x:v>10</x:v>
      </x:c>
      <x:c r="F137" s="36"/>
      <x:c r="G137" s="36" t="str">
        <x:f>IF(ISNUMBER(F137),E137*F137,"")</x:f>
      </x:c>
      <x:c r="H137" s="37" t="d">
        <x:v>2026-10-15T00:00:00.000Z</x:v>
      </x:c>
      <x:c r="I137" s="37" t="d">
        <x:v>2026-09-14T11:36:15.000Z</x:v>
      </x:c>
      <x:c r="J137" s="1" t="n">
        <x:f>IF(ISNUMBER(F137),E137,0)</x:f>
        <x:v>0</x:v>
      </x:c>
      <x:c r="K137" s="1"/>
      <x:c r="L137" s="1" t="str">
        <x:v>https://blog.skyairline.com/portugues/</x:v>
      </x:c>
      <x:c r="M137" s="1" t="n">
        <x:v>18</x:v>
      </x:c>
    </x:row>
    <x:row r="138" ht="18.75" customHeight="1">
      <x:c r="A138" s="1" t="str">
        <x:v>https://blog.skyairline.com/punta-sal/</x:v>
      </x:c>
      <x:c r="B138" s="1" t="str">
        <x:v>punta sal donde queda</x:v>
      </x:c>
      <x:c r="C138" s="1" t="str">
        <x:v>per</x:v>
      </x:c>
      <x:c r="D138" s="1" t="str">
        <x:v>Sin marca</x:v>
      </x:c>
      <x:c r="E138" s="35" t="n">
        <x:v>10</x:v>
      </x:c>
      <x:c r="F138" s="36"/>
      <x:c r="G138" s="36" t="str">
        <x:f>IF(ISNUMBER(F138),E138*F138,"")</x:f>
      </x:c>
      <x:c r="H138" s="37" t="d">
        <x:v>2026-10-15T00:00:00.000Z</x:v>
      </x:c>
      <x:c r="I138" s="37" t="d">
        <x:v>2026-10-15T19:37:08.999Z</x:v>
      </x:c>
      <x:c r="J138" s="1" t="n">
        <x:f>IF(ISNUMBER(F138),E138,0)</x:f>
        <x:v>0</x:v>
      </x:c>
      <x:c r="K138" s="1"/>
      <x:c r="L138" s="1" t="str">
        <x:v>https://blog.skyairline.com/viajar-a-coyhaique/</x:v>
      </x:c>
      <x:c r="M138" s="1" t="n">
        <x:v>18</x:v>
      </x:c>
    </x:row>
    <x:row r="139" ht="18.75" customHeight="1">
      <x:c r="A139" s="1" t="str">
        <x:v>https://blog.skyairline.com/sky-airline-2/</x:v>
      </x:c>
      <x:c r="B139" s="1" t="str">
        <x:v>teléfonos de sky servicio al cliente</x:v>
      </x:c>
      <x:c r="C139" s="1" t="str">
        <x:v>chl</x:v>
      </x:c>
      <x:c r="D139" s="1" t="str">
        <x:v>Marca</x:v>
      </x:c>
      <x:c r="E139" s="35" t="n">
        <x:v>10</x:v>
      </x:c>
      <x:c r="F139" s="36" t="n">
        <x:v>2.18</x:v>
      </x:c>
      <x:c r="G139" s="36" t="n">
        <x:f>IF(ISNUMBER(F139),E139*F139,"")</x:f>
        <x:v>21.8</x:v>
      </x:c>
      <x:c r="H139" s="37" t="d">
        <x:v>2026-10-15T00:00:00.000Z</x:v>
      </x:c>
      <x:c r="I139" s="37" t="d">
        <x:v>2026-09-15T20:10:29.000Z</x:v>
      </x:c>
      <x:c r="J139" s="1" t="n">
        <x:f>IF(ISNUMBER(F139),E139,0)</x:f>
        <x:v>10</x:v>
      </x:c>
      <x:c r="K139" s="1"/>
      <x:c r="L139" s="1" t="str">
        <x:v>https://blog.skyairline.com/nueva-plataforma-digital-simplificamos-el-envio-de-carga-aerea/</x:v>
      </x:c>
      <x:c r="M139" s="1" t="n">
        <x:v>17</x:v>
      </x:c>
    </x:row>
    <x:row r="140" ht="18.75" customHeight="1">
      <x:c r="A140" s="1" t="str">
        <x:v>https://blog.skyairline.com/sky-aviones/</x:v>
      </x:c>
      <x:c r="B140" s="1" t="str">
        <x:v>flota sky airlines</x:v>
      </x:c>
      <x:c r="C140" s="1" t="str">
        <x:v>chl</x:v>
      </x:c>
      <x:c r="D140" s="1" t="str">
        <x:v>Marca</x:v>
      </x:c>
      <x:c r="E140" s="35" t="n">
        <x:v>10</x:v>
      </x:c>
      <x:c r="F140" s="36"/>
      <x:c r="G140" s="36" t="str">
        <x:f>IF(ISNUMBER(F140),E140*F140,"")</x:f>
      </x:c>
      <x:c r="H140" s="37"/>
      <x:c r="I140" s="37"/>
      <x:c r="J140" s="1" t="n">
        <x:f>IF(ISNUMBER(F140),E140,0)</x:f>
        <x:v>0</x:v>
      </x:c>
      <x:c r="K140" s="1"/>
      <x:c r="L140" s="1" t="str">
        <x:v>https://blog.skyairline.com/pasajes-aereos-en-linea/</x:v>
      </x:c>
      <x:c r="M140" s="1" t="n">
        <x:v>17</x:v>
      </x:c>
    </x:row>
    <x:row r="141" ht="18.75" customHeight="1">
      <x:c r="A141" s="1" t="str">
        <x:v>https://blog.skyairline.com/sky-fortalece-su-propuesta-de-valor-para-sus-pasajeros-con-economy-premier/</x:v>
      </x:c>
      <x:c r="B141" s="1" t="str">
        <x:v>sky premiere</x:v>
      </x:c>
      <x:c r="C141" s="1" t="str">
        <x:v>chl</x:v>
      </x:c>
      <x:c r="D141" s="1" t="str">
        <x:v>Marca</x:v>
      </x:c>
      <x:c r="E141" s="35" t="n">
        <x:v>10</x:v>
      </x:c>
      <x:c r="F141" s="36"/>
      <x:c r="G141" s="36" t="str">
        <x:f>IF(ISNUMBER(F141),E141*F141,"")</x:f>
      </x:c>
      <x:c r="H141" s="37"/>
      <x:c r="I141" s="37"/>
      <x:c r="J141" s="1" t="n">
        <x:f>IF(ISNUMBER(F141),E141,0)</x:f>
        <x:v>0</x:v>
      </x:c>
      <x:c r="K141" s="1"/>
      <x:c r="L141" s="1" t="str">
        <x:v>https://blog.skyairline.com/sargazo-en-playa-del-carmen-que-saber-antes-de-viajar/</x:v>
      </x:c>
      <x:c r="M141" s="1" t="n">
        <x:v>17</x:v>
      </x:c>
    </x:row>
    <x:row r="142" ht="18.75" customHeight="1">
      <x:c r="A142" s="1" t="str">
        <x:v>https://blog.skyairline.com/sky-plus/</x:v>
      </x:c>
      <x:c r="B142" s="1" t="str">
        <x:v>cuantos puntos sky plus necesito para viajar</x:v>
      </x:c>
      <x:c r="C142" s="1" t="str">
        <x:v>chl</x:v>
      </x:c>
      <x:c r="D142" s="1" t="str">
        <x:v>Marca</x:v>
      </x:c>
      <x:c r="E142" s="35" t="n">
        <x:v>10</x:v>
      </x:c>
      <x:c r="F142" s="36" t="n">
        <x:v>0.22</x:v>
      </x:c>
      <x:c r="G142" s="36" t="n">
        <x:f>IF(ISNUMBER(F142),E142*F142,"")</x:f>
        <x:v>2.2</x:v>
      </x:c>
      <x:c r="H142" s="37" t="d">
        <x:v>2026-10-15T00:00:00.000Z</x:v>
      </x:c>
      <x:c r="I142" s="37" t="d">
        <x:v>2026-09-17T21:47:15.999Z</x:v>
      </x:c>
      <x:c r="J142" s="1" t="n">
        <x:f>IF(ISNUMBER(F142),E142,0)</x:f>
        <x:v>10</x:v>
      </x:c>
      <x:c r="K142" s="1"/>
      <x:c r="L142" s="1" t="str">
        <x:v>https://blog.skyairline.com/sky-fortalece-su-red-internacional-desde-peru-con-nuevas-rutas-a-chile-y-brasil/</x:v>
      </x:c>
      <x:c r="M142" s="1" t="n">
        <x:v>17</x:v>
      </x:c>
    </x:row>
    <x:row r="143" ht="18.75" customHeight="1">
      <x:c r="A143" s="1" t="str">
        <x:v>https://blog.skyairline.com/tipos-de-equipaje/</x:v>
      </x:c>
      <x:c r="B143" s="1" t="str">
        <x:v>sky maleta</x:v>
      </x:c>
      <x:c r="C143" s="1" t="str">
        <x:v>chl</x:v>
      </x:c>
      <x:c r="D143" s="1" t="str">
        <x:v>Marca</x:v>
      </x:c>
      <x:c r="E143" s="35" t="n">
        <x:v>10</x:v>
      </x:c>
      <x:c r="F143" s="36"/>
      <x:c r="G143" s="36" t="str">
        <x:f>IF(ISNUMBER(F143),E143*F143,"")</x:f>
      </x:c>
      <x:c r="H143" s="37" t="d">
        <x:v>2026-10-15T00:00:00.000Z</x:v>
      </x:c>
      <x:c r="I143" s="37" t="d">
        <x:v>2026-09-12T16:25:02.999Z</x:v>
      </x:c>
      <x:c r="J143" s="1" t="n">
        <x:f>IF(ISNUMBER(F143),E143,0)</x:f>
        <x:v>0</x:v>
      </x:c>
      <x:c r="K143" s="1"/>
      <x:c r="L143" s="1" t="str">
        <x:v>https://blog.skyairline.com/aeropuestos-de-peru/</x:v>
      </x:c>
      <x:c r="M143" s="1" t="n">
        <x:v>16</x:v>
      </x:c>
    </x:row>
    <x:row r="144" ht="18.75" customHeight="1">
      <x:c r="A144" s="1" t="str">
        <x:v>https://blog.skyairline.com/viajar-con-perros/</x:v>
      </x:c>
      <x:c r="B144" s="1" t="str">
        <x:v>sky mascotas en cabina</x:v>
      </x:c>
      <x:c r="C144" s="1" t="str">
        <x:v>chl</x:v>
      </x:c>
      <x:c r="D144" s="1" t="str">
        <x:v>Marca</x:v>
      </x:c>
      <x:c r="E144" s="35" t="n">
        <x:v>10</x:v>
      </x:c>
      <x:c r="F144" s="36" t="n">
        <x:v>0.31</x:v>
      </x:c>
      <x:c r="G144" s="36" t="n">
        <x:f>IF(ISNUMBER(F144),E144*F144,"")</x:f>
        <x:v>3.1</x:v>
      </x:c>
      <x:c r="H144" s="37" t="d">
        <x:v>2026-10-15T00:00:00.000Z</x:v>
      </x:c>
      <x:c r="I144" s="37" t="d">
        <x:v>2026-09-16T05:44:34.000Z</x:v>
      </x:c>
      <x:c r="J144" s="1" t="n">
        <x:f>IF(ISNUMBER(F144),E144,0)</x:f>
        <x:v>10</x:v>
      </x:c>
      <x:c r="K144" s="1"/>
      <x:c r="L144" s="1" t="str">
        <x:v>https://blog.skyairline.com/arriendo-de-auto/</x:v>
      </x:c>
      <x:c r="M144" s="1" t="n">
        <x:v>16</x:v>
      </x:c>
    </x:row>
    <x:row r="145" ht="18.75" customHeight="1">
      <x:c r="A145" s="1" t="str">
        <x:v>https://blog.skyairline.com/viajar-con-perros/</x:v>
      </x:c>
      <x:c r="B145" s="1" t="str">
        <x:v>sky mascotas requisitos bodega</x:v>
      </x:c>
      <x:c r="C145" s="1" t="str">
        <x:v>chl</x:v>
      </x:c>
      <x:c r="D145" s="1" t="str">
        <x:v>Marca</x:v>
      </x:c>
      <x:c r="E145" s="35" t="n">
        <x:v>10</x:v>
      </x:c>
      <x:c r="F145" s="36"/>
      <x:c r="G145" s="36" t="str">
        <x:f>IF(ISNUMBER(F145),E145*F145,"")</x:f>
      </x:c>
      <x:c r="H145" s="37" t="d">
        <x:v>2026-10-15T00:00:00.000Z</x:v>
      </x:c>
      <x:c r="I145" s="37" t="d">
        <x:v>2026-09-16T16:50:05.000Z</x:v>
      </x:c>
      <x:c r="J145" s="1" t="n">
        <x:f>IF(ISNUMBER(F145),E145,0)</x:f>
        <x:v>0</x:v>
      </x:c>
      <x:c r="K145" s="1"/>
      <x:c r="L145" s="1" t="str">
        <x:v>https://blog.skyairline.com/canon-de-shucto/</x:v>
      </x:c>
      <x:c r="M145" s="1" t="n">
        <x:v>16</x:v>
      </x:c>
    </x:row>
    <x:row r="146" ht="18.75" customHeight="1">
      <x:c r="A146" s="1" t="str">
        <x:v>https://blog.skyairline.com/aeropuerto-temuco/</x:v>
      </x:c>
      <x:c r="B146" s="1" t="str">
        <x:v>aeropuerto temuco</x:v>
      </x:c>
      <x:c r="C146" s="1" t="str">
        <x:v>chl</x:v>
      </x:c>
      <x:c r="D146" s="1" t="str">
        <x:v>Sin marca</x:v>
      </x:c>
      <x:c r="E146" s="35" t="n">
        <x:v>9</x:v>
      </x:c>
      <x:c r="F146" s="36" t="n">
        <x:v>1.31</x:v>
      </x:c>
      <x:c r="G146" s="36" t="n">
        <x:f>IF(ISNUMBER(F146),E146*F146,"")</x:f>
        <x:v>11.790000000000001</x:v>
      </x:c>
      <x:c r="H146" s="37" t="d">
        <x:v>2026-10-15T00:00:00.000Z</x:v>
      </x:c>
      <x:c r="I146" s="37" t="d">
        <x:v>2026-10-15T11:46:04.000Z</x:v>
      </x:c>
      <x:c r="J146" s="1" t="n">
        <x:f>IF(ISNUMBER(F146),E146,0)</x:f>
        <x:v>9</x:v>
      </x:c>
      <x:c r="K146" s="1"/>
      <x:c r="L146" s="1" t="str">
        <x:v>https://blog.skyairline.com/cuatro-recomendaciones-para-viajar-con-ninos-sin-contratiempos/</x:v>
      </x:c>
      <x:c r="M146" s="1" t="n">
        <x:v>16</x:v>
      </x:c>
    </x:row>
    <x:row r="147" ht="18.75" customHeight="1">
      <x:c r="A147" s="1" t="str">
        <x:v>https://blog.skyairline.com/cambiar-vuelo-sky/</x:v>
      </x:c>
      <x:c r="B147" s="1" t="str">
        <x:v>sky airlines cambio de vuelo</x:v>
      </x:c>
      <x:c r="C147" s="1" t="str">
        <x:v>chl</x:v>
      </x:c>
      <x:c r="D147" s="1" t="str">
        <x:v>Marca</x:v>
      </x:c>
      <x:c r="E147" s="35" t="n">
        <x:v>9</x:v>
      </x:c>
      <x:c r="F147" s="36" t="n">
        <x:v>0.24</x:v>
      </x:c>
      <x:c r="G147" s="36" t="n">
        <x:f>IF(ISNUMBER(F147),E147*F147,"")</x:f>
        <x:v>2.16</x:v>
      </x:c>
      <x:c r="H147" s="37" t="d">
        <x:v>2026-10-15T00:00:00.000Z</x:v>
      </x:c>
      <x:c r="I147" s="37" t="d">
        <x:v>2026-09-16T22:24:41.000Z</x:v>
      </x:c>
      <x:c r="J147" s="1" t="n">
        <x:f>IF(ISNUMBER(F147),E147,0)</x:f>
        <x:v>9</x:v>
      </x:c>
      <x:c r="K147" s="1"/>
      <x:c r="L147" s="1" t="str">
        <x:v>https://blog.skyairline.com/mejores-epocas-para-ir-de-puerto-montt-a-santiago-en-avion/</x:v>
      </x:c>
      <x:c r="M147" s="1" t="n">
        <x:v>16</x:v>
      </x:c>
    </x:row>
    <x:row r="148" ht="18.75" customHeight="1">
      <x:c r="A148" s="1" t="str">
        <x:v>https://blog.skyairline.com/categoria/oportunidades/</x:v>
      </x:c>
      <x:c r="B148" s="1" t="str">
        <x:v>trabajos sky airlines</x:v>
      </x:c>
      <x:c r="C148" s="1" t="str">
        <x:v>chl</x:v>
      </x:c>
      <x:c r="D148" s="1" t="str">
        <x:v>Marca</x:v>
      </x:c>
      <x:c r="E148" s="35" t="n">
        <x:v>9</x:v>
      </x:c>
      <x:c r="F148" s="36" t="n">
        <x:v>0.01</x:v>
      </x:c>
      <x:c r="G148" s="36" t="n">
        <x:f>IF(ISNUMBER(F148),E148*F148,"")</x:f>
        <x:v>0.09</x:v>
      </x:c>
      <x:c r="H148" s="37" t="d">
        <x:v>2026-10-15T00:00:00.000Z</x:v>
      </x:c>
      <x:c r="I148" s="37" t="d">
        <x:v>2026-09-17T11:21:17.000Z</x:v>
      </x:c>
      <x:c r="J148" s="1" t="n">
        <x:f>IF(ISNUMBER(F148),E148,0)</x:f>
        <x:v>9</x:v>
      </x:c>
      <x:c r="K148" s="1"/>
      <x:c r="L148" s="1" t="str">
        <x:v>https://blog.skyairline.com/norte-de-chile/</x:v>
      </x:c>
      <x:c r="M148" s="1" t="n">
        <x:v>16</x:v>
      </x:c>
    </x:row>
    <x:row r="149" ht="18.75" customHeight="1">
      <x:c r="A149" s="1" t="str">
        <x:v>https://blog.skyairline.com/curso-tripulante-cabina/</x:v>
      </x:c>
      <x:c r="B149" s="1" t="str">
        <x:v>academia tripulante de cabina sky</x:v>
      </x:c>
      <x:c r="C149" s="1" t="str">
        <x:v>chl</x:v>
      </x:c>
      <x:c r="D149" s="1" t="str">
        <x:v>Marca</x:v>
      </x:c>
      <x:c r="E149" s="35" t="n">
        <x:v>9</x:v>
      </x:c>
      <x:c r="F149" s="36"/>
      <x:c r="G149" s="36" t="str">
        <x:f>IF(ISNUMBER(F149),E149*F149,"")</x:f>
      </x:c>
      <x:c r="H149" s="37"/>
      <x:c r="I149" s="37"/>
      <x:c r="J149" s="1" t="n">
        <x:f>IF(ISNUMBER(F149),E149,0)</x:f>
        <x:v>0</x:v>
      </x:c>
      <x:c r="K149" s="1"/>
      <x:c r="L149" s="1" t="str">
        <x:v>https://blog.skyairline.com/a-donde-ir-en-balmaceda/</x:v>
      </x:c>
      <x:c r="M149" s="1" t="n">
        <x:v>15</x:v>
      </x:c>
    </x:row>
    <x:row r="150" ht="18.75" customHeight="1">
      <x:c r="A150" s="1" t="str">
        <x:v>https://blog.skyairline.com/curso-tripulante-cabina/</x:v>
      </x:c>
      <x:c r="B150" s="1" t="str">
        <x:v>cursos de azafata en chile</x:v>
      </x:c>
      <x:c r="C150" s="1" t="str">
        <x:v>chl</x:v>
      </x:c>
      <x:c r="D150" s="1" t="str">
        <x:v>Sin marca</x:v>
      </x:c>
      <x:c r="E150" s="35" t="n">
        <x:v>9</x:v>
      </x:c>
      <x:c r="F150" s="36" t="n">
        <x:v>0.24</x:v>
      </x:c>
      <x:c r="G150" s="36" t="n">
        <x:f>IF(ISNUMBER(F150),E150*F150,"")</x:f>
        <x:v>2.16</x:v>
      </x:c>
      <x:c r="H150" s="37" t="d">
        <x:v>2026-10-15T00:00:00.000Z</x:v>
      </x:c>
      <x:c r="I150" s="37" t="d">
        <x:v>2026-09-14T15:53:38.000Z</x:v>
      </x:c>
      <x:c r="J150" s="1" t="n">
        <x:f>IF(ISNUMBER(F150),E150,0)</x:f>
        <x:v>9</x:v>
      </x:c>
      <x:c r="K150" s="1"/>
      <x:c r="L150" s="1" t="str">
        <x:v>https://blog.skyairline.com/auroras-boreales-en-chile-se-pueden-ver-en-el-pais/</x:v>
      </x:c>
      <x:c r="M150" s="1" t="n">
        <x:v>15</x:v>
      </x:c>
    </x:row>
    <x:row r="151" ht="18.75" customHeight="1">
      <x:c r="A151" s="1" t="str">
        <x:v>https://blog.skyairline.com/equipaje-de-bodega/</x:v>
      </x:c>
      <x:c r="B151" s="1" t="str">
        <x:v>equipaje de mano sky</x:v>
      </x:c>
      <x:c r="C151" s="1" t="str">
        <x:v>per</x:v>
      </x:c>
      <x:c r="D151" s="1" t="str">
        <x:v>Marca</x:v>
      </x:c>
      <x:c r="E151" s="35" t="n">
        <x:v>9</x:v>
      </x:c>
      <x:c r="F151" s="36"/>
      <x:c r="G151" s="36" t="str">
        <x:f>IF(ISNUMBER(F151),E151*F151,"")</x:f>
      </x:c>
      <x:c r="H151" s="37" t="d">
        <x:v>2026-10-15T00:00:00.000Z</x:v>
      </x:c>
      <x:c r="I151" s="37" t="d">
        <x:v>2026-09-16T05:34:43.000Z</x:v>
      </x:c>
      <x:c r="J151" s="1" t="n">
        <x:f>IF(ISNUMBER(F151),E151,0)</x:f>
        <x:v>0</x:v>
      </x:c>
      <x:c r="K151" s="1"/>
      <x:c r="L151" s="1" t="str">
        <x:v>https://blog.skyairline.com/barra-da-tijuca/</x:v>
      </x:c>
      <x:c r="M151" s="1" t="n">
        <x:v>15</x:v>
      </x:c>
    </x:row>
    <x:row r="152" ht="18.75" customHeight="1">
      <x:c r="A152" s="1" t="str">
        <x:v>https://blog.skyairline.com/equipaje-de-bodega/</x:v>
      </x:c>
      <x:c r="B152" s="1" t="str">
        <x:v>maleta sky</x:v>
      </x:c>
      <x:c r="C152" s="1" t="str">
        <x:v>chl</x:v>
      </x:c>
      <x:c r="D152" s="1" t="str">
        <x:v>Marca</x:v>
      </x:c>
      <x:c r="E152" s="35" t="n">
        <x:v>9</x:v>
      </x:c>
      <x:c r="F152" s="36" t="n">
        <x:v>0.14</x:v>
      </x:c>
      <x:c r="G152" s="36" t="n">
        <x:f>IF(ISNUMBER(F152),E152*F152,"")</x:f>
        <x:v>1.2600000000000002</x:v>
      </x:c>
      <x:c r="H152" s="37" t="d">
        <x:v>2026-10-15T00:00:00.000Z</x:v>
      </x:c>
      <x:c r="I152" s="37" t="d">
        <x:v>2026-09-14T10:52:27.000Z</x:v>
      </x:c>
      <x:c r="J152" s="1" t="n">
        <x:f>IF(ISNUMBER(F152),E152,0)</x:f>
        <x:v>9</x:v>
      </x:c>
      <x:c r="K152" s="1"/>
      <x:c r="L152" s="1" t="str">
        <x:v>https://blog.skyairline.com/comidas-tipicas-chilenas/</x:v>
      </x:c>
      <x:c r="M152" s="1" t="n">
        <x:v>15</x:v>
      </x:c>
    </x:row>
    <x:row r="153" ht="18.75" customHeight="1">
      <x:c r="A153" s="1" t="str">
        <x:v>https://blog.skyairline.com/equipaje-de-bodega/</x:v>
      </x:c>
      <x:c r="B153" s="1" t="str">
        <x:v>maleta sky medidas</x:v>
      </x:c>
      <x:c r="C153" s="1" t="str">
        <x:v>per</x:v>
      </x:c>
      <x:c r="D153" s="1" t="str">
        <x:v>Marca</x:v>
      </x:c>
      <x:c r="E153" s="35" t="n">
        <x:v>9</x:v>
      </x:c>
      <x:c r="F153" s="36"/>
      <x:c r="G153" s="36" t="str">
        <x:f>IF(ISNUMBER(F153),E153*F153,"")</x:f>
      </x:c>
      <x:c r="H153" s="37" t="d">
        <x:v>2026-10-15T00:00:00.000Z</x:v>
      </x:c>
      <x:c r="I153" s="37" t="d">
        <x:v>2026-09-14T19:23:06.000Z</x:v>
      </x:c>
      <x:c r="J153" s="1" t="n">
        <x:f>IF(ISNUMBER(F153),E153,0)</x:f>
        <x:v>0</x:v>
      </x:c>
      <x:c r="K153" s="1"/>
      <x:c r="L153" s="1" t="str">
        <x:v>https://blog.skyairline.com/parques-y-atracciones-naturales-de-osorno/</x:v>
      </x:c>
      <x:c r="M153" s="1" t="n">
        <x:v>15</x:v>
      </x:c>
    </x:row>
    <x:row r="154" ht="18.75" customHeight="1">
      <x:c r="A154" s="1" t="str">
        <x:v>https://blog.skyairline.com/equipaje-de-cabina/</x:v>
      </x:c>
      <x:c r="B154" s="1" t="str">
        <x:v>medidas de equipaje de mano sky</x:v>
      </x:c>
      <x:c r="C154" s="1" t="str">
        <x:v>chl</x:v>
      </x:c>
      <x:c r="D154" s="1" t="str">
        <x:v>Marca</x:v>
      </x:c>
      <x:c r="E154" s="35" t="n">
        <x:v>9</x:v>
      </x:c>
      <x:c r="F154" s="36"/>
      <x:c r="G154" s="36" t="str">
        <x:f>IF(ISNUMBER(F154),E154*F154,"")</x:f>
      </x:c>
      <x:c r="H154" s="37" t="d">
        <x:v>2026-10-15T00:00:00.000Z</x:v>
      </x:c>
      <x:c r="I154" s="37" t="d">
        <x:v>2026-09-13T06:22:31.000Z</x:v>
      </x:c>
      <x:c r="J154" s="1" t="n">
        <x:f>IF(ISNUMBER(F154),E154,0)</x:f>
        <x:v>0</x:v>
      </x:c>
      <x:c r="K154" s="1"/>
      <x:c r="L154" s="1" t="str">
        <x:v>https://blog.skyairline.com/playas-mas-cercanas-desde-buenos-aires/</x:v>
      </x:c>
      <x:c r="M154" s="1" t="n">
        <x:v>15</x:v>
      </x:c>
    </x:row>
    <x:row r="155" ht="18.75" customHeight="1">
      <x:c r="A155" s="1" t="str">
        <x:v>https://blog.skyairline.com/equipaje-de-cabina/</x:v>
      </x:c>
      <x:c r="B155" s="1" t="str">
        <x:v>medidas equipaje de cabina sky</x:v>
      </x:c>
      <x:c r="C155" s="1" t="str">
        <x:v>chl</x:v>
      </x:c>
      <x:c r="D155" s="1" t="str">
        <x:v>Marca</x:v>
      </x:c>
      <x:c r="E155" s="35" t="n">
        <x:v>9</x:v>
      </x:c>
      <x:c r="F155" s="36"/>
      <x:c r="G155" s="36" t="str">
        <x:f>IF(ISNUMBER(F155),E155*F155,"")</x:f>
      </x:c>
      <x:c r="H155" s="37" t="d">
        <x:v>2026-10-15T00:00:00.000Z</x:v>
      </x:c>
      <x:c r="I155" s="37" t="d">
        <x:v>2026-09-17T07:10:34.000Z</x:v>
      </x:c>
      <x:c r="J155" s="1" t="n">
        <x:f>IF(ISNUMBER(F155),E155,0)</x:f>
        <x:v>0</x:v>
      </x:c>
      <x:c r="K155" s="1"/>
      <x:c r="L155" s="1" t="str">
        <x:v>https://blog.skyairline.com/preparativos-para-viajar/</x:v>
      </x:c>
      <x:c r="M155" s="1" t="n">
        <x:v>15</x:v>
      </x:c>
    </x:row>
    <x:row r="156" ht="18.75" customHeight="1">
      <x:c r="A156" s="1" t="str">
        <x:v>https://blog.skyairline.com/equipaje-de-cabina/</x:v>
      </x:c>
      <x:c r="B156" s="1" t="str">
        <x:v>sky maleta de cabina</x:v>
      </x:c>
      <x:c r="C156" s="1" t="str">
        <x:v>chl</x:v>
      </x:c>
      <x:c r="D156" s="1" t="str">
        <x:v>Marca</x:v>
      </x:c>
      <x:c r="E156" s="35" t="n">
        <x:v>9</x:v>
      </x:c>
      <x:c r="F156" s="36"/>
      <x:c r="G156" s="36" t="str">
        <x:f>IF(ISNUMBER(F156),E156*F156,"")</x:f>
      </x:c>
      <x:c r="H156" s="37"/>
      <x:c r="I156" s="37"/>
      <x:c r="J156" s="1" t="n">
        <x:f>IF(ISNUMBER(F156),E156,0)</x:f>
        <x:v>0</x:v>
      </x:c>
      <x:c r="K156" s="1"/>
      <x:c r="L156" s="1" t="str">
        <x:v>https://blog.skyairline.com/pucon/</x:v>
      </x:c>
      <x:c r="M156" s="1" t="n">
        <x:v>15</x:v>
      </x:c>
    </x:row>
    <x:row r="157" ht="18.75" customHeight="1">
      <x:c r="A157" s="1" t="str">
        <x:v>https://blog.skyairline.com/mascotas-en-cabina/</x:v>
      </x:c>
      <x:c r="B157" s="1" t="str">
        <x:v>sky mascotas</x:v>
      </x:c>
      <x:c r="C157" s="1" t="str">
        <x:v>per</x:v>
      </x:c>
      <x:c r="D157" s="1" t="str">
        <x:v>Marca</x:v>
      </x:c>
      <x:c r="E157" s="35" t="n">
        <x:v>9</x:v>
      </x:c>
      <x:c r="F157" s="36" t="n">
        <x:v>0.58</x:v>
      </x:c>
      <x:c r="G157" s="36" t="n">
        <x:f>IF(ISNUMBER(F157),E157*F157,"")</x:f>
        <x:v>5.22</x:v>
      </x:c>
      <x:c r="H157" s="37" t="d">
        <x:v>2026-10-15T00:00:00.000Z</x:v>
      </x:c>
      <x:c r="I157" s="37" t="d">
        <x:v>2026-09-16T03:04:54.000Z</x:v>
      </x:c>
      <x:c r="J157" s="1" t="n">
        <x:f>IF(ISNUMBER(F157),E157,0)</x:f>
        <x:v>9</x:v>
      </x:c>
      <x:c r="K157" s="1"/>
      <x:c r="L157" s="1" t="str">
        <x:v>https://blog.skyairline.com/sky-revoluciona-la-aviacion-con-nuevos-uniformes-innovacion-y-confort-a-bordo/</x:v>
      </x:c>
      <x:c r="M157" s="1" t="n">
        <x:v>15</x:v>
      </x:c>
    </x:row>
    <x:row r="158" ht="18.75" customHeight="1">
      <x:c r="A158" s="1" t="str">
        <x:v>https://blog.skyairline.com/se-puede-llegar-en-avion-a-pucon/</x:v>
      </x:c>
      <x:c r="B158" s="1" t="str">
        <x:v>pucon tiene aeropuerto</x:v>
      </x:c>
      <x:c r="C158" s="1" t="str">
        <x:v>chl</x:v>
      </x:c>
      <x:c r="D158" s="1" t="str">
        <x:v>Sin marca</x:v>
      </x:c>
      <x:c r="E158" s="35" t="n">
        <x:v>9</x:v>
      </x:c>
      <x:c r="F158" s="36" t="n">
        <x:v>0.83</x:v>
      </x:c>
      <x:c r="G158" s="36" t="n">
        <x:f>IF(ISNUMBER(F158),E158*F158,"")</x:f>
        <x:v>7.47</x:v>
      </x:c>
      <x:c r="H158" s="37" t="d">
        <x:v>2026-10-15T00:00:00.000Z</x:v>
      </x:c>
      <x:c r="I158" s="37" t="d">
        <x:v>2026-09-16T06:04:43.000Z</x:v>
      </x:c>
      <x:c r="J158" s="1" t="n">
        <x:f>IF(ISNUMBER(F158),E158,0)</x:f>
        <x:v>9</x:v>
      </x:c>
      <x:c r="K158" s="1"/>
      <x:c r="L158" s="1" t="str">
        <x:v>https://blog.skyairline.com/velocidad-avion/</x:v>
      </x:c>
      <x:c r="M158" s="1" t="n">
        <x:v>15</x:v>
      </x:c>
    </x:row>
    <x:row r="159" ht="18.75" customHeight="1">
      <x:c r="A159" s="1" t="str">
        <x:v>https://blog.skyairline.com/tipos-de-equipaje/</x:v>
      </x:c>
      <x:c r="B159" s="1" t="str">
        <x:v>equipaje sky airlines</x:v>
      </x:c>
      <x:c r="C159" s="1" t="str">
        <x:v>arg</x:v>
      </x:c>
      <x:c r="D159" s="1" t="str">
        <x:v>Marca</x:v>
      </x:c>
      <x:c r="E159" s="35" t="n">
        <x:v>9</x:v>
      </x:c>
      <x:c r="F159" s="36"/>
      <x:c r="G159" s="36" t="str">
        <x:f>IF(ISNUMBER(F159),E159*F159,"")</x:f>
      </x:c>
      <x:c r="H159" s="37"/>
      <x:c r="I159" s="37"/>
      <x:c r="J159" s="1" t="n">
        <x:f>IF(ISNUMBER(F159),E159,0)</x:f>
        <x:v>0</x:v>
      </x:c>
      <x:c r="K159" s="1"/>
      <x:c r="L159" s="1" t="str">
        <x:v>https://blog.skyairline.com/viajar-con-ninos-y-bebes-recomendaciones-de-sky-para-un-trayecto-mas-comodo/</x:v>
      </x:c>
      <x:c r="M159" s="1" t="n">
        <x:v>15</x:v>
      </x:c>
    </x:row>
    <x:row r="160" ht="18.75" customHeight="1">
      <x:c r="A160" s="1" t="str">
        <x:v>https://blog.skyairline.com/tipos-de-equipaje/</x:v>
      </x:c>
      <x:c r="B160" s="1" t="str">
        <x:v>equipaje sky airlines</x:v>
      </x:c>
      <x:c r="C160" s="1" t="str">
        <x:v>ury</x:v>
      </x:c>
      <x:c r="D160" s="1" t="str">
        <x:v>Marca</x:v>
      </x:c>
      <x:c r="E160" s="35" t="n">
        <x:v>9</x:v>
      </x:c>
      <x:c r="F160" s="36"/>
      <x:c r="G160" s="36" t="str">
        <x:f>IF(ISNUMBER(F160),E160*F160,"")</x:f>
      </x:c>
      <x:c r="H160" s="37"/>
      <x:c r="I160" s="37"/>
      <x:c r="J160" s="1" t="n">
        <x:f>IF(ISNUMBER(F160),E160,0)</x:f>
        <x:v>0</x:v>
      </x:c>
      <x:c r="K160" s="1"/>
      <x:c r="L160" s="1" t="str">
        <x:v>https://blog.skyairline.com/edificio-mas-alto-de-chile/</x:v>
      </x:c>
      <x:c r="M160" s="1" t="n">
        <x:v>14</x:v>
      </x:c>
    </x:row>
    <x:row r="161" ht="18.75" customHeight="1">
      <x:c r="A161" s="1" t="str">
        <x:v>https://blog.skyairline.com/tipos-de-equipaje/</x:v>
      </x:c>
      <x:c r="B161" s="1" t="str">
        <x:v>sky equipajes</x:v>
      </x:c>
      <x:c r="C161" s="1" t="str">
        <x:v>chl</x:v>
      </x:c>
      <x:c r="D161" s="1" t="str">
        <x:v>Marca</x:v>
      </x:c>
      <x:c r="E161" s="35" t="n">
        <x:v>9</x:v>
      </x:c>
      <x:c r="F161" s="36" t="n">
        <x:v>1.49</x:v>
      </x:c>
      <x:c r="G161" s="36" t="n">
        <x:f>IF(ISNUMBER(F161),E161*F161,"")</x:f>
        <x:v>13.41</x:v>
      </x:c>
      <x:c r="H161" s="37" t="d">
        <x:v>2026-10-15T00:00:00.000Z</x:v>
      </x:c>
      <x:c r="I161" s="37" t="d">
        <x:v>2026-09-15T17:32:42.000Z</x:v>
      </x:c>
      <x:c r="J161" s="1" t="n">
        <x:f>IF(ISNUMBER(F161),E161,0)</x:f>
        <x:v>9</x:v>
      </x:c>
      <x:c r="K161" s="1"/>
      <x:c r="L161" s="1" t="str">
        <x:v>https://blog.skyairline.com/puerto-montt-a-puerto-varas/</x:v>
      </x:c>
      <x:c r="M161" s="1" t="n">
        <x:v>14</x:v>
      </x:c>
    </x:row>
    <x:row r="162" ht="18.75" customHeight="1">
      <x:c r="A162" s="1" t="str">
        <x:v>https://blog.skyairline.com/aeropuerto-chiloe/</x:v>
      </x:c>
      <x:c r="B162" s="1" t="str">
        <x:v>aeropuerto chiloe</x:v>
      </x:c>
      <x:c r="C162" s="1" t="str">
        <x:v>chl</x:v>
      </x:c>
      <x:c r="D162" s="1" t="str">
        <x:v>Sin marca</x:v>
      </x:c>
      <x:c r="E162" s="35" t="n">
        <x:v>8</x:v>
      </x:c>
      <x:c r="F162" s="36" t="n">
        <x:v>1.47</x:v>
      </x:c>
      <x:c r="G162" s="36" t="n">
        <x:f>IF(ISNUMBER(F162),E162*F162,"")</x:f>
        <x:v>11.76</x:v>
      </x:c>
      <x:c r="H162" s="37" t="d">
        <x:v>2026-10-15T00:00:00.000Z</x:v>
      </x:c>
      <x:c r="I162" s="37" t="d">
        <x:v>2026-09-15T22:11:41.000Z</x:v>
      </x:c>
      <x:c r="J162" s="1" t="n">
        <x:f>IF(ISNUMBER(F162),E162,0)</x:f>
        <x:v>8</x:v>
      </x:c>
      <x:c r="K162" s="1"/>
      <x:c r="L162" s="1" t="str">
        <x:v>https://blog.skyairline.com/destinos-de-verano/</x:v>
      </x:c>
      <x:c r="M162" s="1" t="n">
        <x:v>13</x:v>
      </x:c>
    </x:row>
    <x:row r="163" ht="18.75" customHeight="1">
      <x:c r="A163" s="1" t="str">
        <x:v>https://blog.skyairline.com/cambiar-vuelo-sky/</x:v>
      </x:c>
      <x:c r="B163" s="1" t="str">
        <x:v>sky cambiar fecha de vuelo</x:v>
      </x:c>
      <x:c r="C163" s="1" t="str">
        <x:v>chl</x:v>
      </x:c>
      <x:c r="D163" s="1" t="str">
        <x:v>Marca</x:v>
      </x:c>
      <x:c r="E163" s="35" t="n">
        <x:v>8</x:v>
      </x:c>
      <x:c r="F163" s="36"/>
      <x:c r="G163" s="36" t="str">
        <x:f>IF(ISNUMBER(F163),E163*F163,"")</x:f>
      </x:c>
      <x:c r="H163" s="37"/>
      <x:c r="I163" s="37"/>
      <x:c r="J163" s="1" t="n">
        <x:f>IF(ISNUMBER(F163),E163,0)</x:f>
        <x:v>0</x:v>
      </x:c>
      <x:c r="K163" s="1"/>
      <x:c r="L163" s="1" t="str">
        <x:v>https://blog.skyairline.com/musica-en-chile/</x:v>
      </x:c>
      <x:c r="M163" s="1" t="n">
        <x:v>13</x:v>
      </x:c>
    </x:row>
    <x:row r="164" ht="18.75" customHeight="1">
      <x:c r="A164" s="1" t="str">
        <x:v>https://blog.skyairline.com/categoria/oportunidades/</x:v>
      </x:c>
      <x:c r="B164" s="1" t="str">
        <x:v>sky trabaja con nosotros</x:v>
      </x:c>
      <x:c r="C164" s="1" t="str">
        <x:v>per</x:v>
      </x:c>
      <x:c r="D164" s="1" t="str">
        <x:v>Marca</x:v>
      </x:c>
      <x:c r="E164" s="35" t="n">
        <x:v>8</x:v>
      </x:c>
      <x:c r="F164" s="36" t="n">
        <x:v>0.04</x:v>
      </x:c>
      <x:c r="G164" s="36" t="n">
        <x:f>IF(ISNUMBER(F164),E164*F164,"")</x:f>
        <x:v>0.32</x:v>
      </x:c>
      <x:c r="H164" s="37" t="d">
        <x:v>2026-10-15T00:00:00.000Z</x:v>
      </x:c>
      <x:c r="I164" s="37" t="d">
        <x:v>2026-10-15T16:36:24.000Z</x:v>
      </x:c>
      <x:c r="J164" s="1" t="n">
        <x:f>IF(ISNUMBER(F164),E164,0)</x:f>
        <x:v>8</x:v>
      </x:c>
      <x:c r="K164" s="1"/>
      <x:c r="L164" s="1" t="str">
        <x:v>https://blog.skyairline.com/outfit-para-viajar-en-avion/</x:v>
      </x:c>
      <x:c r="M164" s="1" t="n">
        <x:v>13</x:v>
      </x:c>
    </x:row>
    <x:row r="165" ht="18.75" customHeight="1">
      <x:c r="A165" s="1" t="str">
        <x:v>https://blog.skyairline.com/curso-tripulante-cabina/</x:v>
      </x:c>
      <x:c r="B165" s="1" t="str">
        <x:v>curso azafata</x:v>
      </x:c>
      <x:c r="C165" s="1" t="str">
        <x:v>chl</x:v>
      </x:c>
      <x:c r="D165" s="1" t="str">
        <x:v>Sin marca</x:v>
      </x:c>
      <x:c r="E165" s="35" t="n">
        <x:v>8</x:v>
      </x:c>
      <x:c r="F165" s="36" t="n">
        <x:v>0.25</x:v>
      </x:c>
      <x:c r="G165" s="36" t="n">
        <x:f>IF(ISNUMBER(F165),E165*F165,"")</x:f>
        <x:v>2</x:v>
      </x:c>
      <x:c r="H165" s="37" t="d">
        <x:v>2026-10-15T00:00:00.000Z</x:v>
      </x:c>
      <x:c r="I165" s="37" t="d">
        <x:v>2026-09-16T20:07:26.999Z</x:v>
      </x:c>
      <x:c r="J165" s="1" t="n">
        <x:f>IF(ISNUMBER(F165),E165,0)</x:f>
        <x:v>8</x:v>
      </x:c>
      <x:c r="K165" s="1"/>
      <x:c r="L165" s="1" t="str">
        <x:v>https://blog.skyairline.com/playas-para-ir-con-ninos/</x:v>
      </x:c>
      <x:c r="M165" s="1" t="n">
        <x:v>13</x:v>
      </x:c>
    </x:row>
    <x:row r="166" ht="18.75" customHeight="1">
      <x:c r="A166" s="1" t="str">
        <x:v>https://blog.skyairline.com/curso-tripulante-cabina/</x:v>
      </x:c>
      <x:c r="B166" s="1" t="str">
        <x:v>sky airlines trabajo tripulante de cabina</x:v>
      </x:c>
      <x:c r="C166" s="1" t="str">
        <x:v>chl</x:v>
      </x:c>
      <x:c r="D166" s="1" t="str">
        <x:v>Marca</x:v>
      </x:c>
      <x:c r="E166" s="35" t="n">
        <x:v>8</x:v>
      </x:c>
      <x:c r="F166" s="36"/>
      <x:c r="G166" s="36" t="str">
        <x:f>IF(ISNUMBER(F166),E166*F166,"")</x:f>
      </x:c>
      <x:c r="H166" s="37" t="d">
        <x:v>2026-10-15T00:00:00.000Z</x:v>
      </x:c>
      <x:c r="I166" s="37" t="d">
        <x:v>2026-09-14T06:52:07.000Z</x:v>
      </x:c>
      <x:c r="J166" s="1" t="n">
        <x:f>IF(ISNUMBER(F166),E166,0)</x:f>
        <x:v>0</x:v>
      </x:c>
      <x:c r="K166" s="1"/>
      <x:c r="L166" s="1" t="str">
        <x:v>https://blog.skyairline.com/que-hacer-en-sao-paulo/</x:v>
      </x:c>
      <x:c r="M166" s="1" t="n">
        <x:v>13</x:v>
      </x:c>
    </x:row>
    <x:row r="167" ht="18.75" customHeight="1">
      <x:c r="A167" s="1" t="str">
        <x:v>https://blog.skyairline.com/curso-tripulante-cabina/</x:v>
      </x:c>
      <x:c r="B167" s="1" t="str">
        <x:v>sky tripulante de cabina chile</x:v>
      </x:c>
      <x:c r="C167" s="1" t="str">
        <x:v>chl</x:v>
      </x:c>
      <x:c r="D167" s="1" t="str">
        <x:v>Marca</x:v>
      </x:c>
      <x:c r="E167" s="35" t="n">
        <x:v>8</x:v>
      </x:c>
      <x:c r="F167" s="36" t="n">
        <x:v>0.44</x:v>
      </x:c>
      <x:c r="G167" s="36" t="n">
        <x:f>IF(ISNUMBER(F167),E167*F167,"")</x:f>
        <x:v>3.52</x:v>
      </x:c>
      <x:c r="H167" s="37" t="d">
        <x:v>2026-10-15T00:00:00.000Z</x:v>
      </x:c>
      <x:c r="I167" s="37" t="d">
        <x:v>2026-09-14T20:56:46.000Z</x:v>
      </x:c>
      <x:c r="J167" s="1" t="n">
        <x:f>IF(ISNUMBER(F167),E167,0)</x:f>
        <x:v>8</x:v>
      </x:c>
      <x:c r="K167" s="1"/>
      <x:c r="L167" s="1" t="str">
        <x:v>https://blog.skyairline.com/requisitos-para-entrar-a-chile/</x:v>
      </x:c>
      <x:c r="M167" s="1" t="n">
        <x:v>13</x:v>
      </x:c>
    </x:row>
    <x:row r="168" ht="18.75" customHeight="1">
      <x:c r="A168" s="1" t="str">
        <x:v>https://blog.skyairline.com/enchufe-brasil/</x:v>
      </x:c>
      <x:c r="B168" s="1" t="str">
        <x:v>enchufe en brasil</x:v>
      </x:c>
      <x:c r="C168" s="1" t="str">
        <x:v>chl</x:v>
      </x:c>
      <x:c r="D168" s="1" t="str">
        <x:v>Sin marca</x:v>
      </x:c>
      <x:c r="E168" s="35" t="n">
        <x:v>8</x:v>
      </x:c>
      <x:c r="F168" s="36"/>
      <x:c r="G168" s="36" t="str">
        <x:f>IF(ISNUMBER(F168),E168*F168,"")</x:f>
      </x:c>
      <x:c r="H168" s="37"/>
      <x:c r="I168" s="37"/>
      <x:c r="J168" s="1" t="n">
        <x:f>IF(ISNUMBER(F168),E168,0)</x:f>
        <x:v>0</x:v>
      </x:c>
      <x:c r="K168" s="1"/>
      <x:c r="L168" s="1" t="str">
        <x:v>https://blog.skyairline.com/retiros-espirituales/</x:v>
      </x:c>
      <x:c r="M168" s="1" t="n">
        <x:v>13</x:v>
      </x:c>
    </x:row>
    <x:row r="169" ht="18.75" customHeight="1">
      <x:c r="A169" s="1" t="str">
        <x:v>https://blog.skyairline.com/equipaje-de-bodega/</x:v>
      </x:c>
      <x:c r="B169" s="1" t="str">
        <x:v>bolso de mano sky</x:v>
      </x:c>
      <x:c r="C169" s="1" t="str">
        <x:v>per</x:v>
      </x:c>
      <x:c r="D169" s="1" t="str">
        <x:v>Marca</x:v>
      </x:c>
      <x:c r="E169" s="35" t="n">
        <x:v>8</x:v>
      </x:c>
      <x:c r="F169" s="36" t="n">
        <x:v>0.7</x:v>
      </x:c>
      <x:c r="G169" s="36" t="n">
        <x:f>IF(ISNUMBER(F169),E169*F169,"")</x:f>
        <x:v>5.6</x:v>
      </x:c>
      <x:c r="H169" s="37" t="d">
        <x:v>2026-10-15T00:00:00.000Z</x:v>
      </x:c>
      <x:c r="I169" s="37" t="d">
        <x:v>2026-09-13T22:11:51.000Z</x:v>
      </x:c>
      <x:c r="J169" s="1" t="n">
        <x:f>IF(ISNUMBER(F169),E169,0)</x:f>
        <x:v>8</x:v>
      </x:c>
      <x:c r="K169" s="1"/>
      <x:c r="L169" s="1" t="str">
        <x:v>https://blog.skyairline.com/ropa-para-viajar-en-avion/</x:v>
      </x:c>
      <x:c r="M169" s="1" t="n">
        <x:v>13</x:v>
      </x:c>
    </x:row>
    <x:row r="170" ht="18.75" customHeight="1">
      <x:c r="A170" s="1" t="str">
        <x:v>https://blog.skyairline.com/equipaje-de-bodega/</x:v>
      </x:c>
      <x:c r="B170" s="1" t="str">
        <x:v>bolso de mano sky medidas</x:v>
      </x:c>
      <x:c r="C170" s="1" t="str">
        <x:v>per</x:v>
      </x:c>
      <x:c r="D170" s="1" t="str">
        <x:v>Marca</x:v>
      </x:c>
      <x:c r="E170" s="35" t="n">
        <x:v>8</x:v>
      </x:c>
      <x:c r="F170" s="36" t="n">
        <x:v>0.56</x:v>
      </x:c>
      <x:c r="G170" s="36" t="n">
        <x:f>IF(ISNUMBER(F170),E170*F170,"")</x:f>
        <x:v>4.48</x:v>
      </x:c>
      <x:c r="H170" s="37" t="d">
        <x:v>2026-10-15T00:00:00.000Z</x:v>
      </x:c>
      <x:c r="I170" s="37" t="d">
        <x:v>2026-09-13T10:39:34.000Z</x:v>
      </x:c>
      <x:c r="J170" s="1" t="n">
        <x:f>IF(ISNUMBER(F170),E170,0)</x:f>
        <x:v>8</x:v>
      </x:c>
      <x:c r="K170" s="1"/>
      <x:c r="L170" s="1" t="str">
        <x:v>https://blog.skyairline.com/viaje-a-uruguay/</x:v>
      </x:c>
      <x:c r="M170" s="1" t="n">
        <x:v>13</x:v>
      </x:c>
    </x:row>
    <x:row r="171" ht="18.75" customHeight="1">
      <x:c r="A171" s="1" t="str">
        <x:v>https://blog.skyairline.com/equipaje-de-bodega/</x:v>
      </x:c>
      <x:c r="B171" s="1" t="str">
        <x:v>medidas equipaje de mano</x:v>
      </x:c>
      <x:c r="C171" s="1" t="str">
        <x:v>chl</x:v>
      </x:c>
      <x:c r="D171" s="1" t="str">
        <x:v>Sin marca</x:v>
      </x:c>
      <x:c r="E171" s="35" t="n">
        <x:v>8</x:v>
      </x:c>
      <x:c r="F171" s="36" t="n">
        <x:v>0.43</x:v>
      </x:c>
      <x:c r="G171" s="36" t="n">
        <x:f>IF(ISNUMBER(F171),E171*F171,"")</x:f>
        <x:v>3.44</x:v>
      </x:c>
      <x:c r="H171" s="37" t="d">
        <x:v>2026-10-15T00:00:00.000Z</x:v>
      </x:c>
      <x:c r="I171" s="37" t="d">
        <x:v>2026-09-14T02:18:48.000Z</x:v>
      </x:c>
      <x:c r="J171" s="1" t="n">
        <x:f>IF(ISNUMBER(F171),E171,0)</x:f>
        <x:v>8</x:v>
      </x:c>
      <x:c r="K171" s="1"/>
      <x:c r="L171" s="1" t="str">
        <x:v>https://blog.skyairline.com/zona-centro-sur-de-chile-geografia-clima-y-turismo/</x:v>
      </x:c>
      <x:c r="M171" s="1" t="n">
        <x:v>13</x:v>
      </x:c>
    </x:row>
    <x:row r="172" ht="18.75" customHeight="1">
      <x:c r="A172" s="1" t="str">
        <x:v>https://blog.skyairline.com/equipaje-de-bodega/</x:v>
      </x:c>
      <x:c r="B172" s="1" t="str">
        <x:v>medidas equipaje de mano sky</x:v>
      </x:c>
      <x:c r="C172" s="1" t="str">
        <x:v>chl</x:v>
      </x:c>
      <x:c r="D172" s="1" t="str">
        <x:v>Marca</x:v>
      </x:c>
      <x:c r="E172" s="35" t="n">
        <x:v>8</x:v>
      </x:c>
      <x:c r="F172" s="36" t="n">
        <x:v>0.35</x:v>
      </x:c>
      <x:c r="G172" s="36" t="n">
        <x:f>IF(ISNUMBER(F172),E172*F172,"")</x:f>
        <x:v>2.8</x:v>
      </x:c>
      <x:c r="H172" s="37" t="d">
        <x:v>2026-10-15T00:00:00.000Z</x:v>
      </x:c>
      <x:c r="I172" s="37" t="d">
        <x:v>2026-09-15T16:47:03.000Z</x:v>
      </x:c>
      <x:c r="J172" s="1" t="n">
        <x:f>IF(ISNUMBER(F172),E172,0)</x:f>
        <x:v>8</x:v>
      </x:c>
      <x:c r="K172" s="1"/>
      <x:c r="L172" s="1" t="str">
        <x:v>https://blog.skyairline.com/bahia-inglesa-2/</x:v>
      </x:c>
      <x:c r="M172" s="1" t="n">
        <x:v>12</x:v>
      </x:c>
    </x:row>
    <x:row r="173" ht="18.75" customHeight="1">
      <x:c r="A173" s="1" t="str">
        <x:v>https://blog.skyairline.com/equipaje-de-bodega/</x:v>
      </x:c>
      <x:c r="B173" s="1" t="str">
        <x:v>medidas maletas sky</x:v>
      </x:c>
      <x:c r="C173" s="1" t="str">
        <x:v>chl</x:v>
      </x:c>
      <x:c r="D173" s="1" t="str">
        <x:v>Marca</x:v>
      </x:c>
      <x:c r="E173" s="35" t="n">
        <x:v>8</x:v>
      </x:c>
      <x:c r="F173" s="36" t="n">
        <x:v>0.06</x:v>
      </x:c>
      <x:c r="G173" s="36" t="n">
        <x:f>IF(ISNUMBER(F173),E173*F173,"")</x:f>
        <x:v>0.48</x:v>
      </x:c>
      <x:c r="H173" s="37" t="d">
        <x:v>2026-10-15T00:00:00.000Z</x:v>
      </x:c>
      <x:c r="I173" s="37" t="d">
        <x:v>2026-10-15T08:12:02.000Z</x:v>
      </x:c>
      <x:c r="J173" s="1" t="n">
        <x:f>IF(ISNUMBER(F173),E173,0)</x:f>
        <x:v>8</x:v>
      </x:c>
      <x:c r="K173" s="1"/>
      <x:c r="L173" s="1" t="str">
        <x:v>https://blog.skyairline.com/cabo-frio/</x:v>
      </x:c>
      <x:c r="M173" s="1" t="n">
        <x:v>12</x:v>
      </x:c>
    </x:row>
    <x:row r="174" ht="18.75" customHeight="1">
      <x:c r="A174" s="1" t="str">
        <x:v>https://blog.skyairline.com/equipaje-de-bodega/</x:v>
      </x:c>
      <x:c r="B174" s="1" t="str">
        <x:v>medidas sky</x:v>
      </x:c>
      <x:c r="C174" s="1" t="str">
        <x:v>chl</x:v>
      </x:c>
      <x:c r="D174" s="1" t="str">
        <x:v>Marca</x:v>
      </x:c>
      <x:c r="E174" s="35" t="n">
        <x:v>8</x:v>
      </x:c>
      <x:c r="F174" s="36"/>
      <x:c r="G174" s="36" t="str">
        <x:f>IF(ISNUMBER(F174),E174*F174,"")</x:f>
      </x:c>
      <x:c r="H174" s="37"/>
      <x:c r="I174" s="37"/>
      <x:c r="J174" s="1" t="n">
        <x:f>IF(ISNUMBER(F174),E174,0)</x:f>
        <x:v>0</x:v>
      </x:c>
      <x:c r="K174" s="1"/>
      <x:c r="L174" s="1" t="str">
        <x:v>https://blog.skyairline.com/check-in-en-linea/</x:v>
      </x:c>
      <x:c r="M174" s="1" t="n">
        <x:v>12</x:v>
      </x:c>
    </x:row>
    <x:row r="175" ht="18.75" customHeight="1">
      <x:c r="A175" s="1" t="str">
        <x:v>https://blog.skyairline.com/equipaje-de-bodega/</x:v>
      </x:c>
      <x:c r="B175" s="1" t="str">
        <x:v>sky medidas</x:v>
      </x:c>
      <x:c r="C175" s="1" t="str">
        <x:v>chl</x:v>
      </x:c>
      <x:c r="D175" s="1" t="str">
        <x:v>Marca</x:v>
      </x:c>
      <x:c r="E175" s="35" t="n">
        <x:v>8</x:v>
      </x:c>
      <x:c r="F175" s="36"/>
      <x:c r="G175" s="36" t="str">
        <x:f>IF(ISNUMBER(F175),E175*F175,"")</x:f>
      </x:c>
      <x:c r="H175" s="37"/>
      <x:c r="I175" s="37"/>
      <x:c r="J175" s="1" t="n">
        <x:f>IF(ISNUMBER(F175),E175,0)</x:f>
        <x:v>0</x:v>
      </x:c>
      <x:c r="K175" s="1"/>
      <x:c r="L175" s="1" t="str">
        <x:v>https://blog.skyairline.com/chile-a-punta-cana/</x:v>
      </x:c>
      <x:c r="M175" s="1" t="n">
        <x:v>12</x:v>
      </x:c>
    </x:row>
    <x:row r="176" ht="18.75" customHeight="1">
      <x:c r="A176" s="1" t="str">
        <x:v>https://blog.skyairline.com/equipaje-de-cabina/</x:v>
      </x:c>
      <x:c r="B176" s="1" t="str">
        <x:v>maleta de cabina medidas sky</x:v>
      </x:c>
      <x:c r="C176" s="1" t="str">
        <x:v>chl</x:v>
      </x:c>
      <x:c r="D176" s="1" t="str">
        <x:v>Marca</x:v>
      </x:c>
      <x:c r="E176" s="35" t="n">
        <x:v>8</x:v>
      </x:c>
      <x:c r="F176" s="36" t="n">
        <x:v>0.19</x:v>
      </x:c>
      <x:c r="G176" s="36" t="n">
        <x:f>IF(ISNUMBER(F176),E176*F176,"")</x:f>
        <x:v>1.52</x:v>
      </x:c>
      <x:c r="H176" s="37" t="d">
        <x:v>2026-10-15T00:00:00.000Z</x:v>
      </x:c>
      <x:c r="I176" s="37" t="d">
        <x:v>2026-09-16T18:10:03.999Z</x:v>
      </x:c>
      <x:c r="J176" s="1" t="n">
        <x:f>IF(ISNUMBER(F176),E176,0)</x:f>
        <x:v>8</x:v>
      </x:c>
      <x:c r="K176" s="1"/>
      <x:c r="L176" s="1" t="str">
        <x:v>https://blog.skyairline.com/clima-en-punta-cana-cual-es-la-mejor-epoca-para-viajar/</x:v>
      </x:c>
      <x:c r="M176" s="1" t="n">
        <x:v>12</x:v>
      </x:c>
    </x:row>
    <x:row r="177" ht="18.75" customHeight="1">
      <x:c r="A177" s="1" t="str">
        <x:v>https://blog.skyairline.com/equipaje-de-cabina/</x:v>
      </x:c>
      <x:c r="B177" s="1" t="str">
        <x:v>sky</x:v>
      </x:c>
      <x:c r="C177" s="1" t="str">
        <x:v>chl</x:v>
      </x:c>
      <x:c r="D177" s="1" t="str">
        <x:v>Marca</x:v>
      </x:c>
      <x:c r="E177" s="35" t="n">
        <x:v>8</x:v>
      </x:c>
      <x:c r="F177" s="36" t="n">
        <x:v>0.27</x:v>
      </x:c>
      <x:c r="G177" s="36" t="n">
        <x:f>IF(ISNUMBER(F177),E177*F177,"")</x:f>
        <x:v>2.16</x:v>
      </x:c>
      <x:c r="H177" s="37" t="d">
        <x:v>2026-10-15T00:00:00.000Z</x:v>
      </x:c>
      <x:c r="I177" s="37" t="d">
        <x:v>2026-09-17T02:52:38.000Z</x:v>
      </x:c>
      <x:c r="J177" s="1" t="n">
        <x:f>IF(ISNUMBER(F177),E177,0)</x:f>
        <x:v>8</x:v>
      </x:c>
      <x:c r="K177" s="1"/>
      <x:c r="L177" s="1" t="str">
        <x:v>https://blog.skyairline.com/enchufe-estadounidense/</x:v>
      </x:c>
      <x:c r="M177" s="1" t="n">
        <x:v>12</x:v>
      </x:c>
    </x:row>
    <x:row r="178" ht="18.75" customHeight="1">
      <x:c r="A178" s="1" t="str">
        <x:v>https://blog.skyairline.com/equipaje-de-cabina/</x:v>
      </x:c>
      <x:c r="B178" s="1" t="str">
        <x:v>sky equipaje de cabina</x:v>
      </x:c>
      <x:c r="C178" s="1" t="str">
        <x:v>chl</x:v>
      </x:c>
      <x:c r="D178" s="1" t="str">
        <x:v>Marca</x:v>
      </x:c>
      <x:c r="E178" s="35" t="n">
        <x:v>8</x:v>
      </x:c>
      <x:c r="F178" s="36"/>
      <x:c r="G178" s="36" t="str">
        <x:f>IF(ISNUMBER(F178),E178*F178,"")</x:f>
      </x:c>
      <x:c r="H178" s="37"/>
      <x:c r="I178" s="37"/>
      <x:c r="J178" s="1" t="n">
        <x:f>IF(ISNUMBER(F178),E178,0)</x:f>
        <x:v>0</x:v>
      </x:c>
      <x:c r="K178" s="1"/>
      <x:c r="L178" s="1" t="str">
        <x:v>https://blog.skyairline.com/gastronomia-de-rio-de-janeiro/</x:v>
      </x:c>
      <x:c r="M178" s="1" t="n">
        <x:v>12</x:v>
      </x:c>
    </x:row>
    <x:row r="179" ht="18.75" customHeight="1">
      <x:c r="A179" s="1" t="str">
        <x:v>https://blog.skyairline.com/equipaje-de-cabina/</x:v>
      </x:c>
      <x:c r="B179" s="1" t="str">
        <x:v>sky maleta de mano</x:v>
      </x:c>
      <x:c r="C179" s="1" t="str">
        <x:v>chl</x:v>
      </x:c>
      <x:c r="D179" s="1" t="str">
        <x:v>Marca</x:v>
      </x:c>
      <x:c r="E179" s="35" t="n">
        <x:v>8</x:v>
      </x:c>
      <x:c r="F179" s="36" t="n">
        <x:v>0.09</x:v>
      </x:c>
      <x:c r="G179" s="36" t="n">
        <x:f>IF(ISNUMBER(F179),E179*F179,"")</x:f>
        <x:v>0.72</x:v>
      </x:c>
      <x:c r="H179" s="37" t="d">
        <x:v>2026-10-15T00:00:00.000Z</x:v>
      </x:c>
      <x:c r="I179" s="37" t="d">
        <x:v>2026-09-12T23:04:58.999Z</x:v>
      </x:c>
      <x:c r="J179" s="1" t="n">
        <x:f>IF(ISNUMBER(F179),E179,0)</x:f>
        <x:v>8</x:v>
      </x:c>
      <x:c r="K179" s="1"/>
      <x:c r="L179" s="1" t="str">
        <x:v>https://blog.skyairline.com/jurere/</x:v>
      </x:c>
      <x:c r="M179" s="1" t="n">
        <x:v>12</x:v>
      </x:c>
    </x:row>
    <x:row r="180" ht="18.75" customHeight="1">
      <x:c r="A180" s="1" t="str">
        <x:v>https://blog.skyairline.com/equipaje-de-cabina/</x:v>
      </x:c>
      <x:c r="B180" s="1" t="str">
        <x:v>sky medidas equipaje de mano</x:v>
      </x:c>
      <x:c r="C180" s="1" t="str">
        <x:v>per</x:v>
      </x:c>
      <x:c r="D180" s="1" t="str">
        <x:v>Marca</x:v>
      </x:c>
      <x:c r="E180" s="35" t="n">
        <x:v>8</x:v>
      </x:c>
      <x:c r="F180" s="36"/>
      <x:c r="G180" s="36" t="str">
        <x:f>IF(ISNUMBER(F180),E180*F180,"")</x:f>
      </x:c>
      <x:c r="H180" s="37" t="d">
        <x:v>2026-10-15T00:00:00.000Z</x:v>
      </x:c>
      <x:c r="I180" s="37" t="d">
        <x:v>2026-09-17T08:42:59.000Z</x:v>
      </x:c>
      <x:c r="J180" s="1" t="n">
        <x:f>IF(ISNUMBER(F180),E180,0)</x:f>
        <x:v>0</x:v>
      </x:c>
      <x:c r="K180" s="1"/>
      <x:c r="L180" s="1" t="str">
        <x:v>https://blog.skyairline.com/ouro-preto/</x:v>
      </x:c>
      <x:c r="M180" s="1" t="n">
        <x:v>12</x:v>
      </x:c>
    </x:row>
    <x:row r="181" ht="18.75" customHeight="1">
      <x:c r="A181" s="1" t="str">
        <x:v>https://blog.skyairline.com/equipaje-de-cabina/</x:v>
      </x:c>
      <x:c r="B181" s="1" t="str">
        <x:v>tamaño equipaje de mano sky</x:v>
      </x:c>
      <x:c r="C181" s="1" t="str">
        <x:v>chl</x:v>
      </x:c>
      <x:c r="D181" s="1" t="str">
        <x:v>Marca</x:v>
      </x:c>
      <x:c r="E181" s="35" t="n">
        <x:v>8</x:v>
      </x:c>
      <x:c r="F181" s="36"/>
      <x:c r="G181" s="36" t="str">
        <x:f>IF(ISNUMBER(F181),E181*F181,"")</x:f>
      </x:c>
      <x:c r="H181" s="37" t="d">
        <x:v>2026-10-15T00:00:00.000Z</x:v>
      </x:c>
      <x:c r="I181" s="37" t="d">
        <x:v>2026-10-15T03:03:29.000Z</x:v>
      </x:c>
      <x:c r="J181" s="1" t="n">
        <x:f>IF(ISNUMBER(F181),E181,0)</x:f>
        <x:v>0</x:v>
      </x:c>
      <x:c r="K181" s="1"/>
      <x:c r="L181" s="1" t="str">
        <x:v>https://blog.skyairline.com/paisajes-sur-chile/</x:v>
      </x:c>
      <x:c r="M181" s="1" t="n">
        <x:v>12</x:v>
      </x:c>
    </x:row>
    <x:row r="182" ht="18.75" customHeight="1">
      <x:c r="A182" s="1" t="str">
        <x:v>https://blog.skyairline.com/panoramas-para-ninos-en-santiago/</x:v>
      </x:c>
      <x:c r="B182" s="1" t="str">
        <x:v>panoramas para niños en santiago</x:v>
      </x:c>
      <x:c r="C182" s="1" t="str">
        <x:v>chl</x:v>
      </x:c>
      <x:c r="D182" s="1" t="str">
        <x:v>Sin marca</x:v>
      </x:c>
      <x:c r="E182" s="35" t="n">
        <x:v>8</x:v>
      </x:c>
      <x:c r="F182" s="36"/>
      <x:c r="G182" s="36" t="str">
        <x:f>IF(ISNUMBER(F182),E182*F182,"")</x:f>
      </x:c>
      <x:c r="H182" s="37" t="d">
        <x:v>2026-10-15T00:00:00.000Z</x:v>
      </x:c>
      <x:c r="I182" s="37" t="d">
        <x:v>2026-06-13T08:18:04.000Z</x:v>
      </x:c>
      <x:c r="J182" s="1" t="n">
        <x:f>IF(ISNUMBER(F182),E182,0)</x:f>
        <x:v>0</x:v>
      </x:c>
      <x:c r="K182" s="1"/>
      <x:c r="L182" s="1" t="str">
        <x:v>https://blog.skyairline.com/patagonia/</x:v>
      </x:c>
      <x:c r="M182" s="1" t="n">
        <x:v>12</x:v>
      </x:c>
    </x:row>
    <x:row r="183" ht="18.75" customHeight="1">
      <x:c r="A183" s="1" t="str">
        <x:v>https://blog.skyairline.com/tipos-de-equipaje/</x:v>
      </x:c>
      <x:c r="B183" s="1" t="str">
        <x:v>sky airline equipaje</x:v>
      </x:c>
      <x:c r="C183" s="1" t="str">
        <x:v>chl</x:v>
      </x:c>
      <x:c r="D183" s="1" t="str">
        <x:v>Marca</x:v>
      </x:c>
      <x:c r="E183" s="35" t="n">
        <x:v>8</x:v>
      </x:c>
      <x:c r="F183" s="36" t="n">
        <x:v>0.62</x:v>
      </x:c>
      <x:c r="G183" s="36" t="n">
        <x:f>IF(ISNUMBER(F183),E183*F183,"")</x:f>
        <x:v>4.96</x:v>
      </x:c>
      <x:c r="H183" s="37" t="d">
        <x:v>2026-10-15T00:00:00.000Z</x:v>
      </x:c>
      <x:c r="I183" s="37" t="d">
        <x:v>2026-09-15T10:27:03.000Z</x:v>
      </x:c>
      <x:c r="J183" s="1" t="n">
        <x:f>IF(ISNUMBER(F183),E183,0)</x:f>
        <x:v>8</x:v>
      </x:c>
      <x:c r="K183" s="1"/>
      <x:c r="L183" s="1" t="str">
        <x:v>https://blog.skyairline.com/playa-los-yuyos/</x:v>
      </x:c>
      <x:c r="M183" s="1" t="n">
        <x:v>12</x:v>
      </x:c>
    </x:row>
    <x:row r="184" ht="18.75" customHeight="1">
      <x:c r="A184" s="1" t="str">
        <x:v>https://blog.skyairline.com/tipos-de-equipaje/</x:v>
      </x:c>
      <x:c r="B184" s="1" t="str">
        <x:v>sky airlines equipaje</x:v>
      </x:c>
      <x:c r="C184" s="1" t="str">
        <x:v>chl</x:v>
      </x:c>
      <x:c r="D184" s="1" t="str">
        <x:v>Marca</x:v>
      </x:c>
      <x:c r="E184" s="35" t="n">
        <x:v>8</x:v>
      </x:c>
      <x:c r="F184" s="36" t="n">
        <x:v>0.62</x:v>
      </x:c>
      <x:c r="G184" s="36" t="n">
        <x:f>IF(ISNUMBER(F184),E184*F184,"")</x:f>
        <x:v>4.96</x:v>
      </x:c>
      <x:c r="H184" s="37" t="d">
        <x:v>2026-10-15T00:00:00.000Z</x:v>
      </x:c>
      <x:c r="I184" s="37" t="d">
        <x:v>2026-09-12T19:12:17.000Z</x:v>
      </x:c>
      <x:c r="J184" s="1" t="n">
        <x:f>IF(ISNUMBER(F184),E184,0)</x:f>
        <x:v>8</x:v>
      </x:c>
      <x:c r="K184" s="1"/>
      <x:c r="L184" s="1" t="str">
        <x:v>https://blog.skyairline.com/puerto-natales-a-punta-arenas/</x:v>
      </x:c>
      <x:c r="M184" s="1" t="n">
        <x:v>12</x:v>
      </x:c>
    </x:row>
    <x:row r="185" ht="18.75" customHeight="1">
      <x:c r="A185" s="1" t="str">
        <x:v>https://blog.skyairline.com/tipos-de-equipaje/</x:v>
      </x:c>
      <x:c r="B185" s="1" t="str">
        <x:v>sky airlines maletas</x:v>
      </x:c>
      <x:c r="C185" s="1" t="str">
        <x:v>chl</x:v>
      </x:c>
      <x:c r="D185" s="1" t="str">
        <x:v>Marca</x:v>
      </x:c>
      <x:c r="E185" s="35" t="n">
        <x:v>8</x:v>
      </x:c>
      <x:c r="F185" s="36"/>
      <x:c r="G185" s="36" t="str">
        <x:f>IF(ISNUMBER(F185),E185*F185,"")</x:f>
      </x:c>
      <x:c r="H185" s="37" t="d">
        <x:v>2026-10-15T00:00:00.000Z</x:v>
      </x:c>
      <x:c r="I185" s="37" t="d">
        <x:v>2026-10-15T18:00:32.000Z</x:v>
      </x:c>
      <x:c r="J185" s="1" t="n">
        <x:f>IF(ISNUMBER(F185),E185,0)</x:f>
        <x:v>0</x:v>
      </x:c>
      <x:c r="K185" s="1"/>
      <x:c r="L185" s="1" t="str">
        <x:v>https://blog.skyairline.com/sky-airline-cumple-25-anos-de-trayectoria/</x:v>
      </x:c>
      <x:c r="M185" s="1" t="n">
        <x:v>12</x:v>
      </x:c>
    </x:row>
    <x:row r="186" ht="18.75" customHeight="1">
      <x:c r="A186" s="1" t="str">
        <x:v>https://blog.skyairline.com/tipos-de-equipaje/</x:v>
      </x:c>
      <x:c r="B186" s="1" t="str">
        <x:v>sky maletas medidas</x:v>
      </x:c>
      <x:c r="C186" s="1" t="str">
        <x:v>per</x:v>
      </x:c>
      <x:c r="D186" s="1" t="str">
        <x:v>Marca</x:v>
      </x:c>
      <x:c r="E186" s="35" t="n">
        <x:v>8</x:v>
      </x:c>
      <x:c r="F186" s="36"/>
      <x:c r="G186" s="36" t="str">
        <x:f>IF(ISNUMBER(F186),E186*F186,"")</x:f>
      </x:c>
      <x:c r="H186" s="37"/>
      <x:c r="I186" s="37"/>
      <x:c r="J186" s="1" t="n">
        <x:f>IF(ISNUMBER(F186),E186,0)</x:f>
        <x:v>0</x:v>
      </x:c>
      <x:c r="K186" s="1"/>
      <x:c r="L186" s="1" t="str">
        <x:v>https://blog.skyairline.com/sky-unica-aerolinea-entre-las-mejores-empresas-para-practicas-en-chile-y-peru/</x:v>
      </x:c>
      <x:c r="M186" s="1" t="n">
        <x:v>12</x:v>
      </x:c>
    </x:row>
    <x:row r="187" ht="18.75" customHeight="1">
      <x:c r="A187" s="1" t="str">
        <x:v>https://blog.skyairline.com/viajar-con-perros/</x:v>
      </x:c>
      <x:c r="B187" s="1" t="str">
        <x:v>sky mascotas en cabina</x:v>
      </x:c>
      <x:c r="C187" s="1" t="str">
        <x:v>per</x:v>
      </x:c>
      <x:c r="D187" s="1" t="str">
        <x:v>Marca</x:v>
      </x:c>
      <x:c r="E187" s="35" t="n">
        <x:v>8</x:v>
      </x:c>
      <x:c r="F187" s="36" t="n">
        <x:v>2.99</x:v>
      </x:c>
      <x:c r="G187" s="36" t="n">
        <x:f>IF(ISNUMBER(F187),E187*F187,"")</x:f>
        <x:v>23.92</x:v>
      </x:c>
      <x:c r="H187" s="37" t="d">
        <x:v>2026-10-15T00:00:00.000Z</x:v>
      </x:c>
      <x:c r="I187" s="37" t="d">
        <x:v>2026-09-13T06:47:23.000Z</x:v>
      </x:c>
      <x:c r="J187" s="1" t="n">
        <x:f>IF(ISNUMBER(F187),E187,0)</x:f>
        <x:v>8</x:v>
      </x:c>
      <x:c r="K187" s="1"/>
      <x:c r="L187" s="1" t="str">
        <x:v>https://blog.skyairline.com/sky-y-coopeuch-firman-alianza-para-que-clientes-accedan-a-los-beneficios-de-sky-plus/</x:v>
      </x:c>
      <x:c r="M187" s="1" t="n">
        <x:v>12</x:v>
      </x:c>
    </x:row>
    <x:row r="188" ht="18.75" customHeight="1">
      <x:c r="A188" s="1" t="str">
        <x:v>https://blog.skyairline.com/viaje-a-brasil-3/</x:v>
      </x:c>
      <x:c r="B188" s="1" t="str">
        <x:v>para viajar a brasil se necesita pasaporte</x:v>
      </x:c>
      <x:c r="C188" s="1" t="str">
        <x:v>chl</x:v>
      </x:c>
      <x:c r="D188" s="1" t="str">
        <x:v>Sin marca</x:v>
      </x:c>
      <x:c r="E188" s="35" t="n">
        <x:v>8</x:v>
      </x:c>
      <x:c r="F188" s="36" t="n">
        <x:v>0.23</x:v>
      </x:c>
      <x:c r="G188" s="36" t="n">
        <x:f>IF(ISNUMBER(F188),E188*F188,"")</x:f>
        <x:v>1.84</x:v>
      </x:c>
      <x:c r="H188" s="37" t="d">
        <x:v>2026-10-15T00:00:00.000Z</x:v>
      </x:c>
      <x:c r="I188" s="37" t="d">
        <x:v>2026-10-15T13:04:38.000Z</x:v>
      </x:c>
      <x:c r="J188" s="1" t="n">
        <x:f>IF(ISNUMBER(F188),E188,0)</x:f>
        <x:v>8</x:v>
      </x:c>
      <x:c r="K188" s="1"/>
      <x:c r="L188" s="1" t="str">
        <x:v>https://blog.skyairline.com/viaje-a-brasil-2/</x:v>
      </x:c>
      <x:c r="M188" s="1" t="n">
        <x:v>12</x:v>
      </x:c>
    </x:row>
    <x:row r="189" ht="18.75" customHeight="1">
      <x:c r="A189" s="1" t="str">
        <x:v>https://blog.skyairline.com/auroras-australes-en-chile-cuando-y-donde-verlas/</x:v>
      </x:c>
      <x:c r="B189" s="1" t="str">
        <x:v>auroras boreales en chile</x:v>
      </x:c>
      <x:c r="C189" s="1" t="str">
        <x:v>chl</x:v>
      </x:c>
      <x:c r="D189" s="1" t="str">
        <x:v>Sin marca</x:v>
      </x:c>
      <x:c r="E189" s="35" t="n">
        <x:v>7</x:v>
      </x:c>
      <x:c r="F189" s="36"/>
      <x:c r="G189" s="36" t="str">
        <x:f>IF(ISNUMBER(F189),E189*F189,"")</x:f>
      </x:c>
      <x:c r="H189" s="37" t="d">
        <x:v>2026-10-15T00:00:00.000Z</x:v>
      </x:c>
      <x:c r="I189" s="37" t="d">
        <x:v>2026-09-13T11:07:07.000Z</x:v>
      </x:c>
      <x:c r="J189" s="1" t="n">
        <x:f>IF(ISNUMBER(F189),E189,0)</x:f>
        <x:v>0</x:v>
      </x:c>
      <x:c r="K189" s="1"/>
      <x:c r="L189" s="1" t="str">
        <x:v>https://blog.skyairline.com/aeropuerto-concepcion/</x:v>
      </x:c>
      <x:c r="M189" s="1" t="n">
        <x:v>11</x:v>
      </x:c>
    </x:row>
    <x:row r="190" ht="18.75" customHeight="1">
      <x:c r="A190" s="1" t="str">
        <x:v>https://blog.skyairline.com/cambiar-vuelo-sky/</x:v>
      </x:c>
      <x:c r="B190" s="1" t="str">
        <x:v>cambiar pasajes sky</x:v>
      </x:c>
      <x:c r="C190" s="1" t="str">
        <x:v>chl</x:v>
      </x:c>
      <x:c r="D190" s="1" t="str">
        <x:v>Marca</x:v>
      </x:c>
      <x:c r="E190" s="35" t="n">
        <x:v>7</x:v>
      </x:c>
      <x:c r="F190" s="36"/>
      <x:c r="G190" s="36" t="str">
        <x:f>IF(ISNUMBER(F190),E190*F190,"")</x:f>
      </x:c>
      <x:c r="H190" s="37"/>
      <x:c r="I190" s="37"/>
      <x:c r="J190" s="1" t="n">
        <x:f>IF(ISNUMBER(F190),E190,0)</x:f>
        <x:v>0</x:v>
      </x:c>
      <x:c r="K190" s="1"/>
      <x:c r="L190" s="1" t="str">
        <x:v>https://blog.skyairline.com/arboles-nativos-del-sur-de-chile-especies-y-caracteristicas/</x:v>
      </x:c>
      <x:c r="M190" s="1" t="n">
        <x:v>11</x:v>
      </x:c>
    </x:row>
    <x:row r="191" ht="18.75" customHeight="1">
      <x:c r="A191" s="1" t="str">
        <x:v>https://blog.skyairline.com/cambiar-vuelo-sky/</x:v>
      </x:c>
      <x:c r="B191" s="1" t="str">
        <x:v>sky cambiar pasaje</x:v>
      </x:c>
      <x:c r="C191" s="1" t="str">
        <x:v>chl</x:v>
      </x:c>
      <x:c r="D191" s="1" t="str">
        <x:v>Marca</x:v>
      </x:c>
      <x:c r="E191" s="35" t="n">
        <x:v>7</x:v>
      </x:c>
      <x:c r="F191" s="36"/>
      <x:c r="G191" s="36" t="str">
        <x:f>IF(ISNUMBER(F191),E191*F191,"")</x:f>
      </x:c>
      <x:c r="H191" s="37"/>
      <x:c r="I191" s="37"/>
      <x:c r="J191" s="1" t="n">
        <x:f>IF(ISNUMBER(F191),E191,0)</x:f>
        <x:v>0</x:v>
      </x:c>
      <x:c r="K191" s="1"/>
      <x:c r="L191" s="1" t="str">
        <x:v>https://blog.skyairline.com/como-funciona-un-seguro-de-viaje/</x:v>
      </x:c>
      <x:c r="M191" s="1" t="n">
        <x:v>11</x:v>
      </x:c>
    </x:row>
    <x:row r="192" ht="18.75" customHeight="1">
      <x:c r="A192" s="1" t="str">
        <x:v>https://blog.skyairline.com/cambiar-vuelo-sky/</x:v>
      </x:c>
      <x:c r="B192" s="1" t="str">
        <x:v>sky cambio de fecha de vuelo</x:v>
      </x:c>
      <x:c r="C192" s="1" t="str">
        <x:v>per</x:v>
      </x:c>
      <x:c r="D192" s="1" t="str">
        <x:v>Marca</x:v>
      </x:c>
      <x:c r="E192" s="35" t="n">
        <x:v>7</x:v>
      </x:c>
      <x:c r="F192" s="36" t="n">
        <x:v>0.07</x:v>
      </x:c>
      <x:c r="G192" s="36" t="n">
        <x:f>IF(ISNUMBER(F192),E192*F192,"")</x:f>
        <x:v>0.49000000000000005</x:v>
      </x:c>
      <x:c r="H192" s="37" t="d">
        <x:v>2026-10-15T00:00:00.000Z</x:v>
      </x:c>
      <x:c r="I192" s="37" t="d">
        <x:v>2026-09-17T00:02:36.000Z</x:v>
      </x:c>
      <x:c r="J192" s="1" t="n">
        <x:f>IF(ISNUMBER(F192),E192,0)</x:f>
        <x:v>7</x:v>
      </x:c>
      <x:c r="K192" s="1"/>
      <x:c r="L192" s="1" t="str">
        <x:v>https://blog.skyairline.com/como-llegar-a-ayacucho/</x:v>
      </x:c>
      <x:c r="M192" s="1" t="n">
        <x:v>11</x:v>
      </x:c>
    </x:row>
    <x:row r="193" ht="18.75" customHeight="1">
      <x:c r="A193" s="1" t="str">
        <x:v>https://blog.skyairline.com/camboriu/</x:v>
      </x:c>
      <x:c r="B193" s="1" t="str">
        <x:v>camboriu</x:v>
      </x:c>
      <x:c r="C193" s="1" t="str">
        <x:v>chl</x:v>
      </x:c>
      <x:c r="D193" s="1" t="str">
        <x:v>Sin marca</x:v>
      </x:c>
      <x:c r="E193" s="35" t="n">
        <x:v>7</x:v>
      </x:c>
      <x:c r="F193" s="36" t="n">
        <x:v>0.64</x:v>
      </x:c>
      <x:c r="G193" s="36" t="n">
        <x:f>IF(ISNUMBER(F193),E193*F193,"")</x:f>
        <x:v>4.48</x:v>
      </x:c>
      <x:c r="H193" s="37" t="d">
        <x:v>2026-10-15T00:00:00.000Z</x:v>
      </x:c>
      <x:c r="I193" s="37" t="d">
        <x:v>2026-09-16T21:58:35.000Z</x:v>
      </x:c>
      <x:c r="J193" s="1" t="n">
        <x:f>IF(ISNUMBER(F193),E193,0)</x:f>
        <x:v>7</x:v>
      </x:c>
      <x:c r="K193" s="1"/>
      <x:c r="L193" s="1" t="str">
        <x:v>https://blog.skyairline.com/cosas-gratis-en-punta-cana/</x:v>
      </x:c>
      <x:c r="M193" s="1" t="n">
        <x:v>11</x:v>
      </x:c>
    </x:row>
    <x:row r="194" ht="18.75" customHeight="1">
      <x:c r="A194" s="1" t="str">
        <x:v>https://blog.skyairline.com/categoria/oportunidades/</x:v>
      </x:c>
      <x:c r="B194" s="1" t="str">
        <x:v>sky airlines trabajo</x:v>
      </x:c>
      <x:c r="C194" s="1" t="str">
        <x:v>per</x:v>
      </x:c>
      <x:c r="D194" s="1" t="str">
        <x:v>Marca</x:v>
      </x:c>
      <x:c r="E194" s="35" t="n">
        <x:v>7</x:v>
      </x:c>
      <x:c r="F194" s="36" t="n">
        <x:v>0.02</x:v>
      </x:c>
      <x:c r="G194" s="36" t="n">
        <x:f>IF(ISNUMBER(F194),E194*F194,"")</x:f>
        <x:v>0.14</x:v>
      </x:c>
      <x:c r="H194" s="37" t="d">
        <x:v>2026-10-15T00:00:00.000Z</x:v>
      </x:c>
      <x:c r="I194" s="37" t="d">
        <x:v>2026-09-13T09:35:45.000Z</x:v>
      </x:c>
      <x:c r="J194" s="1" t="n">
        <x:f>IF(ISNUMBER(F194),E194,0)</x:f>
        <x:v>7</x:v>
      </x:c>
      <x:c r="K194" s="1"/>
      <x:c r="L194" s="1" t="str">
        <x:v>https://blog.skyairline.com/cuando-comienza-el-invierno-en-chile/</x:v>
      </x:c>
      <x:c r="M194" s="1" t="n">
        <x:v>11</x:v>
      </x:c>
    </x:row>
    <x:row r="195" ht="18.75" customHeight="1">
      <x:c r="A195" s="1" t="str">
        <x:v>https://blog.skyairline.com/categoria/oportunidades/</x:v>
      </x:c>
      <x:c r="B195" s="1" t="str">
        <x:v>sky trabaja con nosotros chile</x:v>
      </x:c>
      <x:c r="C195" s="1" t="str">
        <x:v>chl</x:v>
      </x:c>
      <x:c r="D195" s="1" t="str">
        <x:v>Marca</x:v>
      </x:c>
      <x:c r="E195" s="35" t="n">
        <x:v>7</x:v>
      </x:c>
      <x:c r="F195" s="36"/>
      <x:c r="G195" s="36" t="str">
        <x:f>IF(ISNUMBER(F195),E195*F195,"")</x:f>
      </x:c>
      <x:c r="H195" s="37" t="d">
        <x:v>2026-10-15T00:00:00.000Z</x:v>
      </x:c>
      <x:c r="I195" s="37" t="d">
        <x:v>2026-09-13T17:57:02.000Z</x:v>
      </x:c>
      <x:c r="J195" s="1" t="n">
        <x:f>IF(ISNUMBER(F195),E195,0)</x:f>
        <x:v>0</x:v>
      </x:c>
      <x:c r="K195" s="1"/>
      <x:c r="L195" s="1" t="str">
        <x:v>https://blog.skyairline.com/donde-queda-buzios/</x:v>
      </x:c>
      <x:c r="M195" s="1" t="n">
        <x:v>11</x:v>
      </x:c>
    </x:row>
    <x:row r="196" ht="18.75" customHeight="1">
      <x:c r="A196" s="1" t="str">
        <x:v>https://blog.skyairline.com/categoria/oportunidades/</x:v>
      </x:c>
      <x:c r="B196" s="1" t="str">
        <x:v>sky trabajo</x:v>
      </x:c>
      <x:c r="C196" s="1" t="str">
        <x:v>chl</x:v>
      </x:c>
      <x:c r="D196" s="1" t="str">
        <x:v>Marca</x:v>
      </x:c>
      <x:c r="E196" s="35" t="n">
        <x:v>7</x:v>
      </x:c>
      <x:c r="F196" s="36" t="n">
        <x:v>0.16</x:v>
      </x:c>
      <x:c r="G196" s="36" t="n">
        <x:f>IF(ISNUMBER(F196),E196*F196,"")</x:f>
        <x:v>1.12</x:v>
      </x:c>
      <x:c r="H196" s="37" t="d">
        <x:v>2026-10-15T00:00:00.000Z</x:v>
      </x:c>
      <x:c r="I196" s="37" t="d">
        <x:v>2026-09-15T09:46:40.999Z</x:v>
      </x:c>
      <x:c r="J196" s="1" t="n">
        <x:f>IF(ISNUMBER(F196),E196,0)</x:f>
        <x:v>7</x:v>
      </x:c>
      <x:c r="K196" s="1"/>
      <x:c r="L196" s="1" t="str">
        <x:v>https://blog.skyairline.com/ilha-do-campeche/</x:v>
      </x:c>
      <x:c r="M196" s="1" t="n">
        <x:v>11</x:v>
      </x:c>
    </x:row>
    <x:row r="197" ht="18.75" customHeight="1">
      <x:c r="A197" s="1" t="str">
        <x:v>https://blog.skyairline.com/categoria/oportunidades/</x:v>
      </x:c>
      <x:c r="B197" s="1" t="str">
        <x:v>trabaja en sky</x:v>
      </x:c>
      <x:c r="C197" s="1" t="str">
        <x:v>chl</x:v>
      </x:c>
      <x:c r="D197" s="1" t="str">
        <x:v>Marca</x:v>
      </x:c>
      <x:c r="E197" s="35" t="n">
        <x:v>7</x:v>
      </x:c>
      <x:c r="F197" s="36" t="n">
        <x:v>0.16</x:v>
      </x:c>
      <x:c r="G197" s="36" t="n">
        <x:f>IF(ISNUMBER(F197),E197*F197,"")</x:f>
        <x:v>1.12</x:v>
      </x:c>
      <x:c r="H197" s="37" t="d">
        <x:v>2026-10-15T00:00:00.000Z</x:v>
      </x:c>
      <x:c r="I197" s="37" t="d">
        <x:v>2026-09-14T18:44:31.000Z</x:v>
      </x:c>
      <x:c r="J197" s="1" t="n">
        <x:f>IF(ISNUMBER(F197),E197,0)</x:f>
        <x:v>7</x:v>
      </x:c>
      <x:c r="K197" s="1"/>
      <x:c r="L197" s="1" t="str">
        <x:v>https://blog.skyairline.com/montevideo-es-seguro/</x:v>
      </x:c>
      <x:c r="M197" s="1" t="n">
        <x:v>11</x:v>
      </x:c>
    </x:row>
    <x:row r="198" ht="18.75" customHeight="1">
      <x:c r="A198" s="1" t="str">
        <x:v>https://blog.skyairline.com/curso-tripulante-cabina/</x:v>
      </x:c>
      <x:c r="B198" s="1" t="str">
        <x:v>academia de tripulantes de cabina sky</x:v>
      </x:c>
      <x:c r="C198" s="1" t="str">
        <x:v>chl</x:v>
      </x:c>
      <x:c r="D198" s="1" t="str">
        <x:v>Marca</x:v>
      </x:c>
      <x:c r="E198" s="35" t="n">
        <x:v>7</x:v>
      </x:c>
      <x:c r="F198" s="36"/>
      <x:c r="G198" s="36" t="str">
        <x:f>IF(ISNUMBER(F198),E198*F198,"")</x:f>
      </x:c>
      <x:c r="H198" s="37"/>
      <x:c r="I198" s="37"/>
      <x:c r="J198" s="1" t="n">
        <x:f>IF(ISNUMBER(F198),E198,0)</x:f>
        <x:v>0</x:v>
      </x:c>
      <x:c r="K198" s="1"/>
      <x:c r="L198" s="1" t="str">
        <x:v>https://blog.skyairline.com/navidad-en-chile-2/</x:v>
      </x:c>
      <x:c r="M198" s="1" t="n">
        <x:v>11</x:v>
      </x:c>
    </x:row>
    <x:row r="199" ht="18.75" customHeight="1">
      <x:c r="A199" s="1" t="str">
        <x:v>https://blog.skyairline.com/curso-tripulante-cabina/</x:v>
      </x:c>
      <x:c r="B199" s="1" t="str">
        <x:v>asistente de vuelo</x:v>
      </x:c>
      <x:c r="C199" s="1" t="str">
        <x:v>chl</x:v>
      </x:c>
      <x:c r="D199" s="1" t="str">
        <x:v>Sin marca</x:v>
      </x:c>
      <x:c r="E199" s="35" t="n">
        <x:v>7</x:v>
      </x:c>
      <x:c r="F199" s="36" t="n">
        <x:v>0.21</x:v>
      </x:c>
      <x:c r="G199" s="36" t="n">
        <x:f>IF(ISNUMBER(F199),E199*F199,"")</x:f>
        <x:v>1.47</x:v>
      </x:c>
      <x:c r="H199" s="37" t="d">
        <x:v>2026-10-15T00:00:00.000Z</x:v>
      </x:c>
      <x:c r="I199" s="37" t="d">
        <x:v>2026-09-16T19:29:47.000Z</x:v>
      </x:c>
      <x:c r="J199" s="1" t="n">
        <x:f>IF(ISNUMBER(F199),E199,0)</x:f>
        <x:v>7</x:v>
      </x:c>
      <x:c r="K199" s="1"/>
      <x:c r="L199" s="1" t="str">
        <x:v>https://blog.skyairline.com/nuevo-programa-de-fidelizacion-exclusivo-para-clientes-corporativos-sky-plus-empresas-2/</x:v>
      </x:c>
      <x:c r="M199" s="1" t="n">
        <x:v>11</x:v>
      </x:c>
    </x:row>
    <x:row r="200" ht="18.75" customHeight="1">
      <x:c r="A200" s="1" t="str">
        <x:v>https://blog.skyairline.com/curso-tripulante-cabina/</x:v>
      </x:c>
      <x:c r="B200" s="1" t="str">
        <x:v>como postular a tripulante de cabina</x:v>
      </x:c>
      <x:c r="C200" s="1" t="str">
        <x:v>chl</x:v>
      </x:c>
      <x:c r="D200" s="1" t="str">
        <x:v>Sin marca</x:v>
      </x:c>
      <x:c r="E200" s="35" t="n">
        <x:v>7</x:v>
      </x:c>
      <x:c r="F200" s="36"/>
      <x:c r="G200" s="36" t="str">
        <x:f>IF(ISNUMBER(F200),E200*F200,"")</x:f>
      </x:c>
      <x:c r="H200" s="37"/>
      <x:c r="I200" s="37"/>
      <x:c r="J200" s="1" t="n">
        <x:f>IF(ISNUMBER(F200),E200,0)</x:f>
        <x:v>0</x:v>
      </x:c>
      <x:c r="K200" s="1"/>
      <x:c r="L200" s="1" t="str">
        <x:v>https://blog.skyairline.com/paquetes-de-viaje/</x:v>
      </x:c>
      <x:c r="M200" s="1" t="n">
        <x:v>11</x:v>
      </x:c>
    </x:row>
    <x:row r="201" ht="18.75" customHeight="1">
      <x:c r="A201" s="1" t="str">
        <x:v>https://blog.skyairline.com/equipaje-de-bodega/</x:v>
      </x:c>
      <x:c r="B201" s="1" t="str">
        <x:v>equipaje de bodega sky</x:v>
      </x:c>
      <x:c r="C201" s="1" t="str">
        <x:v>chl</x:v>
      </x:c>
      <x:c r="D201" s="1" t="str">
        <x:v>Marca</x:v>
      </x:c>
      <x:c r="E201" s="35" t="n">
        <x:v>7</x:v>
      </x:c>
      <x:c r="F201" s="36"/>
      <x:c r="G201" s="36" t="str">
        <x:f>IF(ISNUMBER(F201),E201*F201,"")</x:f>
      </x:c>
      <x:c r="H201" s="37" t="d">
        <x:v>2026-10-15T00:00:00.000Z</x:v>
      </x:c>
      <x:c r="I201" s="37" t="d">
        <x:v>2026-09-13T10:51:40.000Z</x:v>
      </x:c>
      <x:c r="J201" s="1" t="n">
        <x:f>IF(ISNUMBER(F201),E201,0)</x:f>
        <x:v>0</x:v>
      </x:c>
      <x:c r="K201" s="1"/>
      <x:c r="L201" s="1" t="str">
        <x:v>https://blog.skyairline.com/playas-de-piura/</x:v>
      </x:c>
      <x:c r="M201" s="1" t="n">
        <x:v>11</x:v>
      </x:c>
    </x:row>
    <x:row r="202" ht="18.75" customHeight="1">
      <x:c r="A202" s="1" t="str">
        <x:v>https://blog.skyairline.com/equipaje-de-bodega/</x:v>
      </x:c>
      <x:c r="B202" s="1" t="str">
        <x:v>equipaje en cabina sky medidas</x:v>
      </x:c>
      <x:c r="C202" s="1" t="str">
        <x:v>per</x:v>
      </x:c>
      <x:c r="D202" s="1" t="str">
        <x:v>Marca</x:v>
      </x:c>
      <x:c r="E202" s="35" t="n">
        <x:v>7</x:v>
      </x:c>
      <x:c r="F202" s="36" t="n">
        <x:v>0.96</x:v>
      </x:c>
      <x:c r="G202" s="36" t="n">
        <x:f>IF(ISNUMBER(F202),E202*F202,"")</x:f>
        <x:v>6.72</x:v>
      </x:c>
      <x:c r="H202" s="37" t="d">
        <x:v>2026-10-15T00:00:00.000Z</x:v>
      </x:c>
      <x:c r="I202" s="37" t="d">
        <x:v>2026-09-12T22:22:16.000Z</x:v>
      </x:c>
      <x:c r="J202" s="1" t="n">
        <x:f>IF(ISNUMBER(F202),E202,0)</x:f>
        <x:v>7</x:v>
      </x:c>
      <x:c r="K202" s="1"/>
      <x:c r="L202" s="1" t="str">
        <x:v>https://blog.skyairline.com/puerto-maldonado-2/</x:v>
      </x:c>
      <x:c r="M202" s="1" t="n">
        <x:v>11</x:v>
      </x:c>
    </x:row>
    <x:row r="203" ht="18.75" customHeight="1">
      <x:c r="A203" s="1" t="str">
        <x:v>https://blog.skyairline.com/equipaje-de-bodega/</x:v>
      </x:c>
      <x:c r="B203" s="1" t="str">
        <x:v>maleta cabina sky</x:v>
      </x:c>
      <x:c r="C203" s="1" t="str">
        <x:v>chl</x:v>
      </x:c>
      <x:c r="D203" s="1" t="str">
        <x:v>Marca</x:v>
      </x:c>
      <x:c r="E203" s="35" t="n">
        <x:v>7</x:v>
      </x:c>
      <x:c r="F203" s="36" t="n">
        <x:v>0.04</x:v>
      </x:c>
      <x:c r="G203" s="36" t="n">
        <x:f>IF(ISNUMBER(F203),E203*F203,"")</x:f>
        <x:v>0.28</x:v>
      </x:c>
      <x:c r="H203" s="37" t="d">
        <x:v>2026-10-15T00:00:00.000Z</x:v>
      </x:c>
      <x:c r="I203" s="37" t="d">
        <x:v>2026-09-17T04:11:22.000Z</x:v>
      </x:c>
      <x:c r="J203" s="1" t="n">
        <x:f>IF(ISNUMBER(F203),E203,0)</x:f>
        <x:v>7</x:v>
      </x:c>
      <x:c r="K203" s="1"/>
      <x:c r="L203" s="1" t="str">
        <x:v>https://blog.skyairline.com/selva-peruana/</x:v>
      </x:c>
      <x:c r="M203" s="1" t="n">
        <x:v>11</x:v>
      </x:c>
    </x:row>
    <x:row r="204" ht="18.75" customHeight="1">
      <x:c r="A204" s="1" t="str">
        <x:v>https://blog.skyairline.com/equipaje-de-bodega/</x:v>
      </x:c>
      <x:c r="B204" s="1" t="str">
        <x:v>medidas sky equipaje de mano</x:v>
      </x:c>
      <x:c r="C204" s="1" t="str">
        <x:v>chl</x:v>
      </x:c>
      <x:c r="D204" s="1" t="str">
        <x:v>Marca</x:v>
      </x:c>
      <x:c r="E204" s="35" t="n">
        <x:v>7</x:v>
      </x:c>
      <x:c r="F204" s="36"/>
      <x:c r="G204" s="36" t="str">
        <x:f>IF(ISNUMBER(F204),E204*F204,"")</x:f>
      </x:c>
      <x:c r="H204" s="37"/>
      <x:c r="I204" s="37"/>
      <x:c r="J204" s="1" t="n">
        <x:f>IF(ISNUMBER(F204),E204,0)</x:f>
        <x:v>0</x:v>
      </x:c>
      <x:c r="K204" s="1"/>
      <x:c r="L204" s="1" t="str">
        <x:v>https://blog.skyairline.com/turismo-brasil/</x:v>
      </x:c>
      <x:c r="M204" s="1" t="n">
        <x:v>11</x:v>
      </x:c>
    </x:row>
    <x:row r="205" ht="18.75" customHeight="1">
      <x:c r="A205" s="1" t="str">
        <x:v>https://blog.skyairline.com/equipaje-de-bodega/</x:v>
      </x:c>
      <x:c r="B205" s="1" t="str">
        <x:v>sky maleta cabina</x:v>
      </x:c>
      <x:c r="C205" s="1" t="str">
        <x:v>chl</x:v>
      </x:c>
      <x:c r="D205" s="1" t="str">
        <x:v>Marca</x:v>
      </x:c>
      <x:c r="E205" s="35" t="n">
        <x:v>7</x:v>
      </x:c>
      <x:c r="F205" s="36"/>
      <x:c r="G205" s="36" t="str">
        <x:f>IF(ISNUMBER(F205),E205*F205,"")</x:f>
      </x:c>
      <x:c r="H205" s="37"/>
      <x:c r="I205" s="37"/>
      <x:c r="J205" s="1" t="n">
        <x:f>IF(ISNUMBER(F205),E205,0)</x:f>
        <x:v>0</x:v>
      </x:c>
      <x:c r="K205" s="1"/>
      <x:c r="L205" s="1" t="str">
        <x:v>https://blog.skyairline.com/viaje-a-ushuaia/</x:v>
      </x:c>
      <x:c r="M205" s="1" t="n">
        <x:v>11</x:v>
      </x:c>
    </x:row>
    <x:row r="206" ht="18.75" customHeight="1">
      <x:c r="A206" s="1" t="str">
        <x:v>https://blog.skyairline.com/equipaje-de-bodega/</x:v>
      </x:c>
      <x:c r="B206" s="1" t="str">
        <x:v>sky maleta de mano</x:v>
      </x:c>
      <x:c r="C206" s="1" t="str">
        <x:v>per</x:v>
      </x:c>
      <x:c r="D206" s="1" t="str">
        <x:v>Marca</x:v>
      </x:c>
      <x:c r="E206" s="35" t="n">
        <x:v>7</x:v>
      </x:c>
      <x:c r="F206" s="36"/>
      <x:c r="G206" s="36" t="str">
        <x:f>IF(ISNUMBER(F206),E206*F206,"")</x:f>
      </x:c>
      <x:c r="H206" s="37"/>
      <x:c r="I206" s="37"/>
      <x:c r="J206" s="1" t="n">
        <x:f>IF(ISNUMBER(F206),E206,0)</x:f>
        <x:v>0</x:v>
      </x:c>
      <x:c r="K206" s="1"/>
      <x:c r="L206" s="1" t="str">
        <x:v>https://blog.skyairline.com/villa-de-leyva-desde-bogota/</x:v>
      </x:c>
      <x:c r="M206" s="1" t="n">
        <x:v>11</x:v>
      </x:c>
    </x:row>
    <x:row r="207" ht="18.75" customHeight="1">
      <x:c r="A207" s="1" t="str">
        <x:v>https://blog.skyairline.com/equipaje-de-bodega/</x:v>
      </x:c>
      <x:c r="B207" s="1" t="str">
        <x:v>sky medidas de bolso de mano</x:v>
      </x:c>
      <x:c r="C207" s="1" t="str">
        <x:v>per</x:v>
      </x:c>
      <x:c r="D207" s="1" t="str">
        <x:v>Marca</x:v>
      </x:c>
      <x:c r="E207" s="35" t="n">
        <x:v>7</x:v>
      </x:c>
      <x:c r="F207" s="36"/>
      <x:c r="G207" s="36" t="str">
        <x:f>IF(ISNUMBER(F207),E207*F207,"")</x:f>
      </x:c>
      <x:c r="H207" s="37"/>
      <x:c r="I207" s="37"/>
      <x:c r="J207" s="1" t="n">
        <x:f>IF(ISNUMBER(F207),E207,0)</x:f>
        <x:v>0</x:v>
      </x:c>
      <x:c r="K207" s="1"/>
      <x:c r="L207" s="1" t="str">
        <x:v>https://blog.skyairline.com/vuelos-baratos-a-argentina/</x:v>
      </x:c>
      <x:c r="M207" s="1" t="n">
        <x:v>11</x:v>
      </x:c>
    </x:row>
    <x:row r="208" ht="18.75" customHeight="1">
      <x:c r="A208" s="1" t="str">
        <x:v>https://blog.skyairline.com/equipaje-de-cabina/</x:v>
      </x:c>
      <x:c r="B208" s="1" t="str">
        <x:v>articulo personal sky</x:v>
      </x:c>
      <x:c r="C208" s="1" t="str">
        <x:v>per</x:v>
      </x:c>
      <x:c r="D208" s="1" t="str">
        <x:v>Marca</x:v>
      </x:c>
      <x:c r="E208" s="35" t="n">
        <x:v>7</x:v>
      </x:c>
      <x:c r="F208" s="36"/>
      <x:c r="G208" s="36" t="str">
        <x:f>IF(ISNUMBER(F208),E208*F208,"")</x:f>
      </x:c>
      <x:c r="H208" s="37"/>
      <x:c r="I208" s="37"/>
      <x:c r="J208" s="1" t="n">
        <x:f>IF(ISNUMBER(F208),E208,0)</x:f>
        <x:v>0</x:v>
      </x:c>
      <x:c r="K208" s="1"/>
      <x:c r="L208" s="1" t="str">
        <x:v>https://blog.skyairline.com/youtubers-viajeros/</x:v>
      </x:c>
      <x:c r="M208" s="1" t="n">
        <x:v>11</x:v>
      </x:c>
    </x:row>
    <x:row r="209" ht="18.75" customHeight="1">
      <x:c r="A209" s="1" t="str">
        <x:v>https://blog.skyairline.com/equipaje-de-cabina/</x:v>
      </x:c>
      <x:c r="B209" s="1" t="str">
        <x:v>dimensiones bolso de mano sky</x:v>
      </x:c>
      <x:c r="C209" s="1" t="str">
        <x:v>chl</x:v>
      </x:c>
      <x:c r="D209" s="1" t="str">
        <x:v>Marca</x:v>
      </x:c>
      <x:c r="E209" s="35" t="n">
        <x:v>7</x:v>
      </x:c>
      <x:c r="F209" s="36"/>
      <x:c r="G209" s="36" t="str">
        <x:f>IF(ISNUMBER(F209),E209*F209,"")</x:f>
      </x:c>
      <x:c r="H209" s="37"/>
      <x:c r="I209" s="37"/>
      <x:c r="J209" s="1" t="n">
        <x:f>IF(ISNUMBER(F209),E209,0)</x:f>
        <x:v>0</x:v>
      </x:c>
      <x:c r="K209" s="1"/>
      <x:c r="L209" s="1" t="str">
        <x:v>https://blog.skyairline.com/aeropuerto-de-balmaceda/</x:v>
      </x:c>
      <x:c r="M209" s="1" t="n">
        <x:v>10</x:v>
      </x:c>
    </x:row>
    <x:row r="210" ht="18.75" customHeight="1">
      <x:c r="A210" s="1" t="str">
        <x:v>https://blog.skyairline.com/equipaje-de-cabina/</x:v>
      </x:c>
      <x:c r="B210" s="1" t="str">
        <x:v>equipaje sky</x:v>
      </x:c>
      <x:c r="C210" s="1" t="str">
        <x:v>chl</x:v>
      </x:c>
      <x:c r="D210" s="1" t="str">
        <x:v>Marca</x:v>
      </x:c>
      <x:c r="E210" s="35" t="n">
        <x:v>7</x:v>
      </x:c>
      <x:c r="F210" s="36" t="n">
        <x:v>1.49</x:v>
      </x:c>
      <x:c r="G210" s="36" t="n">
        <x:f>IF(ISNUMBER(F210),E210*F210,"")</x:f>
        <x:v>10.43</x:v>
      </x:c>
      <x:c r="H210" s="37" t="d">
        <x:v>2026-10-15T00:00:00.000Z</x:v>
      </x:c>
      <x:c r="I210" s="37" t="d">
        <x:v>2026-09-16T06:19:45.000Z</x:v>
      </x:c>
      <x:c r="J210" s="1" t="n">
        <x:f>IF(ISNUMBER(F210),E210,0)</x:f>
        <x:v>7</x:v>
      </x:c>
      <x:c r="K210" s="1"/>
      <x:c r="L210" s="1" t="str">
        <x:v>https://blog.skyairline.com/bungee-jumping/</x:v>
      </x:c>
      <x:c r="M210" s="1" t="n">
        <x:v>10</x:v>
      </x:c>
    </x:row>
    <x:row r="211" ht="18.75" customHeight="1">
      <x:c r="A211" s="1" t="str">
        <x:v>https://blog.skyairline.com/equipaje-de-cabina/</x:v>
      </x:c>
      <x:c r="B211" s="1" t="str">
        <x:v>sky</x:v>
      </x:c>
      <x:c r="C211" s="1" t="str">
        <x:v>per</x:v>
      </x:c>
      <x:c r="D211" s="1" t="str">
        <x:v>Marca</x:v>
      </x:c>
      <x:c r="E211" s="35" t="n">
        <x:v>7</x:v>
      </x:c>
      <x:c r="F211" s="36" t="n">
        <x:v>0.16</x:v>
      </x:c>
      <x:c r="G211" s="36" t="n">
        <x:f>IF(ISNUMBER(F211),E211*F211,"")</x:f>
        <x:v>1.12</x:v>
      </x:c>
      <x:c r="H211" s="37" t="d">
        <x:v>2026-10-15T00:00:00.000Z</x:v>
      </x:c>
      <x:c r="I211" s="37" t="d">
        <x:v>2026-09-15T03:38:50.000Z</x:v>
      </x:c>
      <x:c r="J211" s="1" t="n">
        <x:f>IF(ISNUMBER(F211),E211,0)</x:f>
        <x:v>7</x:v>
      </x:c>
      <x:c r="K211" s="1"/>
      <x:c r="L211" s="1" t="str">
        <x:v>https://blog.skyairline.com/canasvieiras/</x:v>
      </x:c>
      <x:c r="M211" s="1" t="n">
        <x:v>10</x:v>
      </x:c>
    </x:row>
    <x:row r="212" ht="18.75" customHeight="1">
      <x:c r="A212" s="1" t="str">
        <x:v>https://blog.skyairline.com/equipaje-de-cabina/</x:v>
      </x:c>
      <x:c r="B212" s="1" t="str">
        <x:v>sky equipaje de cabina</x:v>
      </x:c>
      <x:c r="C212" s="1" t="str">
        <x:v>per</x:v>
      </x:c>
      <x:c r="D212" s="1" t="str">
        <x:v>Marca</x:v>
      </x:c>
      <x:c r="E212" s="35" t="n">
        <x:v>7</x:v>
      </x:c>
      <x:c r="F212" s="36"/>
      <x:c r="G212" s="36" t="str">
        <x:f>IF(ISNUMBER(F212),E212*F212,"")</x:f>
      </x:c>
      <x:c r="H212" s="37"/>
      <x:c r="I212" s="37"/>
      <x:c r="J212" s="1" t="n">
        <x:f>IF(ISNUMBER(F212),E212,0)</x:f>
        <x:v>0</x:v>
      </x:c>
      <x:c r="K212" s="1"/>
      <x:c r="L212" s="1" t="str">
        <x:v>https://blog.skyairline.com/como-ir-de-puerto-natales-a-el-calafate/</x:v>
      </x:c>
      <x:c r="M212" s="1" t="n">
        <x:v>10</x:v>
      </x:c>
    </x:row>
    <x:row r="213" ht="18.75" customHeight="1">
      <x:c r="A213" s="1" t="str">
        <x:v>https://blog.skyairline.com/equipaje-de-mano-permitido/</x:v>
      </x:c>
      <x:c r="B213" s="1" t="str">
        <x:v>elementos prohibidos en equipaje de mano</x:v>
      </x:c>
      <x:c r="C213" s="1" t="str">
        <x:v>chl</x:v>
      </x:c>
      <x:c r="D213" s="1" t="str">
        <x:v>Sin marca</x:v>
      </x:c>
      <x:c r="E213" s="35" t="n">
        <x:v>7</x:v>
      </x:c>
      <x:c r="F213" s="36" t="n">
        <x:v>0.08</x:v>
      </x:c>
      <x:c r="G213" s="36" t="n">
        <x:f>IF(ISNUMBER(F213),E213*F213,"")</x:f>
        <x:v>0.56</x:v>
      </x:c>
      <x:c r="H213" s="37" t="d">
        <x:v>2026-10-15T00:00:00.000Z</x:v>
      </x:c>
      <x:c r="I213" s="37" t="d">
        <x:v>2026-09-15T15:13:53.000Z</x:v>
      </x:c>
      <x:c r="J213" s="1" t="n">
        <x:f>IF(ISNUMBER(F213),E213,0)</x:f>
        <x:v>7</x:v>
      </x:c>
      <x:c r="K213" s="1"/>
      <x:c r="L213" s="1" t="str">
        <x:v>https://blog.skyairline.com/como-llegar-a-muchu-picchu/</x:v>
      </x:c>
      <x:c r="M213" s="1" t="n">
        <x:v>10</x:v>
      </x:c>
    </x:row>
    <x:row r="214" ht="18.75" customHeight="1">
      <x:c r="A214" s="1" t="str">
        <x:v>https://blog.skyairline.com/equipaje-de-mano-permitido/</x:v>
      </x:c>
      <x:c r="B214" s="1" t="str">
        <x:v>que no se puede llevar en el equipaje de mano sky</x:v>
      </x:c>
      <x:c r="C214" s="1" t="str">
        <x:v>chl</x:v>
      </x:c>
      <x:c r="D214" s="1" t="str">
        <x:v>Marca</x:v>
      </x:c>
      <x:c r="E214" s="35" t="n">
        <x:v>7</x:v>
      </x:c>
      <x:c r="F214" s="36"/>
      <x:c r="G214" s="36" t="str">
        <x:f>IF(ISNUMBER(F214),E214*F214,"")</x:f>
      </x:c>
      <x:c r="H214" s="37"/>
      <x:c r="I214" s="37"/>
      <x:c r="J214" s="1" t="n">
        <x:f>IF(ISNUMBER(F214),E214,0)</x:f>
        <x:v>0</x:v>
      </x:c>
      <x:c r="K214" s="1"/>
      <x:c r="L214" s="1" t="str">
        <x:v>https://blog.skyairline.com/cybermonday/</x:v>
      </x:c>
      <x:c r="M214" s="1" t="n">
        <x:v>10</x:v>
      </x:c>
    </x:row>
    <x:row r="215" ht="18.75" customHeight="1">
      <x:c r="A215" s="1" t="str">
        <x:v>https://blog.skyairline.com/equipaje-de-mano-permitido/</x:v>
      </x:c>
      <x:c r="B215" s="1" t="str">
        <x:v>sky objetos prohibidos</x:v>
      </x:c>
      <x:c r="C215" s="1" t="str">
        <x:v>per</x:v>
      </x:c>
      <x:c r="D215" s="1" t="str">
        <x:v>Marca</x:v>
      </x:c>
      <x:c r="E215" s="35" t="n">
        <x:v>7</x:v>
      </x:c>
      <x:c r="F215" s="36"/>
      <x:c r="G215" s="36" t="str">
        <x:f>IF(ISNUMBER(F215),E215*F215,"")</x:f>
      </x:c>
      <x:c r="H215" s="37"/>
      <x:c r="I215" s="37"/>
      <x:c r="J215" s="1" t="n">
        <x:f>IF(ISNUMBER(F215),E215,0)</x:f>
        <x:v>0</x:v>
      </x:c>
      <x:c r="K215" s="1"/>
      <x:c r="L215" s="1" t="str">
        <x:v>https://blog.skyairline.com/huilo-huilo/</x:v>
      </x:c>
      <x:c r="M215" s="1" t="n">
        <x:v>10</x:v>
      </x:c>
    </x:row>
    <x:row r="216" ht="18.75" customHeight="1">
      <x:c r="A216" s="1" t="str">
        <x:v>https://blog.skyairline.com/liquidos-en-avion/</x:v>
      </x:c>
      <x:c r="B216" s="1" t="str">
        <x:v>se puede llevar perfume en el avión</x:v>
      </x:c>
      <x:c r="C216" s="1" t="str">
        <x:v>chl</x:v>
      </x:c>
      <x:c r="D216" s="1" t="str">
        <x:v>Sin marca</x:v>
      </x:c>
      <x:c r="E216" s="35" t="n">
        <x:v>7</x:v>
      </x:c>
      <x:c r="F216" s="36" t="n">
        <x:v>0.06</x:v>
      </x:c>
      <x:c r="G216" s="36" t="n">
        <x:f>IF(ISNUMBER(F216),E216*F216,"")</x:f>
        <x:v>0.42</x:v>
      </x:c>
      <x:c r="H216" s="37" t="d">
        <x:v>2026-10-15T00:00:00.000Z</x:v>
      </x:c>
      <x:c r="I216" s="37" t="d">
        <x:v>2026-09-14T17:18:30.000Z</x:v>
      </x:c>
      <x:c r="J216" s="1" t="n">
        <x:f>IF(ISNUMBER(F216),E216,0)</x:f>
        <x:v>7</x:v>
      </x:c>
      <x:c r="K216" s="1"/>
      <x:c r="L216" s="1" t="str">
        <x:v>https://blog.skyairline.com/pasajes-a-mexico/</x:v>
      </x:c>
      <x:c r="M216" s="1" t="n">
        <x:v>10</x:v>
      </x:c>
    </x:row>
    <x:row r="217" ht="18.75" customHeight="1">
      <x:c r="A217" s="1" t="str">
        <x:v>https://blog.skyairline.com/mascotas-en-cabina/</x:v>
      </x:c>
      <x:c r="B217" s="1" t="str">
        <x:v>sky mascota en cabina</x:v>
      </x:c>
      <x:c r="C217" s="1" t="str">
        <x:v>chl</x:v>
      </x:c>
      <x:c r="D217" s="1" t="str">
        <x:v>Marca</x:v>
      </x:c>
      <x:c r="E217" s="35" t="n">
        <x:v>7</x:v>
      </x:c>
      <x:c r="F217" s="36"/>
      <x:c r="G217" s="36" t="str">
        <x:f>IF(ISNUMBER(F217),E217*F217,"")</x:f>
      </x:c>
      <x:c r="H217" s="37"/>
      <x:c r="I217" s="37"/>
      <x:c r="J217" s="1" t="n">
        <x:f>IF(ISNUMBER(F217),E217,0)</x:f>
        <x:v>0</x:v>
      </x:c>
      <x:c r="K217" s="1"/>
      <x:c r="L217" s="1" t="str">
        <x:v>https://blog.skyairline.com/santiago-a-rancagua/</x:v>
      </x:c>
      <x:c r="M217" s="1" t="n">
        <x:v>10</x:v>
      </x:c>
    </x:row>
    <x:row r="218" ht="18.75" customHeight="1">
      <x:c r="A218" s="1" t="str">
        <x:v>https://blog.skyairline.com/mascotas-en-cabina/</x:v>
      </x:c>
      <x:c r="B218" s="1" t="str">
        <x:v>sky mascotas en cabina</x:v>
      </x:c>
      <x:c r="C218" s="1" t="str">
        <x:v>chl</x:v>
      </x:c>
      <x:c r="D218" s="1" t="str">
        <x:v>Marca</x:v>
      </x:c>
      <x:c r="E218" s="35" t="n">
        <x:v>7</x:v>
      </x:c>
      <x:c r="F218" s="36" t="n">
        <x:v>0.31</x:v>
      </x:c>
      <x:c r="G218" s="36" t="n">
        <x:f>IF(ISNUMBER(F218),E218*F218,"")</x:f>
        <x:v>2.17</x:v>
      </x:c>
      <x:c r="H218" s="37" t="d">
        <x:v>2026-10-15T00:00:00.000Z</x:v>
      </x:c>
      <x:c r="I218" s="37" t="d">
        <x:v>2026-09-16T05:44:34.000Z</x:v>
      </x:c>
      <x:c r="J218" s="1" t="n">
        <x:f>IF(ISNUMBER(F218),E218,0)</x:f>
        <x:v>7</x:v>
      </x:c>
      <x:c r="K218" s="1"/>
      <x:c r="L218" s="1" t="str">
        <x:v>https://blog.skyairline.com/skiplagging/</x:v>
      </x:c>
      <x:c r="M218" s="1" t="n">
        <x:v>10</x:v>
      </x:c>
    </x:row>
    <x:row r="219" ht="18.75" customHeight="1">
      <x:c r="A219" s="1" t="str">
        <x:v>https://blog.skyairline.com/sky-airline-2/</x:v>
      </x:c>
      <x:c r="B219" s="1" t="str">
        <x:v>billetera sky</x:v>
      </x:c>
      <x:c r="C219" s="1" t="str">
        <x:v>per</x:v>
      </x:c>
      <x:c r="D219" s="1" t="str">
        <x:v>Marca</x:v>
      </x:c>
      <x:c r="E219" s="35" t="n">
        <x:v>7</x:v>
      </x:c>
      <x:c r="F219" s="36" t="n">
        <x:v>0.07</x:v>
      </x:c>
      <x:c r="G219" s="36" t="n">
        <x:f>IF(ISNUMBER(F219),E219*F219,"")</x:f>
        <x:v>0.49000000000000005</x:v>
      </x:c>
      <x:c r="H219" s="37" t="d">
        <x:v>2026-10-15T00:00:00.000Z</x:v>
      </x:c>
      <x:c r="I219" s="37" t="d">
        <x:v>2026-09-15T03:17:40.000Z</x:v>
      </x:c>
      <x:c r="J219" s="1" t="n">
        <x:f>IF(ISNUMBER(F219),E219,0)</x:f>
        <x:v>7</x:v>
      </x:c>
      <x:c r="K219" s="1"/>
      <x:c r="L219" s="1" t="str">
        <x:v>https://blog.skyairline.com/sky-fortalece-la-conectividad-aerea-en-chile-para-la-temporada-de-verano-con-nuevas-rutas/</x:v>
      </x:c>
      <x:c r="M219" s="1" t="n">
        <x:v>10</x:v>
      </x:c>
    </x:row>
    <x:row r="220" ht="18.75" customHeight="1">
      <x:c r="A220" s="1" t="str">
        <x:v>https://blog.skyairline.com/sky-fortalece-su-propuesta-de-valor-para-sus-pasajeros-con-economy-premier/</x:v>
      </x:c>
      <x:c r="B220" s="1" t="str">
        <x:v>premium economy sky</x:v>
      </x:c>
      <x:c r="C220" s="1" t="str">
        <x:v>chl</x:v>
      </x:c>
      <x:c r="D220" s="1" t="str">
        <x:v>Marca</x:v>
      </x:c>
      <x:c r="E220" s="35" t="n">
        <x:v>7</x:v>
      </x:c>
      <x:c r="F220" s="36"/>
      <x:c r="G220" s="36" t="str">
        <x:f>IF(ISNUMBER(F220),E220*F220,"")</x:f>
      </x:c>
      <x:c r="H220" s="37"/>
      <x:c r="I220" s="37"/>
      <x:c r="J220" s="1" t="n">
        <x:f>IF(ISNUMBER(F220),E220,0)</x:f>
        <x:v>0</x:v>
      </x:c>
      <x:c r="K220" s="1"/>
      <x:c r="L220" s="1" t="str">
        <x:v>https://blog.skyairline.com/tripulante-de-cabina/</x:v>
      </x:c>
      <x:c r="M220" s="1" t="n">
        <x:v>10</x:v>
      </x:c>
    </x:row>
    <x:row r="221" ht="18.75" customHeight="1">
      <x:c r="A221" s="1" t="str">
        <x:v>https://blog.skyairline.com/sky-plus/</x:v>
      </x:c>
      <x:c r="B221" s="1" t="str">
        <x:v>sky plus puntos</x:v>
      </x:c>
      <x:c r="C221" s="1" t="str">
        <x:v>chl</x:v>
      </x:c>
      <x:c r="D221" s="1" t="str">
        <x:v>Marca</x:v>
      </x:c>
      <x:c r="E221" s="35" t="n">
        <x:v>7</x:v>
      </x:c>
      <x:c r="F221" s="36" t="n">
        <x:v>0.55</x:v>
      </x:c>
      <x:c r="G221" s="36" t="n">
        <x:f>IF(ISNUMBER(F221),E221*F221,"")</x:f>
        <x:v>3.8500000000000005</x:v>
      </x:c>
      <x:c r="H221" s="37" t="d">
        <x:v>2026-10-15T00:00:00.000Z</x:v>
      </x:c>
      <x:c r="I221" s="37" t="d">
        <x:v>2026-10-15T04:46:05.000Z</x:v>
      </x:c>
      <x:c r="J221" s="1" t="n">
        <x:f>IF(ISNUMBER(F221),E221,0)</x:f>
        <x:v>7</x:v>
      </x:c>
      <x:c r="K221" s="1"/>
      <x:c r="L221" s="1" t="str">
        <x:v>https://blog.skyairline.com/6-parques-acuaticos-en-miami-de-fama-mundial/</x:v>
      </x:c>
      <x:c r="M221" s="1" t="n">
        <x:v>9</x:v>
      </x:c>
    </x:row>
    <x:row r="222" ht="18.75" customHeight="1">
      <x:c r="A222" s="1" t="str">
        <x:v>https://blog.skyairline.com/tipos-de-equipaje/</x:v>
      </x:c>
      <x:c r="B222" s="1" t="str">
        <x:v>equipaje especial sky</x:v>
      </x:c>
      <x:c r="C222" s="1" t="str">
        <x:v>chl</x:v>
      </x:c>
      <x:c r="D222" s="1" t="str">
        <x:v>Marca</x:v>
      </x:c>
      <x:c r="E222" s="35" t="n">
        <x:v>7</x:v>
      </x:c>
      <x:c r="F222" s="36" t="n">
        <x:v>0.72</x:v>
      </x:c>
      <x:c r="G222" s="36" t="n">
        <x:f>IF(ISNUMBER(F222),E222*F222,"")</x:f>
        <x:v>5.04</x:v>
      </x:c>
      <x:c r="H222" s="37" t="d">
        <x:v>2026-10-15T00:00:00.000Z</x:v>
      </x:c>
      <x:c r="I222" s="37" t="d">
        <x:v>2026-09-13T03:08:00.000Z</x:v>
      </x:c>
      <x:c r="J222" s="1" t="n">
        <x:f>IF(ISNUMBER(F222),E222,0)</x:f>
        <x:v>7</x:v>
      </x:c>
      <x:c r="K222" s="1"/>
      <x:c r="L222" s="1" t="str">
        <x:v>https://blog.skyairline.com/bitacora-de-viajes/</x:v>
      </x:c>
      <x:c r="M222" s="1" t="n">
        <x:v>9</x:v>
      </x:c>
    </x:row>
    <x:row r="223" ht="18.75" customHeight="1">
      <x:c r="A223" s="1" t="str">
        <x:v>https://blog.skyairline.com/tipos-de-equipaje/</x:v>
      </x:c>
      <x:c r="B223" s="1" t="str">
        <x:v>equipaje sky</x:v>
      </x:c>
      <x:c r="C223" s="1" t="str">
        <x:v>ury</x:v>
      </x:c>
      <x:c r="D223" s="1" t="str">
        <x:v>Marca</x:v>
      </x:c>
      <x:c r="E223" s="35" t="n">
        <x:v>7</x:v>
      </x:c>
      <x:c r="F223" s="36"/>
      <x:c r="G223" s="36" t="str">
        <x:f>IF(ISNUMBER(F223),E223*F223,"")</x:f>
      </x:c>
      <x:c r="H223" s="37"/>
      <x:c r="I223" s="37"/>
      <x:c r="J223" s="1" t="n">
        <x:f>IF(ISNUMBER(F223),E223,0)</x:f>
        <x:v>0</x:v>
      </x:c>
      <x:c r="K223" s="1"/>
      <x:c r="L223" s="1" t="str">
        <x:v>https://blog.skyairline.com/centros-comerciales-santiago/</x:v>
      </x:c>
      <x:c r="M223" s="1" t="n">
        <x:v>9</x:v>
      </x:c>
    </x:row>
    <x:row r="224" ht="18.75" customHeight="1">
      <x:c r="A224" s="1" t="str">
        <x:v>https://blog.skyairline.com/tipos-de-equipaje/</x:v>
      </x:c>
      <x:c r="B224" s="1" t="str">
        <x:v>sky equipaje de mano</x:v>
      </x:c>
      <x:c r="C224" s="1" t="str">
        <x:v>per</x:v>
      </x:c>
      <x:c r="D224" s="1" t="str">
        <x:v>Marca</x:v>
      </x:c>
      <x:c r="E224" s="35" t="n">
        <x:v>7</x:v>
      </x:c>
      <x:c r="F224" s="36" t="n">
        <x:v>0.44</x:v>
      </x:c>
      <x:c r="G224" s="36" t="n">
        <x:f>IF(ISNUMBER(F224),E224*F224,"")</x:f>
        <x:v>3.08</x:v>
      </x:c>
      <x:c r="H224" s="37" t="d">
        <x:v>2026-10-15T00:00:00.000Z</x:v>
      </x:c>
      <x:c r="I224" s="37" t="d">
        <x:v>2026-09-17T01:43:33.000Z</x:v>
      </x:c>
      <x:c r="J224" s="1" t="n">
        <x:f>IF(ISNUMBER(F224),E224,0)</x:f>
        <x:v>7</x:v>
      </x:c>
      <x:c r="K224" s="1"/>
      <x:c r="L224" s="1" t="str">
        <x:v>https://blog.skyairline.com/chile-uruguay/</x:v>
      </x:c>
      <x:c r="M224" s="1" t="n">
        <x:v>9</x:v>
      </x:c>
    </x:row>
    <x:row r="225" ht="18.75" customHeight="1">
      <x:c r="A225" s="1" t="str">
        <x:v>https://blog.skyairline.com/viajar-con-perros/</x:v>
      </x:c>
      <x:c r="B225" s="1" t="str">
        <x:v>sky requisitos para viajar con mascota</x:v>
      </x:c>
      <x:c r="C225" s="1" t="str">
        <x:v>chl</x:v>
      </x:c>
      <x:c r="D225" s="1" t="str">
        <x:v>Marca</x:v>
      </x:c>
      <x:c r="E225" s="35" t="n">
        <x:v>7</x:v>
      </x:c>
      <x:c r="F225" s="36"/>
      <x:c r="G225" s="36" t="str">
        <x:f>IF(ISNUMBER(F225),E225*F225,"")</x:f>
      </x:c>
      <x:c r="H225" s="37" t="d">
        <x:v>2026-10-15T00:00:00.000Z</x:v>
      </x:c>
      <x:c r="I225" s="37" t="d">
        <x:v>2026-09-15T14:51:58.000Z</x:v>
      </x:c>
      <x:c r="J225" s="1" t="n">
        <x:f>IF(ISNUMBER(F225),E225,0)</x:f>
        <x:v>0</x:v>
      </x:c>
      <x:c r="K225" s="1"/>
      <x:c r="L225" s="1" t="str">
        <x:v>https://blog.skyairline.com/comidas-de-la-costa-peruana/</x:v>
      </x:c>
      <x:c r="M225" s="1" t="n">
        <x:v>9</x:v>
      </x:c>
    </x:row>
    <x:row r="226" ht="18.75" customHeight="1">
      <x:c r="A226" s="1" t="str">
        <x:v>https://blog.skyairline.com/viajar-con-perros/</x:v>
      </x:c>
      <x:c r="B226" s="1" t="str">
        <x:v>viajar con mascotas sky</x:v>
      </x:c>
      <x:c r="C226" s="1" t="str">
        <x:v>chl</x:v>
      </x:c>
      <x:c r="D226" s="1" t="str">
        <x:v>Marca</x:v>
      </x:c>
      <x:c r="E226" s="35" t="n">
        <x:v>7</x:v>
      </x:c>
      <x:c r="F226" s="36"/>
      <x:c r="G226" s="36" t="str">
        <x:f>IF(ISNUMBER(F226),E226*F226,"")</x:f>
      </x:c>
      <x:c r="H226" s="37" t="d">
        <x:v>2026-10-15T00:00:00.000Z</x:v>
      </x:c>
      <x:c r="I226" s="37" t="d">
        <x:v>2026-09-17T20:24:33.000Z</x:v>
      </x:c>
      <x:c r="J226" s="1" t="n">
        <x:f>IF(ISNUMBER(F226),E226,0)</x:f>
        <x:v>0</x:v>
      </x:c>
      <x:c r="K226" s="1"/>
      <x:c r="L226" s="1" t="str">
        <x:v>https://blog.skyairline.com/cosas-sobrevaloradas-al-viajar/</x:v>
      </x:c>
      <x:c r="M226" s="1" t="n">
        <x:v>9</x:v>
      </x:c>
    </x:row>
    <x:row r="227" ht="18.75" customHeight="1">
      <x:c r="A227" s="1" t="str">
        <x:v>https://blog.skyairline.com/auroras-australes-en-chile-cuando-y-donde-verlas/</x:v>
      </x:c>
      <x:c r="B227" s="1" t="str">
        <x:v>auroras australes chile</x:v>
      </x:c>
      <x:c r="C227" s="1" t="str">
        <x:v>chl</x:v>
      </x:c>
      <x:c r="D227" s="1" t="str">
        <x:v>Sin marca</x:v>
      </x:c>
      <x:c r="E227" s="35" t="n">
        <x:v>6</x:v>
      </x:c>
      <x:c r="F227" s="36"/>
      <x:c r="G227" s="36" t="str">
        <x:f>IF(ISNUMBER(F227),E227*F227,"")</x:f>
      </x:c>
      <x:c r="H227" s="37" t="d">
        <x:v>2026-10-15T00:00:00.000Z</x:v>
      </x:c>
      <x:c r="I227" s="37" t="d">
        <x:v>2026-09-17T02:38:34.000Z</x:v>
      </x:c>
      <x:c r="J227" s="1" t="n">
        <x:f>IF(ISNUMBER(F227),E227,0)</x:f>
        <x:v>0</x:v>
      </x:c>
      <x:c r="K227" s="1"/>
      <x:c r="L227" s="1" t="str">
        <x:v>https://blog.skyairline.com/cyberday/</x:v>
      </x:c>
      <x:c r="M227" s="1" t="n">
        <x:v>9</x:v>
      </x:c>
    </x:row>
    <x:row r="228" ht="18.75" customHeight="1">
      <x:c r="A228" s="1" t="str">
        <x:v>https://blog.skyairline.com/bailes-tipicos-de-chile/</x:v>
      </x:c>
      <x:c r="B228" s="1" t="str">
        <x:v>bailes chilenos</x:v>
      </x:c>
      <x:c r="C228" s="1" t="str">
        <x:v>chl</x:v>
      </x:c>
      <x:c r="D228" s="1" t="str">
        <x:v>Sin marca</x:v>
      </x:c>
      <x:c r="E228" s="35" t="n">
        <x:v>6</x:v>
      </x:c>
      <x:c r="F228" s="36"/>
      <x:c r="G228" s="36" t="str">
        <x:f>IF(ISNUMBER(F228),E228*F228,"")</x:f>
      </x:c>
      <x:c r="H228" s="37" t="d">
        <x:v>2026-10-15T00:00:00.000Z</x:v>
      </x:c>
      <x:c r="I228" s="37" t="d">
        <x:v>2026-09-17T01:24:57.000Z</x:v>
      </x:c>
      <x:c r="J228" s="1" t="n">
        <x:f>IF(ISNUMBER(F228),E228,0)</x:f>
        <x:v>0</x:v>
      </x:c>
      <x:c r="K228" s="1"/>
      <x:c r="L228" s="1" t="str">
        <x:v>https://blog.skyairline.com/donde-queda-florianopolis/</x:v>
      </x:c>
      <x:c r="M228" s="1" t="n">
        <x:v>9</x:v>
      </x:c>
    </x:row>
    <x:row r="229" ht="18.75" customHeight="1">
      <x:c r="A229" s="1" t="str">
        <x:v>https://blog.skyairline.com/cambiar-vuelo-sky/</x:v>
      </x:c>
      <x:c r="B229" s="1" t="str">
        <x:v>cambiar vuelo sky</x:v>
      </x:c>
      <x:c r="C229" s="1" t="str">
        <x:v>per</x:v>
      </x:c>
      <x:c r="D229" s="1" t="str">
        <x:v>Marca</x:v>
      </x:c>
      <x:c r="E229" s="35" t="n">
        <x:v>6</x:v>
      </x:c>
      <x:c r="F229" s="36" t="n">
        <x:v>0.51</x:v>
      </x:c>
      <x:c r="G229" s="36" t="n">
        <x:f>IF(ISNUMBER(F229),E229*F229,"")</x:f>
        <x:v>3.06</x:v>
      </x:c>
      <x:c r="H229" s="37" t="d">
        <x:v>2026-10-15T00:00:00.000Z</x:v>
      </x:c>
      <x:c r="I229" s="37" t="d">
        <x:v>2026-10-15T06:56:56.000Z</x:v>
      </x:c>
      <x:c r="J229" s="1" t="n">
        <x:f>IF(ISNUMBER(F229),E229,0)</x:f>
        <x:v>6</x:v>
      </x:c>
      <x:c r="K229" s="1"/>
      <x:c r="L229" s="1" t="str">
        <x:v>https://blog.skyairline.com/donde-queda-frutillar/</x:v>
      </x:c>
      <x:c r="M229" s="1" t="n">
        <x:v>9</x:v>
      </x:c>
    </x:row>
    <x:row r="230" ht="18.75" customHeight="1">
      <x:c r="A230" s="1" t="str">
        <x:v>https://blog.skyairline.com/cambiar-vuelo-sky/</x:v>
      </x:c>
      <x:c r="B230" s="1" t="str">
        <x:v>sky cambio de vuelo</x:v>
      </x:c>
      <x:c r="C230" s="1" t="str">
        <x:v>per</x:v>
      </x:c>
      <x:c r="D230" s="1" t="str">
        <x:v>Marca</x:v>
      </x:c>
      <x:c r="E230" s="35" t="n">
        <x:v>6</x:v>
      </x:c>
      <x:c r="F230" s="36" t="n">
        <x:v>0.29</x:v>
      </x:c>
      <x:c r="G230" s="36" t="n">
        <x:f>IF(ISNUMBER(F230),E230*F230,"")</x:f>
        <x:v>1.7399999999999998</x:v>
      </x:c>
      <x:c r="H230" s="37" t="d">
        <x:v>2026-10-15T00:00:00.000Z</x:v>
      </x:c>
      <x:c r="I230" s="37" t="d">
        <x:v>2026-10-15T17:20:47.000Z</x:v>
      </x:c>
      <x:c r="J230" s="1" t="n">
        <x:f>IF(ISNUMBER(F230),E230,0)</x:f>
        <x:v>6</x:v>
      </x:c>
      <x:c r="K230" s="1"/>
      <x:c r="L230" s="1" t="str">
        <x:v>https://blog.skyairline.com/fiesta-final-de-diciembre/</x:v>
      </x:c>
      <x:c r="M230" s="1" t="n">
        <x:v>9</x:v>
      </x:c>
    </x:row>
    <x:row r="231" ht="18.75" customHeight="1">
      <x:c r="A231" s="1" t="str">
        <x:v>https://blog.skyairline.com/categoria/oportunidades/</x:v>
      </x:c>
      <x:c r="B231" s="1" t="str">
        <x:v>trabajo sky airlines</x:v>
      </x:c>
      <x:c r="C231" s="1" t="str">
        <x:v>chl</x:v>
      </x:c>
      <x:c r="D231" s="1" t="str">
        <x:v>Marca</x:v>
      </x:c>
      <x:c r="E231" s="35" t="n">
        <x:v>6</x:v>
      </x:c>
      <x:c r="F231" s="36" t="n">
        <x:v>0.01</x:v>
      </x:c>
      <x:c r="G231" s="36" t="n">
        <x:f>IF(ISNUMBER(F231),E231*F231,"")</x:f>
        <x:v>0.06</x:v>
      </x:c>
      <x:c r="H231" s="37" t="d">
        <x:v>2026-10-15T00:00:00.000Z</x:v>
      </x:c>
      <x:c r="I231" s="37" t="d">
        <x:v>2026-09-13T01:39:35.000Z</x:v>
      </x:c>
      <x:c r="J231" s="1" t="n">
        <x:f>IF(ISNUMBER(F231),E231,0)</x:f>
        <x:v>6</x:v>
      </x:c>
      <x:c r="K231" s="1"/>
      <x:c r="L231" s="1" t="str">
        <x:v>https://blog.skyairline.com/google-flights/</x:v>
      </x:c>
      <x:c r="M231" s="1" t="n">
        <x:v>9</x:v>
      </x:c>
    </x:row>
    <x:row r="232" ht="18.75" customHeight="1">
      <x:c r="A232" s="1" t="str">
        <x:v>https://blog.skyairline.com/categoria/oportunidades/</x:v>
      </x:c>
      <x:c r="B232" s="1" t="str">
        <x:v>trabajos sky</x:v>
      </x:c>
      <x:c r="C232" s="1" t="str">
        <x:v>chl</x:v>
      </x:c>
      <x:c r="D232" s="1" t="str">
        <x:v>Marca</x:v>
      </x:c>
      <x:c r="E232" s="35" t="n">
        <x:v>6</x:v>
      </x:c>
      <x:c r="F232" s="36" t="n">
        <x:v>0.16</x:v>
      </x:c>
      <x:c r="G232" s="36" t="n">
        <x:f>IF(ISNUMBER(F232),E232*F232,"")</x:f>
        <x:v>0.96</x:v>
      </x:c>
      <x:c r="H232" s="37" t="d">
        <x:v>2026-10-15T00:00:00.000Z</x:v>
      </x:c>
      <x:c r="I232" s="37" t="d">
        <x:v>2026-09-13T20:00:02.000Z</x:v>
      </x:c>
      <x:c r="J232" s="1" t="n">
        <x:f>IF(ISNUMBER(F232),E232,0)</x:f>
        <x:v>6</x:v>
      </x:c>
      <x:c r="K232" s="1"/>
      <x:c r="L232" s="1" t="str">
        <x:v>https://blog.skyairline.com/hotel-all-inclusive/</x:v>
      </x:c>
      <x:c r="M232" s="1" t="n">
        <x:v>9</x:v>
      </x:c>
    </x:row>
    <x:row r="233" ht="18.75" customHeight="1">
      <x:c r="A233" s="1" t="str">
        <x:v>https://blog.skyairline.com/curso-tripulante-cabina/</x:v>
      </x:c>
      <x:c r="B233" s="1" t="str">
        <x:v>academia tripulante de cabina</x:v>
      </x:c>
      <x:c r="C233" s="1" t="str">
        <x:v>chl</x:v>
      </x:c>
      <x:c r="D233" s="1" t="str">
        <x:v>Sin marca</x:v>
      </x:c>
      <x:c r="E233" s="35" t="n">
        <x:v>6</x:v>
      </x:c>
      <x:c r="F233" s="36"/>
      <x:c r="G233" s="36" t="str">
        <x:f>IF(ISNUMBER(F233),E233*F233,"")</x:f>
      </x:c>
      <x:c r="H233" s="37"/>
      <x:c r="I233" s="37"/>
      <x:c r="J233" s="1" t="n">
        <x:f>IF(ISNUMBER(F233),E233,0)</x:f>
        <x:v>0</x:v>
      </x:c>
      <x:c r="K233" s="1"/>
      <x:c r="L233" s="1" t="str">
        <x:v>https://blog.skyairline.com/moneda-de-brasil/</x:v>
      </x:c>
      <x:c r="M233" s="1" t="n">
        <x:v>9</x:v>
      </x:c>
    </x:row>
    <x:row r="234" ht="18.75" customHeight="1">
      <x:c r="A234" s="1" t="str">
        <x:v>https://blog.skyairline.com/curso-tripulante-cabina/</x:v>
      </x:c>
      <x:c r="B234" s="1" t="str">
        <x:v>curso de tripulante de cabina</x:v>
      </x:c>
      <x:c r="C234" s="1" t="str">
        <x:v>chl</x:v>
      </x:c>
      <x:c r="D234" s="1" t="str">
        <x:v>Sin marca</x:v>
      </x:c>
      <x:c r="E234" s="35" t="n">
        <x:v>6</x:v>
      </x:c>
      <x:c r="F234" s="36" t="n">
        <x:v>0.27</x:v>
      </x:c>
      <x:c r="G234" s="36" t="n">
        <x:f>IF(ISNUMBER(F234),E234*F234,"")</x:f>
        <x:v>1.62</x:v>
      </x:c>
      <x:c r="H234" s="37" t="d">
        <x:v>2026-10-15T00:00:00.000Z</x:v>
      </x:c>
      <x:c r="I234" s="37" t="d">
        <x:v>2026-09-15T20:16:52.000Z</x:v>
      </x:c>
      <x:c r="J234" s="1" t="n">
        <x:f>IF(ISNUMBER(F234),E234,0)</x:f>
        <x:v>6</x:v>
      </x:c>
      <x:c r="K234" s="1"/>
      <x:c r="L234" s="1" t="str">
        <x:v>https://blog.skyairline.com/parques-acuaticos-en-brasil/</x:v>
      </x:c>
      <x:c r="M234" s="1" t="n">
        <x:v>9</x:v>
      </x:c>
    </x:row>
    <x:row r="235" ht="18.75" customHeight="1">
      <x:c r="A235" s="1" t="str">
        <x:v>https://blog.skyairline.com/curso-tripulante-cabina/</x:v>
      </x:c>
      <x:c r="B235" s="1" t="str">
        <x:v>tripulante de cabina sky chile</x:v>
      </x:c>
      <x:c r="C235" s="1" t="str">
        <x:v>chl</x:v>
      </x:c>
      <x:c r="D235" s="1" t="str">
        <x:v>Marca</x:v>
      </x:c>
      <x:c r="E235" s="35" t="n">
        <x:v>6</x:v>
      </x:c>
      <x:c r="F235" s="36" t="n">
        <x:v>0.49</x:v>
      </x:c>
      <x:c r="G235" s="36" t="n">
        <x:f>IF(ISNUMBER(F235),E235*F235,"")</x:f>
        <x:v>2.94</x:v>
      </x:c>
      <x:c r="H235" s="37" t="d">
        <x:v>2026-10-15T00:00:00.000Z</x:v>
      </x:c>
      <x:c r="I235" s="37" t="d">
        <x:v>2026-09-13T17:38:49.000Z</x:v>
      </x:c>
      <x:c r="J235" s="1" t="n">
        <x:f>IF(ISNUMBER(F235),E235,0)</x:f>
        <x:v>6</x:v>
      </x:c>
      <x:c r="K235" s="1"/>
      <x:c r="L235" s="1" t="str">
        <x:v>https://blog.skyairline.com/peru-vs-republica-dominicana/</x:v>
      </x:c>
      <x:c r="M235" s="1" t="n">
        <x:v>9</x:v>
      </x:c>
    </x:row>
    <x:row r="236" ht="18.75" customHeight="1">
      <x:c r="A236" s="1" t="str">
        <x:v>https://blog.skyairline.com/descubre-economy-premier-la-nueva-experiencia-para-viajar-mas-comodo/</x:v>
      </x:c>
      <x:c r="B236" s="1" t="str">
        <x:v>economy premier sky</x:v>
      </x:c>
      <x:c r="C236" s="1" t="str">
        <x:v>chl</x:v>
      </x:c>
      <x:c r="D236" s="1" t="str">
        <x:v>Marca</x:v>
      </x:c>
      <x:c r="E236" s="35" t="n">
        <x:v>6</x:v>
      </x:c>
      <x:c r="F236" s="36"/>
      <x:c r="G236" s="36" t="str">
        <x:f>IF(ISNUMBER(F236),E236*F236,"")</x:f>
      </x:c>
      <x:c r="H236" s="37"/>
      <x:c r="I236" s="37"/>
      <x:c r="J236" s="1" t="n">
        <x:f>IF(ISNUMBER(F236),E236,0)</x:f>
        <x:v>0</x:v>
      </x:c>
      <x:c r="K236" s="1"/>
      <x:c r="L236" s="1" t="str">
        <x:v>https://blog.skyairline.com/playas-cerca-de-sao-paulo/</x:v>
      </x:c>
      <x:c r="M236" s="1" t="n">
        <x:v>9</x:v>
      </x:c>
    </x:row>
    <x:row r="237" ht="18.75" customHeight="1">
      <x:c r="A237" s="1" t="str">
        <x:v>https://blog.skyairline.com/descubre-economy-premier-la-nueva-experiencia-para-viajar-mas-comodo/</x:v>
      </x:c>
      <x:c r="B237" s="1" t="str">
        <x:v>sky economy premier</x:v>
      </x:c>
      <x:c r="C237" s="1" t="str">
        <x:v>chl</x:v>
      </x:c>
      <x:c r="D237" s="1" t="str">
        <x:v>Marca</x:v>
      </x:c>
      <x:c r="E237" s="35" t="n">
        <x:v>6</x:v>
      </x:c>
      <x:c r="F237" s="36"/>
      <x:c r="G237" s="36" t="str">
        <x:f>IF(ISNUMBER(F237),E237*F237,"")</x:f>
      </x:c>
      <x:c r="H237" s="37"/>
      <x:c r="I237" s="37"/>
      <x:c r="J237" s="1" t="n">
        <x:f>IF(ISNUMBER(F237),E237,0)</x:f>
        <x:v>0</x:v>
      </x:c>
      <x:c r="K237" s="1"/>
      <x:c r="L237" s="1" t="str">
        <x:v>https://blog.skyairline.com/puerto-natales-a-torres-del-paine/</x:v>
      </x:c>
      <x:c r="M237" s="1" t="n">
        <x:v>9</x:v>
      </x:c>
    </x:row>
    <x:row r="238" ht="18.75" customHeight="1">
      <x:c r="A238" s="1" t="str">
        <x:v>https://blog.skyairline.com/donde-viajar-con-ninos/</x:v>
      </x:c>
      <x:c r="B238" s="1" t="str">
        <x:v>vacaciones con niños</x:v>
      </x:c>
      <x:c r="C238" s="1" t="str">
        <x:v>chl</x:v>
      </x:c>
      <x:c r="D238" s="1" t="str">
        <x:v>Sin marca</x:v>
      </x:c>
      <x:c r="E238" s="35" t="n">
        <x:v>6</x:v>
      </x:c>
      <x:c r="F238" s="36"/>
      <x:c r="G238" s="36" t="str">
        <x:f>IF(ISNUMBER(F238),E238*F238,"")</x:f>
      </x:c>
      <x:c r="H238" s="37" t="d">
        <x:v>2026-10-15T00:00:00.000Z</x:v>
      </x:c>
      <x:c r="I238" s="37" t="d">
        <x:v>2026-06-12T13:29:55.999Z</x:v>
      </x:c>
      <x:c r="J238" s="1" t="n">
        <x:f>IF(ISNUMBER(F238),E238,0)</x:f>
        <x:v>0</x:v>
      </x:c>
      <x:c r="K238" s="1"/>
      <x:c r="L238" s="1" t="str">
        <x:v>https://blog.skyairline.com/que-es-el-fruto-de-oro-y-donde-se-encuentra/</x:v>
      </x:c>
      <x:c r="M238" s="1" t="n">
        <x:v>9</x:v>
      </x:c>
    </x:row>
    <x:row r="239" ht="18.75" customHeight="1">
      <x:c r="A239" s="1" t="str">
        <x:v>https://blog.skyairline.com/equipaje-de-bodega/</x:v>
      </x:c>
      <x:c r="B239" s="1" t="str">
        <x:v>bolso de mano sky medidas y peso</x:v>
      </x:c>
      <x:c r="C239" s="1" t="str">
        <x:v>per</x:v>
      </x:c>
      <x:c r="D239" s="1" t="str">
        <x:v>Marca</x:v>
      </x:c>
      <x:c r="E239" s="35" t="n">
        <x:v>6</x:v>
      </x:c>
      <x:c r="F239" s="36"/>
      <x:c r="G239" s="36" t="str">
        <x:f>IF(ISNUMBER(F239),E239*F239,"")</x:f>
      </x:c>
      <x:c r="H239" s="37" t="d">
        <x:v>2026-10-15T00:00:00.000Z</x:v>
      </x:c>
      <x:c r="I239" s="37" t="d">
        <x:v>2026-09-13T20:35:47.000Z</x:v>
      </x:c>
      <x:c r="J239" s="1" t="n">
        <x:f>IF(ISNUMBER(F239),E239,0)</x:f>
        <x:v>0</x:v>
      </x:c>
      <x:c r="K239" s="1"/>
      <x:c r="L239" s="1" t="str">
        <x:v>https://blog.skyairline.com/que-hacer-en-porto-alegre/</x:v>
      </x:c>
      <x:c r="M239" s="1" t="n">
        <x:v>9</x:v>
      </x:c>
    </x:row>
    <x:row r="240" ht="18.75" customHeight="1">
      <x:c r="A240" s="1" t="str">
        <x:v>https://blog.skyairline.com/equipaje-de-bodega/</x:v>
      </x:c>
      <x:c r="B240" s="1" t="str">
        <x:v>equipaje sky</x:v>
      </x:c>
      <x:c r="C240" s="1" t="str">
        <x:v>per</x:v>
      </x:c>
      <x:c r="D240" s="1" t="str">
        <x:v>Marca</x:v>
      </x:c>
      <x:c r="E240" s="35" t="n">
        <x:v>6</x:v>
      </x:c>
      <x:c r="F240" s="36" t="n">
        <x:v>0.63</x:v>
      </x:c>
      <x:c r="G240" s="36" t="n">
        <x:f>IF(ISNUMBER(F240),E240*F240,"")</x:f>
        <x:v>3.7800000000000002</x:v>
      </x:c>
      <x:c r="H240" s="37" t="d">
        <x:v>2026-10-15T00:00:00.000Z</x:v>
      </x:c>
      <x:c r="I240" s="37" t="d">
        <x:v>2026-09-16T15:18:05.000Z</x:v>
      </x:c>
      <x:c r="J240" s="1" t="n">
        <x:f>IF(ISNUMBER(F240),E240,0)</x:f>
        <x:v>6</x:v>
      </x:c>
      <x:c r="K240" s="1"/>
      <x:c r="L240" s="1" t="str">
        <x:v>https://blog.skyairline.com/que-se-puede-hacer-durante-un-vuelo/</x:v>
      </x:c>
      <x:c r="M240" s="1" t="n">
        <x:v>9</x:v>
      </x:c>
    </x:row>
    <x:row r="241" ht="18.75" customHeight="1">
      <x:c r="A241" s="1" t="str">
        <x:v>https://blog.skyairline.com/equipaje-de-bodega/</x:v>
      </x:c>
      <x:c r="B241" s="1" t="str">
        <x:v>equipaje sky medidas</x:v>
      </x:c>
      <x:c r="C241" s="1" t="str">
        <x:v>chl</x:v>
      </x:c>
      <x:c r="D241" s="1" t="str">
        <x:v>Marca</x:v>
      </x:c>
      <x:c r="E241" s="35" t="n">
        <x:v>6</x:v>
      </x:c>
      <x:c r="F241" s="36"/>
      <x:c r="G241" s="36" t="str">
        <x:f>IF(ISNUMBER(F241),E241*F241,"")</x:f>
      </x:c>
      <x:c r="H241" s="37" t="d">
        <x:v>2026-10-15T00:00:00.000Z</x:v>
      </x:c>
      <x:c r="I241" s="37" t="d">
        <x:v>2026-09-17T01:51:18.999Z</x:v>
      </x:c>
      <x:c r="J241" s="1" t="n">
        <x:f>IF(ISNUMBER(F241),E241,0)</x:f>
        <x:v>0</x:v>
      </x:c>
      <x:c r="K241" s="1"/>
      <x:c r="L241" s="1" t="str">
        <x:v>https://blog.skyairline.com/servicios-de-sky/</x:v>
      </x:c>
      <x:c r="M241" s="1" t="n">
        <x:v>9</x:v>
      </x:c>
    </x:row>
    <x:row r="242" ht="18.75" customHeight="1">
      <x:c r="A242" s="1" t="str">
        <x:v>https://blog.skyairline.com/equipaje-de-bodega/</x:v>
      </x:c>
      <x:c r="B242" s="1" t="str">
        <x:v>maleta sky medidas</x:v>
      </x:c>
      <x:c r="C242" s="1" t="str">
        <x:v>chl</x:v>
      </x:c>
      <x:c r="D242" s="1" t="str">
        <x:v>Marca</x:v>
      </x:c>
      <x:c r="E242" s="35" t="n">
        <x:v>6</x:v>
      </x:c>
      <x:c r="F242" s="36"/>
      <x:c r="G242" s="36" t="str">
        <x:f>IF(ISNUMBER(F242),E242*F242,"")</x:f>
      </x:c>
      <x:c r="H242" s="37" t="d">
        <x:v>2026-10-15T00:00:00.000Z</x:v>
      </x:c>
      <x:c r="I242" s="37" t="d">
        <x:v>2026-09-13T03:43:37.999Z</x:v>
      </x:c>
      <x:c r="J242" s="1" t="n">
        <x:f>IF(ISNUMBER(F242),E242,0)</x:f>
        <x:v>0</x:v>
      </x:c>
      <x:c r="K242" s="1"/>
      <x:c r="L242" s="1" t="str">
        <x:v>https://blog.skyairline.com/sky-peru-y-banco-ripley-lanzan-alianza-de-descuentos-para-hasta-1-2-millones-de-clientes/</x:v>
      </x:c>
      <x:c r="M242" s="1" t="n">
        <x:v>9</x:v>
      </x:c>
    </x:row>
    <x:row r="243" ht="18.75" customHeight="1">
      <x:c r="A243" s="1" t="str">
        <x:v>https://blog.skyairline.com/equipaje-de-bodega/</x:v>
      </x:c>
      <x:c r="B243" s="1" t="str">
        <x:v>medidas bolso de mano sky 2026</x:v>
      </x:c>
      <x:c r="C243" s="1" t="str">
        <x:v>chl</x:v>
      </x:c>
      <x:c r="D243" s="1" t="str">
        <x:v>Marca</x:v>
      </x:c>
      <x:c r="E243" s="35" t="n">
        <x:v>6</x:v>
      </x:c>
      <x:c r="F243" s="36"/>
      <x:c r="G243" s="36" t="str">
        <x:f>IF(ISNUMBER(F243),E243*F243,"")</x:f>
      </x:c>
      <x:c r="H243" s="37" t="d">
        <x:v>2026-10-15T00:00:00.000Z</x:v>
      </x:c>
      <x:c r="I243" s="37" t="d">
        <x:v>2026-09-16T22:05:21.000Z</x:v>
      </x:c>
      <x:c r="J243" s="1" t="n">
        <x:f>IF(ISNUMBER(F243),E243,0)</x:f>
        <x:v>0</x:v>
      </x:c>
      <x:c r="K243" s="1"/>
      <x:c r="L243" s="1" t="str">
        <x:v>https://blog.skyairline.com/viajar-solo-con-equipaje-de-mano/</x:v>
      </x:c>
      <x:c r="M243" s="1" t="n">
        <x:v>9</x:v>
      </x:c>
    </x:row>
    <x:row r="244" ht="18.75" customHeight="1">
      <x:c r="A244" s="1" t="str">
        <x:v>https://blog.skyairline.com/equipaje-de-bodega/</x:v>
      </x:c>
      <x:c r="B244" s="1" t="str">
        <x:v>medidas de mochila sky</x:v>
      </x:c>
      <x:c r="C244" s="1" t="str">
        <x:v>per</x:v>
      </x:c>
      <x:c r="D244" s="1" t="str">
        <x:v>Marca</x:v>
      </x:c>
      <x:c r="E244" s="35" t="n">
        <x:v>6</x:v>
      </x:c>
      <x:c r="F244" s="36"/>
      <x:c r="G244" s="36" t="str">
        <x:f>IF(ISNUMBER(F244),E244*F244,"")</x:f>
      </x:c>
      <x:c r="H244" s="37"/>
      <x:c r="I244" s="37"/>
      <x:c r="J244" s="1" t="n">
        <x:f>IF(ISNUMBER(F244),E244,0)</x:f>
        <x:v>0</x:v>
      </x:c>
      <x:c r="K244" s="1"/>
      <x:c r="L244" s="1" t="str">
        <x:v>https://blog.skyairline.com/ahorrar-tiempo-en-el-aeropuerto/</x:v>
      </x:c>
      <x:c r="M244" s="1" t="n">
        <x:v>8</x:v>
      </x:c>
    </x:row>
    <x:row r="245" ht="18.75" customHeight="1">
      <x:c r="A245" s="1" t="str">
        <x:v>https://blog.skyairline.com/equipaje-de-bodega/</x:v>
      </x:c>
      <x:c r="B245" s="1" t="str">
        <x:v>medidas maleta de cabina</x:v>
      </x:c>
      <x:c r="C245" s="1" t="str">
        <x:v>chl</x:v>
      </x:c>
      <x:c r="D245" s="1" t="str">
        <x:v>Sin marca</x:v>
      </x:c>
      <x:c r="E245" s="35" t="n">
        <x:v>6</x:v>
      </x:c>
      <x:c r="F245" s="36" t="n">
        <x:v>0.14</x:v>
      </x:c>
      <x:c r="G245" s="36" t="n">
        <x:f>IF(ISNUMBER(F245),E245*F245,"")</x:f>
        <x:v>0.8400000000000001</x:v>
      </x:c>
      <x:c r="H245" s="37" t="d">
        <x:v>2026-10-15T00:00:00.000Z</x:v>
      </x:c>
      <x:c r="I245" s="37" t="d">
        <x:v>2026-10-15T04:53:13.000Z</x:v>
      </x:c>
      <x:c r="J245" s="1" t="n">
        <x:f>IF(ISNUMBER(F245),E245,0)</x:f>
        <x:v>6</x:v>
      </x:c>
      <x:c r="K245" s="1"/>
      <x:c r="L245" s="1" t="str">
        <x:v>https://blog.skyairline.com/angelmo/</x:v>
      </x:c>
      <x:c r="M245" s="1" t="n">
        <x:v>8</x:v>
      </x:c>
    </x:row>
    <x:row r="246" ht="18.75" customHeight="1">
      <x:c r="A246" s="1" t="str">
        <x:v>https://blog.skyairline.com/equipaje-de-bodega/</x:v>
      </x:c>
      <x:c r="B246" s="1" t="str">
        <x:v>medidas maleta sky</x:v>
      </x:c>
      <x:c r="C246" s="1" t="str">
        <x:v>per</x:v>
      </x:c>
      <x:c r="D246" s="1" t="str">
        <x:v>Marca</x:v>
      </x:c>
      <x:c r="E246" s="35" t="n">
        <x:v>6</x:v>
      </x:c>
      <x:c r="F246" s="36"/>
      <x:c r="G246" s="36" t="str">
        <x:f>IF(ISNUMBER(F246),E246*F246,"")</x:f>
      </x:c>
      <x:c r="H246" s="37"/>
      <x:c r="I246" s="37"/>
      <x:c r="J246" s="1" t="n">
        <x:f>IF(ISNUMBER(F246),E246,0)</x:f>
        <x:v>0</x:v>
      </x:c>
      <x:c r="K246" s="1"/>
      <x:c r="L246" s="1" t="str">
        <x:v>https://blog.skyairline.com/buzios-es-peligroso/</x:v>
      </x:c>
      <x:c r="M246" s="1" t="n">
        <x:v>8</x:v>
      </x:c>
    </x:row>
    <x:row r="247" ht="18.75" customHeight="1">
      <x:c r="A247" s="1" t="str">
        <x:v>https://blog.skyairline.com/equipaje-de-bodega/</x:v>
      </x:c>
      <x:c r="B247" s="1" t="str">
        <x:v>medidas sky mochila</x:v>
      </x:c>
      <x:c r="C247" s="1" t="str">
        <x:v>per</x:v>
      </x:c>
      <x:c r="D247" s="1" t="str">
        <x:v>Marca</x:v>
      </x:c>
      <x:c r="E247" s="35" t="n">
        <x:v>6</x:v>
      </x:c>
      <x:c r="F247" s="36"/>
      <x:c r="G247" s="36" t="str">
        <x:f>IF(ISNUMBER(F247),E247*F247,"")</x:f>
      </x:c>
      <x:c r="H247" s="37" t="d">
        <x:v>2026-10-15T00:00:00.000Z</x:v>
      </x:c>
      <x:c r="I247" s="37" t="d">
        <x:v>2026-09-16T23:00:44.000Z</x:v>
      </x:c>
      <x:c r="J247" s="1" t="n">
        <x:f>IF(ISNUMBER(F247),E247,0)</x:f>
        <x:v>0</x:v>
      </x:c>
      <x:c r="K247" s="1"/>
      <x:c r="L247" s="1" t="str">
        <x:v>https://blog.skyairline.com/clima-en-rio-de-janeiro/</x:v>
      </x:c>
      <x:c r="M247" s="1" t="n">
        <x:v>8</x:v>
      </x:c>
    </x:row>
    <x:row r="248" ht="18.75" customHeight="1">
      <x:c r="A248" s="1" t="str">
        <x:v>https://blog.skyairline.com/equipaje-de-bodega/</x:v>
      </x:c>
      <x:c r="B248" s="1" t="str">
        <x:v>sky maleta</x:v>
      </x:c>
      <x:c r="C248" s="1" t="str">
        <x:v>chl</x:v>
      </x:c>
      <x:c r="D248" s="1" t="str">
        <x:v>Marca</x:v>
      </x:c>
      <x:c r="E248" s="35" t="n">
        <x:v>6</x:v>
      </x:c>
      <x:c r="F248" s="36"/>
      <x:c r="G248" s="36" t="str">
        <x:f>IF(ISNUMBER(F248),E248*F248,"")</x:f>
      </x:c>
      <x:c r="H248" s="37" t="d">
        <x:v>2026-10-15T00:00:00.000Z</x:v>
      </x:c>
      <x:c r="I248" s="37" t="d">
        <x:v>2026-09-12T16:25:02.999Z</x:v>
      </x:c>
      <x:c r="J248" s="1" t="n">
        <x:f>IF(ISNUMBER(F248),E248,0)</x:f>
        <x:v>0</x:v>
      </x:c>
      <x:c r="K248" s="1"/>
      <x:c r="L248" s="1" t="str">
        <x:v>https://blog.skyairline.com/como-llegar-ahornopiren/</x:v>
      </x:c>
      <x:c r="M248" s="1" t="n">
        <x:v>8</x:v>
      </x:c>
    </x:row>
    <x:row r="249" ht="18.75" customHeight="1">
      <x:c r="A249" s="1" t="str">
        <x:v>https://blog.skyairline.com/equipaje-de-bodega/</x:v>
      </x:c>
      <x:c r="B249" s="1" t="str">
        <x:v>sky maletas</x:v>
      </x:c>
      <x:c r="C249" s="1" t="str">
        <x:v>per</x:v>
      </x:c>
      <x:c r="D249" s="1" t="str">
        <x:v>Marca</x:v>
      </x:c>
      <x:c r="E249" s="35" t="n">
        <x:v>6</x:v>
      </x:c>
      <x:c r="F249" s="36" t="n">
        <x:v>0.3</x:v>
      </x:c>
      <x:c r="G249" s="36" t="n">
        <x:f>IF(ISNUMBER(F249),E249*F249,"")</x:f>
        <x:v>1.7999999999999998</x:v>
      </x:c>
      <x:c r="H249" s="37" t="d">
        <x:v>2026-10-15T00:00:00.000Z</x:v>
      </x:c>
      <x:c r="I249" s="37" t="d">
        <x:v>2026-09-13T09:30:32.999Z</x:v>
      </x:c>
      <x:c r="J249" s="1" t="n">
        <x:f>IF(ISNUMBER(F249),E249,0)</x:f>
        <x:v>6</x:v>
      </x:c>
      <x:c r="K249" s="1"/>
      <x:c r="L249" s="1" t="str">
        <x:v>https://blog.skyairline.com/curiosidades-valdivia/</x:v>
      </x:c>
      <x:c r="M249" s="1" t="n">
        <x:v>8</x:v>
      </x:c>
    </x:row>
    <x:row r="250" ht="18.75" customHeight="1">
      <x:c r="A250" s="1" t="str">
        <x:v>https://blog.skyairline.com/equipaje-de-bodega/</x:v>
      </x:c>
      <x:c r="B250" s="1" t="str">
        <x:v>sky medidas equipaje</x:v>
      </x:c>
      <x:c r="C250" s="1" t="str">
        <x:v>arg</x:v>
      </x:c>
      <x:c r="D250" s="1" t="str">
        <x:v>Marca</x:v>
      </x:c>
      <x:c r="E250" s="35" t="n">
        <x:v>6</x:v>
      </x:c>
      <x:c r="F250" s="36"/>
      <x:c r="G250" s="36" t="str">
        <x:f>IF(ISNUMBER(F250),E250*F250,"")</x:f>
      </x:c>
      <x:c r="H250" s="37"/>
      <x:c r="I250" s="37"/>
      <x:c r="J250" s="1" t="n">
        <x:f>IF(ISNUMBER(F250),E250,0)</x:f>
        <x:v>0</x:v>
      </x:c>
      <x:c r="K250" s="1"/>
      <x:c r="L250" s="1" t="str">
        <x:v>https://blog.skyairline.com/destinos-baratos/</x:v>
      </x:c>
      <x:c r="M250" s="1" t="n">
        <x:v>8</x:v>
      </x:c>
    </x:row>
    <x:row r="251" ht="18.75" customHeight="1">
      <x:c r="A251" s="1" t="str">
        <x:v>https://blog.skyairline.com/equipaje-de-bodega/</x:v>
      </x:c>
      <x:c r="B251" s="1" t="str">
        <x:v>sky medidas equipaje</x:v>
      </x:c>
      <x:c r="C251" s="1" t="str">
        <x:v>per</x:v>
      </x:c>
      <x:c r="D251" s="1" t="str">
        <x:v>Marca</x:v>
      </x:c>
      <x:c r="E251" s="35" t="n">
        <x:v>6</x:v>
      </x:c>
      <x:c r="F251" s="36" t="n">
        <x:v>1.63</x:v>
      </x:c>
      <x:c r="G251" s="36" t="n">
        <x:f>IF(ISNUMBER(F251),E251*F251,"")</x:f>
        <x:v>9.78</x:v>
      </x:c>
      <x:c r="H251" s="37" t="d">
        <x:v>2026-10-15T00:00:00.000Z</x:v>
      </x:c>
      <x:c r="I251" s="37" t="d">
        <x:v>2026-09-16T01:05:38.000Z</x:v>
      </x:c>
      <x:c r="J251" s="1" t="n">
        <x:f>IF(ISNUMBER(F251),E251,0)</x:f>
        <x:v>6</x:v>
      </x:c>
      <x:c r="K251" s="1"/>
      <x:c r="L251" s="1" t="str">
        <x:v>https://blog.skyairline.com/floripa/</x:v>
      </x:c>
      <x:c r="M251" s="1" t="n">
        <x:v>8</x:v>
      </x:c>
    </x:row>
    <x:row r="252" ht="18.75" customHeight="1">
      <x:c r="A252" s="1" t="str">
        <x:v>https://blog.skyairline.com/equipaje-de-cabina/</x:v>
      </x:c>
      <x:c r="B252" s="1" t="str">
        <x:v>equipaje de cabina</x:v>
      </x:c>
      <x:c r="C252" s="1" t="str">
        <x:v>chl</x:v>
      </x:c>
      <x:c r="D252" s="1" t="str">
        <x:v>Sin marca</x:v>
      </x:c>
      <x:c r="E252" s="35" t="n">
        <x:v>6</x:v>
      </x:c>
      <x:c r="F252" s="36" t="n">
        <x:v>0.19</x:v>
      </x:c>
      <x:c r="G252" s="36" t="n">
        <x:f>IF(ISNUMBER(F252),E252*F252,"")</x:f>
        <x:v>1.1400000000000001</x:v>
      </x:c>
      <x:c r="H252" s="37" t="d">
        <x:v>2026-10-15T00:00:00.000Z</x:v>
      </x:c>
      <x:c r="I252" s="37" t="d">
        <x:v>2026-09-13T18:45:52.000Z</x:v>
      </x:c>
      <x:c r="J252" s="1" t="n">
        <x:f>IF(ISNUMBER(F252),E252,0)</x:f>
        <x:v>6</x:v>
      </x:c>
      <x:c r="K252" s="1"/>
      <x:c r="L252" s="1" t="str">
        <x:v>https://blog.skyairline.com/gastronomia-de-jauja/</x:v>
      </x:c>
      <x:c r="M252" s="1" t="n">
        <x:v>8</x:v>
      </x:c>
    </x:row>
    <x:row r="253" ht="18.75" customHeight="1">
      <x:c r="A253" s="1" t="str">
        <x:v>https://blog.skyairline.com/equipaje-de-cabina/</x:v>
      </x:c>
      <x:c r="B253" s="1" t="str">
        <x:v>equipaje de mano sky airlines</x:v>
      </x:c>
      <x:c r="C253" s="1" t="str">
        <x:v>chl</x:v>
      </x:c>
      <x:c r="D253" s="1" t="str">
        <x:v>Marca</x:v>
      </x:c>
      <x:c r="E253" s="35" t="n">
        <x:v>6</x:v>
      </x:c>
      <x:c r="F253" s="36" t="n">
        <x:v>1.82</x:v>
      </x:c>
      <x:c r="G253" s="36" t="n">
        <x:f>IF(ISNUMBER(F253),E253*F253,"")</x:f>
        <x:v>10.92</x:v>
      </x:c>
      <x:c r="H253" s="37" t="d">
        <x:v>2026-10-15T00:00:00.000Z</x:v>
      </x:c>
      <x:c r="I253" s="37" t="d">
        <x:v>2026-09-15T16:31:58.000Z</x:v>
      </x:c>
      <x:c r="J253" s="1" t="n">
        <x:f>IF(ISNUMBER(F253),E253,0)</x:f>
        <x:v>6</x:v>
      </x:c>
      <x:c r="K253" s="1"/>
      <x:c r="L253" s="1" t="str">
        <x:v>https://blog.skyairline.com/jardin-japones-santiago/</x:v>
      </x:c>
      <x:c r="M253" s="1" t="n">
        <x:v>8</x:v>
      </x:c>
    </x:row>
    <x:row r="254" ht="18.75" customHeight="1">
      <x:c r="A254" s="1" t="str">
        <x:v>https://blog.skyairline.com/equipaje-de-cabina/</x:v>
      </x:c>
      <x:c r="B254" s="1" t="str">
        <x:v>medidas carry on sky</x:v>
      </x:c>
      <x:c r="C254" s="1" t="str">
        <x:v>per</x:v>
      </x:c>
      <x:c r="D254" s="1" t="str">
        <x:v>Marca</x:v>
      </x:c>
      <x:c r="E254" s="35" t="n">
        <x:v>6</x:v>
      </x:c>
      <x:c r="F254" s="36"/>
      <x:c r="G254" s="36" t="str">
        <x:f>IF(ISNUMBER(F254),E254*F254,"")</x:f>
      </x:c>
      <x:c r="H254" s="37" t="d">
        <x:v>2026-10-15T00:00:00.000Z</x:v>
      </x:c>
      <x:c r="I254" s="37" t="d">
        <x:v>2026-09-14T04:46:13.000Z</x:v>
      </x:c>
      <x:c r="J254" s="1" t="n">
        <x:f>IF(ISNUMBER(F254),E254,0)</x:f>
        <x:v>0</x:v>
      </x:c>
      <x:c r="K254" s="1"/>
      <x:c r="L254" s="1" t="str">
        <x:v>https://blog.skyairline.com/jose-ignacio-uruguay/</x:v>
      </x:c>
      <x:c r="M254" s="1" t="n">
        <x:v>8</x:v>
      </x:c>
    </x:row>
    <x:row r="255" ht="18.75" customHeight="1">
      <x:c r="A255" s="1" t="str">
        <x:v>https://blog.skyairline.com/equipaje-de-cabina/</x:v>
      </x:c>
      <x:c r="B255" s="1" t="str">
        <x:v>medidas carry on sky</x:v>
      </x:c>
      <x:c r="C255" s="1" t="str">
        <x:v>ury</x:v>
      </x:c>
      <x:c r="D255" s="1" t="str">
        <x:v>Marca</x:v>
      </x:c>
      <x:c r="E255" s="35" t="n">
        <x:v>6</x:v>
      </x:c>
      <x:c r="F255" s="36"/>
      <x:c r="G255" s="36" t="str">
        <x:f>IF(ISNUMBER(F255),E255*F255,"")</x:f>
      </x:c>
      <x:c r="H255" s="37"/>
      <x:c r="I255" s="37"/>
      <x:c r="J255" s="1" t="n">
        <x:f>IF(ISNUMBER(F255),E255,0)</x:f>
        <x:v>0</x:v>
      </x:c>
      <x:c r="K255" s="1"/>
      <x:c r="L255" s="1" t="str">
        <x:v>https://blog.skyairline.com/leblon-rio-de-janeiro/</x:v>
      </x:c>
      <x:c r="M255" s="1" t="n">
        <x:v>8</x:v>
      </x:c>
    </x:row>
    <x:row r="256" ht="18.75" customHeight="1">
      <x:c r="A256" s="1" t="str">
        <x:v>https://blog.skyairline.com/equipaje-de-cabina/</x:v>
      </x:c>
      <x:c r="B256" s="1" t="str">
        <x:v>medidas de bolso de mano sky</x:v>
      </x:c>
      <x:c r="C256" s="1" t="str">
        <x:v>per</x:v>
      </x:c>
      <x:c r="D256" s="1" t="str">
        <x:v>Marca</x:v>
      </x:c>
      <x:c r="E256" s="35" t="n">
        <x:v>6</x:v>
      </x:c>
      <x:c r="F256" s="36"/>
      <x:c r="G256" s="36" t="str">
        <x:f>IF(ISNUMBER(F256),E256*F256,"")</x:f>
      </x:c>
      <x:c r="H256" s="37"/>
      <x:c r="I256" s="37"/>
      <x:c r="J256" s="1" t="n">
        <x:f>IF(ISNUMBER(F256),E256,0)</x:f>
        <x:v>0</x:v>
      </x:c>
      <x:c r="K256" s="1"/>
      <x:c r="L256" s="1" t="str">
        <x:v>https://blog.skyairline.com/mejores-lugares-para-pasar-ano-nuevo/</x:v>
      </x:c>
      <x:c r="M256" s="1" t="n">
        <x:v>8</x:v>
      </x:c>
    </x:row>
    <x:row r="257" ht="18.75" customHeight="1">
      <x:c r="A257" s="1" t="str">
        <x:v>https://blog.skyairline.com/equipaje-de-cabina/</x:v>
      </x:c>
      <x:c r="B257" s="1" t="str">
        <x:v>medidas equipaje de mano sky chile</x:v>
      </x:c>
      <x:c r="C257" s="1" t="str">
        <x:v>chl</x:v>
      </x:c>
      <x:c r="D257" s="1" t="str">
        <x:v>Marca</x:v>
      </x:c>
      <x:c r="E257" s="35" t="n">
        <x:v>6</x:v>
      </x:c>
      <x:c r="F257" s="36" t="n">
        <x:v>0.01</x:v>
      </x:c>
      <x:c r="G257" s="36" t="n">
        <x:f>IF(ISNUMBER(F257),E257*F257,"")</x:f>
        <x:v>0.06</x:v>
      </x:c>
      <x:c r="H257" s="37" t="d">
        <x:v>2026-10-15T00:00:00.000Z</x:v>
      </x:c>
      <x:c r="I257" s="37" t="d">
        <x:v>2026-09-15T12:04:26.000Z</x:v>
      </x:c>
      <x:c r="J257" s="1" t="n">
        <x:f>IF(ISNUMBER(F257),E257,0)</x:f>
        <x:v>6</x:v>
      </x:c>
      <x:c r="K257" s="1"/>
      <x:c r="L257" s="1" t="str">
        <x:v>https://blog.skyairline.com/mercado-central-de-tacna/</x:v>
      </x:c>
      <x:c r="M257" s="1" t="n">
        <x:v>8</x:v>
      </x:c>
    </x:row>
    <x:row r="258" ht="18.75" customHeight="1">
      <x:c r="A258" s="1" t="str">
        <x:v>https://blog.skyairline.com/equipaje-de-cabina/</x:v>
      </x:c>
      <x:c r="B258" s="1" t="str">
        <x:v>medidas mochila sky</x:v>
      </x:c>
      <x:c r="C258" s="1" t="str">
        <x:v>per</x:v>
      </x:c>
      <x:c r="D258" s="1" t="str">
        <x:v>Marca</x:v>
      </x:c>
      <x:c r="E258" s="35" t="n">
        <x:v>6</x:v>
      </x:c>
      <x:c r="F258" s="36"/>
      <x:c r="G258" s="36" t="str">
        <x:f>IF(ISNUMBER(F258),E258*F258,"")</x:f>
      </x:c>
      <x:c r="H258" s="37" t="d">
        <x:v>2026-10-15T00:00:00.000Z</x:v>
      </x:c>
      <x:c r="I258" s="37" t="d">
        <x:v>2026-09-17T14:30:31.000Z</x:v>
      </x:c>
      <x:c r="J258" s="1" t="n">
        <x:f>IF(ISNUMBER(F258),E258,0)</x:f>
        <x:v>0</x:v>
      </x:c>
      <x:c r="K258" s="1"/>
      <x:c r="L258" s="1" t="str">
        <x:v>https://blog.skyairline.com/nuevo-programa-de-fidelizacion-exclusivo-para-clientes-corporativos-sky-plus-empresas/</x:v>
      </x:c>
      <x:c r="M258" s="1" t="n">
        <x:v>8</x:v>
      </x:c>
    </x:row>
    <x:row r="259" ht="18.75" customHeight="1">
      <x:c r="A259" s="1" t="str">
        <x:v>https://blog.skyairline.com/equipaje-de-cabina/</x:v>
      </x:c>
      <x:c r="B259" s="1" t="str">
        <x:v>sky equipaje de mano</x:v>
      </x:c>
      <x:c r="C259" s="1" t="str">
        <x:v>ury</x:v>
      </x:c>
      <x:c r="D259" s="1" t="str">
        <x:v>Marca</x:v>
      </x:c>
      <x:c r="E259" s="35" t="n">
        <x:v>6</x:v>
      </x:c>
      <x:c r="F259" s="36"/>
      <x:c r="G259" s="36" t="str">
        <x:f>IF(ISNUMBER(F259),E259*F259,"")</x:f>
      </x:c>
      <x:c r="H259" s="37"/>
      <x:c r="I259" s="37"/>
      <x:c r="J259" s="1" t="n">
        <x:f>IF(ISNUMBER(F259),E259,0)</x:f>
        <x:v>0</x:v>
      </x:c>
      <x:c r="K259" s="1"/>
      <x:c r="L259" s="1" t="str">
        <x:v>https://blog.skyairline.com/playas-artificiales-de-antofagasta/</x:v>
      </x:c>
      <x:c r="M259" s="1" t="n">
        <x:v>8</x:v>
      </x:c>
    </x:row>
    <x:row r="260" ht="18.75" customHeight="1">
      <x:c r="A260" s="1" t="str">
        <x:v>https://blog.skyairline.com/equipaje-de-cabina/</x:v>
      </x:c>
      <x:c r="B260" s="1" t="str">
        <x:v>tamaño maleta cabina sky</x:v>
      </x:c>
      <x:c r="C260" s="1" t="str">
        <x:v>chl</x:v>
      </x:c>
      <x:c r="D260" s="1" t="str">
        <x:v>Marca</x:v>
      </x:c>
      <x:c r="E260" s="35" t="n">
        <x:v>6</x:v>
      </x:c>
      <x:c r="F260" s="36"/>
      <x:c r="G260" s="36" t="str">
        <x:f>IF(ISNUMBER(F260),E260*F260,"")</x:f>
      </x:c>
      <x:c r="H260" s="37"/>
      <x:c r="I260" s="37"/>
      <x:c r="J260" s="1" t="n">
        <x:f>IF(ISNUMBER(F260),E260,0)</x:f>
        <x:v>0</x:v>
      </x:c>
      <x:c r="K260" s="1"/>
      <x:c r="L260" s="1" t="str">
        <x:v>https://blog.skyairline.com/pozos-azules-uruguay/</x:v>
      </x:c>
      <x:c r="M260" s="1" t="n">
        <x:v>8</x:v>
      </x:c>
    </x:row>
    <x:row r="261" ht="18.75" customHeight="1">
      <x:c r="A261" s="1" t="str">
        <x:v>https://blog.skyairline.com/estaciones-en-chile/</x:v>
      </x:c>
      <x:c r="B261" s="1" t="str">
        <x:v>en que estacion del año estamos en chile</x:v>
      </x:c>
      <x:c r="C261" s="1" t="str">
        <x:v>chl</x:v>
      </x:c>
      <x:c r="D261" s="1" t="str">
        <x:v>Sin marca</x:v>
      </x:c>
      <x:c r="E261" s="35" t="n">
        <x:v>6</x:v>
      </x:c>
      <x:c r="F261" s="36"/>
      <x:c r="G261" s="36" t="str">
        <x:f>IF(ISNUMBER(F261),E261*F261,"")</x:f>
      </x:c>
      <x:c r="H261" s="37"/>
      <x:c r="I261" s="37"/>
      <x:c r="J261" s="1" t="n">
        <x:f>IF(ISNUMBER(F261),E261,0)</x:f>
        <x:v>0</x:v>
      </x:c>
      <x:c r="K261" s="1"/>
      <x:c r="L261" s="1" t="str">
        <x:v>https://blog.skyairline.com/pueblos-del-sur-de-chile-con-encanto-y-tradiciones/</x:v>
      </x:c>
      <x:c r="M261" s="1" t="n">
        <x:v>8</x:v>
      </x:c>
    </x:row>
    <x:row r="262" ht="18.75" customHeight="1">
      <x:c r="A262" s="1" t="str">
        <x:v>https://blog.skyairline.com/estaciones-en-chile/</x:v>
      </x:c>
      <x:c r="B262" s="1" t="str">
        <x:v>estaciones del año en chile</x:v>
      </x:c>
      <x:c r="C262" s="1" t="str">
        <x:v>chl</x:v>
      </x:c>
      <x:c r="D262" s="1" t="str">
        <x:v>Sin marca</x:v>
      </x:c>
      <x:c r="E262" s="35" t="n">
        <x:v>6</x:v>
      </x:c>
      <x:c r="F262" s="36"/>
      <x:c r="G262" s="36" t="str">
        <x:f>IF(ISNUMBER(F262),E262*F262,"")</x:f>
      </x:c>
      <x:c r="H262" s="37" t="d">
        <x:v>2026-10-15T00:00:00.000Z</x:v>
      </x:c>
      <x:c r="I262" s="37" t="d">
        <x:v>2026-09-16T16:04:27.000Z</x:v>
      </x:c>
      <x:c r="J262" s="1" t="n">
        <x:f>IF(ISNUMBER(F262),E262,0)</x:f>
        <x:v>0</x:v>
      </x:c>
      <x:c r="K262" s="1"/>
      <x:c r="L262" s="1" t="str">
        <x:v>https://blog.skyairline.com/reloj-vina-del-mar/</x:v>
      </x:c>
      <x:c r="M262" s="1" t="n">
        <x:v>8</x:v>
      </x:c>
    </x:row>
    <x:row r="263" ht="18.75" customHeight="1">
      <x:c r="A263" s="1" t="str">
        <x:v>https://blog.skyairline.com/paises-baratos-para-viajar-desde-chile-con-sky/</x:v>
      </x:c>
      <x:c r="B263" s="1" t="str">
        <x:v>destinos baratos para viajar</x:v>
      </x:c>
      <x:c r="C263" s="1" t="str">
        <x:v>chl</x:v>
      </x:c>
      <x:c r="D263" s="1" t="str">
        <x:v>Sin marca</x:v>
      </x:c>
      <x:c r="E263" s="35" t="n">
        <x:v>6</x:v>
      </x:c>
      <x:c r="F263" s="36" t="n">
        <x:v>0.62</x:v>
      </x:c>
      <x:c r="G263" s="36" t="n">
        <x:f>IF(ISNUMBER(F263),E263*F263,"")</x:f>
        <x:v>3.7199999999999998</x:v>
      </x:c>
      <x:c r="H263" s="37" t="d">
        <x:v>2026-10-15T00:00:00.000Z</x:v>
      </x:c>
      <x:c r="I263" s="37" t="d">
        <x:v>2026-09-17T18:21:53.000Z</x:v>
      </x:c>
      <x:c r="J263" s="1" t="n">
        <x:f>IF(ISNUMBER(F263),E263,0)</x:f>
        <x:v>6</x:v>
      </x:c>
      <x:c r="K263" s="1"/>
      <x:c r="L263" s="1" t="str">
        <x:v>https://blog.skyairline.com/seguimiento-de-vuelos/</x:v>
      </x:c>
      <x:c r="M263" s="1" t="n">
        <x:v>8</x:v>
      </x:c>
    </x:row>
    <x:row r="264" ht="18.75" customHeight="1">
      <x:c r="A264" s="1" t="str">
        <x:v>https://blog.skyairline.com/platos-tipicos-de-lima/</x:v>
      </x:c>
      <x:c r="B264" s="1" t="str">
        <x:v>platos tipicos de lima</x:v>
      </x:c>
      <x:c r="C264" s="1" t="str">
        <x:v>per</x:v>
      </x:c>
      <x:c r="D264" s="1" t="str">
        <x:v>Sin marca</x:v>
      </x:c>
      <x:c r="E264" s="35" t="n">
        <x:v>6</x:v>
      </x:c>
      <x:c r="F264" s="36"/>
      <x:c r="G264" s="36" t="str">
        <x:f>IF(ISNUMBER(F264),E264*F264,"")</x:f>
      </x:c>
      <x:c r="H264" s="37" t="d">
        <x:v>2026-10-15T00:00:00.000Z</x:v>
      </x:c>
      <x:c r="I264" s="37" t="d">
        <x:v>2026-09-16T20:21:11.000Z</x:v>
      </x:c>
      <x:c r="J264" s="1" t="n">
        <x:f>IF(ISNUMBER(F264),E264,0)</x:f>
        <x:v>0</x:v>
      </x:c>
      <x:c r="K264" s="1"/>
      <x:c r="L264" s="1" t="str">
        <x:v>https://blog.skyairline.com/temporada-de-huracanes-en-punta-cana-meses-y-precauciones/</x:v>
      </x:c>
      <x:c r="M264" s="1" t="n">
        <x:v>8</x:v>
      </x:c>
    </x:row>
    <x:row r="265" ht="18.75" customHeight="1">
      <x:c r="A265" s="1" t="str">
        <x:v>https://blog.skyairline.com/sky-plus/</x:v>
      </x:c>
      <x:c r="B265" s="1" t="str">
        <x:v>canjear puntos sky plus</x:v>
      </x:c>
      <x:c r="C265" s="1" t="str">
        <x:v>chl</x:v>
      </x:c>
      <x:c r="D265" s="1" t="str">
        <x:v>Marca</x:v>
      </x:c>
      <x:c r="E265" s="35" t="n">
        <x:v>6</x:v>
      </x:c>
      <x:c r="F265" s="36" t="n">
        <x:v>1.15</x:v>
      </x:c>
      <x:c r="G265" s="36" t="n">
        <x:f>IF(ISNUMBER(F265),E265*F265,"")</x:f>
        <x:v>6.8999999999999995</x:v>
      </x:c>
      <x:c r="H265" s="37" t="d">
        <x:v>2026-10-15T00:00:00.000Z</x:v>
      </x:c>
      <x:c r="I265" s="37" t="d">
        <x:v>2026-09-17T06:43:31.000Z</x:v>
      </x:c>
      <x:c r="J265" s="1" t="n">
        <x:f>IF(ISNUMBER(F265),E265,0)</x:f>
        <x:v>6</x:v>
      </x:c>
      <x:c r="K265" s="1"/>
      <x:c r="L265" s="1" t="str">
        <x:v>https://blog.skyairline.com/vuelo-nocturno/</x:v>
      </x:c>
      <x:c r="M265" s="1" t="n">
        <x:v>8</x:v>
      </x:c>
    </x:row>
    <x:row r="266" ht="18.75" customHeight="1">
      <x:c r="A266" s="1" t="str">
        <x:v>https://blog.skyairline.com/sky-plus/</x:v>
      </x:c>
      <x:c r="B266" s="1" t="str">
        <x:v>sky plus peru</x:v>
      </x:c>
      <x:c r="C266" s="1" t="str">
        <x:v>per</x:v>
      </x:c>
      <x:c r="D266" s="1" t="str">
        <x:v>Marca</x:v>
      </x:c>
      <x:c r="E266" s="35" t="n">
        <x:v>6</x:v>
      </x:c>
      <x:c r="F266" s="36"/>
      <x:c r="G266" s="36" t="str">
        <x:f>IF(ISNUMBER(F266),E266*F266,"")</x:f>
      </x:c>
      <x:c r="H266" s="37"/>
      <x:c r="I266" s="37"/>
      <x:c r="J266" s="1" t="n">
        <x:f>IF(ISNUMBER(F266),E266,0)</x:f>
        <x:v>0</x:v>
      </x:c>
      <x:c r="K266" s="1"/>
      <x:c r="L266" s="1" t="str">
        <x:v>https://blog.skyairline.com/balnearios-costa-oro-canelones/</x:v>
      </x:c>
      <x:c r="M266" s="1" t="n">
        <x:v>7</x:v>
      </x:c>
    </x:row>
    <x:row r="267" ht="18.75" customHeight="1">
      <x:c r="A267" s="1" t="str">
        <x:v>https://blog.skyairline.com/sky-plus/</x:v>
      </x:c>
      <x:c r="B267" s="1" t="str">
        <x:v>sky plus platino</x:v>
      </x:c>
      <x:c r="C267" s="1" t="str">
        <x:v>chl</x:v>
      </x:c>
      <x:c r="D267" s="1" t="str">
        <x:v>Marca</x:v>
      </x:c>
      <x:c r="E267" s="35" t="n">
        <x:v>6</x:v>
      </x:c>
      <x:c r="F267" s="36" t="n">
        <x:v>0.75</x:v>
      </x:c>
      <x:c r="G267" s="36" t="n">
        <x:f>IF(ISNUMBER(F267),E267*F267,"")</x:f>
        <x:v>4.5</x:v>
      </x:c>
      <x:c r="H267" s="37" t="d">
        <x:v>2026-10-15T00:00:00.000Z</x:v>
      </x:c>
      <x:c r="I267" s="37" t="d">
        <x:v>2026-09-17T16:17:21.000Z</x:v>
      </x:c>
      <x:c r="J267" s="1" t="n">
        <x:f>IF(ISNUMBER(F267),E267,0)</x:f>
        <x:v>6</x:v>
      </x:c>
      <x:c r="K267" s="1"/>
      <x:c r="L267" s="1" t="str">
        <x:v>https://blog.skyairline.com/bebidas-tipicas-peru/</x:v>
      </x:c>
      <x:c r="M267" s="1" t="n">
        <x:v>7</x:v>
      </x:c>
    </x:row>
    <x:row r="268" ht="18.75" customHeight="1">
      <x:c r="A268" s="1" t="str">
        <x:v>https://blog.skyairline.com/tipos-de-equipaje/</x:v>
      </x:c>
      <x:c r="B268" s="1" t="str">
        <x:v>bolso de mano sky</x:v>
      </x:c>
      <x:c r="C268" s="1" t="str">
        <x:v>chl</x:v>
      </x:c>
      <x:c r="D268" s="1" t="str">
        <x:v>Marca</x:v>
      </x:c>
      <x:c r="E268" s="35" t="n">
        <x:v>6</x:v>
      </x:c>
      <x:c r="F268" s="36" t="n">
        <x:v>0.09</x:v>
      </x:c>
      <x:c r="G268" s="36" t="n">
        <x:f>IF(ISNUMBER(F268),E268*F268,"")</x:f>
        <x:v>0.54</x:v>
      </x:c>
      <x:c r="H268" s="37" t="d">
        <x:v>2026-10-15T00:00:00.000Z</x:v>
      </x:c>
      <x:c r="I268" s="37" t="d">
        <x:v>2026-09-17T14:46:19.000Z</x:v>
      </x:c>
      <x:c r="J268" s="1" t="n">
        <x:f>IF(ISNUMBER(F268),E268,0)</x:f>
        <x:v>6</x:v>
      </x:c>
      <x:c r="K268" s="1"/>
      <x:c r="L268" s="1" t="str">
        <x:v>https://blog.skyairline.com/cafe-chileno-conoce-la-historia-del-cafe-en-chile-tipos-y-donde-probarlo/</x:v>
      </x:c>
      <x:c r="M268" s="1" t="n">
        <x:v>7</x:v>
      </x:c>
    </x:row>
    <x:row r="269" ht="18.75" customHeight="1">
      <x:c r="A269" s="1" t="str">
        <x:v>https://blog.skyairline.com/tipos-de-equipaje/</x:v>
      </x:c>
      <x:c r="B269" s="1" t="str">
        <x:v>equipaje de mano sky</x:v>
      </x:c>
      <x:c r="C269" s="1" t="str">
        <x:v>chl</x:v>
      </x:c>
      <x:c r="D269" s="1" t="str">
        <x:v>Marca</x:v>
      </x:c>
      <x:c r="E269" s="35" t="n">
        <x:v>6</x:v>
      </x:c>
      <x:c r="F269" s="36" t="n">
        <x:v>0.4</x:v>
      </x:c>
      <x:c r="G269" s="36" t="n">
        <x:f>IF(ISNUMBER(F269),E269*F269,"")</x:f>
        <x:v>2.4000000000000004</x:v>
      </x:c>
      <x:c r="H269" s="37" t="d">
        <x:v>2026-10-15T00:00:00.000Z</x:v>
      </x:c>
      <x:c r="I269" s="37" t="d">
        <x:v>2026-10-15T04:49:49.999Z</x:v>
      </x:c>
      <x:c r="J269" s="1" t="n">
        <x:f>IF(ISNUMBER(F269),E269,0)</x:f>
        <x:v>6</x:v>
      </x:c>
      <x:c r="K269" s="1"/>
      <x:c r="L269" s="1" t="str">
        <x:v>https://blog.skyairline.com/cambiar-divisas/</x:v>
      </x:c>
      <x:c r="M269" s="1" t="n">
        <x:v>7</x:v>
      </x:c>
    </x:row>
    <x:row r="270" ht="18.75" customHeight="1">
      <x:c r="A270" s="1" t="str">
        <x:v>https://blog.skyairline.com/tipos-de-equipaje/</x:v>
      </x:c>
      <x:c r="B270" s="1" t="str">
        <x:v>equipaje en sky</x:v>
      </x:c>
      <x:c r="C270" s="1" t="str">
        <x:v>per</x:v>
      </x:c>
      <x:c r="D270" s="1" t="str">
        <x:v>Marca</x:v>
      </x:c>
      <x:c r="E270" s="35" t="n">
        <x:v>6</x:v>
      </x:c>
      <x:c r="F270" s="36"/>
      <x:c r="G270" s="36" t="str">
        <x:f>IF(ISNUMBER(F270),E270*F270,"")</x:f>
      </x:c>
      <x:c r="H270" s="37"/>
      <x:c r="I270" s="37"/>
      <x:c r="J270" s="1" t="n">
        <x:f>IF(ISNUMBER(F270),E270,0)</x:f>
        <x:v>0</x:v>
      </x:c>
      <x:c r="K270" s="1"/>
      <x:c r="L270" s="1" t="str">
        <x:v>https://blog.skyairline.com/clima-en-cancun-temperatura-y-mejor-temporada-para-ir/</x:v>
      </x:c>
      <x:c r="M270" s="1" t="n">
        <x:v>7</x:v>
      </x:c>
    </x:row>
    <x:row r="271" ht="18.75" customHeight="1">
      <x:c r="A271" s="1" t="str">
        <x:v>https://blog.skyairline.com/tipos-de-equipaje/</x:v>
      </x:c>
      <x:c r="B271" s="1" t="str">
        <x:v>equipaje sky</x:v>
      </x:c>
      <x:c r="C271" s="1" t="str">
        <x:v>arg</x:v>
      </x:c>
      <x:c r="D271" s="1" t="str">
        <x:v>Marca</x:v>
      </x:c>
      <x:c r="E271" s="35" t="n">
        <x:v>6</x:v>
      </x:c>
      <x:c r="F271" s="36"/>
      <x:c r="G271" s="36" t="str">
        <x:f>IF(ISNUMBER(F271),E271*F271,"")</x:f>
      </x:c>
      <x:c r="H271" s="37"/>
      <x:c r="I271" s="37"/>
      <x:c r="J271" s="1" t="n">
        <x:f>IF(ISNUMBER(F271),E271,0)</x:f>
        <x:v>0</x:v>
      </x:c>
      <x:c r="K271" s="1"/>
      <x:c r="L271" s="1" t="str">
        <x:v>https://blog.skyairline.com/clima-en-vina-del-mar/</x:v>
      </x:c>
      <x:c r="M271" s="1" t="n">
        <x:v>7</x:v>
      </x:c>
    </x:row>
    <x:row r="272" ht="18.75" customHeight="1">
      <x:c r="A272" s="1" t="str">
        <x:v>https://blog.skyairline.com/tipos-de-equipaje/</x:v>
      </x:c>
      <x:c r="B272" s="1" t="str">
        <x:v>equipaje sky medidas</x:v>
      </x:c>
      <x:c r="C272" s="1" t="str">
        <x:v>chl</x:v>
      </x:c>
      <x:c r="D272" s="1" t="str">
        <x:v>Marca</x:v>
      </x:c>
      <x:c r="E272" s="35" t="n">
        <x:v>6</x:v>
      </x:c>
      <x:c r="F272" s="36"/>
      <x:c r="G272" s="36" t="str">
        <x:f>IF(ISNUMBER(F272),E272*F272,"")</x:f>
      </x:c>
      <x:c r="H272" s="37" t="d">
        <x:v>2026-10-15T00:00:00.000Z</x:v>
      </x:c>
      <x:c r="I272" s="37" t="d">
        <x:v>2026-09-17T01:51:18.999Z</x:v>
      </x:c>
      <x:c r="J272" s="1" t="n">
        <x:f>IF(ISNUMBER(F272),E272,0)</x:f>
        <x:v>0</x:v>
      </x:c>
      <x:c r="K272" s="1"/>
      <x:c r="L272" s="1" t="str">
        <x:v>https://blog.skyairline.com/comer-antes-de-subir-al-avion/</x:v>
      </x:c>
      <x:c r="M272" s="1" t="n">
        <x:v>7</x:v>
      </x:c>
    </x:row>
    <x:row r="273" ht="18.75" customHeight="1">
      <x:c r="A273" s="1" t="str">
        <x:v>https://blog.skyairline.com/tipos-de-equipaje/</x:v>
      </x:c>
      <x:c r="B273" s="1" t="str">
        <x:v>medidas maletas sky</x:v>
      </x:c>
      <x:c r="C273" s="1" t="str">
        <x:v>chl</x:v>
      </x:c>
      <x:c r="D273" s="1" t="str">
        <x:v>Marca</x:v>
      </x:c>
      <x:c r="E273" s="35" t="n">
        <x:v>6</x:v>
      </x:c>
      <x:c r="F273" s="36" t="n">
        <x:v>0.06</x:v>
      </x:c>
      <x:c r="G273" s="36" t="n">
        <x:f>IF(ISNUMBER(F273),E273*F273,"")</x:f>
        <x:v>0.36</x:v>
      </x:c>
      <x:c r="H273" s="37" t="d">
        <x:v>2026-10-15T00:00:00.000Z</x:v>
      </x:c>
      <x:c r="I273" s="37" t="d">
        <x:v>2026-10-15T08:12:02.000Z</x:v>
      </x:c>
      <x:c r="J273" s="1" t="n">
        <x:f>IF(ISNUMBER(F273),E273,0)</x:f>
        <x:v>6</x:v>
      </x:c>
      <x:c r="K273" s="1"/>
      <x:c r="L273" s="1" t="str">
        <x:v>https://blog.skyairline.com/como-financiar-viaje/</x:v>
      </x:c>
      <x:c r="M273" s="1" t="n">
        <x:v>7</x:v>
      </x:c>
    </x:row>
    <x:row r="274" ht="18.75" customHeight="1">
      <x:c r="A274" s="1" t="str">
        <x:v>https://blog.skyairline.com/tipos-de-equipaje/</x:v>
      </x:c>
      <x:c r="B274" s="1" t="str">
        <x:v>sky airline equipaje</x:v>
      </x:c>
      <x:c r="C274" s="1" t="str">
        <x:v>per</x:v>
      </x:c>
      <x:c r="D274" s="1" t="str">
        <x:v>Marca</x:v>
      </x:c>
      <x:c r="E274" s="35" t="n">
        <x:v>6</x:v>
      </x:c>
      <x:c r="F274" s="36"/>
      <x:c r="G274" s="36" t="str">
        <x:f>IF(ISNUMBER(F274),E274*F274,"")</x:f>
      </x:c>
      <x:c r="H274" s="37" t="d">
        <x:v>2026-10-15T00:00:00.000Z</x:v>
      </x:c>
      <x:c r="I274" s="37" t="d">
        <x:v>2026-09-15T13:29:42.000Z</x:v>
      </x:c>
      <x:c r="J274" s="1" t="n">
        <x:f>IF(ISNUMBER(F274),E274,0)</x:f>
        <x:v>0</x:v>
      </x:c>
      <x:c r="K274" s="1"/>
      <x:c r="L274" s="1" t="str">
        <x:v>https://blog.skyairline.com/donde-queda-rancagua/</x:v>
      </x:c>
      <x:c r="M274" s="1" t="n">
        <x:v>7</x:v>
      </x:c>
    </x:row>
    <x:row r="275" ht="18.75" customHeight="1">
      <x:c r="A275" s="1" t="str">
        <x:v>https://blog.skyairline.com/tipos-de-equipaje/</x:v>
      </x:c>
      <x:c r="B275" s="1" t="str">
        <x:v>sky articulo personal</x:v>
      </x:c>
      <x:c r="C275" s="1" t="str">
        <x:v>per</x:v>
      </x:c>
      <x:c r="D275" s="1" t="str">
        <x:v>Marca</x:v>
      </x:c>
      <x:c r="E275" s="35" t="n">
        <x:v>6</x:v>
      </x:c>
      <x:c r="F275" s="36"/>
      <x:c r="G275" s="36" t="str">
        <x:f>IF(ISNUMBER(F275),E275*F275,"")</x:f>
      </x:c>
      <x:c r="H275" s="37"/>
      <x:c r="I275" s="37"/>
      <x:c r="J275" s="1" t="n">
        <x:f>IF(ISNUMBER(F275),E275,0)</x:f>
        <x:v>0</x:v>
      </x:c>
      <x:c r="K275" s="1"/>
      <x:c r="L275" s="1" t="str">
        <x:v>https://blog.skyairline.com/el-clima-en-puerto-montt/</x:v>
      </x:c>
      <x:c r="M275" s="1" t="n">
        <x:v>7</x:v>
      </x:c>
    </x:row>
    <x:row r="276" ht="18.75" customHeight="1">
      <x:c r="A276" s="1" t="str">
        <x:v>https://blog.skyairline.com/tipos-de-equipaje/</x:v>
      </x:c>
      <x:c r="B276" s="1" t="str">
        <x:v>sky bolso de mano</x:v>
      </x:c>
      <x:c r="C276" s="1" t="str">
        <x:v>chl</x:v>
      </x:c>
      <x:c r="D276" s="1" t="str">
        <x:v>Marca</x:v>
      </x:c>
      <x:c r="E276" s="35" t="n">
        <x:v>6</x:v>
      </x:c>
      <x:c r="F276" s="36" t="n">
        <x:v>0.22</x:v>
      </x:c>
      <x:c r="G276" s="36" t="n">
        <x:f>IF(ISNUMBER(F276),E276*F276,"")</x:f>
        <x:v>1.32</x:v>
      </x:c>
      <x:c r="H276" s="37" t="d">
        <x:v>2026-10-15T00:00:00.000Z</x:v>
      </x:c>
      <x:c r="I276" s="37" t="d">
        <x:v>2026-09-15T13:47:52.000Z</x:v>
      </x:c>
      <x:c r="J276" s="1" t="n">
        <x:f>IF(ISNUMBER(F276),E276,0)</x:f>
        <x:v>6</x:v>
      </x:c>
      <x:c r="K276" s="1"/>
      <x:c r="L276" s="1" t="str">
        <x:v>https://blog.skyairline.com/ipanema-rio-de-janeiro/</x:v>
      </x:c>
      <x:c r="M276" s="1" t="n">
        <x:v>7</x:v>
      </x:c>
    </x:row>
    <x:row r="277" ht="18.75" customHeight="1">
      <x:c r="A277" s="1" t="str">
        <x:v>https://blog.skyairline.com/viajar-con-perros/</x:v>
      </x:c>
      <x:c r="B277" s="1" t="str">
        <x:v>sky airlines mascotas</x:v>
      </x:c>
      <x:c r="C277" s="1" t="str">
        <x:v>chl</x:v>
      </x:c>
      <x:c r="D277" s="1" t="str">
        <x:v>Marca</x:v>
      </x:c>
      <x:c r="E277" s="35" t="n">
        <x:v>6</x:v>
      </x:c>
      <x:c r="F277" s="36"/>
      <x:c r="G277" s="36" t="str">
        <x:f>IF(ISNUMBER(F277),E277*F277,"")</x:f>
      </x:c>
      <x:c r="H277" s="37" t="d">
        <x:v>2026-10-15T00:00:00.000Z</x:v>
      </x:c>
      <x:c r="I277" s="37" t="d">
        <x:v>2026-09-14T11:49:40.000Z</x:v>
      </x:c>
      <x:c r="J277" s="1" t="n">
        <x:f>IF(ISNUMBER(F277),E277,0)</x:f>
        <x:v>0</x:v>
      </x:c>
      <x:c r="K277" s="1"/>
      <x:c r="L277" s="1" t="str">
        <x:v>https://blog.skyairline.com/lugares-turisticos-de-latinoamerica/</x:v>
      </x:c>
      <x:c r="M277" s="1" t="n">
        <x:v>7</x:v>
      </x:c>
    </x:row>
    <x:row r="278" ht="18.75" customHeight="1">
      <x:c r="A278" s="1" t="str">
        <x:v>https://blog.skyairline.com/viajar-con-perros/</x:v>
      </x:c>
      <x:c r="B278" s="1" t="str">
        <x:v>sky viajar con mascota</x:v>
      </x:c>
      <x:c r="C278" s="1" t="str">
        <x:v>chl</x:v>
      </x:c>
      <x:c r="D278" s="1" t="str">
        <x:v>Marca</x:v>
      </x:c>
      <x:c r="E278" s="35" t="n">
        <x:v>6</x:v>
      </x:c>
      <x:c r="F278" s="36"/>
      <x:c r="G278" s="36" t="str">
        <x:f>IF(ISNUMBER(F278),E278*F278,"")</x:f>
      </x:c>
      <x:c r="H278" s="37" t="d">
        <x:v>2026-10-15T00:00:00.000Z</x:v>
      </x:c>
      <x:c r="I278" s="37" t="d">
        <x:v>2026-09-13T19:55:54.000Z</x:v>
      </x:c>
      <x:c r="J278" s="1" t="n">
        <x:f>IF(ISNUMBER(F278),E278,0)</x:f>
        <x:v>0</x:v>
      </x:c>
      <x:c r="K278" s="1"/>
      <x:c r="L278" s="1" t="str">
        <x:v>https://blog.skyairline.com/mejores-lugares-para-comer-en-mendoza/</x:v>
      </x:c>
      <x:c r="M278" s="1" t="n">
        <x:v>7</x:v>
      </x:c>
    </x:row>
    <x:row r="279" ht="18.75" customHeight="1">
      <x:c r="A279" s="1" t="str">
        <x:v>https://blog.skyairline.com/viajar-en-grupo/</x:v>
      </x:c>
      <x:c r="B279" s="1" t="str">
        <x:v>sky grupos</x:v>
      </x:c>
      <x:c r="C279" s="1" t="str">
        <x:v>per</x:v>
      </x:c>
      <x:c r="D279" s="1" t="str">
        <x:v>Marca</x:v>
      </x:c>
      <x:c r="E279" s="35" t="n">
        <x:v>6</x:v>
      </x:c>
      <x:c r="F279" s="36" t="n">
        <x:v>0.71</x:v>
      </x:c>
      <x:c r="G279" s="36" t="n">
        <x:f>IF(ISNUMBER(F279),E279*F279,"")</x:f>
        <x:v>4.26</x:v>
      </x:c>
      <x:c r="H279" s="37" t="d">
        <x:v>2026-10-15T00:00:00.000Z</x:v>
      </x:c>
      <x:c r="I279" s="37" t="d">
        <x:v>2026-09-13T09:46:45.000Z</x:v>
      </x:c>
      <x:c r="J279" s="1" t="n">
        <x:f>IF(ISNUMBER(F279),E279,0)</x:f>
        <x:v>6</x:v>
      </x:c>
      <x:c r="K279" s="1"/>
      <x:c r="L279" s="1" t="str">
        <x:v>https://blog.skyairline.com/mirador-cristo-petrolero/</x:v>
      </x:c>
      <x:c r="M279" s="1" t="n">
        <x:v>7</x:v>
      </x:c>
    </x:row>
    <x:row r="280" ht="18.75" customHeight="1">
      <x:c r="A280" s="1" t="str">
        <x:v>https://blog.skyairline.com/zofri-iquique/</x:v>
      </x:c>
      <x:c r="B280" s="1" t="str">
        <x:v>zona franca iquique</x:v>
      </x:c>
      <x:c r="C280" s="1" t="str">
        <x:v>chl</x:v>
      </x:c>
      <x:c r="D280" s="1" t="str">
        <x:v>Sin marca</x:v>
      </x:c>
      <x:c r="E280" s="35" t="n">
        <x:v>6</x:v>
      </x:c>
      <x:c r="F280" s="36" t="n">
        <x:v>0.86</x:v>
      </x:c>
      <x:c r="G280" s="36" t="n">
        <x:f>IF(ISNUMBER(F280),E280*F280,"")</x:f>
        <x:v>5.16</x:v>
      </x:c>
      <x:c r="H280" s="37" t="d">
        <x:v>2026-10-15T00:00:00.000Z</x:v>
      </x:c>
      <x:c r="I280" s="37" t="d">
        <x:v>2026-09-13T00:01:21.000Z</x:v>
      </x:c>
      <x:c r="J280" s="1" t="n">
        <x:f>IF(ISNUMBER(F280),E280,0)</x:f>
        <x:v>6</x:v>
      </x:c>
      <x:c r="K280" s="1"/>
      <x:c r="L280" s="1" t="str">
        <x:v>https://blog.skyairline.com/mochila-para-notebook/</x:v>
      </x:c>
      <x:c r="M280" s="1" t="n">
        <x:v>7</x:v>
      </x:c>
    </x:row>
    <x:row r="281" ht="18.75" customHeight="1">
      <x:c r="A281" s="1" t="str">
        <x:v>https://blog.skyairline.com/10-cosas-que-hacer-en-caminito/</x:v>
      </x:c>
      <x:c r="B281" s="1" t="str">
        <x:v>que hacer en caminito</x:v>
      </x:c>
      <x:c r="C281" s="1" t="str">
        <x:v>arg</x:v>
      </x:c>
      <x:c r="D281" s="1" t="str">
        <x:v>Sin marca</x:v>
      </x:c>
      <x:c r="E281" s="35" t="n">
        <x:v>5</x:v>
      </x:c>
      <x:c r="F281" s="36"/>
      <x:c r="G281" s="36" t="str">
        <x:f>IF(ISNUMBER(F281),E281*F281,"")</x:f>
      </x:c>
      <x:c r="H281" s="37"/>
      <x:c r="I281" s="37"/>
      <x:c r="J281" s="1" t="n">
        <x:f>IF(ISNUMBER(F281),E281,0)</x:f>
        <x:v>0</x:v>
      </x:c>
      <x:c r="K281" s="1"/>
      <x:c r="L281" s="1" t="str">
        <x:v>https://blog.skyairline.com/pan-de-azucar/</x:v>
      </x:c>
      <x:c r="M281" s="1" t="n">
        <x:v>7</x:v>
      </x:c>
    </x:row>
    <x:row r="282" ht="18.75" customHeight="1">
      <x:c r="A282" s="1" t="str">
        <x:v>https://blog.skyairline.com/10-cosas-que-hacer-en-caminito/</x:v>
      </x:c>
      <x:c r="B282" s="1" t="str">
        <x:v>que hacer en caminito buenos aires</x:v>
      </x:c>
      <x:c r="C282" s="1" t="str">
        <x:v>arg</x:v>
      </x:c>
      <x:c r="D282" s="1" t="str">
        <x:v>Sin marca</x:v>
      </x:c>
      <x:c r="E282" s="35" t="n">
        <x:v>5</x:v>
      </x:c>
      <x:c r="F282" s="36"/>
      <x:c r="G282" s="36" t="str">
        <x:f>IF(ISNUMBER(F282),E282*F282,"")</x:f>
      </x:c>
      <x:c r="H282" s="37"/>
      <x:c r="I282" s="37"/>
      <x:c r="J282" s="1" t="n">
        <x:f>IF(ISNUMBER(F282),E282,0)</x:f>
        <x:v>0</x:v>
      </x:c>
      <x:c r="K282" s="1"/>
      <x:c r="L282" s="1" t="str">
        <x:v>https://blog.skyairline.com/playa-cavancha/</x:v>
      </x:c>
      <x:c r="M282" s="1" t="n">
        <x:v>7</x:v>
      </x:c>
    </x:row>
    <x:row r="283" ht="18.75" customHeight="1">
      <x:c r="A283" s="1" t="str">
        <x:v>https://blog.skyairline.com/aeropuerto-chiloe/</x:v>
      </x:c>
      <x:c r="B283" s="1" t="str">
        <x:v>chiloe tiene aeropuerto</x:v>
      </x:c>
      <x:c r="C283" s="1" t="str">
        <x:v>chl</x:v>
      </x:c>
      <x:c r="D283" s="1" t="str">
        <x:v>Sin marca</x:v>
      </x:c>
      <x:c r="E283" s="35" t="n">
        <x:v>5</x:v>
      </x:c>
      <x:c r="F283" s="36" t="n">
        <x:v>2.19</x:v>
      </x:c>
      <x:c r="G283" s="36" t="n">
        <x:f>IF(ISNUMBER(F283),E283*F283,"")</x:f>
        <x:v>10.95</x:v>
      </x:c>
      <x:c r="H283" s="37" t="d">
        <x:v>2026-10-15T00:00:00.000Z</x:v>
      </x:c>
      <x:c r="I283" s="37" t="d">
        <x:v>2026-09-15T21:19:56.000Z</x:v>
      </x:c>
      <x:c r="J283" s="1" t="n">
        <x:f>IF(ISNUMBER(F283),E283,0)</x:f>
        <x:v>5</x:v>
      </x:c>
      <x:c r="K283" s="1"/>
      <x:c r="L283" s="1" t="str">
        <x:v>https://blog.skyairline.com/rios-de-chile/</x:v>
      </x:c>
      <x:c r="M283" s="1" t="n">
        <x:v>7</x:v>
      </x:c>
    </x:row>
    <x:row r="284" ht="18.75" customHeight="1">
      <x:c r="A284" s="1" t="str">
        <x:v>https://blog.skyairline.com/auroras-australes-en-chile-cuando-y-donde-verlas/</x:v>
      </x:c>
      <x:c r="B284" s="1" t="str">
        <x:v>aurora boreal chile</x:v>
      </x:c>
      <x:c r="C284" s="1" t="str">
        <x:v>chl</x:v>
      </x:c>
      <x:c r="D284" s="1" t="str">
        <x:v>Sin marca</x:v>
      </x:c>
      <x:c r="E284" s="35" t="n">
        <x:v>5</x:v>
      </x:c>
      <x:c r="F284" s="36"/>
      <x:c r="G284" s="36" t="str">
        <x:f>IF(ISNUMBER(F284),E284*F284,"")</x:f>
      </x:c>
      <x:c r="H284" s="37" t="d">
        <x:v>2026-10-15T00:00:00.000Z</x:v>
      </x:c>
      <x:c r="I284" s="37" t="d">
        <x:v>2026-10-15T03:41:28.999Z</x:v>
      </x:c>
      <x:c r="J284" s="1" t="n">
        <x:f>IF(ISNUMBER(F284),E284,0)</x:f>
        <x:v>0</x:v>
      </x:c>
      <x:c r="K284" s="1"/>
      <x:c r="L284" s="1" t="str">
        <x:v>https://blog.skyairline.com/sky-airline-anuncia-la-llegada-de-cuatro-nuevos-aviones-airbus-a320/</x:v>
      </x:c>
      <x:c r="M284" s="1" t="n">
        <x:v>7</x:v>
      </x:c>
    </x:row>
    <x:row r="285" ht="18.75" customHeight="1">
      <x:c r="A285" s="1" t="str">
        <x:v>https://blog.skyairline.com/bailes-tipicos-de-chile/</x:v>
      </x:c>
      <x:c r="B285" s="1" t="str">
        <x:v>bailes tipicos chilenos</x:v>
      </x:c>
      <x:c r="C285" s="1" t="str">
        <x:v>chl</x:v>
      </x:c>
      <x:c r="D285" s="1" t="str">
        <x:v>Sin marca</x:v>
      </x:c>
      <x:c r="E285" s="35" t="n">
        <x:v>5</x:v>
      </x:c>
      <x:c r="F285" s="36"/>
      <x:c r="G285" s="36" t="str">
        <x:f>IF(ISNUMBER(F285),E285*F285,"")</x:f>
      </x:c>
      <x:c r="H285" s="37" t="d">
        <x:v>2026-10-15T00:00:00.000Z</x:v>
      </x:c>
      <x:c r="I285" s="37" t="d">
        <x:v>2026-09-17T06:17:47.000Z</x:v>
      </x:c>
      <x:c r="J285" s="1" t="n">
        <x:f>IF(ISNUMBER(F285),E285,0)</x:f>
        <x:v>0</x:v>
      </x:c>
      <x:c r="K285" s="1"/>
      <x:c r="L285" s="1" t="str">
        <x:v>https://blog.skyairline.com/sky-lanza-nueva-ruta-en-peru-lima-talara/</x:v>
      </x:c>
      <x:c r="M285" s="1" t="n">
        <x:v>7</x:v>
      </x:c>
    </x:row>
    <x:row r="286" ht="18.75" customHeight="1">
      <x:c r="A286" s="1" t="str">
        <x:v>https://blog.skyairline.com/cambiar-vuelo-sky/</x:v>
      </x:c>
      <x:c r="B286" s="1" t="str">
        <x:v>cambiar fecha de vuelo sky</x:v>
      </x:c>
      <x:c r="C286" s="1" t="str">
        <x:v>per</x:v>
      </x:c>
      <x:c r="D286" s="1" t="str">
        <x:v>Marca</x:v>
      </x:c>
      <x:c r="E286" s="35" t="n">
        <x:v>5</x:v>
      </x:c>
      <x:c r="F286" s="36"/>
      <x:c r="G286" s="36" t="str">
        <x:f>IF(ISNUMBER(F286),E286*F286,"")</x:f>
      </x:c>
      <x:c r="H286" s="37" t="d">
        <x:v>2026-10-15T00:00:00.000Z</x:v>
      </x:c>
      <x:c r="I286" s="37" t="d">
        <x:v>2026-09-15T07:02:14.000Z</x:v>
      </x:c>
      <x:c r="J286" s="1" t="n">
        <x:f>IF(ISNUMBER(F286),E286,0)</x:f>
        <x:v>0</x:v>
      </x:c>
      <x:c r="K286" s="1"/>
      <x:c r="L286" s="1" t="str">
        <x:v>https://blog.skyairline.com/sky-plus-cierra-el-2025-con-mas-de-15-millones-de-suscriptores/</x:v>
      </x:c>
      <x:c r="M286" s="1" t="n">
        <x:v>7</x:v>
      </x:c>
    </x:row>
    <x:row r="287" ht="18.75" customHeight="1">
      <x:c r="A287" s="1" t="str">
        <x:v>https://blog.skyairline.com/cambiar-vuelo-sky/</x:v>
      </x:c>
      <x:c r="B287" s="1" t="str">
        <x:v>cambio de pasaje sky</x:v>
      </x:c>
      <x:c r="C287" s="1" t="str">
        <x:v>per</x:v>
      </x:c>
      <x:c r="D287" s="1" t="str">
        <x:v>Marca</x:v>
      </x:c>
      <x:c r="E287" s="35" t="n">
        <x:v>5</x:v>
      </x:c>
      <x:c r="F287" s="36" t="n">
        <x:v>0.24</x:v>
      </x:c>
      <x:c r="G287" s="36" t="n">
        <x:f>IF(ISNUMBER(F287),E287*F287,"")</x:f>
        <x:v>1.2</x:v>
      </x:c>
      <x:c r="H287" s="37" t="d">
        <x:v>2026-10-15T00:00:00.000Z</x:v>
      </x:c>
      <x:c r="I287" s="37" t="d">
        <x:v>2026-09-15T03:23:34.000Z</x:v>
      </x:c>
      <x:c r="J287" s="1" t="n">
        <x:f>IF(ISNUMBER(F287),E287,0)</x:f>
        <x:v>5</x:v>
      </x:c>
      <x:c r="K287" s="1"/>
      <x:c r="L287" s="1" t="str">
        <x:v>https://blog.skyairline.com/termas-del-flaco/</x:v>
      </x:c>
      <x:c r="M287" s="1" t="n">
        <x:v>7</x:v>
      </x:c>
    </x:row>
    <x:row r="288" ht="18.75" customHeight="1">
      <x:c r="A288" s="1" t="str">
        <x:v>https://blog.skyairline.com/cambiar-vuelo-sky/</x:v>
      </x:c>
      <x:c r="B288" s="1" t="str">
        <x:v>cambio de pasajes sky</x:v>
      </x:c>
      <x:c r="C288" s="1" t="str">
        <x:v>chl</x:v>
      </x:c>
      <x:c r="D288" s="1" t="str">
        <x:v>Marca</x:v>
      </x:c>
      <x:c r="E288" s="35" t="n">
        <x:v>5</x:v>
      </x:c>
      <x:c r="F288" s="36" t="n">
        <x:v>0.48</x:v>
      </x:c>
      <x:c r="G288" s="36" t="n">
        <x:f>IF(ISNUMBER(F288),E288*F288,"")</x:f>
        <x:v>2.4</x:v>
      </x:c>
      <x:c r="H288" s="37" t="d">
        <x:v>2026-10-15T00:00:00.000Z</x:v>
      </x:c>
      <x:c r="I288" s="37" t="d">
        <x:v>2026-09-17T18:47:05.000Z</x:v>
      </x:c>
      <x:c r="J288" s="1" t="n">
        <x:f>IF(ISNUMBER(F288),E288,0)</x:f>
        <x:v>5</x:v>
      </x:c>
      <x:c r="K288" s="1"/>
      <x:c r="L288" s="1" t="str">
        <x:v>https://blog.skyairline.com/termas-en-puerto-montt-las-mejores-opciones-para-relajarte/</x:v>
      </x:c>
      <x:c r="M288" s="1" t="n">
        <x:v>7</x:v>
      </x:c>
    </x:row>
    <x:row r="289" ht="18.75" customHeight="1">
      <x:c r="A289" s="1" t="str">
        <x:v>https://blog.skyairline.com/cambiar-vuelo-sky/</x:v>
      </x:c>
      <x:c r="B289" s="1" t="str">
        <x:v>cambio vuelo sky</x:v>
      </x:c>
      <x:c r="C289" s="1" t="str">
        <x:v>chl</x:v>
      </x:c>
      <x:c r="D289" s="1" t="str">
        <x:v>Marca</x:v>
      </x:c>
      <x:c r="E289" s="35" t="n">
        <x:v>5</x:v>
      </x:c>
      <x:c r="F289" s="36" t="n">
        <x:v>0.49</x:v>
      </x:c>
      <x:c r="G289" s="36" t="n">
        <x:f>IF(ISNUMBER(F289),E289*F289,"")</x:f>
        <x:v>2.45</x:v>
      </x:c>
      <x:c r="H289" s="37" t="d">
        <x:v>2026-10-15T00:00:00.000Z</x:v>
      </x:c>
      <x:c r="I289" s="37" t="d">
        <x:v>2026-09-15T21:02:07.000Z</x:v>
      </x:c>
      <x:c r="J289" s="1" t="n">
        <x:f>IF(ISNUMBER(F289),E289,0)</x:f>
        <x:v>5</x:v>
      </x:c>
      <x:c r="K289" s="1"/>
      <x:c r="L289" s="1" t="str">
        <x:v>https://blog.skyairline.com/zona-central/</x:v>
      </x:c>
      <x:c r="M289" s="1" t="n">
        <x:v>7</x:v>
      </x:c>
    </x:row>
    <x:row r="290" ht="18.75" customHeight="1">
      <x:c r="A290" s="1" t="str">
        <x:v>https://blog.skyairline.com/cambiar-vuelo-sky/</x:v>
      </x:c>
      <x:c r="B290" s="1" t="str">
        <x:v>como cambiar vuelo en sky</x:v>
      </x:c>
      <x:c r="C290" s="1" t="str">
        <x:v>per</x:v>
      </x:c>
      <x:c r="D290" s="1" t="str">
        <x:v>Marca</x:v>
      </x:c>
      <x:c r="E290" s="35" t="n">
        <x:v>5</x:v>
      </x:c>
      <x:c r="F290" s="36"/>
      <x:c r="G290" s="36" t="str">
        <x:f>IF(ISNUMBER(F290),E290*F290,"")</x:f>
      </x:c>
      <x:c r="H290" s="37" t="d">
        <x:v>2026-10-15T00:00:00.000Z</x:v>
      </x:c>
      <x:c r="I290" s="37" t="d">
        <x:v>2026-09-15T22:00:06.000Z</x:v>
      </x:c>
      <x:c r="J290" s="1" t="n">
        <x:f>IF(ISNUMBER(F290),E290,0)</x:f>
        <x:v>0</x:v>
      </x:c>
      <x:c r="K290" s="1"/>
      <x:c r="L290" s="1" t="str">
        <x:v>https://blog.skyairline.com/aeropuerto-internacionales/</x:v>
      </x:c>
      <x:c r="M290" s="1" t="n">
        <x:v>6</x:v>
      </x:c>
    </x:row>
    <x:row r="291" ht="18.75" customHeight="1">
      <x:c r="A291" s="1" t="str">
        <x:v>https://blog.skyairline.com/categoria/oportunidades/</x:v>
      </x:c>
      <x:c r="B291" s="1" t="str">
        <x:v>empleo sky airline</x:v>
      </x:c>
      <x:c r="C291" s="1" t="str">
        <x:v>chl</x:v>
      </x:c>
      <x:c r="D291" s="1" t="str">
        <x:v>Marca</x:v>
      </x:c>
      <x:c r="E291" s="35" t="n">
        <x:v>5</x:v>
      </x:c>
      <x:c r="F291" s="36"/>
      <x:c r="G291" s="36" t="str">
        <x:f>IF(ISNUMBER(F291),E291*F291,"")</x:f>
      </x:c>
      <x:c r="H291" s="37"/>
      <x:c r="I291" s="37"/>
      <x:c r="J291" s="1" t="n">
        <x:f>IF(ISNUMBER(F291),E291,0)</x:f>
        <x:v>0</x:v>
      </x:c>
      <x:c r="K291" s="1"/>
      <x:c r="L291" s="1" t="str">
        <x:v>https://blog.skyairline.com/airbus-inaugura-nuevo-centro-de-formacion-de-pilotos-en-chile-junto-a-sky/</x:v>
      </x:c>
      <x:c r="M291" s="1" t="n">
        <x:v>6</x:v>
      </x:c>
    </x:row>
    <x:row r="292" ht="18.75" customHeight="1">
      <x:c r="A292" s="1" t="str">
        <x:v>https://blog.skyairline.com/categoria/oportunidades/</x:v>
      </x:c>
      <x:c r="B292" s="1" t="str">
        <x:v>sky postulaciones</x:v>
      </x:c>
      <x:c r="C292" s="1" t="str">
        <x:v>chl</x:v>
      </x:c>
      <x:c r="D292" s="1" t="str">
        <x:v>Marca</x:v>
      </x:c>
      <x:c r="E292" s="35" t="n">
        <x:v>5</x:v>
      </x:c>
      <x:c r="F292" s="36" t="n">
        <x:v>0.25</x:v>
      </x:c>
      <x:c r="G292" s="36" t="n">
        <x:f>IF(ISNUMBER(F292),E292*F292,"")</x:f>
        <x:v>1.25</x:v>
      </x:c>
      <x:c r="H292" s="37" t="d">
        <x:v>2026-10-15T00:00:00.000Z</x:v>
      </x:c>
      <x:c r="I292" s="37" t="d">
        <x:v>2026-09-15T00:14:45.000Z</x:v>
      </x:c>
      <x:c r="J292" s="1" t="n">
        <x:f>IF(ISNUMBER(F292),E292,0)</x:f>
        <x:v>5</x:v>
      </x:c>
      <x:c r="K292" s="1"/>
      <x:c r="L292" s="1" t="str">
        <x:v>https://blog.skyairline.com/antofagasta-vs-iquique/</x:v>
      </x:c>
      <x:c r="M292" s="1" t="n">
        <x:v>6</x:v>
      </x:c>
    </x:row>
    <x:row r="293" ht="18.75" customHeight="1">
      <x:c r="A293" s="1" t="str">
        <x:v>https://blog.skyairline.com/categoria/oportunidades/</x:v>
      </x:c>
      <x:c r="B293" s="1" t="str">
        <x:v>trabaja en sky airlines</x:v>
      </x:c>
      <x:c r="C293" s="1" t="str">
        <x:v>chl</x:v>
      </x:c>
      <x:c r="D293" s="1" t="str">
        <x:v>Marca</x:v>
      </x:c>
      <x:c r="E293" s="35" t="n">
        <x:v>5</x:v>
      </x:c>
      <x:c r="F293" s="36"/>
      <x:c r="G293" s="36" t="str">
        <x:f>IF(ISNUMBER(F293),E293*F293,"")</x:f>
      </x:c>
      <x:c r="H293" s="37"/>
      <x:c r="I293" s="37"/>
      <x:c r="J293" s="1" t="n">
        <x:f>IF(ISNUMBER(F293),E293,0)</x:f>
        <x:v>0</x:v>
      </x:c>
      <x:c r="K293" s="1"/>
      <x:c r="L293" s="1" t="str">
        <x:v>https://blog.skyairline.com/aprende-donde-queda-lago-ranco-y-como-llegar-desde-osorno/</x:v>
      </x:c>
      <x:c r="M293" s="1" t="n">
        <x:v>6</x:v>
      </x:c>
    </x:row>
    <x:row r="294" ht="18.75" customHeight="1">
      <x:c r="A294" s="1" t="str">
        <x:v>https://blog.skyairline.com/categoria/oportunidades/</x:v>
      </x:c>
      <x:c r="B294" s="1" t="str">
        <x:v>trabajar en sky</x:v>
      </x:c>
      <x:c r="C294" s="1" t="str">
        <x:v>chl</x:v>
      </x:c>
      <x:c r="D294" s="1" t="str">
        <x:v>Marca</x:v>
      </x:c>
      <x:c r="E294" s="35" t="n">
        <x:v>5</x:v>
      </x:c>
      <x:c r="F294" s="36" t="n">
        <x:v>0.16</x:v>
      </x:c>
      <x:c r="G294" s="36" t="n">
        <x:f>IF(ISNUMBER(F294),E294*F294,"")</x:f>
        <x:v>0.8</x:v>
      </x:c>
      <x:c r="H294" s="37" t="d">
        <x:v>2026-10-15T00:00:00.000Z</x:v>
      </x:c>
      <x:c r="I294" s="37" t="d">
        <x:v>2026-09-15T02:33:32.000Z</x:v>
      </x:c>
      <x:c r="J294" s="1" t="n">
        <x:f>IF(ISNUMBER(F294),E294,0)</x:f>
        <x:v>5</x:v>
      </x:c>
      <x:c r="K294" s="1"/>
      <x:c r="L294" s="1" t="str">
        <x:v>https://blog.skyairline.com/bahia-brasil/</x:v>
      </x:c>
      <x:c r="M294" s="1" t="n">
        <x:v>6</x:v>
      </x:c>
    </x:row>
    <x:row r="295" ht="18.75" customHeight="1">
      <x:c r="A295" s="1" t="str">
        <x:v>https://blog.skyairline.com/categoria/oportunidades/</x:v>
      </x:c>
      <x:c r="B295" s="1" t="str">
        <x:v>trabajar en sky airlines</x:v>
      </x:c>
      <x:c r="C295" s="1" t="str">
        <x:v>chl</x:v>
      </x:c>
      <x:c r="D295" s="1" t="str">
        <x:v>Marca</x:v>
      </x:c>
      <x:c r="E295" s="35" t="n">
        <x:v>5</x:v>
      </x:c>
      <x:c r="F295" s="36"/>
      <x:c r="G295" s="36" t="str">
        <x:f>IF(ISNUMBER(F295),E295*F295,"")</x:f>
      </x:c>
      <x:c r="H295" s="37"/>
      <x:c r="I295" s="37"/>
      <x:c r="J295" s="1" t="n">
        <x:f>IF(ISNUMBER(F295),E295,0)</x:f>
        <x:v>0</x:v>
      </x:c>
      <x:c r="K295" s="1"/>
      <x:c r="L295" s="1" t="str">
        <x:v>https://blog.skyairline.com/beco-do-batman/</x:v>
      </x:c>
      <x:c r="M295" s="1" t="n">
        <x:v>6</x:v>
      </x:c>
    </x:row>
    <x:row r="296" ht="18.75" customHeight="1">
      <x:c r="A296" s="1" t="str">
        <x:v>https://blog.skyairline.com/categoria/oportunidades/</x:v>
      </x:c>
      <x:c r="B296" s="1" t="str">
        <x:v>trabajos en sky airline</x:v>
      </x:c>
      <x:c r="C296" s="1" t="str">
        <x:v>chl</x:v>
      </x:c>
      <x:c r="D296" s="1" t="str">
        <x:v>Marca</x:v>
      </x:c>
      <x:c r="E296" s="35" t="n">
        <x:v>5</x:v>
      </x:c>
      <x:c r="F296" s="36"/>
      <x:c r="G296" s="36" t="str">
        <x:f>IF(ISNUMBER(F296),E296*F296,"")</x:f>
      </x:c>
      <x:c r="H296" s="37"/>
      <x:c r="I296" s="37"/>
      <x:c r="J296" s="1" t="n">
        <x:f>IF(ISNUMBER(F296),E296,0)</x:f>
        <x:v>0</x:v>
      </x:c>
      <x:c r="K296" s="1"/>
      <x:c r="L296" s="1" t="str">
        <x:v>https://blog.skyairline.com/calle-aristides/</x:v>
      </x:c>
      <x:c r="M296" s="1" t="n">
        <x:v>6</x:v>
      </x:c>
    </x:row>
    <x:row r="297" ht="18.75" customHeight="1">
      <x:c r="A297" s="1" t="str">
        <x:v>https://blog.skyairline.com/centros-comerciales-en-mendoza/</x:v>
      </x:c>
      <x:c r="B297" s="1" t="str">
        <x:v>shopping mendoza</x:v>
      </x:c>
      <x:c r="C297" s="1" t="str">
        <x:v>arg</x:v>
      </x:c>
      <x:c r="D297" s="1" t="str">
        <x:v>Sin marca</x:v>
      </x:c>
      <x:c r="E297" s="35" t="n">
        <x:v>5</x:v>
      </x:c>
      <x:c r="F297" s="36"/>
      <x:c r="G297" s="36" t="str">
        <x:f>IF(ISNUMBER(F297),E297*F297,"")</x:f>
      </x:c>
      <x:c r="H297" s="37"/>
      <x:c r="I297" s="37"/>
      <x:c r="J297" s="1" t="n">
        <x:f>IF(ISNUMBER(F297),E297,0)</x:f>
        <x:v>0</x:v>
      </x:c>
      <x:c r="K297" s="1"/>
      <x:c r="L297" s="1" t="str">
        <x:v>https://blog.skyairline.com/caribe-occidental-paises/</x:v>
      </x:c>
      <x:c r="M297" s="1" t="n">
        <x:v>6</x:v>
      </x:c>
    </x:row>
    <x:row r="298" ht="18.75" customHeight="1">
      <x:c r="A298" s="1" t="str">
        <x:v>https://blog.skyairline.com/check-in-automatico/</x:v>
      </x:c>
      <x:c r="B298" s="1" t="str">
        <x:v>check in sky</x:v>
      </x:c>
      <x:c r="C298" s="1" t="str">
        <x:v>chl</x:v>
      </x:c>
      <x:c r="D298" s="1" t="str">
        <x:v>Marca</x:v>
      </x:c>
      <x:c r="E298" s="35" t="n">
        <x:v>5</x:v>
      </x:c>
      <x:c r="F298" s="36" t="n">
        <x:v>0.2</x:v>
      </x:c>
      <x:c r="G298" s="36" t="n">
        <x:f>IF(ISNUMBER(F298),E298*F298,"")</x:f>
        <x:v>1</x:v>
      </x:c>
      <x:c r="H298" s="37" t="d">
        <x:v>2026-10-15T00:00:00.000Z</x:v>
      </x:c>
      <x:c r="I298" s="37" t="d">
        <x:v>2026-09-13T12:09:22.000Z</x:v>
      </x:c>
      <x:c r="J298" s="1" t="n">
        <x:f>IF(ISNUMBER(F298),E298,0)</x:f>
        <x:v>5</x:v>
      </x:c>
      <x:c r="K298" s="1"/>
      <x:c r="L298" s="1" t="str">
        <x:v>https://blog.skyairline.com/centros-comerciales-de-miami/</x:v>
      </x:c>
      <x:c r="M298" s="1" t="n">
        <x:v>6</x:v>
      </x:c>
    </x:row>
    <x:row r="299" ht="18.75" customHeight="1">
      <x:c r="A299" s="1" t="str">
        <x:v>https://blog.skyairline.com/curso-tripulante-cabina/</x:v>
      </x:c>
      <x:c r="B299" s="1" t="str">
        <x:v>curso azafata chile</x:v>
      </x:c>
      <x:c r="C299" s="1" t="str">
        <x:v>chl</x:v>
      </x:c>
      <x:c r="D299" s="1" t="str">
        <x:v>Sin marca</x:v>
      </x:c>
      <x:c r="E299" s="35" t="n">
        <x:v>5</x:v>
      </x:c>
      <x:c r="F299" s="36" t="n">
        <x:v>0.22</x:v>
      </x:c>
      <x:c r="G299" s="36" t="n">
        <x:f>IF(ISNUMBER(F299),E299*F299,"")</x:f>
        <x:v>1.1</x:v>
      </x:c>
      <x:c r="H299" s="37" t="d">
        <x:v>2026-10-15T00:00:00.000Z</x:v>
      </x:c>
      <x:c r="I299" s="37" t="d">
        <x:v>2026-09-13T17:21:51.000Z</x:v>
      </x:c>
      <x:c r="J299" s="1" t="n">
        <x:f>IF(ISNUMBER(F299),E299,0)</x:f>
        <x:v>5</x:v>
      </x:c>
      <x:c r="K299" s="1"/>
      <x:c r="L299" s="1" t="str">
        <x:v>https://blog.skyairline.com/chile-a-cancun-opciones-de-vuelos-y-recomendaciones/</x:v>
      </x:c>
      <x:c r="M299" s="1" t="n">
        <x:v>6</x:v>
      </x:c>
    </x:row>
    <x:row r="300" ht="18.75" customHeight="1">
      <x:c r="A300" s="1" t="str">
        <x:v>https://blog.skyairline.com/curso-tripulante-cabina/</x:v>
      </x:c>
      <x:c r="B300" s="1" t="str">
        <x:v>curso de azafata</x:v>
      </x:c>
      <x:c r="C300" s="1" t="str">
        <x:v>chl</x:v>
      </x:c>
      <x:c r="D300" s="1" t="str">
        <x:v>Sin marca</x:v>
      </x:c>
      <x:c r="E300" s="35" t="n">
        <x:v>5</x:v>
      </x:c>
      <x:c r="F300" s="36" t="n">
        <x:v>0.35</x:v>
      </x:c>
      <x:c r="G300" s="36" t="n">
        <x:f>IF(ISNUMBER(F300),E300*F300,"")</x:f>
        <x:v>1.75</x:v>
      </x:c>
      <x:c r="H300" s="37" t="d">
        <x:v>2026-10-15T00:00:00.000Z</x:v>
      </x:c>
      <x:c r="I300" s="37" t="d">
        <x:v>2026-09-15T04:50:51.000Z</x:v>
      </x:c>
      <x:c r="J300" s="1" t="n">
        <x:f>IF(ISNUMBER(F300),E300,0)</x:f>
        <x:v>5</x:v>
      </x:c>
      <x:c r="K300" s="1"/>
      <x:c r="L300" s="1" t="str">
        <x:v>https://blog.skyairline.com/choripanes-en-buenos-aires/</x:v>
      </x:c>
      <x:c r="M300" s="1" t="n">
        <x:v>6</x:v>
      </x:c>
    </x:row>
    <x:row r="301" ht="18.75" customHeight="1">
      <x:c r="A301" s="1" t="str">
        <x:v>https://blog.skyairline.com/curso-tripulante-cabina/</x:v>
      </x:c>
      <x:c r="B301" s="1" t="str">
        <x:v>trabajo tripulante de cabina sky</x:v>
      </x:c>
      <x:c r="C301" s="1" t="str">
        <x:v>per</x:v>
      </x:c>
      <x:c r="D301" s="1" t="str">
        <x:v>Marca</x:v>
      </x:c>
      <x:c r="E301" s="35" t="n">
        <x:v>5</x:v>
      </x:c>
      <x:c r="F301" s="36"/>
      <x:c r="G301" s="36" t="str">
        <x:f>IF(ISNUMBER(F301),E301*F301,"")</x:f>
      </x:c>
      <x:c r="H301" s="37" t="d">
        <x:v>2026-10-15T00:00:00.000Z</x:v>
      </x:c>
      <x:c r="I301" s="37" t="d">
        <x:v>2026-09-16T21:50:33.000Z</x:v>
      </x:c>
      <x:c r="J301" s="1" t="n">
        <x:f>IF(ISNUMBER(F301),E301,0)</x:f>
        <x:v>0</x:v>
      </x:c>
      <x:c r="K301" s="1"/>
      <x:c r="L301" s="1" t="str">
        <x:v>https://blog.skyairline.com/compras-en-dutty-free/</x:v>
      </x:c>
      <x:c r="M301" s="1" t="n">
        <x:v>6</x:v>
      </x:c>
    </x:row>
    <x:row r="302" ht="18.75" customHeight="1">
      <x:c r="A302" s="1" t="str">
        <x:v>https://blog.skyairline.com/equipaje-de-bodega/</x:v>
      </x:c>
      <x:c r="B302" s="1" t="str">
        <x:v>bolso de mano sky medidas y peso</x:v>
      </x:c>
      <x:c r="C302" s="1" t="str">
        <x:v>chl</x:v>
      </x:c>
      <x:c r="D302" s="1" t="str">
        <x:v>Marca</x:v>
      </x:c>
      <x:c r="E302" s="35" t="n">
        <x:v>5</x:v>
      </x:c>
      <x:c r="F302" s="36" t="n">
        <x:v>0.12</x:v>
      </x:c>
      <x:c r="G302" s="36" t="n">
        <x:f>IF(ISNUMBER(F302),E302*F302,"")</x:f>
        <x:v>0.6</x:v>
      </x:c>
      <x:c r="H302" s="37" t="d">
        <x:v>2026-10-15T00:00:00.000Z</x:v>
      </x:c>
      <x:c r="I302" s="37" t="d">
        <x:v>2026-09-13T08:49:03.000Z</x:v>
      </x:c>
      <x:c r="J302" s="1" t="n">
        <x:f>IF(ISNUMBER(F302),E302,0)</x:f>
        <x:v>5</x:v>
      </x:c>
      <x:c r="K302" s="1"/>
      <x:c r="L302" s="1" t="str">
        <x:v>https://blog.skyairline.com/conocer-gente/</x:v>
      </x:c>
      <x:c r="M302" s="1" t="n">
        <x:v>6</x:v>
      </x:c>
    </x:row>
    <x:row r="303" ht="18.75" customHeight="1">
      <x:c r="A303" s="1" t="str">
        <x:v>https://blog.skyairline.com/equipaje-de-bodega/</x:v>
      </x:c>
      <x:c r="B303" s="1" t="str">
        <x:v>equipaje de mano sky medidas</x:v>
      </x:c>
      <x:c r="C303" s="1" t="str">
        <x:v>per</x:v>
      </x:c>
      <x:c r="D303" s="1" t="str">
        <x:v>Marca</x:v>
      </x:c>
      <x:c r="E303" s="35" t="n">
        <x:v>5</x:v>
      </x:c>
      <x:c r="F303" s="36"/>
      <x:c r="G303" s="36" t="str">
        <x:f>IF(ISNUMBER(F303),E303*F303,"")</x:f>
      </x:c>
      <x:c r="H303" s="37" t="d">
        <x:v>2026-10-15T00:00:00.000Z</x:v>
      </x:c>
      <x:c r="I303" s="37" t="d">
        <x:v>2026-10-15T15:02:04.000Z</x:v>
      </x:c>
      <x:c r="J303" s="1" t="n">
        <x:f>IF(ISNUMBER(F303),E303,0)</x:f>
        <x:v>0</x:v>
      </x:c>
      <x:c r="K303" s="1"/>
      <x:c r="L303" s="1" t="str">
        <x:v>https://blog.skyairline.com/copiapo-turismo/</x:v>
      </x:c>
      <x:c r="M303" s="1" t="n">
        <x:v>6</x:v>
      </x:c>
    </x:row>
    <x:row r="304" ht="18.75" customHeight="1">
      <x:c r="A304" s="1" t="str">
        <x:v>https://blog.skyairline.com/equipaje-de-bodega/</x:v>
      </x:c>
      <x:c r="B304" s="1" t="str">
        <x:v>equipaje en cabina sky medidas</x:v>
      </x:c>
      <x:c r="C304" s="1" t="str">
        <x:v>chl</x:v>
      </x:c>
      <x:c r="D304" s="1" t="str">
        <x:v>Marca</x:v>
      </x:c>
      <x:c r="E304" s="35" t="n">
        <x:v>5</x:v>
      </x:c>
      <x:c r="F304" s="36"/>
      <x:c r="G304" s="36" t="str">
        <x:f>IF(ISNUMBER(F304),E304*F304,"")</x:f>
      </x:c>
      <x:c r="H304" s="37" t="d">
        <x:v>2026-10-15T00:00:00.000Z</x:v>
      </x:c>
      <x:c r="I304" s="37" t="d">
        <x:v>2026-09-17T07:06:38.000Z</x:v>
      </x:c>
      <x:c r="J304" s="1" t="n">
        <x:f>IF(ISNUMBER(F304),E304,0)</x:f>
        <x:v>0</x:v>
      </x:c>
      <x:c r="K304" s="1"/>
      <x:c r="L304" s="1" t="str">
        <x:v>https://blog.skyairline.com/costumbres-de-argentina/</x:v>
      </x:c>
      <x:c r="M304" s="1" t="n">
        <x:v>6</x:v>
      </x:c>
    </x:row>
    <x:row r="305" ht="18.75" customHeight="1">
      <x:c r="A305" s="1" t="str">
        <x:v>https://blog.skyairline.com/equipaje-de-bodega/</x:v>
      </x:c>
      <x:c r="B305" s="1" t="str">
        <x:v>equipaje sky airlines</x:v>
      </x:c>
      <x:c r="C305" s="1" t="str">
        <x:v>per</x:v>
      </x:c>
      <x:c r="D305" s="1" t="str">
        <x:v>Marca</x:v>
      </x:c>
      <x:c r="E305" s="35" t="n">
        <x:v>5</x:v>
      </x:c>
      <x:c r="F305" s="36"/>
      <x:c r="G305" s="36" t="str">
        <x:f>IF(ISNUMBER(F305),E305*F305,"")</x:f>
      </x:c>
      <x:c r="H305" s="37" t="d">
        <x:v>2026-10-15T00:00:00.000Z</x:v>
      </x:c>
      <x:c r="I305" s="37" t="d">
        <x:v>2026-09-16T16:09:30.000Z</x:v>
      </x:c>
      <x:c r="J305" s="1" t="n">
        <x:f>IF(ISNUMBER(F305),E305,0)</x:f>
        <x:v>0</x:v>
      </x:c>
      <x:c r="K305" s="1"/>
      <x:c r="L305" s="1" t="str">
        <x:v>https://blog.skyairline.com/cuanto-dinero-llevar-miami/</x:v>
      </x:c>
      <x:c r="M305" s="1" t="n">
        <x:v>6</x:v>
      </x:c>
    </x:row>
    <x:row r="306" ht="18.75" customHeight="1">
      <x:c r="A306" s="1" t="str">
        <x:v>https://blog.skyairline.com/equipaje-de-bodega/</x:v>
      </x:c>
      <x:c r="B306" s="1" t="str">
        <x:v>maletas sky</x:v>
      </x:c>
      <x:c r="C306" s="1" t="str">
        <x:v>chl</x:v>
      </x:c>
      <x:c r="D306" s="1" t="str">
        <x:v>Marca</x:v>
      </x:c>
      <x:c r="E306" s="35" t="n">
        <x:v>5</x:v>
      </x:c>
      <x:c r="F306" s="36" t="n">
        <x:v>1.46</x:v>
      </x:c>
      <x:c r="G306" s="36" t="n">
        <x:f>IF(ISNUMBER(F306),E306*F306,"")</x:f>
        <x:v>7.3</x:v>
      </x:c>
      <x:c r="H306" s="37" t="d">
        <x:v>2026-10-15T00:00:00.000Z</x:v>
      </x:c>
      <x:c r="I306" s="37" t="d">
        <x:v>2026-09-15T14:59:52.000Z</x:v>
      </x:c>
      <x:c r="J306" s="1" t="n">
        <x:f>IF(ISNUMBER(F306),E306,0)</x:f>
        <x:v>5</x:v>
      </x:c>
      <x:c r="K306" s="1"/>
      <x:c r="L306" s="1" t="str">
        <x:v>https://blog.skyairline.com/desierto-florido/</x:v>
      </x:c>
      <x:c r="M306" s="1" t="n">
        <x:v>6</x:v>
      </x:c>
    </x:row>
    <x:row r="307" ht="18.75" customHeight="1">
      <x:c r="A307" s="1" t="str">
        <x:v>https://blog.skyairline.com/equipaje-de-bodega/</x:v>
      </x:c>
      <x:c r="B307" s="1" t="str">
        <x:v>medida bolso de mano sky</x:v>
      </x:c>
      <x:c r="C307" s="1" t="str">
        <x:v>per</x:v>
      </x:c>
      <x:c r="D307" s="1" t="str">
        <x:v>Marca</x:v>
      </x:c>
      <x:c r="E307" s="35" t="n">
        <x:v>5</x:v>
      </x:c>
      <x:c r="F307" s="36"/>
      <x:c r="G307" s="36" t="str">
        <x:f>IF(ISNUMBER(F307),E307*F307,"")</x:f>
      </x:c>
      <x:c r="H307" s="37" t="d">
        <x:v>2026-10-15T00:00:00.000Z</x:v>
      </x:c>
      <x:c r="I307" s="37" t="d">
        <x:v>2026-09-16T10:27:28.000Z</x:v>
      </x:c>
      <x:c r="J307" s="1" t="n">
        <x:f>IF(ISNUMBER(F307),E307,0)</x:f>
        <x:v>0</x:v>
      </x:c>
      <x:c r="K307" s="1"/>
      <x:c r="L307" s="1" t="str">
        <x:v>https://blog.skyairline.com/donde-comprar-un-pasaje-de-avion/</x:v>
      </x:c>
      <x:c r="M307" s="1" t="n">
        <x:v>6</x:v>
      </x:c>
    </x:row>
    <x:row r="308" ht="18.75" customHeight="1">
      <x:c r="A308" s="1" t="str">
        <x:v>https://blog.skyairline.com/equipaje-de-bodega/</x:v>
      </x:c>
      <x:c r="B308" s="1" t="str">
        <x:v>medida maleta sky</x:v>
      </x:c>
      <x:c r="C308" s="1" t="str">
        <x:v>chl</x:v>
      </x:c>
      <x:c r="D308" s="1" t="str">
        <x:v>Marca</x:v>
      </x:c>
      <x:c r="E308" s="35" t="n">
        <x:v>5</x:v>
      </x:c>
      <x:c r="F308" s="36"/>
      <x:c r="G308" s="36" t="str">
        <x:f>IF(ISNUMBER(F308),E308*F308,"")</x:f>
      </x:c>
      <x:c r="H308" s="37"/>
      <x:c r="I308" s="37"/>
      <x:c r="J308" s="1" t="n">
        <x:f>IF(ISNUMBER(F308),E308,0)</x:f>
        <x:v>0</x:v>
      </x:c>
      <x:c r="K308" s="1"/>
      <x:c r="L308" s="1" t="str">
        <x:v>https://blog.skyairline.com/huascar/</x:v>
      </x:c>
      <x:c r="M308" s="1" t="n">
        <x:v>6</x:v>
      </x:c>
    </x:row>
    <x:row r="309" ht="18.75" customHeight="1">
      <x:c r="A309" s="1" t="str">
        <x:v>https://blog.skyairline.com/equipaje-de-bodega/</x:v>
      </x:c>
      <x:c r="B309" s="1" t="str">
        <x:v>medidas de equipaje de mano sky</x:v>
      </x:c>
      <x:c r="C309" s="1" t="str">
        <x:v>per</x:v>
      </x:c>
      <x:c r="D309" s="1" t="str">
        <x:v>Marca</x:v>
      </x:c>
      <x:c r="E309" s="35" t="n">
        <x:v>5</x:v>
      </x:c>
      <x:c r="F309" s="36"/>
      <x:c r="G309" s="36" t="str">
        <x:f>IF(ISNUMBER(F309),E309*F309,"")</x:f>
      </x:c>
      <x:c r="H309" s="37" t="d">
        <x:v>2026-10-15T00:00:00.000Z</x:v>
      </x:c>
      <x:c r="I309" s="37" t="d">
        <x:v>2026-09-16T21:10:26.000Z</x:v>
      </x:c>
      <x:c r="J309" s="1" t="n">
        <x:f>IF(ISNUMBER(F309),E309,0)</x:f>
        <x:v>0</x:v>
      </x:c>
      <x:c r="K309" s="1"/>
      <x:c r="L309" s="1" t="str">
        <x:v>https://blog.skyairline.com/lago-todos-los-santos/</x:v>
      </x:c>
      <x:c r="M309" s="1" t="n">
        <x:v>6</x:v>
      </x:c>
    </x:row>
    <x:row r="310" ht="18.75" customHeight="1">
      <x:c r="A310" s="1" t="str">
        <x:v>https://blog.skyairline.com/equipaje-de-bodega/</x:v>
      </x:c>
      <x:c r="B310" s="1" t="str">
        <x:v>medidas maleta cabina sky</x:v>
      </x:c>
      <x:c r="C310" s="1" t="str">
        <x:v>chl</x:v>
      </x:c>
      <x:c r="D310" s="1" t="str">
        <x:v>Marca</x:v>
      </x:c>
      <x:c r="E310" s="35" t="n">
        <x:v>5</x:v>
      </x:c>
      <x:c r="F310" s="36"/>
      <x:c r="G310" s="36" t="str">
        <x:f>IF(ISNUMBER(F310),E310*F310,"")</x:f>
      </x:c>
      <x:c r="H310" s="37" t="d">
        <x:v>2026-10-15T00:00:00.000Z</x:v>
      </x:c>
      <x:c r="I310" s="37" t="d">
        <x:v>2026-09-12T20:36:57.000Z</x:v>
      </x:c>
      <x:c r="J310" s="1" t="n">
        <x:f>IF(ISNUMBER(F310),E310,0)</x:f>
        <x:v>0</x:v>
      </x:c>
      <x:c r="K310" s="1"/>
      <x:c r="L310" s="1" t="str">
        <x:v>https://blog.skyairline.com/lugares-gratuitos-en-valdivia/</x:v>
      </x:c>
      <x:c r="M310" s="1" t="n">
        <x:v>6</x:v>
      </x:c>
    </x:row>
    <x:row r="311" ht="18.75" customHeight="1">
      <x:c r="A311" s="1" t="str">
        <x:v>https://blog.skyairline.com/equipaje-de-bodega/</x:v>
      </x:c>
      <x:c r="B311" s="1" t="str">
        <x:v>medidas maletas sky</x:v>
      </x:c>
      <x:c r="C311" s="1" t="str">
        <x:v>per</x:v>
      </x:c>
      <x:c r="D311" s="1" t="str">
        <x:v>Marca</x:v>
      </x:c>
      <x:c r="E311" s="35" t="n">
        <x:v>5</x:v>
      </x:c>
      <x:c r="F311" s="36"/>
      <x:c r="G311" s="36" t="str">
        <x:f>IF(ISNUMBER(F311),E311*F311,"")</x:f>
      </x:c>
      <x:c r="H311" s="37"/>
      <x:c r="I311" s="37"/>
      <x:c r="J311" s="1" t="n">
        <x:f>IF(ISNUMBER(F311),E311,0)</x:f>
        <x:v>0</x:v>
      </x:c>
      <x:c r="K311" s="1"/>
      <x:c r="L311" s="1" t="str">
        <x:v>https://blog.skyairline.com/lugares-turisticos-cajamarca/</x:v>
      </x:c>
      <x:c r="M311" s="1" t="n">
        <x:v>6</x:v>
      </x:c>
    </x:row>
    <x:row r="312" ht="18.75" customHeight="1">
      <x:c r="A312" s="1" t="str">
        <x:v>https://blog.skyairline.com/equipaje-de-bodega/</x:v>
      </x:c>
      <x:c r="B312" s="1" t="str">
        <x:v>medidas mochila sky airlines</x:v>
      </x:c>
      <x:c r="C312" s="1" t="str">
        <x:v>chl</x:v>
      </x:c>
      <x:c r="D312" s="1" t="str">
        <x:v>Marca</x:v>
      </x:c>
      <x:c r="E312" s="35" t="n">
        <x:v>5</x:v>
      </x:c>
      <x:c r="F312" s="36"/>
      <x:c r="G312" s="36" t="str">
        <x:f>IF(ISNUMBER(F312),E312*F312,"")</x:f>
      </x:c>
      <x:c r="H312" s="37"/>
      <x:c r="I312" s="37"/>
      <x:c r="J312" s="1" t="n">
        <x:f>IF(ISNUMBER(F312),E312,0)</x:f>
        <x:v>0</x:v>
      </x:c>
      <x:c r="K312" s="1"/>
      <x:c r="L312" s="1" t="str">
        <x:v>https://blog.skyairline.com/mano-del-desierto/</x:v>
      </x:c>
      <x:c r="M312" s="1" t="n">
        <x:v>6</x:v>
      </x:c>
    </x:row>
    <x:row r="313" ht="18.75" customHeight="1">
      <x:c r="A313" s="1" t="str">
        <x:v>https://blog.skyairline.com/equipaje-de-bodega/</x:v>
      </x:c>
      <x:c r="B313" s="1" t="str">
        <x:v>sky medidas</x:v>
      </x:c>
      <x:c r="C313" s="1" t="str">
        <x:v>per</x:v>
      </x:c>
      <x:c r="D313" s="1" t="str">
        <x:v>Marca</x:v>
      </x:c>
      <x:c r="E313" s="35" t="n">
        <x:v>5</x:v>
      </x:c>
      <x:c r="F313" s="36"/>
      <x:c r="G313" s="36" t="str">
        <x:f>IF(ISNUMBER(F313),E313*F313,"")</x:f>
      </x:c>
      <x:c r="H313" s="37"/>
      <x:c r="I313" s="37"/>
      <x:c r="J313" s="1" t="n">
        <x:f>IF(ISNUMBER(F313),E313,0)</x:f>
        <x:v>0</x:v>
      </x:c>
      <x:c r="K313" s="1"/>
      <x:c r="L313" s="1" t="str">
        <x:v>https://blog.skyairline.com/mejor-fecha-para-viajar-punta-cana/</x:v>
      </x:c>
      <x:c r="M313" s="1" t="n">
        <x:v>6</x:v>
      </x:c>
    </x:row>
    <x:row r="314" ht="18.75" customHeight="1">
      <x:c r="A314" s="1" t="str">
        <x:v>https://blog.skyairline.com/equipaje-de-cabina/</x:v>
      </x:c>
      <x:c r="B314" s="1" t="str">
        <x:v>bolsa de mano sky</x:v>
      </x:c>
      <x:c r="C314" s="1" t="str">
        <x:v>per</x:v>
      </x:c>
      <x:c r="D314" s="1" t="str">
        <x:v>Marca</x:v>
      </x:c>
      <x:c r="E314" s="35" t="n">
        <x:v>5</x:v>
      </x:c>
      <x:c r="F314" s="36"/>
      <x:c r="G314" s="36" t="str">
        <x:f>IF(ISNUMBER(F314),E314*F314,"")</x:f>
      </x:c>
      <x:c r="H314" s="37" t="d">
        <x:v>2026-10-15T00:00:00.000Z</x:v>
      </x:c>
      <x:c r="I314" s="37" t="d">
        <x:v>2026-09-16T03:30:25.000Z</x:v>
      </x:c>
      <x:c r="J314" s="1" t="n">
        <x:f>IF(ISNUMBER(F314),E314,0)</x:f>
        <x:v>0</x:v>
      </x:c>
      <x:c r="K314" s="1"/>
      <x:c r="L314" s="1" t="str">
        <x:v>https://blog.skyairline.com/montevideo-noche/</x:v>
      </x:c>
      <x:c r="M314" s="1" t="n">
        <x:v>6</x:v>
      </x:c>
    </x:row>
    <x:row r="315" ht="18.75" customHeight="1">
      <x:c r="A315" s="1" t="str">
        <x:v>https://blog.skyairline.com/equipaje-de-cabina/</x:v>
      </x:c>
      <x:c r="B315" s="1" t="str">
        <x:v>bolso de mano sky medidas</x:v>
      </x:c>
      <x:c r="C315" s="1" t="str">
        <x:v>per</x:v>
      </x:c>
      <x:c r="D315" s="1" t="str">
        <x:v>Marca</x:v>
      </x:c>
      <x:c r="E315" s="35" t="n">
        <x:v>5</x:v>
      </x:c>
      <x:c r="F315" s="36" t="n">
        <x:v>0.56</x:v>
      </x:c>
      <x:c r="G315" s="36" t="n">
        <x:f>IF(ISNUMBER(F315),E315*F315,"")</x:f>
        <x:v>2.8000000000000003</x:v>
      </x:c>
      <x:c r="H315" s="37" t="d">
        <x:v>2026-10-15T00:00:00.000Z</x:v>
      </x:c>
      <x:c r="I315" s="37" t="d">
        <x:v>2026-09-13T10:39:34.000Z</x:v>
      </x:c>
      <x:c r="J315" s="1" t="n">
        <x:f>IF(ISNUMBER(F315),E315,0)</x:f>
        <x:v>5</x:v>
      </x:c>
      <x:c r="K315" s="1"/>
      <x:c r="L315" s="1" t="str">
        <x:v>https://blog.skyairline.com/nogales/</x:v>
      </x:c>
      <x:c r="M315" s="1" t="n">
        <x:v>6</x:v>
      </x:c>
    </x:row>
    <x:row r="316" ht="18.75" customHeight="1">
      <x:c r="A316" s="1" t="str">
        <x:v>https://blog.skyairline.com/equipaje-de-cabina/</x:v>
      </x:c>
      <x:c r="B316" s="1" t="str">
        <x:v>equipaje de cabina sky medidas</x:v>
      </x:c>
      <x:c r="C316" s="1" t="str">
        <x:v>chl</x:v>
      </x:c>
      <x:c r="D316" s="1" t="str">
        <x:v>Marca</x:v>
      </x:c>
      <x:c r="E316" s="35" t="n">
        <x:v>5</x:v>
      </x:c>
      <x:c r="F316" s="36"/>
      <x:c r="G316" s="36" t="str">
        <x:f>IF(ISNUMBER(F316),E316*F316,"")</x:f>
      </x:c>
      <x:c r="H316" s="37"/>
      <x:c r="I316" s="37"/>
      <x:c r="J316" s="1" t="n">
        <x:f>IF(ISNUMBER(F316),E316,0)</x:f>
        <x:v>0</x:v>
      </x:c>
      <x:c r="K316" s="1"/>
      <x:c r="L316" s="1" t="str">
        <x:v>https://blog.skyairline.com/pasajes-de-avion-baratos/</x:v>
      </x:c>
      <x:c r="M316" s="1" t="n">
        <x:v>6</x:v>
      </x:c>
    </x:row>
    <x:row r="317" ht="18.75" customHeight="1">
      <x:c r="A317" s="1" t="str">
        <x:v>https://blog.skyairline.com/equipaje-de-cabina/</x:v>
      </x:c>
      <x:c r="B317" s="1" t="str">
        <x:v>equipaje de mano sky</x:v>
      </x:c>
      <x:c r="C317" s="1" t="str">
        <x:v>ury</x:v>
      </x:c>
      <x:c r="D317" s="1" t="str">
        <x:v>Marca</x:v>
      </x:c>
      <x:c r="E317" s="35" t="n">
        <x:v>5</x:v>
      </x:c>
      <x:c r="F317" s="36"/>
      <x:c r="G317" s="36" t="str">
        <x:f>IF(ISNUMBER(F317),E317*F317,"")</x:f>
      </x:c>
      <x:c r="H317" s="37"/>
      <x:c r="I317" s="37"/>
      <x:c r="J317" s="1" t="n">
        <x:f>IF(ISNUMBER(F317),E317,0)</x:f>
        <x:v>0</x:v>
      </x:c>
      <x:c r="K317" s="1"/>
      <x:c r="L317" s="1" t="str">
        <x:v>https://blog.skyairline.com/pasaporte-chileno/</x:v>
      </x:c>
      <x:c r="M317" s="1" t="n">
        <x:v>6</x:v>
      </x:c>
    </x:row>
    <x:row r="318" ht="18.75" customHeight="1">
      <x:c r="A318" s="1" t="str">
        <x:v>https://blog.skyairline.com/equipaje-de-cabina/</x:v>
      </x:c>
      <x:c r="B318" s="1" t="str">
        <x:v>equipaje de mano sky airlines</x:v>
      </x:c>
      <x:c r="C318" s="1" t="str">
        <x:v>per</x:v>
      </x:c>
      <x:c r="D318" s="1" t="str">
        <x:v>Marca</x:v>
      </x:c>
      <x:c r="E318" s="35" t="n">
        <x:v>5</x:v>
      </x:c>
      <x:c r="F318" s="36"/>
      <x:c r="G318" s="36" t="str">
        <x:f>IF(ISNUMBER(F318),E318*F318,"")</x:f>
      </x:c>
      <x:c r="H318" s="37"/>
      <x:c r="I318" s="37"/>
      <x:c r="J318" s="1" t="n">
        <x:f>IF(ISNUMBER(F318),E318,0)</x:f>
        <x:v>0</x:v>
      </x:c>
      <x:c r="K318" s="1"/>
      <x:c r="L318" s="1" t="str">
        <x:v>https://blog.skyairline.com/proyecto-tamar/</x:v>
      </x:c>
      <x:c r="M318" s="1" t="n">
        <x:v>6</x:v>
      </x:c>
    </x:row>
    <x:row r="319" ht="18.75" customHeight="1">
      <x:c r="A319" s="1" t="str">
        <x:v>https://blog.skyairline.com/equipaje-de-cabina/</x:v>
      </x:c>
      <x:c r="B319" s="1" t="str">
        <x:v>maleta de cabina sky medidas</x:v>
      </x:c>
      <x:c r="C319" s="1" t="str">
        <x:v>chl</x:v>
      </x:c>
      <x:c r="D319" s="1" t="str">
        <x:v>Marca</x:v>
      </x:c>
      <x:c r="E319" s="35" t="n">
        <x:v>5</x:v>
      </x:c>
      <x:c r="F319" s="36" t="n">
        <x:v>0.01</x:v>
      </x:c>
      <x:c r="G319" s="36" t="n">
        <x:f>IF(ISNUMBER(F319),E319*F319,"")</x:f>
        <x:v>0.05</x:v>
      </x:c>
      <x:c r="H319" s="37" t="d">
        <x:v>2026-10-15T00:00:00.000Z</x:v>
      </x:c>
      <x:c r="I319" s="37" t="d">
        <x:v>2026-10-15T04:17:32.000Z</x:v>
      </x:c>
      <x:c r="J319" s="1" t="n">
        <x:f>IF(ISNUMBER(F319),E319,0)</x:f>
        <x:v>5</x:v>
      </x:c>
      <x:c r="K319" s="1"/>
      <x:c r="L319" s="1" t="str">
        <x:v>https://blog.skyairline.com/puerto-fuy/</x:v>
      </x:c>
      <x:c r="M319" s="1" t="n">
        <x:v>6</x:v>
      </x:c>
    </x:row>
    <x:row r="320" ht="18.75" customHeight="1">
      <x:c r="A320" s="1" t="str">
        <x:v>https://blog.skyairline.com/equipaje-de-cabina/</x:v>
      </x:c>
      <x:c r="B320" s="1" t="str">
        <x:v>medida maleta cabina sky</x:v>
      </x:c>
      <x:c r="C320" s="1" t="str">
        <x:v>chl</x:v>
      </x:c>
      <x:c r="D320" s="1" t="str">
        <x:v>Marca</x:v>
      </x:c>
      <x:c r="E320" s="35" t="n">
        <x:v>5</x:v>
      </x:c>
      <x:c r="F320" s="36"/>
      <x:c r="G320" s="36" t="str">
        <x:f>IF(ISNUMBER(F320),E320*F320,"")</x:f>
      </x:c>
      <x:c r="H320" s="37"/>
      <x:c r="I320" s="37"/>
      <x:c r="J320" s="1" t="n">
        <x:f>IF(ISNUMBER(F320),E320,0)</x:f>
        <x:v>0</x:v>
      </x:c>
      <x:c r="K320" s="1"/>
      <x:c r="L320" s="1" t="str">
        <x:v>https://blog.skyairline.com/punta-cana-todo-incluido/</x:v>
      </x:c>
      <x:c r="M320" s="1" t="n">
        <x:v>6</x:v>
      </x:c>
    </x:row>
    <x:row r="321" ht="18.75" customHeight="1">
      <x:c r="A321" s="1" t="str">
        <x:v>https://blog.skyairline.com/equipaje-de-cabina/</x:v>
      </x:c>
      <x:c r="B321" s="1" t="str">
        <x:v>medidas equipaje cabina sky</x:v>
      </x:c>
      <x:c r="C321" s="1" t="str">
        <x:v>chl</x:v>
      </x:c>
      <x:c r="D321" s="1" t="str">
        <x:v>Marca</x:v>
      </x:c>
      <x:c r="E321" s="35" t="n">
        <x:v>5</x:v>
      </x:c>
      <x:c r="F321" s="36"/>
      <x:c r="G321" s="36" t="str">
        <x:f>IF(ISNUMBER(F321),E321*F321,"")</x:f>
      </x:c>
      <x:c r="H321" s="37"/>
      <x:c r="I321" s="37"/>
      <x:c r="J321" s="1" t="n">
        <x:f>IF(ISNUMBER(F321),E321,0)</x:f>
        <x:v>0</x:v>
      </x:c>
      <x:c r="K321" s="1"/>
      <x:c r="L321" s="1" t="str">
        <x:v>https://blog.skyairline.com/que-comer-en-florianopolis/</x:v>
      </x:c>
      <x:c r="M321" s="1" t="n">
        <x:v>6</x:v>
      </x:c>
    </x:row>
    <x:row r="322" ht="18.75" customHeight="1">
      <x:c r="A322" s="1" t="str">
        <x:v>https://blog.skyairline.com/equipaje-de-cabina/</x:v>
      </x:c>
      <x:c r="B322" s="1" t="str">
        <x:v>medidas mochila sky</x:v>
      </x:c>
      <x:c r="C322" s="1" t="str">
        <x:v>chl</x:v>
      </x:c>
      <x:c r="D322" s="1" t="str">
        <x:v>Marca</x:v>
      </x:c>
      <x:c r="E322" s="35" t="n">
        <x:v>5</x:v>
      </x:c>
      <x:c r="F322" s="36" t="n">
        <x:v>0.08</x:v>
      </x:c>
      <x:c r="G322" s="36" t="n">
        <x:f>IF(ISNUMBER(F322),E322*F322,"")</x:f>
        <x:v>0.4</x:v>
      </x:c>
      <x:c r="H322" s="37" t="d">
        <x:v>2026-10-15T00:00:00.000Z</x:v>
      </x:c>
      <x:c r="I322" s="37" t="d">
        <x:v>2026-09-14T01:38:40.000Z</x:v>
      </x:c>
      <x:c r="J322" s="1" t="n">
        <x:f>IF(ISNUMBER(F322),E322,0)</x:f>
        <x:v>5</x:v>
      </x:c>
      <x:c r="K322" s="1"/>
      <x:c r="L322" s="1" t="str">
        <x:v>https://blog.skyairline.com/que-es-el-diechiocho/</x:v>
      </x:c>
      <x:c r="M322" s="1" t="n">
        <x:v>6</x:v>
      </x:c>
    </x:row>
    <x:row r="323" ht="18.75" customHeight="1">
      <x:c r="A323" s="1" t="str">
        <x:v>https://blog.skyairline.com/equipaje-de-cabina/</x:v>
      </x:c>
      <x:c r="B323" s="1" t="str">
        <x:v>medidas sky equipaje de mano</x:v>
      </x:c>
      <x:c r="C323" s="1" t="str">
        <x:v>per</x:v>
      </x:c>
      <x:c r="D323" s="1" t="str">
        <x:v>Marca</x:v>
      </x:c>
      <x:c r="E323" s="35" t="n">
        <x:v>5</x:v>
      </x:c>
      <x:c r="F323" s="36"/>
      <x:c r="G323" s="36" t="str">
        <x:f>IF(ISNUMBER(F323),E323*F323,"")</x:f>
      </x:c>
      <x:c r="H323" s="37"/>
      <x:c r="I323" s="37"/>
      <x:c r="J323" s="1" t="n">
        <x:f>IF(ISNUMBER(F323),E323,0)</x:f>
        <x:v>0</x:v>
      </x:c>
      <x:c r="K323" s="1"/>
      <x:c r="L323" s="1" t="str">
        <x:v>https://blog.skyairline.com/que-hacer-con-ninos-en-bogota/</x:v>
      </x:c>
      <x:c r="M323" s="1" t="n">
        <x:v>6</x:v>
      </x:c>
    </x:row>
    <x:row r="324" ht="18.75" customHeight="1">
      <x:c r="A324" s="1" t="str">
        <x:v>https://blog.skyairline.com/equipaje-de-cabina/</x:v>
      </x:c>
      <x:c r="B324" s="1" t="str">
        <x:v>sky airline carry on</x:v>
      </x:c>
      <x:c r="C324" s="1" t="str">
        <x:v>ury</x:v>
      </x:c>
      <x:c r="D324" s="1" t="str">
        <x:v>Marca</x:v>
      </x:c>
      <x:c r="E324" s="35" t="n">
        <x:v>5</x:v>
      </x:c>
      <x:c r="F324" s="36"/>
      <x:c r="G324" s="36" t="str">
        <x:f>IF(ISNUMBER(F324),E324*F324,"")</x:f>
      </x:c>
      <x:c r="H324" s="37"/>
      <x:c r="I324" s="37"/>
      <x:c r="J324" s="1" t="n">
        <x:f>IF(ISNUMBER(F324),E324,0)</x:f>
        <x:v>0</x:v>
      </x:c>
      <x:c r="K324" s="1"/>
      <x:c r="L324" s="1" t="str">
        <x:v>https://blog.skyairline.com/relieve-zona-sur-de-chile/</x:v>
      </x:c>
      <x:c r="M324" s="1" t="n">
        <x:v>6</x:v>
      </x:c>
    </x:row>
    <x:row r="325" ht="18.75" customHeight="1">
      <x:c r="A325" s="1" t="str">
        <x:v>https://blog.skyairline.com/equipaje-de-cabina/</x:v>
      </x:c>
      <x:c r="B325" s="1" t="str">
        <x:v>sky airline equipaje de mano</x:v>
      </x:c>
      <x:c r="C325" s="1" t="str">
        <x:v>esp</x:v>
      </x:c>
      <x:c r="D325" s="1" t="str">
        <x:v>Marca</x:v>
      </x:c>
      <x:c r="E325" s="35" t="n">
        <x:v>5</x:v>
      </x:c>
      <x:c r="F325" s="36"/>
      <x:c r="G325" s="36" t="str">
        <x:f>IF(ISNUMBER(F325),E325*F325,"")</x:f>
      </x:c>
      <x:c r="H325" s="37"/>
      <x:c r="I325" s="37"/>
      <x:c r="J325" s="1" t="n">
        <x:f>IF(ISNUMBER(F325),E325,0)</x:f>
        <x:v>0</x:v>
      </x:c>
      <x:c r="K325" s="1"/>
      <x:c r="L325" s="1" t="str">
        <x:v>https://blog.skyairline.com/reserva-nacional-de-tambopata/</x:v>
      </x:c>
      <x:c r="M325" s="1" t="n">
        <x:v>6</x:v>
      </x:c>
    </x:row>
    <x:row r="326" ht="18.75" customHeight="1">
      <x:c r="A326" s="1" t="str">
        <x:v>https://blog.skyairline.com/equipaje-de-cabina/</x:v>
      </x:c>
      <x:c r="B326" s="1" t="str">
        <x:v>sky airlines que puedo llevar en equipaje de mano</x:v>
      </x:c>
      <x:c r="C326" s="1" t="str">
        <x:v>chl</x:v>
      </x:c>
      <x:c r="D326" s="1" t="str">
        <x:v>Marca</x:v>
      </x:c>
      <x:c r="E326" s="35" t="n">
        <x:v>5</x:v>
      </x:c>
      <x:c r="F326" s="36"/>
      <x:c r="G326" s="36" t="str">
        <x:f>IF(ISNUMBER(F326),E326*F326,"")</x:f>
      </x:c>
      <x:c r="H326" s="37" t="d">
        <x:v>2026-10-15T00:00:00.000Z</x:v>
      </x:c>
      <x:c r="I326" s="37" t="d">
        <x:v>2026-09-14T06:38:48.000Z</x:v>
      </x:c>
      <x:c r="J326" s="1" t="n">
        <x:f>IF(ISNUMBER(F326),E326,0)</x:f>
        <x:v>0</x:v>
      </x:c>
      <x:c r="K326" s="1"/>
      <x:c r="L326" s="1" t="str">
        <x:v>https://blog.skyairline.com/reservar-un-hotel/</x:v>
      </x:c>
      <x:c r="M326" s="1" t="n">
        <x:v>6</x:v>
      </x:c>
    </x:row>
    <x:row r="327" ht="18.75" customHeight="1">
      <x:c r="A327" s="1" t="str">
        <x:v>https://blog.skyairline.com/equipaje-de-cabina/</x:v>
      </x:c>
      <x:c r="B327" s="1" t="str">
        <x:v>sky articulo personal</x:v>
      </x:c>
      <x:c r="C327" s="1" t="str">
        <x:v>chl</x:v>
      </x:c>
      <x:c r="D327" s="1" t="str">
        <x:v>Marca</x:v>
      </x:c>
      <x:c r="E327" s="35" t="n">
        <x:v>5</x:v>
      </x:c>
      <x:c r="F327" s="36"/>
      <x:c r="G327" s="36" t="str">
        <x:f>IF(ISNUMBER(F327),E327*F327,"")</x:f>
      </x:c>
      <x:c r="H327" s="37"/>
      <x:c r="I327" s="37"/>
      <x:c r="J327" s="1" t="n">
        <x:f>IF(ISNUMBER(F327),E327,0)</x:f>
        <x:v>0</x:v>
      </x:c>
      <x:c r="K327" s="1"/>
      <x:c r="L327" s="1" t="str">
        <x:v>https://blog.skyairline.com/sargazo-en-punta-cana/</x:v>
      </x:c>
      <x:c r="M327" s="1" t="n">
        <x:v>6</x:v>
      </x:c>
    </x:row>
    <x:row r="328" ht="18.75" customHeight="1">
      <x:c r="A328" s="1" t="str">
        <x:v>https://blog.skyairline.com/equipaje-de-cabina/</x:v>
      </x:c>
      <x:c r="B328" s="1" t="str">
        <x:v>sky equipaje de mano</x:v>
      </x:c>
      <x:c r="C328" s="1" t="str">
        <x:v>arg</x:v>
      </x:c>
      <x:c r="D328" s="1" t="str">
        <x:v>Marca</x:v>
      </x:c>
      <x:c r="E328" s="35" t="n">
        <x:v>5</x:v>
      </x:c>
      <x:c r="F328" s="36"/>
      <x:c r="G328" s="36" t="str">
        <x:f>IF(ISNUMBER(F328),E328*F328,"")</x:f>
      </x:c>
      <x:c r="H328" s="37"/>
      <x:c r="I328" s="37"/>
      <x:c r="J328" s="1" t="n">
        <x:f>IF(ISNUMBER(F328),E328,0)</x:f>
        <x:v>0</x:v>
      </x:c>
      <x:c r="K328" s="1"/>
      <x:c r="L328" s="1" t="str">
        <x:v>https://blog.skyairline.com/sky-celebra-24-anos-de-historia/</x:v>
      </x:c>
      <x:c r="M328" s="1" t="n">
        <x:v>6</x:v>
      </x:c>
    </x:row>
    <x:row r="329" ht="18.75" customHeight="1">
      <x:c r="A329" s="1" t="str">
        <x:v>https://blog.skyairline.com/equipaje-de-cabina/</x:v>
      </x:c>
      <x:c r="B329" s="1" t="str">
        <x:v>sky mochila</x:v>
      </x:c>
      <x:c r="C329" s="1" t="str">
        <x:v>chl</x:v>
      </x:c>
      <x:c r="D329" s="1" t="str">
        <x:v>Marca</x:v>
      </x:c>
      <x:c r="E329" s="35" t="n">
        <x:v>5</x:v>
      </x:c>
      <x:c r="F329" s="36"/>
      <x:c r="G329" s="36" t="str">
        <x:f>IF(ISNUMBER(F329),E329*F329,"")</x:f>
      </x:c>
      <x:c r="H329" s="37"/>
      <x:c r="I329" s="37"/>
      <x:c r="J329" s="1" t="n">
        <x:f>IF(ISNUMBER(F329),E329,0)</x:f>
        <x:v>0</x:v>
      </x:c>
      <x:c r="K329" s="1"/>
      <x:c r="L329" s="1" t="str">
        <x:v>https://blog.skyairline.com/sky-es-reconocida-por-emin-como-mejor-proveedor-a-nivel-nacional-2025-en-logistica-personas/</x:v>
      </x:c>
      <x:c r="M329" s="1" t="n">
        <x:v>6</x:v>
      </x:c>
    </x:row>
    <x:row r="330" ht="18.75" customHeight="1">
      <x:c r="A330" s="1" t="str">
        <x:v>https://blog.skyairline.com/equipaje-de-cabina/</x:v>
      </x:c>
      <x:c r="B330" s="1" t="str">
        <x:v>sky mochila de mano</x:v>
      </x:c>
      <x:c r="C330" s="1" t="str">
        <x:v>per</x:v>
      </x:c>
      <x:c r="D330" s="1" t="str">
        <x:v>Marca</x:v>
      </x:c>
      <x:c r="E330" s="35" t="n">
        <x:v>5</x:v>
      </x:c>
      <x:c r="F330" s="36"/>
      <x:c r="G330" s="36" t="str">
        <x:f>IF(ISNUMBER(F330),E330*F330,"")</x:f>
      </x:c>
      <x:c r="H330" s="37"/>
      <x:c r="I330" s="37"/>
      <x:c r="J330" s="1" t="n">
        <x:f>IF(ISNUMBER(F330),E330,0)</x:f>
        <x:v>0</x:v>
      </x:c>
      <x:c r="K330" s="1"/>
      <x:c r="L330" s="1" t="str">
        <x:v>https://blog.skyairline.com/sky-flota-mas-nueva-de-suramerica/</x:v>
      </x:c>
      <x:c r="M330" s="1" t="n">
        <x:v>6</x:v>
      </x:c>
    </x:row>
    <x:row r="331" ht="18.75" customHeight="1">
      <x:c r="A331" s="1" t="str">
        <x:v>https://blog.skyairline.com/equipaje-de-cabina/</x:v>
      </x:c>
      <x:c r="B331" s="1" t="str">
        <x:v>sky que puedo llevar en equipaje de mano</x:v>
      </x:c>
      <x:c r="C331" s="1" t="str">
        <x:v>per</x:v>
      </x:c>
      <x:c r="D331" s="1" t="str">
        <x:v>Marca</x:v>
      </x:c>
      <x:c r="E331" s="35" t="n">
        <x:v>5</x:v>
      </x:c>
      <x:c r="F331" s="36"/>
      <x:c r="G331" s="36" t="str">
        <x:f>IF(ISNUMBER(F331),E331*F331,"")</x:f>
      </x:c>
      <x:c r="H331" s="37" t="d">
        <x:v>2026-10-15T00:00:00.000Z</x:v>
      </x:c>
      <x:c r="I331" s="37" t="d">
        <x:v>2026-09-16T05:49:58.000Z</x:v>
      </x:c>
      <x:c r="J331" s="1" t="n">
        <x:f>IF(ISNUMBER(F331),E331,0)</x:f>
        <x:v>0</x:v>
      </x:c>
      <x:c r="K331" s="1"/>
      <x:c r="L331" s="1" t="str">
        <x:v>https://blog.skyairline.com/sky-plus-alcanza-el-millon-de-suscriptores/</x:v>
      </x:c>
      <x:c r="M331" s="1" t="n">
        <x:v>6</x:v>
      </x:c>
    </x:row>
    <x:row r="332" ht="18.75" customHeight="1">
      <x:c r="A332" s="1" t="str">
        <x:v>https://blog.skyairline.com/equipaje-de-cabina/</x:v>
      </x:c>
      <x:c r="B332" s="1" t="str">
        <x:v>sky restricciones equipaje</x:v>
      </x:c>
      <x:c r="C332" s="1" t="str">
        <x:v>per</x:v>
      </x:c>
      <x:c r="D332" s="1" t="str">
        <x:v>Marca</x:v>
      </x:c>
      <x:c r="E332" s="35" t="n">
        <x:v>5</x:v>
      </x:c>
      <x:c r="F332" s="36"/>
      <x:c r="G332" s="36" t="str">
        <x:f>IF(ISNUMBER(F332),E332*F332,"")</x:f>
      </x:c>
      <x:c r="H332" s="37"/>
      <x:c r="I332" s="37"/>
      <x:c r="J332" s="1" t="n">
        <x:f>IF(ISNUMBER(F332),E332,0)</x:f>
        <x:v>0</x:v>
      </x:c>
      <x:c r="K332" s="1"/>
      <x:c r="L332" s="1" t="str">
        <x:v>https://blog.skyairline.com/sky-reafirma-su-compromiso-con-la-sostenibilidad/</x:v>
      </x:c>
      <x:c r="M332" s="1" t="n">
        <x:v>6</x:v>
      </x:c>
    </x:row>
    <x:row r="333" ht="18.75" customHeight="1">
      <x:c r="A333" s="1" t="str">
        <x:v>https://blog.skyairline.com/equipaje-de-cabina/</x:v>
      </x:c>
      <x:c r="B333" s="1" t="str">
        <x:v>sky tamaño equipaje de mano</x:v>
      </x:c>
      <x:c r="C333" s="1" t="str">
        <x:v>chl</x:v>
      </x:c>
      <x:c r="D333" s="1" t="str">
        <x:v>Marca</x:v>
      </x:c>
      <x:c r="E333" s="35" t="n">
        <x:v>5</x:v>
      </x:c>
      <x:c r="F333" s="36"/>
      <x:c r="G333" s="36" t="str">
        <x:f>IF(ISNUMBER(F333),E333*F333,"")</x:f>
      </x:c>
      <x:c r="H333" s="37"/>
      <x:c r="I333" s="37"/>
      <x:c r="J333" s="1" t="n">
        <x:f>IF(ISNUMBER(F333),E333,0)</x:f>
        <x:v>0</x:v>
      </x:c>
      <x:c r="K333" s="1"/>
      <x:c r="L333" s="1" t="str">
        <x:v>https://blog.skyairline.com/vida-nocturna-en-porto-alegre/</x:v>
      </x:c>
      <x:c r="M333" s="1" t="n">
        <x:v>6</x:v>
      </x:c>
    </x:row>
    <x:row r="334" ht="18.75" customHeight="1">
      <x:c r="A334" s="1" t="str">
        <x:v>https://blog.skyairline.com/equipaje-de-cabina/</x:v>
      </x:c>
      <x:c r="B334" s="1" t="str">
        <x:v>tamaño bolso de mano sky</x:v>
      </x:c>
      <x:c r="C334" s="1" t="str">
        <x:v>chl</x:v>
      </x:c>
      <x:c r="D334" s="1" t="str">
        <x:v>Marca</x:v>
      </x:c>
      <x:c r="E334" s="35" t="n">
        <x:v>5</x:v>
      </x:c>
      <x:c r="F334" s="36" t="n">
        <x:v>0.09</x:v>
      </x:c>
      <x:c r="G334" s="36" t="n">
        <x:f>IF(ISNUMBER(F334),E334*F334,"")</x:f>
        <x:v>0.44999999999999996</x:v>
      </x:c>
      <x:c r="H334" s="37" t="d">
        <x:v>2026-10-15T00:00:00.000Z</x:v>
      </x:c>
      <x:c r="I334" s="37" t="d">
        <x:v>2026-09-15T10:17:02.000Z</x:v>
      </x:c>
      <x:c r="J334" s="1" t="n">
        <x:f>IF(ISNUMBER(F334),E334,0)</x:f>
        <x:v>5</x:v>
      </x:c>
      <x:c r="K334" s="1"/>
      <x:c r="L334" s="1" t="str">
        <x:v>https://blog.skyairline.com/bahia-principe-guia-de-hoteles-y-experiencias-en-el-caribe/</x:v>
      </x:c>
      <x:c r="M334" s="1" t="n">
        <x:v>5</x:v>
      </x:c>
    </x:row>
    <x:row r="335" ht="18.75" customHeight="1">
      <x:c r="A335" s="1" t="str">
        <x:v>https://blog.skyairline.com/escapada-romantica-fin-de-semana/</x:v>
      </x:c>
      <x:c r="B335" s="1" t="str">
        <x:v>escapada romantica fin de semana</x:v>
      </x:c>
      <x:c r="C335" s="1" t="str">
        <x:v>chl</x:v>
      </x:c>
      <x:c r="D335" s="1" t="str">
        <x:v>Sin marca</x:v>
      </x:c>
      <x:c r="E335" s="35" t="n">
        <x:v>5</x:v>
      </x:c>
      <x:c r="F335" s="36" t="n">
        <x:v>0.77</x:v>
      </x:c>
      <x:c r="G335" s="36" t="n">
        <x:f>IF(ISNUMBER(F335),E335*F335,"")</x:f>
        <x:v>3.85</x:v>
      </x:c>
      <x:c r="H335" s="37" t="d">
        <x:v>2026-10-15T00:00:00.000Z</x:v>
      </x:c>
      <x:c r="I335" s="37" t="d">
        <x:v>2026-09-13T01:17:25.000Z</x:v>
      </x:c>
      <x:c r="J335" s="1" t="n">
        <x:f>IF(ISNUMBER(F335),E335,0)</x:f>
        <x:v>5</x:v>
      </x:c>
      <x:c r="K335" s="1"/>
      <x:c r="L335" s="1" t="str">
        <x:v>https://blog.skyairline.com/bombinhas/</x:v>
      </x:c>
      <x:c r="M335" s="1" t="n">
        <x:v>5</x:v>
      </x:c>
    </x:row>
    <x:row r="336" ht="18.75" customHeight="1">
      <x:c r="A336" s="1" t="str">
        <x:v>https://blog.skyairline.com/google-flights/</x:v>
      </x:c>
      <x:c r="B336" s="1" t="str">
        <x:v>google flights</x:v>
      </x:c>
      <x:c r="C336" s="1" t="str">
        <x:v>chl</x:v>
      </x:c>
      <x:c r="D336" s="1" t="str">
        <x:v>Sin marca</x:v>
      </x:c>
      <x:c r="E336" s="35" t="n">
        <x:v>5</x:v>
      </x:c>
      <x:c r="F336" s="36" t="n">
        <x:v>0.53</x:v>
      </x:c>
      <x:c r="G336" s="36" t="n">
        <x:f>IF(ISNUMBER(F336),E336*F336,"")</x:f>
        <x:v>2.6500000000000004</x:v>
      </x:c>
      <x:c r="H336" s="37" t="d">
        <x:v>2026-10-15T00:00:00.000Z</x:v>
      </x:c>
      <x:c r="I336" s="37" t="d">
        <x:v>2026-09-17T07:55:48.000Z</x:v>
      </x:c>
      <x:c r="J336" s="1" t="n">
        <x:f>IF(ISNUMBER(F336),E336,0)</x:f>
        <x:v>5</x:v>
      </x:c>
      <x:c r="K336" s="1"/>
      <x:c r="L336" s="1" t="str">
        <x:v>https://blog.skyairline.com/bosque-de-araucarias-en-chile-donde-encontrarlos-y-que-ver/</x:v>
      </x:c>
      <x:c r="M336" s="1" t="n">
        <x:v>5</x:v>
      </x:c>
    </x:row>
    <x:row r="337" ht="18.75" customHeight="1">
      <x:c r="A337" s="1" t="str">
        <x:v>https://blog.skyairline.com/hotel-all-inclusive/</x:v>
      </x:c>
      <x:c r="B337" s="1" t="str">
        <x:v>all inclusive chile</x:v>
      </x:c>
      <x:c r="C337" s="1" t="str">
        <x:v>chl</x:v>
      </x:c>
      <x:c r="D337" s="1" t="str">
        <x:v>Sin marca</x:v>
      </x:c>
      <x:c r="E337" s="35" t="n">
        <x:v>5</x:v>
      </x:c>
      <x:c r="F337" s="36" t="n">
        <x:v>0.63</x:v>
      </x:c>
      <x:c r="G337" s="36" t="n">
        <x:f>IF(ISNUMBER(F337),E337*F337,"")</x:f>
        <x:v>3.15</x:v>
      </x:c>
      <x:c r="H337" s="37" t="d">
        <x:v>2026-10-15T00:00:00.000Z</x:v>
      </x:c>
      <x:c r="I337" s="37" t="d">
        <x:v>2026-09-16T00:15:47.999Z</x:v>
      </x:c>
      <x:c r="J337" s="1" t="n">
        <x:f>IF(ISNUMBER(F337),E337,0)</x:f>
        <x:v>5</x:v>
      </x:c>
      <x:c r="K337" s="1"/>
      <x:c r="L337" s="1" t="str">
        <x:v>https://blog.skyairline.com/caldera/</x:v>
      </x:c>
      <x:c r="M337" s="1" t="n">
        <x:v>5</x:v>
      </x:c>
    </x:row>
    <x:row r="338" ht="18.75" customHeight="1">
      <x:c r="A338" s="1" t="str">
        <x:v>https://blog.skyairline.com/maquillaje-en-avion/</x:v>
      </x:c>
      <x:c r="B338" s="1" t="str">
        <x:v>se puede llevar maquillaje en el equipaje de mano</x:v>
      </x:c>
      <x:c r="C338" s="1" t="str">
        <x:v>chl</x:v>
      </x:c>
      <x:c r="D338" s="1" t="str">
        <x:v>Sin marca</x:v>
      </x:c>
      <x:c r="E338" s="35" t="n">
        <x:v>5</x:v>
      </x:c>
      <x:c r="F338" s="36" t="n">
        <x:v>0.25</x:v>
      </x:c>
      <x:c r="G338" s="36" t="n">
        <x:f>IF(ISNUMBER(F338),E338*F338,"")</x:f>
        <x:v>1.25</x:v>
      </x:c>
      <x:c r="H338" s="37" t="d">
        <x:v>2026-10-15T00:00:00.000Z</x:v>
      </x:c>
      <x:c r="I338" s="37" t="d">
        <x:v>2026-09-15T12:11:28.000Z</x:v>
      </x:c>
      <x:c r="J338" s="1" t="n">
        <x:f>IF(ISNUMBER(F338),E338,0)</x:f>
        <x:v>5</x:v>
      </x:c>
      <x:c r="K338" s="1"/>
      <x:c r="L338" s="1" t="str">
        <x:v>https://blog.skyairline.com/catedral-de-tacna/</x:v>
      </x:c>
      <x:c r="M338" s="1" t="n">
        <x:v>5</x:v>
      </x:c>
    </x:row>
    <x:row r="339" ht="18.75" customHeight="1">
      <x:c r="A339" s="1" t="str">
        <x:v>https://blog.skyairline.com/mascotas-en-cabina/</x:v>
      </x:c>
      <x:c r="B339" s="1" t="str">
        <x:v>sky mascotas requisitos bodega</x:v>
      </x:c>
      <x:c r="C339" s="1" t="str">
        <x:v>chl</x:v>
      </x:c>
      <x:c r="D339" s="1" t="str">
        <x:v>Marca</x:v>
      </x:c>
      <x:c r="E339" s="35" t="n">
        <x:v>5</x:v>
      </x:c>
      <x:c r="F339" s="36"/>
      <x:c r="G339" s="36" t="str">
        <x:f>IF(ISNUMBER(F339),E339*F339,"")</x:f>
      </x:c>
      <x:c r="H339" s="37" t="d">
        <x:v>2026-10-15T00:00:00.000Z</x:v>
      </x:c>
      <x:c r="I339" s="37" t="d">
        <x:v>2026-09-16T16:50:05.000Z</x:v>
      </x:c>
      <x:c r="J339" s="1" t="n">
        <x:f>IF(ISNUMBER(F339),E339,0)</x:f>
        <x:v>0</x:v>
      </x:c>
      <x:c r="K339" s="1"/>
      <x:c r="L339" s="1" t="str">
        <x:v>https://blog.skyairline.com/centro-historico-lima/</x:v>
      </x:c>
      <x:c r="M339" s="1" t="n">
        <x:v>5</x:v>
      </x:c>
    </x:row>
    <x:row r="340" ht="18.75" customHeight="1">
      <x:c r="A340" s="1" t="str">
        <x:v>https://blog.skyairline.com/mascotas-en-cabina/</x:v>
      </x:c>
      <x:c r="B340" s="1" t="str">
        <x:v>sky viajar con mascota</x:v>
      </x:c>
      <x:c r="C340" s="1" t="str">
        <x:v>chl</x:v>
      </x:c>
      <x:c r="D340" s="1" t="str">
        <x:v>Marca</x:v>
      </x:c>
      <x:c r="E340" s="35" t="n">
        <x:v>5</x:v>
      </x:c>
      <x:c r="F340" s="36"/>
      <x:c r="G340" s="36" t="str">
        <x:f>IF(ISNUMBER(F340),E340*F340,"")</x:f>
      </x:c>
      <x:c r="H340" s="37" t="d">
        <x:v>2026-10-15T00:00:00.000Z</x:v>
      </x:c>
      <x:c r="I340" s="37" t="d">
        <x:v>2026-09-13T19:55:54.000Z</x:v>
      </x:c>
      <x:c r="J340" s="1" t="n">
        <x:f>IF(ISNUMBER(F340),E340,0)</x:f>
        <x:v>0</x:v>
      </x:c>
      <x:c r="K340" s="1"/>
      <x:c r="L340" s="1" t="str">
        <x:v>https://blog.skyairline.com/clima-del-desierto-de-atacama/</x:v>
      </x:c>
      <x:c r="M340" s="1" t="n">
        <x:v>5</x:v>
      </x:c>
    </x:row>
    <x:row r="341" ht="18.75" customHeight="1">
      <x:c r="A341" s="1" t="str">
        <x:v>https://blog.skyairline.com/platos-tipicos-de-lima/</x:v>
      </x:c>
      <x:c r="B341" s="1" t="str">
        <x:v>platos típicos lima</x:v>
      </x:c>
      <x:c r="C341" s="1" t="str">
        <x:v>per</x:v>
      </x:c>
      <x:c r="D341" s="1" t="str">
        <x:v>Sin marca</x:v>
      </x:c>
      <x:c r="E341" s="35" t="n">
        <x:v>5</x:v>
      </x:c>
      <x:c r="F341" s="36"/>
      <x:c r="G341" s="36" t="str">
        <x:f>IF(ISNUMBER(F341),E341*F341,"")</x:f>
      </x:c>
      <x:c r="H341" s="37" t="d">
        <x:v>2026-10-15T00:00:00.000Z</x:v>
      </x:c>
      <x:c r="I341" s="37" t="d">
        <x:v>2026-09-14T12:13:40.000Z</x:v>
      </x:c>
      <x:c r="J341" s="1" t="n">
        <x:f>IF(ISNUMBER(F341),E341,0)</x:f>
        <x:v>0</x:v>
      </x:c>
      <x:c r="K341" s="1"/>
      <x:c r="L341" s="1" t="str">
        <x:v>https://blog.skyairline.com/descubre-las-fiestas-religiosas-de-chile-mas-famosas/</x:v>
      </x:c>
      <x:c r="M341" s="1" t="n">
        <x:v>5</x:v>
      </x:c>
    </x:row>
    <x:row r="342" ht="18.75" customHeight="1">
      <x:c r="A342" s="1" t="str">
        <x:v>https://blog.skyairline.com/salvador-de-bahia/</x:v>
      </x:c>
      <x:c r="B342" s="1" t="str">
        <x:v>salvador de bahía es peligroso</x:v>
      </x:c>
      <x:c r="C342" s="1" t="str">
        <x:v>chl</x:v>
      </x:c>
      <x:c r="D342" s="1" t="str">
        <x:v>Sin marca</x:v>
      </x:c>
      <x:c r="E342" s="35" t="n">
        <x:v>5</x:v>
      </x:c>
      <x:c r="F342" s="36"/>
      <x:c r="G342" s="36" t="str">
        <x:f>IF(ISNUMBER(F342),E342*F342,"")</x:f>
      </x:c>
      <x:c r="H342" s="37" t="d">
        <x:v>2026-10-15T00:00:00.000Z</x:v>
      </x:c>
      <x:c r="I342" s="37" t="d">
        <x:v>2026-09-14T19:02:38.000Z</x:v>
      </x:c>
      <x:c r="J342" s="1" t="n">
        <x:f>IF(ISNUMBER(F342),E342,0)</x:f>
        <x:v>0</x:v>
      </x:c>
      <x:c r="K342" s="1"/>
      <x:c r="L342" s="1" t="str">
        <x:v>https://blog.skyairline.com/edificios-patrimoniales-de-chile/</x:v>
      </x:c>
      <x:c r="M342" s="1" t="n">
        <x:v>5</x:v>
      </x:c>
    </x:row>
    <x:row r="343" ht="18.75" customHeight="1">
      <x:c r="A343" s="1" t="str">
        <x:v>https://blog.skyairline.com/seguro-de-viaje/</x:v>
      </x:c>
      <x:c r="B343" s="1" t="str">
        <x:v>seguro de viaje sky</x:v>
      </x:c>
      <x:c r="C343" s="1" t="str">
        <x:v>chl</x:v>
      </x:c>
      <x:c r="D343" s="1" t="str">
        <x:v>Marca</x:v>
      </x:c>
      <x:c r="E343" s="35" t="n">
        <x:v>5</x:v>
      </x:c>
      <x:c r="F343" s="36" t="n">
        <x:v>1.44</x:v>
      </x:c>
      <x:c r="G343" s="36" t="n">
        <x:f>IF(ISNUMBER(F343),E343*F343,"")</x:f>
        <x:v>7.199999999999999</x:v>
      </x:c>
      <x:c r="H343" s="37" t="d">
        <x:v>2026-10-15T00:00:00.000Z</x:v>
      </x:c>
      <x:c r="I343" s="37" t="d">
        <x:v>2026-09-14T18:27:41.000Z</x:v>
      </x:c>
      <x:c r="J343" s="1" t="n">
        <x:f>IF(ISNUMBER(F343),E343,0)</x:f>
        <x:v>5</x:v>
      </x:c>
      <x:c r="K343" s="1"/>
      <x:c r="L343" s="1" t="str">
        <x:v>https://blog.skyairline.com/el-tiempo-en-florianopolis/</x:v>
      </x:c>
      <x:c r="M343" s="1" t="n">
        <x:v>5</x:v>
      </x:c>
    </x:row>
    <x:row r="344" ht="18.75" customHeight="1">
      <x:c r="A344" s="1" t="str">
        <x:v>https://blog.skyairline.com/sky-airline-2/</x:v>
      </x:c>
      <x:c r="B344" s="1" t="str">
        <x:v>billetera sky peru</x:v>
      </x:c>
      <x:c r="C344" s="1" t="str">
        <x:v>per</x:v>
      </x:c>
      <x:c r="D344" s="1" t="str">
        <x:v>Marca</x:v>
      </x:c>
      <x:c r="E344" s="35" t="n">
        <x:v>5</x:v>
      </x:c>
      <x:c r="F344" s="36" t="n">
        <x:v>0.02</x:v>
      </x:c>
      <x:c r="G344" s="36" t="n">
        <x:f>IF(ISNUMBER(F344),E344*F344,"")</x:f>
        <x:v>0.1</x:v>
      </x:c>
      <x:c r="H344" s="37" t="d">
        <x:v>2026-10-15T00:00:00.000Z</x:v>
      </x:c>
      <x:c r="I344" s="37" t="d">
        <x:v>2026-09-17T04:03:47.000Z</x:v>
      </x:c>
      <x:c r="J344" s="1" t="n">
        <x:f>IF(ISNUMBER(F344),E344,0)</x:f>
        <x:v>5</x:v>
      </x:c>
      <x:c r="K344" s="1"/>
      <x:c r="L344" s="1" t="str">
        <x:v>https://blog.skyairline.com/esquiar-en-bariloche/</x:v>
      </x:c>
      <x:c r="M344" s="1" t="n">
        <x:v>5</x:v>
      </x:c>
    </x:row>
    <x:row r="345" ht="18.75" customHeight="1">
      <x:c r="A345" s="1" t="str">
        <x:v>https://blog.skyairline.com/sky-aviones/</x:v>
      </x:c>
      <x:c r="B345" s="1" t="str">
        <x:v>aviones sky airlines</x:v>
      </x:c>
      <x:c r="C345" s="1" t="str">
        <x:v>ury</x:v>
      </x:c>
      <x:c r="D345" s="1" t="str">
        <x:v>Marca</x:v>
      </x:c>
      <x:c r="E345" s="35" t="n">
        <x:v>5</x:v>
      </x:c>
      <x:c r="F345" s="36"/>
      <x:c r="G345" s="36" t="str">
        <x:f>IF(ISNUMBER(F345),E345*F345,"")</x:f>
      </x:c>
      <x:c r="H345" s="37"/>
      <x:c r="I345" s="37"/>
      <x:c r="J345" s="1" t="n">
        <x:f>IF(ISNUMBER(F345),E345,0)</x:f>
        <x:v>0</x:v>
      </x:c>
      <x:c r="K345" s="1"/>
      <x:c r="L345" s="1" t="str">
        <x:v>https://blog.skyairline.com/experiencia-de-viaje/</x:v>
      </x:c>
      <x:c r="M345" s="1" t="n">
        <x:v>5</x:v>
      </x:c>
    </x:row>
    <x:row r="346" ht="18.75" customHeight="1">
      <x:c r="A346" s="1" t="str">
        <x:v>https://blog.skyairline.com/sky-fortalece-su-propuesta-de-valor-para-sus-pasajeros-con-economy-premier/</x:v>
      </x:c>
      <x:c r="B346" s="1" t="str">
        <x:v>sky airline economy premier</x:v>
      </x:c>
      <x:c r="C346" s="1" t="str">
        <x:v>chl</x:v>
      </x:c>
      <x:c r="D346" s="1" t="str">
        <x:v>Marca</x:v>
      </x:c>
      <x:c r="E346" s="35" t="n">
        <x:v>5</x:v>
      </x:c>
      <x:c r="F346" s="36"/>
      <x:c r="G346" s="36" t="str">
        <x:f>IF(ISNUMBER(F346),E346*F346,"")</x:f>
      </x:c>
      <x:c r="H346" s="37"/>
      <x:c r="I346" s="37"/>
      <x:c r="J346" s="1" t="n">
        <x:f>IF(ISNUMBER(F346),E346,0)</x:f>
        <x:v>0</x:v>
      </x:c>
      <x:c r="K346" s="1"/>
      <x:c r="L346" s="1" t="str">
        <x:v>https://blog.skyairline.com/isla-de-san-andres/</x:v>
      </x:c>
      <x:c r="M346" s="1" t="n">
        <x:v>5</x:v>
      </x:c>
    </x:row>
    <x:row r="347" ht="18.75" customHeight="1">
      <x:c r="A347" s="1" t="str">
        <x:v>https://blog.skyairline.com/sky-fortalece-su-propuesta-de-valor-para-sus-pasajeros-con-economy-premier/</x:v>
      </x:c>
      <x:c r="B347" s="1" t="str">
        <x:v>sky premier</x:v>
      </x:c>
      <x:c r="C347" s="1" t="str">
        <x:v>chl</x:v>
      </x:c>
      <x:c r="D347" s="1" t="str">
        <x:v>Marca</x:v>
      </x:c>
      <x:c r="E347" s="35" t="n">
        <x:v>5</x:v>
      </x:c>
      <x:c r="F347" s="36"/>
      <x:c r="G347" s="36" t="str">
        <x:f>IF(ISNUMBER(F347),E347*F347,"")</x:f>
      </x:c>
      <x:c r="H347" s="37"/>
      <x:c r="I347" s="37"/>
      <x:c r="J347" s="1" t="n">
        <x:f>IF(ISNUMBER(F347),E347,0)</x:f>
        <x:v>0</x:v>
      </x:c>
      <x:c r="K347" s="1"/>
      <x:c r="L347" s="1" t="str">
        <x:v>https://blog.skyairline.com/isla-san-lorenzo-callao/</x:v>
      </x:c>
      <x:c r="M347" s="1" t="n">
        <x:v>5</x:v>
      </x:c>
    </x:row>
    <x:row r="348" ht="18.75" customHeight="1">
      <x:c r="A348" s="1" t="str">
        <x:v>https://blog.skyairline.com/sky-fortalece-su-propuesta-de-valor-para-sus-pasajeros-con-economy-premier/</x:v>
      </x:c>
      <x:c r="B348" s="1" t="str">
        <x:v>sky premium</x:v>
      </x:c>
      <x:c r="C348" s="1" t="str">
        <x:v>chl</x:v>
      </x:c>
      <x:c r="D348" s="1" t="str">
        <x:v>Marca</x:v>
      </x:c>
      <x:c r="E348" s="35" t="n">
        <x:v>5</x:v>
      </x:c>
      <x:c r="F348" s="36"/>
      <x:c r="G348" s="36" t="str">
        <x:f>IF(ISNUMBER(F348),E348*F348,"")</x:f>
      </x:c>
      <x:c r="H348" s="37"/>
      <x:c r="I348" s="37"/>
      <x:c r="J348" s="1" t="n">
        <x:f>IF(ISNUMBER(F348),E348,0)</x:f>
        <x:v>0</x:v>
      </x:c>
      <x:c r="K348" s="1"/>
      <x:c r="L348" s="1" t="str">
        <x:v>https://blog.skyairline.com/lago-villarrica/</x:v>
      </x:c>
      <x:c r="M348" s="1" t="n">
        <x:v>5</x:v>
      </x:c>
    </x:row>
    <x:row r="349" ht="18.75" customHeight="1">
      <x:c r="A349" s="1" t="str">
        <x:v>https://blog.skyairline.com/sky-fortalece-su-propuesta-de-valor-para-sus-pasajeros-con-economy-premier/</x:v>
      </x:c>
      <x:c r="B349" s="1" t="str">
        <x:v>upgrade sky</x:v>
      </x:c>
      <x:c r="C349" s="1" t="str">
        <x:v>chl</x:v>
      </x:c>
      <x:c r="D349" s="1" t="str">
        <x:v>Marca</x:v>
      </x:c>
      <x:c r="E349" s="35" t="n">
        <x:v>5</x:v>
      </x:c>
      <x:c r="F349" s="36"/>
      <x:c r="G349" s="36" t="str">
        <x:f>IF(ISNUMBER(F349),E349*F349,"")</x:f>
      </x:c>
      <x:c r="H349" s="37"/>
      <x:c r="I349" s="37"/>
      <x:c r="J349" s="1" t="n">
        <x:f>IF(ISNUMBER(F349),E349,0)</x:f>
        <x:v>0</x:v>
      </x:c>
      <x:c r="K349" s="1"/>
      <x:c r="L349" s="1" t="str">
        <x:v>https://blog.skyairline.com/laguna-de-chacas/</x:v>
      </x:c>
      <x:c r="M349" s="1" t="n">
        <x:v>5</x:v>
      </x:c>
    </x:row>
    <x:row r="350" ht="18.75" customHeight="1">
      <x:c r="A350" s="1" t="str">
        <x:v>https://blog.skyairline.com/sky-plus/</x:v>
      </x:c>
      <x:c r="B350" s="1" t="str">
        <x:v>membresia sky</x:v>
      </x:c>
      <x:c r="C350" s="1" t="str">
        <x:v>chl</x:v>
      </x:c>
      <x:c r="D350" s="1" t="str">
        <x:v>Marca</x:v>
      </x:c>
      <x:c r="E350" s="35" t="n">
        <x:v>5</x:v>
      </x:c>
      <x:c r="F350" s="36"/>
      <x:c r="G350" s="36" t="str">
        <x:f>IF(ISNUMBER(F350),E350*F350,"")</x:f>
      </x:c>
      <x:c r="H350" s="37"/>
      <x:c r="I350" s="37"/>
      <x:c r="J350" s="1" t="n">
        <x:f>IF(ISNUMBER(F350),E350,0)</x:f>
        <x:v>0</x:v>
      </x:c>
      <x:c r="K350" s="1"/>
      <x:c r="L350" s="1" t="str">
        <x:v>https://blog.skyairline.com/lami-e-ipanema/</x:v>
      </x:c>
      <x:c r="M350" s="1" t="n">
        <x:v>5</x:v>
      </x:c>
    </x:row>
    <x:row r="351" ht="18.75" customHeight="1">
      <x:c r="A351" s="1" t="str">
        <x:v>https://blog.skyairline.com/sky-plus/</x:v>
      </x:c>
      <x:c r="B351" s="1" t="str">
        <x:v>pasajero frecuente sky</x:v>
      </x:c>
      <x:c r="C351" s="1" t="str">
        <x:v>per</x:v>
      </x:c>
      <x:c r="D351" s="1" t="str">
        <x:v>Marca</x:v>
      </x:c>
      <x:c r="E351" s="35" t="n">
        <x:v>5</x:v>
      </x:c>
      <x:c r="F351" s="36" t="n">
        <x:v>0.38</x:v>
      </x:c>
      <x:c r="G351" s="36" t="n">
        <x:f>IF(ISNUMBER(F351),E351*F351,"")</x:f>
        <x:v>1.9</x:v>
      </x:c>
      <x:c r="H351" s="37" t="d">
        <x:v>2026-10-15T00:00:00.000Z</x:v>
      </x:c>
      <x:c r="I351" s="37" t="d">
        <x:v>2026-09-15T15:39:51.000Z</x:v>
      </x:c>
      <x:c r="J351" s="1" t="n">
        <x:f>IF(ISNUMBER(F351),E351,0)</x:f>
        <x:v>5</x:v>
      </x:c>
      <x:c r="K351" s="1"/>
      <x:c r="L351" s="1" t="str">
        <x:v>https://blog.skyairline.com/lugares-turisticos-2/</x:v>
      </x:c>
      <x:c r="M351" s="1" t="n">
        <x:v>5</x:v>
      </x:c>
    </x:row>
    <x:row r="352" ht="18.75" customHeight="1">
      <x:c r="A352" s="1" t="str">
        <x:v>https://blog.skyairline.com/tipos-de-equipaje/</x:v>
      </x:c>
      <x:c r="B352" s="1" t="str">
        <x:v>equipaje en cabina sky medidas</x:v>
      </x:c>
      <x:c r="C352" s="1" t="str">
        <x:v>chl</x:v>
      </x:c>
      <x:c r="D352" s="1" t="str">
        <x:v>Marca</x:v>
      </x:c>
      <x:c r="E352" s="35" t="n">
        <x:v>5</x:v>
      </x:c>
      <x:c r="F352" s="36"/>
      <x:c r="G352" s="36" t="str">
        <x:f>IF(ISNUMBER(F352),E352*F352,"")</x:f>
      </x:c>
      <x:c r="H352" s="37" t="d">
        <x:v>2026-10-15T00:00:00.000Z</x:v>
      </x:c>
      <x:c r="I352" s="37" t="d">
        <x:v>2026-09-17T07:06:38.000Z</x:v>
      </x:c>
      <x:c r="J352" s="1" t="n">
        <x:f>IF(ISNUMBER(F352),E352,0)</x:f>
        <x:v>0</x:v>
      </x:c>
      <x:c r="K352" s="1"/>
      <x:c r="L352" s="1" t="str">
        <x:v>https://blog.skyairline.com/maletas-de-viaje/</x:v>
      </x:c>
      <x:c r="M352" s="1" t="n">
        <x:v>5</x:v>
      </x:c>
    </x:row>
    <x:row r="353" ht="18.75" customHeight="1">
      <x:c r="A353" s="1" t="str">
        <x:v>https://blog.skyairline.com/tipos-de-equipaje/</x:v>
      </x:c>
      <x:c r="B353" s="1" t="str">
        <x:v>medidas equipaje sky</x:v>
      </x:c>
      <x:c r="C353" s="1" t="str">
        <x:v>chl</x:v>
      </x:c>
      <x:c r="D353" s="1" t="str">
        <x:v>Marca</x:v>
      </x:c>
      <x:c r="E353" s="35" t="n">
        <x:v>5</x:v>
      </x:c>
      <x:c r="F353" s="36"/>
      <x:c r="G353" s="36" t="str">
        <x:f>IF(ISNUMBER(F353),E353*F353,"")</x:f>
      </x:c>
      <x:c r="H353" s="37" t="d">
        <x:v>2026-10-15T00:00:00.000Z</x:v>
      </x:c>
      <x:c r="I353" s="37" t="d">
        <x:v>2026-09-16T17:10:37.999Z</x:v>
      </x:c>
      <x:c r="J353" s="1" t="n">
        <x:f>IF(ISNUMBER(F353),E353,0)</x:f>
        <x:v>0</x:v>
      </x:c>
      <x:c r="K353" s="1"/>
      <x:c r="L353" s="1" t="str">
        <x:v>https://blog.skyairline.com/nevado-rajuntay/</x:v>
      </x:c>
      <x:c r="M353" s="1" t="n">
        <x:v>5</x:v>
      </x:c>
    </x:row>
    <x:row r="354" ht="18.75" customHeight="1">
      <x:c r="A354" s="1" t="str">
        <x:v>https://blog.skyairline.com/tipos-de-equipaje/</x:v>
      </x:c>
      <x:c r="B354" s="1" t="str">
        <x:v>medidas sky</x:v>
      </x:c>
      <x:c r="C354" s="1" t="str">
        <x:v>per</x:v>
      </x:c>
      <x:c r="D354" s="1" t="str">
        <x:v>Marca</x:v>
      </x:c>
      <x:c r="E354" s="35" t="n">
        <x:v>5</x:v>
      </x:c>
      <x:c r="F354" s="36"/>
      <x:c r="G354" s="36" t="str">
        <x:f>IF(ISNUMBER(F354),E354*F354,"")</x:f>
      </x:c>
      <x:c r="H354" s="37" t="d">
        <x:v>2026-10-15T00:00:00.000Z</x:v>
      </x:c>
      <x:c r="I354" s="37" t="d">
        <x:v>2026-10-15T03:58:55.000Z</x:v>
      </x:c>
      <x:c r="J354" s="1" t="n">
        <x:f>IF(ISNUMBER(F354),E354,0)</x:f>
        <x:v>0</x:v>
      </x:c>
      <x:c r="K354" s="1"/>
      <x:c r="L354" s="1" t="str">
        <x:v>https://blog.skyairline.com/nieve-en-santiago-de-chile/</x:v>
      </x:c>
      <x:c r="M354" s="1" t="n">
        <x:v>5</x:v>
      </x:c>
    </x:row>
    <x:row r="355" ht="18.75" customHeight="1">
      <x:c r="A355" s="1" t="str">
        <x:v>https://blog.skyairline.com/tipos-de-equipaje/</x:v>
      </x:c>
      <x:c r="B355" s="1" t="str">
        <x:v>sky airline equipaje</x:v>
      </x:c>
      <x:c r="C355" s="1" t="str">
        <x:v>arg</x:v>
      </x:c>
      <x:c r="D355" s="1" t="str">
        <x:v>Marca</x:v>
      </x:c>
      <x:c r="E355" s="35" t="n">
        <x:v>5</x:v>
      </x:c>
      <x:c r="F355" s="36"/>
      <x:c r="G355" s="36" t="str">
        <x:f>IF(ISNUMBER(F355),E355*F355,"")</x:f>
      </x:c>
      <x:c r="H355" s="37"/>
      <x:c r="I355" s="37"/>
      <x:c r="J355" s="1" t="n">
        <x:f>IF(ISNUMBER(F355),E355,0)</x:f>
        <x:v>0</x:v>
      </x:c>
      <x:c r="K355" s="1"/>
      <x:c r="L355" s="1" t="str">
        <x:v>https://blog.skyairline.com/paises-caribe/</x:v>
      </x:c>
      <x:c r="M355" s="1" t="n">
        <x:v>5</x:v>
      </x:c>
    </x:row>
    <x:row r="356" ht="18.75" customHeight="1">
      <x:c r="A356" s="1" t="str">
        <x:v>https://blog.skyairline.com/tipos-de-equipaje/</x:v>
      </x:c>
      <x:c r="B356" s="1" t="str">
        <x:v>sky airlines equipaje</x:v>
      </x:c>
      <x:c r="C356" s="1" t="str">
        <x:v>arg</x:v>
      </x:c>
      <x:c r="D356" s="1" t="str">
        <x:v>Marca</x:v>
      </x:c>
      <x:c r="E356" s="35" t="n">
        <x:v>5</x:v>
      </x:c>
      <x:c r="F356" s="36"/>
      <x:c r="G356" s="36" t="str">
        <x:f>IF(ISNUMBER(F356),E356*F356,"")</x:f>
      </x:c>
      <x:c r="H356" s="37"/>
      <x:c r="I356" s="37"/>
      <x:c r="J356" s="1" t="n">
        <x:f>IF(ISNUMBER(F356),E356,0)</x:f>
        <x:v>0</x:v>
      </x:c>
      <x:c r="K356" s="1"/>
      <x:c r="L356" s="1" t="str">
        <x:v>https://blog.skyairline.com/patagonia-chilena-o-argentina-cual-elegir-para-tu-viaje/</x:v>
      </x:c>
      <x:c r="M356" s="1" t="n">
        <x:v>5</x:v>
      </x:c>
    </x:row>
    <x:row r="357" ht="18.75" customHeight="1">
      <x:c r="A357" s="1" t="str">
        <x:v>https://blog.skyairline.com/tipos-de-equipaje/</x:v>
      </x:c>
      <x:c r="B357" s="1" t="str">
        <x:v>sky articulo personal</x:v>
      </x:c>
      <x:c r="C357" s="1" t="str">
        <x:v>chl</x:v>
      </x:c>
      <x:c r="D357" s="1" t="str">
        <x:v>Marca</x:v>
      </x:c>
      <x:c r="E357" s="35" t="n">
        <x:v>5</x:v>
      </x:c>
      <x:c r="F357" s="36"/>
      <x:c r="G357" s="36" t="str">
        <x:f>IF(ISNUMBER(F357),E357*F357,"")</x:f>
      </x:c>
      <x:c r="H357" s="37"/>
      <x:c r="I357" s="37"/>
      <x:c r="J357" s="1" t="n">
        <x:f>IF(ISNUMBER(F357),E357,0)</x:f>
        <x:v>0</x:v>
      </x:c>
      <x:c r="K357" s="1"/>
      <x:c r="L357" s="1" t="str">
        <x:v>https://blog.skyairline.com/petroglificos-de-miculla/</x:v>
      </x:c>
      <x:c r="M357" s="1" t="n">
        <x:v>5</x:v>
      </x:c>
    </x:row>
    <x:row r="358" ht="18.75" customHeight="1">
      <x:c r="A358" s="1" t="str">
        <x:v>https://blog.skyairline.com/tipos-de-equipaje/</x:v>
      </x:c>
      <x:c r="B358" s="1" t="str">
        <x:v>sky equipaje de bodega</x:v>
      </x:c>
      <x:c r="C358" s="1" t="str">
        <x:v>ury</x:v>
      </x:c>
      <x:c r="D358" s="1" t="str">
        <x:v>Marca</x:v>
      </x:c>
      <x:c r="E358" s="35" t="n">
        <x:v>5</x:v>
      </x:c>
      <x:c r="F358" s="36"/>
      <x:c r="G358" s="36" t="str">
        <x:f>IF(ISNUMBER(F358),E358*F358,"")</x:f>
      </x:c>
      <x:c r="H358" s="37"/>
      <x:c r="I358" s="37"/>
      <x:c r="J358" s="1" t="n">
        <x:f>IF(ISNUMBER(F358),E358,0)</x:f>
        <x:v>0</x:v>
      </x:c>
      <x:c r="K358" s="1"/>
      <x:c r="L358" s="1" t="str">
        <x:v>https://blog.skyairline.com/primavera-en-chile-2/</x:v>
      </x:c>
      <x:c r="M358" s="1" t="n">
        <x:v>5</x:v>
      </x:c>
    </x:row>
    <x:row r="359" ht="18.75" customHeight="1">
      <x:c r="A359" s="1" t="str">
        <x:v>https://blog.skyairline.com/viajar-a-coyhaique/</x:v>
      </x:c>
      <x:c r="B359" s="1" t="str">
        <x:v>como llegar a coyhaique</x:v>
      </x:c>
      <x:c r="C359" s="1" t="str">
        <x:v>chl</x:v>
      </x:c>
      <x:c r="D359" s="1" t="str">
        <x:v>Sin marca</x:v>
      </x:c>
      <x:c r="E359" s="35" t="n">
        <x:v>5</x:v>
      </x:c>
      <x:c r="F359" s="36" t="n">
        <x:v>1.05</x:v>
      </x:c>
      <x:c r="G359" s="36" t="n">
        <x:f>IF(ISNUMBER(F359),E359*F359,"")</x:f>
        <x:v>5.25</x:v>
      </x:c>
      <x:c r="H359" s="37" t="d">
        <x:v>2026-10-15T00:00:00.000Z</x:v>
      </x:c>
      <x:c r="I359" s="37" t="d">
        <x:v>2026-09-15T01:54:36.000Z</x:v>
      </x:c>
      <x:c r="J359" s="1" t="n">
        <x:f>IF(ISNUMBER(F359),E359,0)</x:f>
        <x:v>5</x:v>
      </x:c>
      <x:c r="K359" s="1"/>
      <x:c r="L359" s="1" t="str">
        <x:v>https://blog.skyairline.com/primavera-en-chile/</x:v>
      </x:c>
      <x:c r="M359" s="1" t="n">
        <x:v>5</x:v>
      </x:c>
    </x:row>
    <x:row r="360" ht="18.75" customHeight="1">
      <x:c r="A360" s="1" t="str">
        <x:v>https://blog.skyairline.com/viajar-con-perros/</x:v>
      </x:c>
      <x:c r="B360" s="1" t="str">
        <x:v>sky viajar con mascota</x:v>
      </x:c>
      <x:c r="C360" s="1" t="str">
        <x:v>per</x:v>
      </x:c>
      <x:c r="D360" s="1" t="str">
        <x:v>Marca</x:v>
      </x:c>
      <x:c r="E360" s="35" t="n">
        <x:v>5</x:v>
      </x:c>
      <x:c r="F360" s="36"/>
      <x:c r="G360" s="36" t="str">
        <x:f>IF(ISNUMBER(F360),E360*F360,"")</x:f>
      </x:c>
      <x:c r="H360" s="37" t="d">
        <x:v>2026-10-15T00:00:00.000Z</x:v>
      </x:c>
      <x:c r="I360" s="37" t="d">
        <x:v>2026-09-15T18:30:13.000Z</x:v>
      </x:c>
      <x:c r="J360" s="1" t="n">
        <x:f>IF(ISNUMBER(F360),E360,0)</x:f>
        <x:v>0</x:v>
      </x:c>
      <x:c r="K360" s="1"/>
      <x:c r="L360" s="1" t="str">
        <x:v>https://blog.skyairline.com/que-comer-en-brasil/</x:v>
      </x:c>
      <x:c r="M360" s="1" t="n">
        <x:v>5</x:v>
      </x:c>
    </x:row>
    <x:row r="361" ht="18.75" customHeight="1">
      <x:c r="A361" s="1" t="str">
        <x:v>https://blog.skyairline.com/viaje-a-brasil-3/</x:v>
      </x:c>
      <x:c r="B361" s="1" t="str">
        <x:v>requisitos para viajar a brasil</x:v>
      </x:c>
      <x:c r="C361" s="1" t="str">
        <x:v>chl</x:v>
      </x:c>
      <x:c r="D361" s="1" t="str">
        <x:v>Sin marca</x:v>
      </x:c>
      <x:c r="E361" s="35" t="n">
        <x:v>5</x:v>
      </x:c>
      <x:c r="F361" s="36" t="n">
        <x:v>0.44</x:v>
      </x:c>
      <x:c r="G361" s="36" t="n">
        <x:f>IF(ISNUMBER(F361),E361*F361,"")</x:f>
        <x:v>2.2</x:v>
      </x:c>
      <x:c r="H361" s="37" t="d">
        <x:v>2026-10-15T00:00:00.000Z</x:v>
      </x:c>
      <x:c r="I361" s="37" t="d">
        <x:v>2026-09-17T09:39:00.999Z</x:v>
      </x:c>
      <x:c r="J361" s="1" t="n">
        <x:f>IF(ISNUMBER(F361),E361,0)</x:f>
        <x:v>5</x:v>
      </x:c>
      <x:c r="K361" s="1"/>
      <x:c r="L361" s="1" t="str">
        <x:v>https://blog.skyairline.com/que-hacer-en-antofagasta/</x:v>
      </x:c>
      <x:c r="M361" s="1" t="n">
        <x:v>5</x:v>
      </x:c>
    </x:row>
    <x:row r="362" ht="18.75" customHeight="1">
      <x:c r="A362" s="1" t="str">
        <x:v>https://blog.skyairline.com/viaje-a-brasil-3/</x:v>
      </x:c>
      <x:c r="B362" s="1" t="str">
        <x:v>requisitos para viajar a brasil desde chile</x:v>
      </x:c>
      <x:c r="C362" s="1" t="str">
        <x:v>chl</x:v>
      </x:c>
      <x:c r="D362" s="1" t="str">
        <x:v>Sin marca</x:v>
      </x:c>
      <x:c r="E362" s="35" t="n">
        <x:v>5</x:v>
      </x:c>
      <x:c r="F362" s="36" t="n">
        <x:v>0.39</x:v>
      </x:c>
      <x:c r="G362" s="36" t="n">
        <x:f>IF(ISNUMBER(F362),E362*F362,"")</x:f>
        <x:v>1.9500000000000002</x:v>
      </x:c>
      <x:c r="H362" s="37" t="d">
        <x:v>2026-10-15T00:00:00.000Z</x:v>
      </x:c>
      <x:c r="I362" s="37" t="d">
        <x:v>2026-09-16T21:00:37.000Z</x:v>
      </x:c>
      <x:c r="J362" s="1" t="n">
        <x:f>IF(ISNUMBER(F362),E362,0)</x:f>
        <x:v>5</x:v>
      </x:c>
      <x:c r="K362" s="1"/>
      <x:c r="L362" s="1" t="str">
        <x:v>https://blog.skyairline.com/reales-a-pesos-chilenos/</x:v>
      </x:c>
      <x:c r="M362" s="1" t="n">
        <x:v>5</x:v>
      </x:c>
    </x:row>
    <x:row r="363" ht="18.75" customHeight="1">
      <x:c r="A363" s="1" t="str">
        <x:v>https://blog.skyairline.com/</x:v>
      </x:c>
      <x:c r="B363" s="1" t="str">
        <x:v>sky blog</x:v>
      </x:c>
      <x:c r="C363" s="1" t="str">
        <x:v>chl</x:v>
      </x:c>
      <x:c r="D363" s="1" t="str">
        <x:v>Marca</x:v>
      </x:c>
      <x:c r="E363" s="35" t="n">
        <x:v>4</x:v>
      </x:c>
      <x:c r="F363" s="36"/>
      <x:c r="G363" s="36" t="str">
        <x:f>IF(ISNUMBER(F363),E363*F363,"")</x:f>
      </x:c>
      <x:c r="H363" s="37"/>
      <x:c r="I363" s="37"/>
      <x:c r="J363" s="1" t="n">
        <x:f>IF(ISNUMBER(F363),E363,0)</x:f>
        <x:v>0</x:v>
      </x:c>
      <x:c r="K363" s="1"/>
      <x:c r="L363" s="1" t="str">
        <x:v>https://blog.skyairline.com/rioja-peru/</x:v>
      </x:c>
      <x:c r="M363" s="1" t="n">
        <x:v>5</x:v>
      </x:c>
    </x:row>
    <x:row r="364" ht="18.75" customHeight="1">
      <x:c r="A364" s="1" t="str">
        <x:v>https://blog.skyairline.com/10-cosas-que-hacer-en-caminito/</x:v>
      </x:c>
      <x:c r="B364" s="1" t="str">
        <x:v>que hacer en caminito argentina</x:v>
      </x:c>
      <x:c r="C364" s="1" t="str">
        <x:v>arg</x:v>
      </x:c>
      <x:c r="D364" s="1" t="str">
        <x:v>Sin marca</x:v>
      </x:c>
      <x:c r="E364" s="35" t="n">
        <x:v>4</x:v>
      </x:c>
      <x:c r="F364" s="36"/>
      <x:c r="G364" s="36" t="str">
        <x:f>IF(ISNUMBER(F364),E364*F364,"")</x:f>
      </x:c>
      <x:c r="H364" s="37"/>
      <x:c r="I364" s="37"/>
      <x:c r="J364" s="1" t="n">
        <x:f>IF(ISNUMBER(F364),E364,0)</x:f>
        <x:v>0</x:v>
      </x:c>
      <x:c r="K364" s="1"/>
      <x:c r="L364" s="1" t="str">
        <x:v>https://blog.skyairline.com/sky-recibe-el-avion-mas-eficiente-ecologico-y-con-mayor-capacidad-para-trasladar-pasajeros/</x:v>
      </x:c>
      <x:c r="M364" s="1" t="n">
        <x:v>5</x:v>
      </x:c>
    </x:row>
    <x:row r="365" ht="18.75" customHeight="1">
      <x:c r="A365" s="1" t="str">
        <x:v>https://blog.skyairline.com/aeropuerto-chiloe/</x:v>
      </x:c>
      <x:c r="B365" s="1" t="str">
        <x:v>aeropuerto mocopulli</x:v>
      </x:c>
      <x:c r="C365" s="1" t="str">
        <x:v>chl</x:v>
      </x:c>
      <x:c r="D365" s="1" t="str">
        <x:v>Sin marca</x:v>
      </x:c>
      <x:c r="E365" s="35" t="n">
        <x:v>4</x:v>
      </x:c>
      <x:c r="F365" s="36" t="n">
        <x:v>0.73</x:v>
      </x:c>
      <x:c r="G365" s="36" t="n">
        <x:f>IF(ISNUMBER(F365),E365*F365,"")</x:f>
        <x:v>2.92</x:v>
      </x:c>
      <x:c r="H365" s="37" t="d">
        <x:v>2026-10-15T00:00:00.000Z</x:v>
      </x:c>
      <x:c r="I365" s="37" t="d">
        <x:v>2026-09-12T22:14:03.999Z</x:v>
      </x:c>
      <x:c r="J365" s="1" t="n">
        <x:f>IF(ISNUMBER(F365),E365,0)</x:f>
        <x:v>4</x:v>
      </x:c>
      <x:c r="K365" s="1"/>
      <x:c r="L365" s="1" t="str">
        <x:v>https://blog.skyairline.com/sky-se-suma-a-universitario-de-deportes-como-patrocinador-y-aerolinea-oficial-para-el-2026/</x:v>
      </x:c>
      <x:c r="M365" s="1" t="n">
        <x:v>5</x:v>
      </x:c>
    </x:row>
    <x:row r="366" ht="18.75" customHeight="1">
      <x:c r="A366" s="1" t="str">
        <x:v>https://blog.skyairline.com/aeropuertos-en-buenos-aires/</x:v>
      </x:c>
      <x:c r="B366" s="1" t="str">
        <x:v>aeropuertos buenos aires</x:v>
      </x:c>
      <x:c r="C366" s="1" t="str">
        <x:v>chl</x:v>
      </x:c>
      <x:c r="D366" s="1" t="str">
        <x:v>Sin marca</x:v>
      </x:c>
      <x:c r="E366" s="35" t="n">
        <x:v>4</x:v>
      </x:c>
      <x:c r="F366" s="36" t="n">
        <x:v>0.57</x:v>
      </x:c>
      <x:c r="G366" s="36" t="n">
        <x:f>IF(ISNUMBER(F366),E366*F366,"")</x:f>
        <x:v>2.28</x:v>
      </x:c>
      <x:c r="H366" s="37" t="d">
        <x:v>2026-10-15T00:00:00.000Z</x:v>
      </x:c>
      <x:c r="I366" s="37" t="d">
        <x:v>2026-09-14T10:32:14.000Z</x:v>
      </x:c>
      <x:c r="J366" s="1" t="n">
        <x:f>IF(ISNUMBER(F366),E366,0)</x:f>
        <x:v>4</x:v>
      </x:c>
      <x:c r="K366" s="1"/>
      <x:c r="L366" s="1" t="str">
        <x:v>https://blog.skyairline.com/sky-y-air-europa-lanzan-acuerdo-de-codigo-compartido/</x:v>
      </x:c>
      <x:c r="M366" s="1" t="n">
        <x:v>5</x:v>
      </x:c>
    </x:row>
    <x:row r="367" ht="18.75" customHeight="1">
      <x:c r="A367" s="1" t="str">
        <x:v>https://blog.skyairline.com/cambiar-vuelo-sky/</x:v>
      </x:c>
      <x:c r="B367" s="1" t="str">
        <x:v>cambiar pasaje sky</x:v>
      </x:c>
      <x:c r="C367" s="1" t="str">
        <x:v>per</x:v>
      </x:c>
      <x:c r="D367" s="1" t="str">
        <x:v>Marca</x:v>
      </x:c>
      <x:c r="E367" s="35" t="n">
        <x:v>4</x:v>
      </x:c>
      <x:c r="F367" s="36" t="n">
        <x:v>0.23</x:v>
      </x:c>
      <x:c r="G367" s="36" t="n">
        <x:f>IF(ISNUMBER(F367),E367*F367,"")</x:f>
        <x:v>0.92</x:v>
      </x:c>
      <x:c r="H367" s="37" t="d">
        <x:v>2026-10-15T00:00:00.000Z</x:v>
      </x:c>
      <x:c r="I367" s="37" t="d">
        <x:v>2026-09-17T19:47:07.000Z</x:v>
      </x:c>
      <x:c r="J367" s="1" t="n">
        <x:f>IF(ISNUMBER(F367),E367,0)</x:f>
        <x:v>4</x:v>
      </x:c>
      <x:c r="K367" s="1"/>
      <x:c r="L367" s="1" t="str">
        <x:v>https://blog.skyairline.com/tiempo-en-calama/</x:v>
      </x:c>
      <x:c r="M367" s="1" t="n">
        <x:v>5</x:v>
      </x:c>
    </x:row>
    <x:row r="368" ht="18.75" customHeight="1">
      <x:c r="A368" s="1" t="str">
        <x:v>https://blog.skyairline.com/cambiar-vuelo-sky/</x:v>
      </x:c>
      <x:c r="B368" s="1" t="str">
        <x:v>cambio de pasaje sky chile</x:v>
      </x:c>
      <x:c r="C368" s="1" t="str">
        <x:v>chl</x:v>
      </x:c>
      <x:c r="D368" s="1" t="str">
        <x:v>Marca</x:v>
      </x:c>
      <x:c r="E368" s="35" t="n">
        <x:v>4</x:v>
      </x:c>
      <x:c r="F368" s="36" t="n">
        <x:v>0.42</x:v>
      </x:c>
      <x:c r="G368" s="36" t="n">
        <x:f>IF(ISNUMBER(F368),E368*F368,"")</x:f>
        <x:v>1.68</x:v>
      </x:c>
      <x:c r="H368" s="37" t="d">
        <x:v>2026-10-15T00:00:00.000Z</x:v>
      </x:c>
      <x:c r="I368" s="37" t="d">
        <x:v>2026-09-13T00:14:40.000Z</x:v>
      </x:c>
      <x:c r="J368" s="1" t="n">
        <x:f>IF(ISNUMBER(F368),E368,0)</x:f>
        <x:v>4</x:v>
      </x:c>
      <x:c r="K368" s="1"/>
      <x:c r="L368" s="1" t="str">
        <x:v>https://blog.skyairline.com/valle-de-la-luna/</x:v>
      </x:c>
      <x:c r="M368" s="1" t="n">
        <x:v>5</x:v>
      </x:c>
    </x:row>
    <x:row r="369" ht="18.75" customHeight="1">
      <x:c r="A369" s="1" t="str">
        <x:v>https://blog.skyairline.com/cambiar-vuelo-sky/</x:v>
      </x:c>
      <x:c r="B369" s="1" t="str">
        <x:v>cambio pasajes sky</x:v>
      </x:c>
      <x:c r="C369" s="1" t="str">
        <x:v>chl</x:v>
      </x:c>
      <x:c r="D369" s="1" t="str">
        <x:v>Marca</x:v>
      </x:c>
      <x:c r="E369" s="35" t="n">
        <x:v>4</x:v>
      </x:c>
      <x:c r="F369" s="36" t="n">
        <x:v>0.77</x:v>
      </x:c>
      <x:c r="G369" s="36" t="n">
        <x:f>IF(ISNUMBER(F369),E369*F369,"")</x:f>
        <x:v>3.08</x:v>
      </x:c>
      <x:c r="H369" s="37" t="d">
        <x:v>2026-10-15T00:00:00.000Z</x:v>
      </x:c>
      <x:c r="I369" s="37" t="d">
        <x:v>2026-09-17T21:54:54.000Z</x:v>
      </x:c>
      <x:c r="J369" s="1" t="n">
        <x:f>IF(ISNUMBER(F369),E369,0)</x:f>
        <x:v>4</x:v>
      </x:c>
      <x:c r="K369" s="1"/>
      <x:c r="L369" s="1" t="str">
        <x:v>https://blog.skyairline.com/viajar-en-auto-2/</x:v>
      </x:c>
      <x:c r="M369" s="1" t="n">
        <x:v>5</x:v>
      </x:c>
    </x:row>
    <x:row r="370" ht="18.75" customHeight="1">
      <x:c r="A370" s="1" t="str">
        <x:v>https://blog.skyairline.com/cambiar-vuelo-sky/</x:v>
      </x:c>
      <x:c r="B370" s="1" t="str">
        <x:v>como cambiar mi vuelo en sky</x:v>
      </x:c>
      <x:c r="C370" s="1" t="str">
        <x:v>per</x:v>
      </x:c>
      <x:c r="D370" s="1" t="str">
        <x:v>Marca</x:v>
      </x:c>
      <x:c r="E370" s="35" t="n">
        <x:v>4</x:v>
      </x:c>
      <x:c r="F370" s="36"/>
      <x:c r="G370" s="36" t="str">
        <x:f>IF(ISNUMBER(F370),E370*F370,"")</x:f>
      </x:c>
      <x:c r="H370" s="37"/>
      <x:c r="I370" s="37"/>
      <x:c r="J370" s="1" t="n">
        <x:f>IF(ISNUMBER(F370),E370,0)</x:f>
        <x:v>0</x:v>
      </x:c>
      <x:c r="K370" s="1"/>
      <x:c r="L370" s="1" t="str">
        <x:v>https://blog.skyairline.com/visa-para-viajar-a-mexico-desde-peru/</x:v>
      </x:c>
      <x:c r="M370" s="1" t="n">
        <x:v>5</x:v>
      </x:c>
    </x:row>
    <x:row r="371" ht="18.75" customHeight="1">
      <x:c r="A371" s="1" t="str">
        <x:v>https://blog.skyairline.com/cambiar-vuelo-sky/</x:v>
      </x:c>
      <x:c r="B371" s="1" t="str">
        <x:v>sky cambiar fecha de vuelo</x:v>
      </x:c>
      <x:c r="C371" s="1" t="str">
        <x:v>per</x:v>
      </x:c>
      <x:c r="D371" s="1" t="str">
        <x:v>Marca</x:v>
      </x:c>
      <x:c r="E371" s="35" t="n">
        <x:v>4</x:v>
      </x:c>
      <x:c r="F371" s="36" t="n">
        <x:v>0.18</x:v>
      </x:c>
      <x:c r="G371" s="36" t="n">
        <x:f>IF(ISNUMBER(F371),E371*F371,"")</x:f>
        <x:v>0.72</x:v>
      </x:c>
      <x:c r="H371" s="37" t="d">
        <x:v>2026-10-15T00:00:00.000Z</x:v>
      </x:c>
      <x:c r="I371" s="37" t="d">
        <x:v>2026-10-15T09:41:23.000Z</x:v>
      </x:c>
      <x:c r="J371" s="1" t="n">
        <x:f>IF(ISNUMBER(F371),E371,0)</x:f>
        <x:v>4</x:v>
      </x:c>
      <x:c r="K371" s="1"/>
      <x:c r="L371" s="1" t="str">
        <x:v>https://blog.skyairline.com/volcanes-de-la-region-de-la-araucania/</x:v>
      </x:c>
      <x:c r="M371" s="1" t="n">
        <x:v>5</x:v>
      </x:c>
    </x:row>
    <x:row r="372" ht="18.75" customHeight="1">
      <x:c r="A372" s="1" t="str">
        <x:v>https://blog.skyairline.com/categoria/oportunidades/</x:v>
      </x:c>
      <x:c r="B372" s="1" t="str">
        <x:v>empleos sky airlines</x:v>
      </x:c>
      <x:c r="C372" s="1" t="str">
        <x:v>chl</x:v>
      </x:c>
      <x:c r="D372" s="1" t="str">
        <x:v>Marca</x:v>
      </x:c>
      <x:c r="E372" s="35" t="n">
        <x:v>4</x:v>
      </x:c>
      <x:c r="F372" s="36"/>
      <x:c r="G372" s="36" t="str">
        <x:f>IF(ISNUMBER(F372),E372*F372,"")</x:f>
      </x:c>
      <x:c r="H372" s="37" t="d">
        <x:v>2026-10-15T00:00:00.000Z</x:v>
      </x:c>
      <x:c r="I372" s="37" t="d">
        <x:v>2026-09-16T07:10:49.000Z</x:v>
      </x:c>
      <x:c r="J372" s="1" t="n">
        <x:f>IF(ISNUMBER(F372),E372,0)</x:f>
        <x:v>0</x:v>
      </x:c>
      <x:c r="K372" s="1"/>
      <x:c r="L372" s="1" t="str">
        <x:v>https://blog.skyairline.com/aeroparque-de-buenos-aires/</x:v>
      </x:c>
      <x:c r="M372" s="1" t="n">
        <x:v>4</x:v>
      </x:c>
    </x:row>
    <x:row r="373" ht="18.75" customHeight="1">
      <x:c r="A373" s="1" t="str">
        <x:v>https://blog.skyairline.com/categoria/oportunidades/</x:v>
      </x:c>
      <x:c r="B373" s="1" t="str">
        <x:v>sky airlines trabajo</x:v>
      </x:c>
      <x:c r="C373" s="1" t="str">
        <x:v>chl</x:v>
      </x:c>
      <x:c r="D373" s="1" t="str">
        <x:v>Marca</x:v>
      </x:c>
      <x:c r="E373" s="35" t="n">
        <x:v>4</x:v>
      </x:c>
      <x:c r="F373" s="36" t="n">
        <x:v>0.06</x:v>
      </x:c>
      <x:c r="G373" s="36" t="n">
        <x:f>IF(ISNUMBER(F373),E373*F373,"")</x:f>
        <x:v>0.24</x:v>
      </x:c>
      <x:c r="H373" s="37" t="d">
        <x:v>2026-10-15T00:00:00.000Z</x:v>
      </x:c>
      <x:c r="I373" s="37" t="d">
        <x:v>2026-09-13T08:30:31.000Z</x:v>
      </x:c>
      <x:c r="J373" s="1" t="n">
        <x:f>IF(ISNUMBER(F373),E373,0)</x:f>
        <x:v>4</x:v>
      </x:c>
      <x:c r="K373" s="1"/>
      <x:c r="L373" s="1" t="str">
        <x:v>https://blog.skyairline.com/aeropuerto-puerto-montt/</x:v>
      </x:c>
      <x:c r="M373" s="1" t="n">
        <x:v>4</x:v>
      </x:c>
    </x:row>
    <x:row r="374" ht="18.75" customHeight="1">
      <x:c r="A374" s="1" t="str">
        <x:v>https://blog.skyairline.com/categoria/oportunidades/</x:v>
      </x:c>
      <x:c r="B374" s="1" t="str">
        <x:v>trabajo sky</x:v>
      </x:c>
      <x:c r="C374" s="1" t="str">
        <x:v>chl</x:v>
      </x:c>
      <x:c r="D374" s="1" t="str">
        <x:v>Marca</x:v>
      </x:c>
      <x:c r="E374" s="35" t="n">
        <x:v>4</x:v>
      </x:c>
      <x:c r="F374" s="36"/>
      <x:c r="G374" s="36" t="str">
        <x:f>IF(ISNUMBER(F374),E374*F374,"")</x:f>
      </x:c>
      <x:c r="H374" s="37"/>
      <x:c r="I374" s="37"/>
      <x:c r="J374" s="1" t="n">
        <x:f>IF(ISNUMBER(F374),E374,0)</x:f>
        <x:v>0</x:v>
      </x:c>
      <x:c r="K374" s="1"/>
      <x:c r="L374" s="1" t="str">
        <x:v>https://blog.skyairline.com/arrecifes-en-brasil/</x:v>
      </x:c>
      <x:c r="M374" s="1" t="n">
        <x:v>4</x:v>
      </x:c>
    </x:row>
    <x:row r="375" ht="18.75" customHeight="1">
      <x:c r="A375" s="1" t="str">
        <x:v>https://blog.skyairline.com/check-in-automatico/</x:v>
      </x:c>
      <x:c r="B375" s="1" t="str">
        <x:v>check-in sky con rut</x:v>
      </x:c>
      <x:c r="C375" s="1" t="str">
        <x:v>chl</x:v>
      </x:c>
      <x:c r="D375" s="1" t="str">
        <x:v>Marca</x:v>
      </x:c>
      <x:c r="E375" s="35" t="n">
        <x:v>4</x:v>
      </x:c>
      <x:c r="F375" s="36" t="n">
        <x:v>0.43</x:v>
      </x:c>
      <x:c r="G375" s="36" t="n">
        <x:f>IF(ISNUMBER(F375),E375*F375,"")</x:f>
        <x:v>1.72</x:v>
      </x:c>
      <x:c r="H375" s="37" t="d">
        <x:v>2026-10-15T00:00:00.000Z</x:v>
      </x:c>
      <x:c r="I375" s="37" t="d">
        <x:v>2026-09-15T07:54:57.000Z</x:v>
      </x:c>
      <x:c r="J375" s="1" t="n">
        <x:f>IF(ISNUMBER(F375),E375,0)</x:f>
        <x:v>4</x:v>
      </x:c>
      <x:c r="K375" s="1"/>
      <x:c r="L375" s="1" t="str">
        <x:v>https://blog.skyairline.com/arrecifes/</x:v>
      </x:c>
      <x:c r="M375" s="1" t="n">
        <x:v>4</x:v>
      </x:c>
    </x:row>
    <x:row r="376" ht="18.75" customHeight="1">
      <x:c r="A376" s="1" t="str">
        <x:v>https://blog.skyairline.com/check-in-automatico/</x:v>
      </x:c>
      <x:c r="B376" s="1" t="str">
        <x:v>como hacer check in en sky</x:v>
      </x:c>
      <x:c r="C376" s="1" t="str">
        <x:v>per</x:v>
      </x:c>
      <x:c r="D376" s="1" t="str">
        <x:v>Marca</x:v>
      </x:c>
      <x:c r="E376" s="35" t="n">
        <x:v>4</x:v>
      </x:c>
      <x:c r="F376" s="36" t="n">
        <x:v>0.24</x:v>
      </x:c>
      <x:c r="G376" s="36" t="n">
        <x:f>IF(ISNUMBER(F376),E376*F376,"")</x:f>
        <x:v>0.96</x:v>
      </x:c>
      <x:c r="H376" s="37" t="d">
        <x:v>2026-10-15T00:00:00.000Z</x:v>
      </x:c>
      <x:c r="I376" s="37" t="d">
        <x:v>2026-09-13T03:31:15.999Z</x:v>
      </x:c>
      <x:c r="J376" s="1" t="n">
        <x:f>IF(ISNUMBER(F376),E376,0)</x:f>
        <x:v>4</x:v>
      </x:c>
      <x:c r="K376" s="1"/>
      <x:c r="L376" s="1" t="str">
        <x:v>https://blog.skyairline.com/asi-viajaron-los-chilenos-en-2025/</x:v>
      </x:c>
      <x:c r="M376" s="1" t="n">
        <x:v>4</x:v>
      </x:c>
    </x:row>
    <x:row r="377" ht="18.75" customHeight="1">
      <x:c r="A377" s="1" t="str">
        <x:v>https://blog.skyairline.com/check-in-automatico/</x:v>
      </x:c>
      <x:c r="B377" s="1" t="str">
        <x:v>hacer check in sky</x:v>
      </x:c>
      <x:c r="C377" s="1" t="str">
        <x:v>chl</x:v>
      </x:c>
      <x:c r="D377" s="1" t="str">
        <x:v>Marca</x:v>
      </x:c>
      <x:c r="E377" s="35" t="n">
        <x:v>4</x:v>
      </x:c>
      <x:c r="F377" s="36" t="n">
        <x:v>0.13</x:v>
      </x:c>
      <x:c r="G377" s="36" t="n">
        <x:f>IF(ISNUMBER(F377),E377*F377,"")</x:f>
        <x:v>0.52</x:v>
      </x:c>
      <x:c r="H377" s="37" t="d">
        <x:v>2026-10-15T00:00:00.000Z</x:v>
      </x:c>
      <x:c r="I377" s="37" t="d">
        <x:v>2026-09-17T14:00:45.000Z</x:v>
      </x:c>
      <x:c r="J377" s="1" t="n">
        <x:f>IF(ISNUMBER(F377),E377,0)</x:f>
        <x:v>4</x:v>
      </x:c>
      <x:c r="K377" s="1"/>
      <x:c r="L377" s="1" t="str">
        <x:v>https://blog.skyairline.com/banos-termales-en-tacna/</x:v>
      </x:c>
      <x:c r="M377" s="1" t="n">
        <x:v>4</x:v>
      </x:c>
    </x:row>
    <x:row r="378" ht="18.75" customHeight="1">
      <x:c r="A378" s="1" t="str">
        <x:v>https://blog.skyairline.com/curso-tripulante-cabina/</x:v>
      </x:c>
      <x:c r="B378" s="1" t="str">
        <x:v>asistente de cabina</x:v>
      </x:c>
      <x:c r="C378" s="1" t="str">
        <x:v>chl</x:v>
      </x:c>
      <x:c r="D378" s="1" t="str">
        <x:v>Sin marca</x:v>
      </x:c>
      <x:c r="E378" s="35" t="n">
        <x:v>4</x:v>
      </x:c>
      <x:c r="F378" s="36"/>
      <x:c r="G378" s="36" t="str">
        <x:f>IF(ISNUMBER(F378),E378*F378,"")</x:f>
      </x:c>
      <x:c r="H378" s="37"/>
      <x:c r="I378" s="37"/>
      <x:c r="J378" s="1" t="n">
        <x:f>IF(ISNUMBER(F378),E378,0)</x:f>
        <x:v>0</x:v>
      </x:c>
      <x:c r="K378" s="1"/>
      <x:c r="L378" s="1" t="str">
        <x:v>https://blog.skyairline.com/barra-da-lagoa-el-corazon-de-florianopolis/</x:v>
      </x:c>
      <x:c r="M378" s="1" t="n">
        <x:v>4</x:v>
      </x:c>
    </x:row>
    <x:row r="379" ht="18.75" customHeight="1">
      <x:c r="A379" s="1" t="str">
        <x:v>https://blog.skyairline.com/curso-tripulante-cabina/</x:v>
      </x:c>
      <x:c r="B379" s="1" t="str">
        <x:v>como ser azafata</x:v>
      </x:c>
      <x:c r="C379" s="1" t="str">
        <x:v>chl</x:v>
      </x:c>
      <x:c r="D379" s="1" t="str">
        <x:v>Sin marca</x:v>
      </x:c>
      <x:c r="E379" s="35" t="n">
        <x:v>4</x:v>
      </x:c>
      <x:c r="F379" s="36" t="n">
        <x:v>0.34</x:v>
      </x:c>
      <x:c r="G379" s="36" t="n">
        <x:f>IF(ISNUMBER(F379),E379*F379,"")</x:f>
        <x:v>1.36</x:v>
      </x:c>
      <x:c r="H379" s="37" t="d">
        <x:v>2026-10-15T00:00:00.000Z</x:v>
      </x:c>
      <x:c r="I379" s="37" t="d">
        <x:v>2026-09-14T18:56:32.000Z</x:v>
      </x:c>
      <x:c r="J379" s="1" t="n">
        <x:f>IF(ISNUMBER(F379),E379,0)</x:f>
        <x:v>4</x:v>
      </x:c>
      <x:c r="K379" s="1"/>
      <x:c r="L379" s="1" t="str">
        <x:v>https://blog.skyairline.com/botanical-garden-de-florianopolis/</x:v>
      </x:c>
      <x:c r="M379" s="1" t="n">
        <x:v>4</x:v>
      </x:c>
    </x:row>
    <x:row r="380" ht="18.75" customHeight="1">
      <x:c r="A380" s="1" t="str">
        <x:v>https://blog.skyairline.com/curso-tripulante-cabina/</x:v>
      </x:c>
      <x:c r="B380" s="1" t="str">
        <x:v>cursos tripulante de cabina</x:v>
      </x:c>
      <x:c r="C380" s="1" t="str">
        <x:v>chl</x:v>
      </x:c>
      <x:c r="D380" s="1" t="str">
        <x:v>Sin marca</x:v>
      </x:c>
      <x:c r="E380" s="35" t="n">
        <x:v>4</x:v>
      </x:c>
      <x:c r="F380" s="36" t="n">
        <x:v>0.27</x:v>
      </x:c>
      <x:c r="G380" s="36" t="n">
        <x:f>IF(ISNUMBER(F380),E380*F380,"")</x:f>
        <x:v>1.08</x:v>
      </x:c>
      <x:c r="H380" s="37" t="d">
        <x:v>2026-10-15T00:00:00.000Z</x:v>
      </x:c>
      <x:c r="I380" s="37" t="d">
        <x:v>2026-09-15T15:38:03.000Z</x:v>
      </x:c>
      <x:c r="J380" s="1" t="n">
        <x:f>IF(ISNUMBER(F380),E380,0)</x:f>
        <x:v>4</x:v>
      </x:c>
      <x:c r="K380" s="1"/>
      <x:c r="L380" s="1" t="str">
        <x:v>https://blog.skyairline.com/cerro-de-la-cruz/</x:v>
      </x:c>
      <x:c r="M380" s="1" t="n">
        <x:v>4</x:v>
      </x:c>
    </x:row>
    <x:row r="381" ht="18.75" customHeight="1">
      <x:c r="A381" s="1" t="str">
        <x:v>https://blog.skyairline.com/curso-tripulante-cabina/</x:v>
      </x:c>
      <x:c r="B381" s="1" t="str">
        <x:v>sky airline tripulante de cabina</x:v>
      </x:c>
      <x:c r="C381" s="1" t="str">
        <x:v>per</x:v>
      </x:c>
      <x:c r="D381" s="1" t="str">
        <x:v>Marca</x:v>
      </x:c>
      <x:c r="E381" s="35" t="n">
        <x:v>4</x:v>
      </x:c>
      <x:c r="F381" s="36"/>
      <x:c r="G381" s="36" t="str">
        <x:f>IF(ISNUMBER(F381),E381*F381,"")</x:f>
      </x:c>
      <x:c r="H381" s="37"/>
      <x:c r="I381" s="37"/>
      <x:c r="J381" s="1" t="n">
        <x:f>IF(ISNUMBER(F381),E381,0)</x:f>
        <x:v>0</x:v>
      </x:c>
      <x:c r="K381" s="1"/>
      <x:c r="L381" s="1" t="str">
        <x:v>https://blog.skyairline.com/checklist-para-hacer-maleta/</x:v>
      </x:c>
      <x:c r="M381" s="1" t="n">
        <x:v>4</x:v>
      </x:c>
    </x:row>
    <x:row r="382" ht="18.75" customHeight="1">
      <x:c r="A382" s="1" t="str">
        <x:v>https://blog.skyairline.com/curso-tripulante-cabina/</x:v>
      </x:c>
      <x:c r="B382" s="1" t="str">
        <x:v>sky airlines tripulante de cabina</x:v>
      </x:c>
      <x:c r="C382" s="1" t="str">
        <x:v>chl</x:v>
      </x:c>
      <x:c r="D382" s="1" t="str">
        <x:v>Marca</x:v>
      </x:c>
      <x:c r="E382" s="35" t="n">
        <x:v>4</x:v>
      </x:c>
      <x:c r="F382" s="36" t="n">
        <x:v>0.42</x:v>
      </x:c>
      <x:c r="G382" s="36" t="n">
        <x:f>IF(ISNUMBER(F382),E382*F382,"")</x:f>
        <x:v>1.68</x:v>
      </x:c>
      <x:c r="H382" s="37" t="d">
        <x:v>2026-10-15T00:00:00.000Z</x:v>
      </x:c>
      <x:c r="I382" s="37" t="d">
        <x:v>2026-09-15T16:06:59.000Z</x:v>
      </x:c>
      <x:c r="J382" s="1" t="n">
        <x:f>IF(ISNUMBER(F382),E382,0)</x:f>
        <x:v>4</x:v>
      </x:c>
      <x:c r="K382" s="1"/>
      <x:c r="L382" s="1" t="str">
        <x:v>https://blog.skyairline.com/como-llegar-a-santa-cruz/</x:v>
      </x:c>
      <x:c r="M382" s="1" t="n">
        <x:v>4</x:v>
      </x:c>
    </x:row>
    <x:row r="383" ht="18.75" customHeight="1">
      <x:c r="A383" s="1" t="str">
        <x:v>https://blog.skyairline.com/curso-tripulante-cabina/</x:v>
      </x:c>
      <x:c r="B383" s="1" t="str">
        <x:v>sky trabajo tripulante de cabina</x:v>
      </x:c>
      <x:c r="C383" s="1" t="str">
        <x:v>per</x:v>
      </x:c>
      <x:c r="D383" s="1" t="str">
        <x:v>Marca</x:v>
      </x:c>
      <x:c r="E383" s="35" t="n">
        <x:v>4</x:v>
      </x:c>
      <x:c r="F383" s="36"/>
      <x:c r="G383" s="36" t="str">
        <x:f>IF(ISNUMBER(F383),E383*F383,"")</x:f>
      </x:c>
      <x:c r="H383" s="37" t="d">
        <x:v>2026-10-15T00:00:00.000Z</x:v>
      </x:c>
      <x:c r="I383" s="37" t="d">
        <x:v>2026-09-16T07:59:35.000Z</x:v>
      </x:c>
      <x:c r="J383" s="1" t="n">
        <x:f>IF(ISNUMBER(F383),E383,0)</x:f>
        <x:v>0</x:v>
      </x:c>
      <x:c r="K383" s="1"/>
      <x:c r="L383" s="1" t="str">
        <x:v>https://blog.skyairline.com/cosas-gratis-en-cancun/</x:v>
      </x:c>
      <x:c r="M383" s="1" t="n">
        <x:v>4</x:v>
      </x:c>
    </x:row>
    <x:row r="384" ht="18.75" customHeight="1">
      <x:c r="A384" s="1" t="str">
        <x:v>https://blog.skyairline.com/curso-tripulante-cabina/</x:v>
      </x:c>
      <x:c r="B384" s="1" t="str">
        <x:v>tripulante de cabina sky postular</x:v>
      </x:c>
      <x:c r="C384" s="1" t="str">
        <x:v>chl</x:v>
      </x:c>
      <x:c r="D384" s="1" t="str">
        <x:v>Marca</x:v>
      </x:c>
      <x:c r="E384" s="35" t="n">
        <x:v>4</x:v>
      </x:c>
      <x:c r="F384" s="36"/>
      <x:c r="G384" s="36" t="str">
        <x:f>IF(ISNUMBER(F384),E384*F384,"")</x:f>
      </x:c>
      <x:c r="H384" s="37"/>
      <x:c r="I384" s="37"/>
      <x:c r="J384" s="1" t="n">
        <x:f>IF(ISNUMBER(F384),E384,0)</x:f>
        <x:v>0</x:v>
      </x:c>
      <x:c r="K384" s="1"/>
      <x:c r="L384" s="1" t="str">
        <x:v>https://blog.skyairline.com/costa-verde/</x:v>
      </x:c>
      <x:c r="M384" s="1" t="n">
        <x:v>4</x:v>
      </x:c>
    </x:row>
    <x:row r="385" ht="18.75" customHeight="1">
      <x:c r="A385" s="1" t="str">
        <x:v>https://blog.skyairline.com/documentos-que-necesitas-para-viajar-a-argentina-desde-chile/</x:v>
      </x:c>
      <x:c r="B385" s="1" t="str">
        <x:v>declaración jurada para ingresar a argentina 2026</x:v>
      </x:c>
      <x:c r="C385" s="1" t="str">
        <x:v>chl</x:v>
      </x:c>
      <x:c r="D385" s="1" t="str">
        <x:v>Sin marca</x:v>
      </x:c>
      <x:c r="E385" s="35" t="n">
        <x:v>4</x:v>
      </x:c>
      <x:c r="F385" s="36" t="n">
        <x:v>0.21</x:v>
      </x:c>
      <x:c r="G385" s="36" t="n">
        <x:f>IF(ISNUMBER(F385),E385*F385,"")</x:f>
        <x:v>0.84</x:v>
      </x:c>
      <x:c r="H385" s="37" t="d">
        <x:v>2026-10-15T00:00:00.000Z</x:v>
      </x:c>
      <x:c r="I385" s="37" t="d">
        <x:v>2026-09-17T02:33:37.000Z</x:v>
      </x:c>
      <x:c r="J385" s="1" t="n">
        <x:f>IF(ISNUMBER(F385),E385,0)</x:f>
        <x:v>4</x:v>
      </x:c>
      <x:c r="K385" s="1"/>
      <x:c r="L385" s="1" t="str">
        <x:v>https://blog.skyairline.com/couchsurfing/</x:v>
      </x:c>
      <x:c r="M385" s="1" t="n">
        <x:v>4</x:v>
      </x:c>
    </x:row>
    <x:row r="386" ht="18.75" customHeight="1">
      <x:c r="A386" s="1" t="str">
        <x:v>https://blog.skyairline.com/documentos-que-necesitas-para-viajar-a-argentina-desde-chile/</x:v>
      </x:c>
      <x:c r="B386" s="1" t="str">
        <x:v>que se necesita para viajar a argentina desde chile</x:v>
      </x:c>
      <x:c r="C386" s="1" t="str">
        <x:v>chl</x:v>
      </x:c>
      <x:c r="D386" s="1" t="str">
        <x:v>Sin marca</x:v>
      </x:c>
      <x:c r="E386" s="35" t="n">
        <x:v>4</x:v>
      </x:c>
      <x:c r="F386" s="36" t="n">
        <x:v>0.88</x:v>
      </x:c>
      <x:c r="G386" s="36" t="n">
        <x:f>IF(ISNUMBER(F386),E386*F386,"")</x:f>
        <x:v>3.52</x:v>
      </x:c>
      <x:c r="H386" s="37" t="d">
        <x:v>2026-10-15T00:00:00.000Z</x:v>
      </x:c>
      <x:c r="I386" s="37" t="d">
        <x:v>2026-09-12T17:14:29.000Z</x:v>
      </x:c>
      <x:c r="J386" s="1" t="n">
        <x:f>IF(ISNUMBER(F386),E386,0)</x:f>
        <x:v>4</x:v>
      </x:c>
      <x:c r="K386" s="1"/>
      <x:c r="L386" s="1" t="str">
        <x:v>https://blog.skyairline.com/cristo-redentor/</x:v>
      </x:c>
      <x:c r="M386" s="1" t="n">
        <x:v>4</x:v>
      </x:c>
    </x:row>
    <x:row r="387" ht="18.75" customHeight="1">
      <x:c r="A387" s="1" t="str">
        <x:v>https://blog.skyairline.com/donde-queda-frutillar/</x:v>
      </x:c>
      <x:c r="B387" s="1" t="str">
        <x:v>frutillar</x:v>
      </x:c>
      <x:c r="C387" s="1" t="str">
        <x:v>chl</x:v>
      </x:c>
      <x:c r="D387" s="1" t="str">
        <x:v>Sin marca</x:v>
      </x:c>
      <x:c r="E387" s="35" t="n">
        <x:v>4</x:v>
      </x:c>
      <x:c r="F387" s="36" t="n">
        <x:v>0.66</x:v>
      </x:c>
      <x:c r="G387" s="36" t="n">
        <x:f>IF(ISNUMBER(F387),E387*F387,"")</x:f>
        <x:v>2.64</x:v>
      </x:c>
      <x:c r="H387" s="37" t="d">
        <x:v>2026-10-15T00:00:00.000Z</x:v>
      </x:c>
      <x:c r="I387" s="37" t="d">
        <x:v>2026-10-15T08:45:34.000Z</x:v>
      </x:c>
      <x:c r="J387" s="1" t="n">
        <x:f>IF(ISNUMBER(F387),E387,0)</x:f>
        <x:v>4</x:v>
      </x:c>
      <x:c r="K387" s="1"/>
      <x:c r="L387" s="1" t="str">
        <x:v>https://blog.skyairline.com/cultura-chavin/</x:v>
      </x:c>
      <x:c r="M387" s="1" t="n">
        <x:v>4</x:v>
      </x:c>
    </x:row>
    <x:row r="388" ht="18.75" customHeight="1">
      <x:c r="A388" s="1" t="str">
        <x:v>https://blog.skyairline.com/donde-queda-punta-cana/</x:v>
      </x:c>
      <x:c r="B388" s="1" t="str">
        <x:v>donde queda punta cana</x:v>
      </x:c>
      <x:c r="C388" s="1" t="str">
        <x:v>chl</x:v>
      </x:c>
      <x:c r="D388" s="1" t="str">
        <x:v>Sin marca</x:v>
      </x:c>
      <x:c r="E388" s="35" t="n">
        <x:v>4</x:v>
      </x:c>
      <x:c r="F388" s="36" t="n">
        <x:v>1.14</x:v>
      </x:c>
      <x:c r="G388" s="36" t="n">
        <x:f>IF(ISNUMBER(F388),E388*F388,"")</x:f>
        <x:v>4.56</x:v>
      </x:c>
      <x:c r="H388" s="37" t="d">
        <x:v>2026-10-15T00:00:00.000Z</x:v>
      </x:c>
      <x:c r="I388" s="37" t="d">
        <x:v>2026-09-15T02:18:43.000Z</x:v>
      </x:c>
      <x:c r="J388" s="1" t="n">
        <x:f>IF(ISNUMBER(F388),E388,0)</x:f>
        <x:v>4</x:v>
      </x:c>
      <x:c r="K388" s="1"/>
      <x:c r="L388" s="1" t="str">
        <x:v>https://blog.skyairline.com/desayunos-peruanos/</x:v>
      </x:c>
      <x:c r="M388" s="1" t="n">
        <x:v>4</x:v>
      </x:c>
    </x:row>
    <x:row r="389" ht="18.75" customHeight="1">
      <x:c r="A389" s="1" t="str">
        <x:v>https://blog.skyairline.com/donde-queda-punta-cana/</x:v>
      </x:c>
      <x:c r="B389" s="1" t="str">
        <x:v>punta cana donde queda</x:v>
      </x:c>
      <x:c r="C389" s="1" t="str">
        <x:v>col</x:v>
      </x:c>
      <x:c r="D389" s="1" t="str">
        <x:v>Sin marca</x:v>
      </x:c>
      <x:c r="E389" s="35" t="n">
        <x:v>4</x:v>
      </x:c>
      <x:c r="F389" s="36"/>
      <x:c r="G389" s="36" t="str">
        <x:f>IF(ISNUMBER(F389),E389*F389,"")</x:f>
      </x:c>
      <x:c r="H389" s="37"/>
      <x:c r="I389" s="37"/>
      <x:c r="J389" s="1" t="n">
        <x:f>IF(ISNUMBER(F389),E389,0)</x:f>
        <x:v>0</x:v>
      </x:c>
      <x:c r="K389" s="1"/>
      <x:c r="L389" s="1" t="str">
        <x:v>https://blog.skyairline.com/diferencia-horaria/</x:v>
      </x:c>
      <x:c r="M389" s="1" t="n">
        <x:v>4</x:v>
      </x:c>
    </x:row>
    <x:row r="390" ht="18.75" customHeight="1">
      <x:c r="A390" s="1" t="str">
        <x:v>https://blog.skyairline.com/enchufe-argentina/</x:v>
      </x:c>
      <x:c r="B390" s="1" t="str">
        <x:v>enchufe en argentina</x:v>
      </x:c>
      <x:c r="C390" s="1" t="str">
        <x:v>chl</x:v>
      </x:c>
      <x:c r="D390" s="1" t="str">
        <x:v>Sin marca</x:v>
      </x:c>
      <x:c r="E390" s="35" t="n">
        <x:v>4</x:v>
      </x:c>
      <x:c r="F390" s="36" t="n">
        <x:v>0.07</x:v>
      </x:c>
      <x:c r="G390" s="36" t="n">
        <x:f>IF(ISNUMBER(F390),E390*F390,"")</x:f>
        <x:v>0.28</x:v>
      </x:c>
      <x:c r="H390" s="37" t="d">
        <x:v>2026-10-15T00:00:00.000Z</x:v>
      </x:c>
      <x:c r="I390" s="37" t="d">
        <x:v>2026-09-17T14:46:19.000Z</x:v>
      </x:c>
      <x:c r="J390" s="1" t="n">
        <x:f>IF(ISNUMBER(F390),E390,0)</x:f>
        <x:v>4</x:v>
      </x:c>
      <x:c r="K390" s="1"/>
      <x:c r="L390" s="1" t="str">
        <x:v>https://blog.skyairline.com/documentales-de-viajes/</x:v>
      </x:c>
      <x:c r="M390" s="1" t="n">
        <x:v>4</x:v>
      </x:c>
    </x:row>
    <x:row r="391" ht="18.75" customHeight="1">
      <x:c r="A391" s="1" t="str">
        <x:v>https://blog.skyairline.com/enchufe-brasil/</x:v>
      </x:c>
      <x:c r="B391" s="1" t="str">
        <x:v>enchufes en brasil</x:v>
      </x:c>
      <x:c r="C391" s="1" t="str">
        <x:v>chl</x:v>
      </x:c>
      <x:c r="D391" s="1" t="str">
        <x:v>Sin marca</x:v>
      </x:c>
      <x:c r="E391" s="35" t="n">
        <x:v>4</x:v>
      </x:c>
      <x:c r="F391" s="36" t="n">
        <x:v>0.11</x:v>
      </x:c>
      <x:c r="G391" s="36" t="n">
        <x:f>IF(ISNUMBER(F391),E391*F391,"")</x:f>
        <x:v>0.44</x:v>
      </x:c>
      <x:c r="H391" s="37" t="d">
        <x:v>2026-10-15T00:00:00.000Z</x:v>
      </x:c>
      <x:c r="I391" s="37" t="d">
        <x:v>2026-10-15T12:54:15.000Z</x:v>
      </x:c>
      <x:c r="J391" s="1" t="n">
        <x:f>IF(ISNUMBER(F391),E391,0)</x:f>
        <x:v>4</x:v>
      </x:c>
      <x:c r="K391" s="1"/>
      <x:c r="L391" s="1" t="str">
        <x:v>https://blog.skyairline.com/dunas-chile/</x:v>
      </x:c>
      <x:c r="M391" s="1" t="n">
        <x:v>4</x:v>
      </x:c>
    </x:row>
    <x:row r="392" ht="18.75" customHeight="1">
      <x:c r="A392" s="1" t="str">
        <x:v>https://blog.skyairline.com/enchufe-peru/</x:v>
      </x:c>
      <x:c r="B392" s="1" t="str">
        <x:v>que tipo de enchufe se usa en peru</x:v>
      </x:c>
      <x:c r="C392" s="1" t="str">
        <x:v>chl</x:v>
      </x:c>
      <x:c r="D392" s="1" t="str">
        <x:v>Sin marca</x:v>
      </x:c>
      <x:c r="E392" s="35" t="n">
        <x:v>4</x:v>
      </x:c>
      <x:c r="F392" s="36" t="n">
        <x:v>0.04</x:v>
      </x:c>
      <x:c r="G392" s="36" t="n">
        <x:f>IF(ISNUMBER(F392),E392*F392,"")</x:f>
        <x:v>0.16</x:v>
      </x:c>
      <x:c r="H392" s="37" t="d">
        <x:v>2026-10-15T00:00:00.000Z</x:v>
      </x:c>
      <x:c r="I392" s="37" t="d">
        <x:v>2026-09-17T10:16:46.000Z</x:v>
      </x:c>
      <x:c r="J392" s="1" t="n">
        <x:f>IF(ISNUMBER(F392),E392,0)</x:f>
        <x:v>4</x:v>
      </x:c>
      <x:c r="K392" s="1"/>
      <x:c r="L392" s="1" t="str">
        <x:v>https://blog.skyairline.com/el-fruto-del-calafate/</x:v>
      </x:c>
      <x:c r="M392" s="1" t="n">
        <x:v>4</x:v>
      </x:c>
    </x:row>
    <x:row r="393" ht="18.75" customHeight="1">
      <x:c r="A393" s="1" t="str">
        <x:v>https://blog.skyairline.com/equipaje-de-bodega/</x:v>
      </x:c>
      <x:c r="B393" s="1" t="str">
        <x:v>equipaje de cabina sky</x:v>
      </x:c>
      <x:c r="C393" s="1" t="str">
        <x:v>chl</x:v>
      </x:c>
      <x:c r="D393" s="1" t="str">
        <x:v>Marca</x:v>
      </x:c>
      <x:c r="E393" s="35" t="n">
        <x:v>4</x:v>
      </x:c>
      <x:c r="F393" s="36" t="n">
        <x:v>0.37</x:v>
      </x:c>
      <x:c r="G393" s="36" t="n">
        <x:f>IF(ISNUMBER(F393),E393*F393,"")</x:f>
        <x:v>1.48</x:v>
      </x:c>
      <x:c r="H393" s="37" t="d">
        <x:v>2026-10-15T00:00:00.000Z</x:v>
      </x:c>
      <x:c r="I393" s="37" t="d">
        <x:v>2026-09-13T01:26:20.000Z</x:v>
      </x:c>
      <x:c r="J393" s="1" t="n">
        <x:f>IF(ISNUMBER(F393),E393,0)</x:f>
        <x:v>4</x:v>
      </x:c>
      <x:c r="K393" s="1"/>
      <x:c r="L393" s="1" t="str">
        <x:v>https://blog.skyairline.com/el-tiempo-en-osorno/</x:v>
      </x:c>
      <x:c r="M393" s="1" t="n">
        <x:v>4</x:v>
      </x:c>
    </x:row>
    <x:row r="394" ht="18.75" customHeight="1">
      <x:c r="A394" s="1" t="str">
        <x:v>https://blog.skyairline.com/equipaje-de-bodega/</x:v>
      </x:c>
      <x:c r="B394" s="1" t="str">
        <x:v>equipaje sky airlines</x:v>
      </x:c>
      <x:c r="C394" s="1" t="str">
        <x:v>arg</x:v>
      </x:c>
      <x:c r="D394" s="1" t="str">
        <x:v>Marca</x:v>
      </x:c>
      <x:c r="E394" s="35" t="n">
        <x:v>4</x:v>
      </x:c>
      <x:c r="F394" s="36"/>
      <x:c r="G394" s="36" t="str">
        <x:f>IF(ISNUMBER(F394),E394*F394,"")</x:f>
      </x:c>
      <x:c r="H394" s="37"/>
      <x:c r="I394" s="37"/>
      <x:c r="J394" s="1" t="n">
        <x:f>IF(ISNUMBER(F394),E394,0)</x:f>
        <x:v>0</x:v>
      </x:c>
      <x:c r="K394" s="1"/>
      <x:c r="L394" s="1" t="str">
        <x:v>https://blog.skyairline.com/estadio-nacional-de-chile/</x:v>
      </x:c>
      <x:c r="M394" s="1" t="n">
        <x:v>4</x:v>
      </x:c>
    </x:row>
    <x:row r="395" ht="18.75" customHeight="1">
      <x:c r="A395" s="1" t="str">
        <x:v>https://blog.skyairline.com/equipaje-de-bodega/</x:v>
      </x:c>
      <x:c r="B395" s="1" t="str">
        <x:v>equipaje sky medidas</x:v>
      </x:c>
      <x:c r="C395" s="1" t="str">
        <x:v>per</x:v>
      </x:c>
      <x:c r="D395" s="1" t="str">
        <x:v>Marca</x:v>
      </x:c>
      <x:c r="E395" s="35" t="n">
        <x:v>4</x:v>
      </x:c>
      <x:c r="F395" s="36"/>
      <x:c r="G395" s="36" t="str">
        <x:f>IF(ISNUMBER(F395),E395*F395,"")</x:f>
      </x:c>
      <x:c r="H395" s="37" t="d">
        <x:v>2026-10-15T00:00:00.000Z</x:v>
      </x:c>
      <x:c r="I395" s="37" t="d">
        <x:v>2026-09-17T03:56:27.000Z</x:v>
      </x:c>
      <x:c r="J395" s="1" t="n">
        <x:f>IF(ISNUMBER(F395),E395,0)</x:f>
        <x:v>0</x:v>
      </x:c>
      <x:c r="K395" s="1"/>
      <x:c r="L395" s="1" t="str">
        <x:v>https://blog.skyairline.com/estafas-a-viajeros/</x:v>
      </x:c>
      <x:c r="M395" s="1" t="n">
        <x:v>4</x:v>
      </x:c>
    </x:row>
    <x:row r="396" ht="18.75" customHeight="1">
      <x:c r="A396" s="1" t="str">
        <x:v>https://blog.skyairline.com/equipaje-de-bodega/</x:v>
      </x:c>
      <x:c r="B396" s="1" t="str">
        <x:v>medidas de maleta de 23 kilos sky</x:v>
      </x:c>
      <x:c r="C396" s="1" t="str">
        <x:v>chl</x:v>
      </x:c>
      <x:c r="D396" s="1" t="str">
        <x:v>Marca</x:v>
      </x:c>
      <x:c r="E396" s="35" t="n">
        <x:v>4</x:v>
      </x:c>
      <x:c r="F396" s="36" t="n">
        <x:v>0.08</x:v>
      </x:c>
      <x:c r="G396" s="36" t="n">
        <x:f>IF(ISNUMBER(F396),E396*F396,"")</x:f>
        <x:v>0.32</x:v>
      </x:c>
      <x:c r="H396" s="37" t="d">
        <x:v>2026-10-15T00:00:00.000Z</x:v>
      </x:c>
      <x:c r="I396" s="37" t="d">
        <x:v>2026-09-13T10:51:37.000Z</x:v>
      </x:c>
      <x:c r="J396" s="1" t="n">
        <x:f>IF(ISNUMBER(F396),E396,0)</x:f>
        <x:v>4</x:v>
      </x:c>
      <x:c r="K396" s="1"/>
      <x:c r="L396" s="1" t="str">
        <x:v>https://blog.skyairline.com/feijoada/</x:v>
      </x:c>
      <x:c r="M396" s="1" t="n">
        <x:v>4</x:v>
      </x:c>
    </x:row>
    <x:row r="397" ht="18.75" customHeight="1">
      <x:c r="A397" s="1" t="str">
        <x:v>https://blog.skyairline.com/equipaje-de-bodega/</x:v>
      </x:c>
      <x:c r="B397" s="1" t="str">
        <x:v>medidas de maleta sky</x:v>
      </x:c>
      <x:c r="C397" s="1" t="str">
        <x:v>per</x:v>
      </x:c>
      <x:c r="D397" s="1" t="str">
        <x:v>Marca</x:v>
      </x:c>
      <x:c r="E397" s="35" t="n">
        <x:v>4</x:v>
      </x:c>
      <x:c r="F397" s="36"/>
      <x:c r="G397" s="36" t="str">
        <x:f>IF(ISNUMBER(F397),E397*F397,"")</x:f>
      </x:c>
      <x:c r="H397" s="37"/>
      <x:c r="I397" s="37"/>
      <x:c r="J397" s="1" t="n">
        <x:f>IF(ISNUMBER(F397),E397,0)</x:f>
        <x:v>0</x:v>
      </x:c>
      <x:c r="K397" s="1"/>
      <x:c r="L397" s="1" t="str">
        <x:v>https://blog.skyairline.com/hoteles-para-ir-con-ninos/</x:v>
      </x:c>
      <x:c r="M397" s="1" t="n">
        <x:v>4</x:v>
      </x:c>
    </x:row>
    <x:row r="398" ht="18.75" customHeight="1">
      <x:c r="A398" s="1" t="str">
        <x:v>https://blog.skyairline.com/equipaje-de-bodega/</x:v>
      </x:c>
      <x:c r="B398" s="1" t="str">
        <x:v>medidas del bolso de mano sky</x:v>
      </x:c>
      <x:c r="C398" s="1" t="str">
        <x:v>chl</x:v>
      </x:c>
      <x:c r="D398" s="1" t="str">
        <x:v>Marca</x:v>
      </x:c>
      <x:c r="E398" s="35" t="n">
        <x:v>4</x:v>
      </x:c>
      <x:c r="F398" s="36"/>
      <x:c r="G398" s="36" t="str">
        <x:f>IF(ISNUMBER(F398),E398*F398,"")</x:f>
      </x:c>
      <x:c r="H398" s="37"/>
      <x:c r="I398" s="37"/>
      <x:c r="J398" s="1" t="n">
        <x:f>IF(ISNUMBER(F398),E398,0)</x:f>
        <x:v>0</x:v>
      </x:c>
      <x:c r="K398" s="1"/>
      <x:c r="L398" s="1" t="str">
        <x:v>https://blog.skyairline.com/humberstone/</x:v>
      </x:c>
      <x:c r="M398" s="1" t="n">
        <x:v>4</x:v>
      </x:c>
    </x:row>
    <x:row r="399" ht="18.75" customHeight="1">
      <x:c r="A399" s="1" t="str">
        <x:v>https://blog.skyairline.com/equipaje-de-bodega/</x:v>
      </x:c>
      <x:c r="B399" s="1" t="str">
        <x:v>medidas equipaje de cabina sky</x:v>
      </x:c>
      <x:c r="C399" s="1" t="str">
        <x:v>chl</x:v>
      </x:c>
      <x:c r="D399" s="1" t="str">
        <x:v>Marca</x:v>
      </x:c>
      <x:c r="E399" s="35" t="n">
        <x:v>4</x:v>
      </x:c>
      <x:c r="F399" s="36"/>
      <x:c r="G399" s="36" t="str">
        <x:f>IF(ISNUMBER(F399),E399*F399,"")</x:f>
      </x:c>
      <x:c r="H399" s="37" t="d">
        <x:v>2026-10-15T00:00:00.000Z</x:v>
      </x:c>
      <x:c r="I399" s="37" t="d">
        <x:v>2026-09-17T07:10:34.000Z</x:v>
      </x:c>
      <x:c r="J399" s="1" t="n">
        <x:f>IF(ISNUMBER(F399),E399,0)</x:f>
        <x:v>0</x:v>
      </x:c>
      <x:c r="K399" s="1"/>
      <x:c r="L399" s="1" t="str">
        <x:v>https://blog.skyairline.com/isla-campeche/</x:v>
      </x:c>
      <x:c r="M399" s="1" t="n">
        <x:v>4</x:v>
      </x:c>
    </x:row>
    <x:row r="400" ht="18.75" customHeight="1">
      <x:c r="A400" s="1" t="str">
        <x:v>https://blog.skyairline.com/equipaje-de-bodega/</x:v>
      </x:c>
      <x:c r="B400" s="1" t="str">
        <x:v>medidas mochila de mano sky</x:v>
      </x:c>
      <x:c r="C400" s="1" t="str">
        <x:v>chl</x:v>
      </x:c>
      <x:c r="D400" s="1" t="str">
        <x:v>Marca</x:v>
      </x:c>
      <x:c r="E400" s="35" t="n">
        <x:v>4</x:v>
      </x:c>
      <x:c r="F400" s="36" t="n">
        <x:v>0.32</x:v>
      </x:c>
      <x:c r="G400" s="36" t="n">
        <x:f>IF(ISNUMBER(F400),E400*F400,"")</x:f>
        <x:v>1.28</x:v>
      </x:c>
      <x:c r="H400" s="37" t="d">
        <x:v>2026-10-15T00:00:00.000Z</x:v>
      </x:c>
      <x:c r="I400" s="37" t="d">
        <x:v>2026-09-15T05:28:20.000Z</x:v>
      </x:c>
      <x:c r="J400" s="1" t="n">
        <x:f>IF(ISNUMBER(F400),E400,0)</x:f>
        <x:v>4</x:v>
      </x:c>
      <x:c r="K400" s="1"/>
      <x:c r="L400" s="1" t="str">
        <x:v>https://blog.skyairline.com/islas-ballestas/</x:v>
      </x:c>
      <x:c r="M400" s="1" t="n">
        <x:v>4</x:v>
      </x:c>
    </x:row>
    <x:row r="401" ht="18.75" customHeight="1">
      <x:c r="A401" s="1" t="str">
        <x:v>https://blog.skyairline.com/equipaje-de-bodega/</x:v>
      </x:c>
      <x:c r="B401" s="1" t="str">
        <x:v>medidas sky equipaje de mano</x:v>
      </x:c>
      <x:c r="C401" s="1" t="str">
        <x:v>per</x:v>
      </x:c>
      <x:c r="D401" s="1" t="str">
        <x:v>Marca</x:v>
      </x:c>
      <x:c r="E401" s="35" t="n">
        <x:v>4</x:v>
      </x:c>
      <x:c r="F401" s="36"/>
      <x:c r="G401" s="36" t="str">
        <x:f>IF(ISNUMBER(F401),E401*F401,"")</x:f>
      </x:c>
      <x:c r="H401" s="37"/>
      <x:c r="I401" s="37"/>
      <x:c r="J401" s="1" t="n">
        <x:f>IF(ISNUMBER(F401),E401,0)</x:f>
        <x:v>0</x:v>
      </x:c>
      <x:c r="K401" s="1"/>
      <x:c r="L401" s="1" t="str">
        <x:v>https://blog.skyairline.com/lagos-de-chile/</x:v>
      </x:c>
      <x:c r="M401" s="1" t="n">
        <x:v>4</x:v>
      </x:c>
    </x:row>
    <x:row r="402" ht="18.75" customHeight="1">
      <x:c r="A402" s="1" t="str">
        <x:v>https://blog.skyairline.com/equipaje-de-bodega/</x:v>
      </x:c>
      <x:c r="B402" s="1" t="str">
        <x:v>sky airlines medidas equipaje</x:v>
      </x:c>
      <x:c r="C402" s="1" t="str">
        <x:v>arg</x:v>
      </x:c>
      <x:c r="D402" s="1" t="str">
        <x:v>Marca</x:v>
      </x:c>
      <x:c r="E402" s="35" t="n">
        <x:v>4</x:v>
      </x:c>
      <x:c r="F402" s="36"/>
      <x:c r="G402" s="36" t="str">
        <x:f>IF(ISNUMBER(F402),E402*F402,"")</x:f>
      </x:c>
      <x:c r="H402" s="37"/>
      <x:c r="I402" s="37"/>
      <x:c r="J402" s="1" t="n">
        <x:f>IF(ISNUMBER(F402),E402,0)</x:f>
        <x:v>0</x:v>
      </x:c>
      <x:c r="K402" s="1"/>
      <x:c r="L402" s="1" t="str">
        <x:v>https://blog.skyairline.com/lugares-turisticos-de-piura/</x:v>
      </x:c>
      <x:c r="M402" s="1" t="n">
        <x:v>4</x:v>
      </x:c>
    </x:row>
    <x:row r="403" ht="18.75" customHeight="1">
      <x:c r="A403" s="1" t="str">
        <x:v>https://blog.skyairline.com/equipaje-de-bodega/</x:v>
      </x:c>
      <x:c r="B403" s="1" t="str">
        <x:v>sky bolso de mano</x:v>
      </x:c>
      <x:c r="C403" s="1" t="str">
        <x:v>per</x:v>
      </x:c>
      <x:c r="D403" s="1" t="str">
        <x:v>Marca</x:v>
      </x:c>
      <x:c r="E403" s="35" t="n">
        <x:v>4</x:v>
      </x:c>
      <x:c r="F403" s="36" t="n">
        <x:v>0.33</x:v>
      </x:c>
      <x:c r="G403" s="36" t="n">
        <x:f>IF(ISNUMBER(F403),E403*F403,"")</x:f>
        <x:v>1.32</x:v>
      </x:c>
      <x:c r="H403" s="37" t="d">
        <x:v>2026-10-15T00:00:00.000Z</x:v>
      </x:c>
      <x:c r="I403" s="37" t="d">
        <x:v>2026-09-13T07:57:58.000Z</x:v>
      </x:c>
      <x:c r="J403" s="1" t="n">
        <x:f>IF(ISNUMBER(F403),E403,0)</x:f>
        <x:v>4</x:v>
      </x:c>
      <x:c r="K403" s="1"/>
      <x:c r="L403" s="1" t="str">
        <x:v>https://blog.skyairline.com/lugares-turisticos-de-tacna/</x:v>
      </x:c>
      <x:c r="M403" s="1" t="n">
        <x:v>4</x:v>
      </x:c>
    </x:row>
    <x:row r="404" ht="18.75" customHeight="1">
      <x:c r="A404" s="1" t="str">
        <x:v>https://blog.skyairline.com/equipaje-de-bodega/</x:v>
      </x:c>
      <x:c r="B404" s="1" t="str">
        <x:v>sky equipaje</x:v>
      </x:c>
      <x:c r="C404" s="1" t="str">
        <x:v>ury</x:v>
      </x:c>
      <x:c r="D404" s="1" t="str">
        <x:v>Marca</x:v>
      </x:c>
      <x:c r="E404" s="35" t="n">
        <x:v>4</x:v>
      </x:c>
      <x:c r="F404" s="36"/>
      <x:c r="G404" s="36" t="str">
        <x:f>IF(ISNUMBER(F404),E404*F404,"")</x:f>
      </x:c>
      <x:c r="H404" s="37"/>
      <x:c r="I404" s="37"/>
      <x:c r="J404" s="1" t="n">
        <x:f>IF(ISNUMBER(F404),E404,0)</x:f>
        <x:v>0</x:v>
      </x:c>
      <x:c r="K404" s="1"/>
      <x:c r="L404" s="1" t="str">
        <x:v>https://blog.skyairline.com/mas-viajes-mas-peru-promovera-el-turismo-desde-chile-hacia-peru/</x:v>
      </x:c>
      <x:c r="M404" s="1" t="n">
        <x:v>4</x:v>
      </x:c>
    </x:row>
    <x:row r="405" ht="18.75" customHeight="1">
      <x:c r="A405" s="1" t="str">
        <x:v>https://blog.skyairline.com/equipaje-de-bodega/</x:v>
      </x:c>
      <x:c r="B405" s="1" t="str">
        <x:v>sky equipaje de bodega</x:v>
      </x:c>
      <x:c r="C405" s="1" t="str">
        <x:v>ury</x:v>
      </x:c>
      <x:c r="D405" s="1" t="str">
        <x:v>Marca</x:v>
      </x:c>
      <x:c r="E405" s="35" t="n">
        <x:v>4</x:v>
      </x:c>
      <x:c r="F405" s="36"/>
      <x:c r="G405" s="36" t="str">
        <x:f>IF(ISNUMBER(F405),E405*F405,"")</x:f>
      </x:c>
      <x:c r="H405" s="37"/>
      <x:c r="I405" s="37"/>
      <x:c r="J405" s="1" t="n">
        <x:f>IF(ISNUMBER(F405),E405,0)</x:f>
        <x:v>0</x:v>
      </x:c>
      <x:c r="K405" s="1"/>
      <x:c r="L405" s="1" t="str">
        <x:v>https://blog.skyairline.com/museo-del-desiento-y-el-mar-de-tacna/</x:v>
      </x:c>
      <x:c r="M405" s="1" t="n">
        <x:v>4</x:v>
      </x:c>
    </x:row>
    <x:row r="406" ht="18.75" customHeight="1">
      <x:c r="A406" s="1" t="str">
        <x:v>https://blog.skyairline.com/equipaje-de-bodega/</x:v>
      </x:c>
      <x:c r="B406" s="1" t="str">
        <x:v>sky medidas bolso de mano</x:v>
      </x:c>
      <x:c r="C406" s="1" t="str">
        <x:v>per</x:v>
      </x:c>
      <x:c r="D406" s="1" t="str">
        <x:v>Marca</x:v>
      </x:c>
      <x:c r="E406" s="35" t="n">
        <x:v>4</x:v>
      </x:c>
      <x:c r="F406" s="36"/>
      <x:c r="G406" s="36" t="str">
        <x:f>IF(ISNUMBER(F406),E406*F406,"")</x:f>
      </x:c>
      <x:c r="H406" s="37" t="d">
        <x:v>2026-10-15T00:00:00.000Z</x:v>
      </x:c>
      <x:c r="I406" s="37" t="d">
        <x:v>2026-09-12T21:21:10.000Z</x:v>
      </x:c>
      <x:c r="J406" s="1" t="n">
        <x:f>IF(ISNUMBER(F406),E406,0)</x:f>
        <x:v>0</x:v>
      </x:c>
      <x:c r="K406" s="1"/>
      <x:c r="L406" s="1" t="str">
        <x:v>https://blog.skyairline.com/nueva-helvecia/</x:v>
      </x:c>
      <x:c r="M406" s="1" t="n">
        <x:v>4</x:v>
      </x:c>
    </x:row>
    <x:row r="407" ht="18.75" customHeight="1">
      <x:c r="A407" s="1" t="str">
        <x:v>https://blog.skyairline.com/equipaje-de-bodega/</x:v>
      </x:c>
      <x:c r="B407" s="1" t="str">
        <x:v>sky medidas equipaje de mano</x:v>
      </x:c>
      <x:c r="C407" s="1" t="str">
        <x:v>per</x:v>
      </x:c>
      <x:c r="D407" s="1" t="str">
        <x:v>Marca</x:v>
      </x:c>
      <x:c r="E407" s="35" t="n">
        <x:v>4</x:v>
      </x:c>
      <x:c r="F407" s="36"/>
      <x:c r="G407" s="36" t="str">
        <x:f>IF(ISNUMBER(F407),E407*F407,"")</x:f>
      </x:c>
      <x:c r="H407" s="37" t="d">
        <x:v>2026-10-15T00:00:00.000Z</x:v>
      </x:c>
      <x:c r="I407" s="37" t="d">
        <x:v>2026-09-17T08:42:59.000Z</x:v>
      </x:c>
      <x:c r="J407" s="1" t="n">
        <x:f>IF(ISNUMBER(F407),E407,0)</x:f>
        <x:v>0</x:v>
      </x:c>
      <x:c r="K407" s="1"/>
      <x:c r="L407" s="1" t="str">
        <x:v>https://blog.skyairline.com/paisajes-de-chiloe/</x:v>
      </x:c>
      <x:c r="M407" s="1" t="n">
        <x:v>4</x:v>
      </x:c>
    </x:row>
    <x:row r="408" ht="18.75" customHeight="1">
      <x:c r="A408" s="1" t="str">
        <x:v>https://blog.skyairline.com/equipaje-de-bodega/</x:v>
      </x:c>
      <x:c r="B408" s="1" t="str">
        <x:v>sky medidas maletas</x:v>
      </x:c>
      <x:c r="C408" s="1" t="str">
        <x:v>per</x:v>
      </x:c>
      <x:c r="D408" s="1" t="str">
        <x:v>Marca</x:v>
      </x:c>
      <x:c r="E408" s="35" t="n">
        <x:v>4</x:v>
      </x:c>
      <x:c r="F408" s="36"/>
      <x:c r="G408" s="36" t="str">
        <x:f>IF(ISNUMBER(F408),E408*F408,"")</x:f>
      </x:c>
      <x:c r="H408" s="37" t="d">
        <x:v>2026-10-15T00:00:00.000Z</x:v>
      </x:c>
      <x:c r="I408" s="37" t="d">
        <x:v>2026-09-13T15:16:55.000Z</x:v>
      </x:c>
      <x:c r="J408" s="1" t="n">
        <x:f>IF(ISNUMBER(F408),E408,0)</x:f>
        <x:v>0</x:v>
      </x:c>
      <x:c r="K408" s="1"/>
      <x:c r="L408" s="1" t="str">
        <x:v>https://blog.skyairline.com/parque-nacional-huascaran/</x:v>
      </x:c>
      <x:c r="M408" s="1" t="n">
        <x:v>4</x:v>
      </x:c>
    </x:row>
    <x:row r="409" ht="18.75" customHeight="1">
      <x:c r="A409" s="1" t="str">
        <x:v>https://blog.skyairline.com/equipaje-de-bodega/</x:v>
      </x:c>
      <x:c r="B409" s="1" t="str">
        <x:v>tamaño bolso de mano sky</x:v>
      </x:c>
      <x:c r="C409" s="1" t="str">
        <x:v>chl</x:v>
      </x:c>
      <x:c r="D409" s="1" t="str">
        <x:v>Marca</x:v>
      </x:c>
      <x:c r="E409" s="35" t="n">
        <x:v>4</x:v>
      </x:c>
      <x:c r="F409" s="36" t="n">
        <x:v>0.09</x:v>
      </x:c>
      <x:c r="G409" s="36" t="n">
        <x:f>IF(ISNUMBER(F409),E409*F409,"")</x:f>
        <x:v>0.36</x:v>
      </x:c>
      <x:c r="H409" s="37" t="d">
        <x:v>2026-10-15T00:00:00.000Z</x:v>
      </x:c>
      <x:c r="I409" s="37" t="d">
        <x:v>2026-09-15T10:17:02.000Z</x:v>
      </x:c>
      <x:c r="J409" s="1" t="n">
        <x:f>IF(ISNUMBER(F409),E409,0)</x:f>
        <x:v>4</x:v>
      </x:c>
      <x:c r="K409" s="1"/>
      <x:c r="L409" s="1" t="str">
        <x:v>https://blog.skyairline.com/parques-de-atracciones-en-miami/</x:v>
      </x:c>
      <x:c r="M409" s="1" t="n">
        <x:v>4</x:v>
      </x:c>
    </x:row>
    <x:row r="410" ht="18.75" customHeight="1">
      <x:c r="A410" s="1" t="str">
        <x:v>https://blog.skyairline.com/equipaje-de-bodega/</x:v>
      </x:c>
      <x:c r="B410" s="1" t="str">
        <x:v>tamaño mochila sky</x:v>
      </x:c>
      <x:c r="C410" s="1" t="str">
        <x:v>chl</x:v>
      </x:c>
      <x:c r="D410" s="1" t="str">
        <x:v>Marca</x:v>
      </x:c>
      <x:c r="E410" s="35" t="n">
        <x:v>4</x:v>
      </x:c>
      <x:c r="F410" s="36"/>
      <x:c r="G410" s="36" t="str">
        <x:f>IF(ISNUMBER(F410),E410*F410,"")</x:f>
      </x:c>
      <x:c r="H410" s="37" t="d">
        <x:v>2026-10-15T00:00:00.000Z</x:v>
      </x:c>
      <x:c r="I410" s="37" t="d">
        <x:v>2026-09-12T18:34:58.999Z</x:v>
      </x:c>
      <x:c r="J410" s="1" t="n">
        <x:f>IF(ISNUMBER(F410),E410,0)</x:f>
        <x:v>0</x:v>
      </x:c>
      <x:c r="K410" s="1"/>
      <x:c r="L410" s="1" t="str">
        <x:v>https://blog.skyairline.com/pasajes-brasil-chile/</x:v>
      </x:c>
      <x:c r="M410" s="1" t="n">
        <x:v>4</x:v>
      </x:c>
    </x:row>
    <x:row r="411" ht="18.75" customHeight="1">
      <x:c r="A411" s="1" t="str">
        <x:v>https://blog.skyairline.com/equipaje-de-cabina/</x:v>
      </x:c>
      <x:c r="B411" s="1" t="str">
        <x:v>carry on sky</x:v>
      </x:c>
      <x:c r="C411" s="1" t="str">
        <x:v>per</x:v>
      </x:c>
      <x:c r="D411" s="1" t="str">
        <x:v>Marca</x:v>
      </x:c>
      <x:c r="E411" s="35" t="n">
        <x:v>4</x:v>
      </x:c>
      <x:c r="F411" s="36"/>
      <x:c r="G411" s="36" t="str">
        <x:f>IF(ISNUMBER(F411),E411*F411,"")</x:f>
      </x:c>
      <x:c r="H411" s="37"/>
      <x:c r="I411" s="37"/>
      <x:c r="J411" s="1" t="n">
        <x:f>IF(ISNUMBER(F411),E411,0)</x:f>
        <x:v>0</x:v>
      </x:c>
      <x:c r="K411" s="1"/>
      <x:c r="L411" s="1" t="str">
        <x:v>https://blog.skyairline.com/pasar-migracion/</x:v>
      </x:c>
      <x:c r="M411" s="1" t="n">
        <x:v>4</x:v>
      </x:c>
    </x:row>
    <x:row r="412" ht="18.75" customHeight="1">
      <x:c r="A412" s="1" t="str">
        <x:v>https://blog.skyairline.com/equipaje-de-cabina/</x:v>
      </x:c>
      <x:c r="B412" s="1" t="str">
        <x:v>carry on sky medidas</x:v>
      </x:c>
      <x:c r="C412" s="1" t="str">
        <x:v>per</x:v>
      </x:c>
      <x:c r="D412" s="1" t="str">
        <x:v>Marca</x:v>
      </x:c>
      <x:c r="E412" s="35" t="n">
        <x:v>4</x:v>
      </x:c>
      <x:c r="F412" s="36"/>
      <x:c r="G412" s="36" t="str">
        <x:f>IF(ISNUMBER(F412),E412*F412,"")</x:f>
      </x:c>
      <x:c r="H412" s="37"/>
      <x:c r="I412" s="37"/>
      <x:c r="J412" s="1" t="n">
        <x:f>IF(ISNUMBER(F412),E412,0)</x:f>
        <x:v>0</x:v>
      </x:c>
      <x:c r="K412" s="1"/>
      <x:c r="L412" s="1" t="str">
        <x:v>https://blog.skyairline.com/patrimonios-culturales-de-chile/</x:v>
      </x:c>
      <x:c r="M412" s="1" t="n">
        <x:v>4</x:v>
      </x:c>
    </x:row>
    <x:row r="413" ht="18.75" customHeight="1">
      <x:c r="A413" s="1" t="str">
        <x:v>https://blog.skyairline.com/equipaje-de-cabina/</x:v>
      </x:c>
      <x:c r="B413" s="1" t="str">
        <x:v>cual es el equipaje de cabina en sky</x:v>
      </x:c>
      <x:c r="C413" s="1" t="str">
        <x:v>chl</x:v>
      </x:c>
      <x:c r="D413" s="1" t="str">
        <x:v>Marca</x:v>
      </x:c>
      <x:c r="E413" s="35" t="n">
        <x:v>4</x:v>
      </x:c>
      <x:c r="F413" s="36"/>
      <x:c r="G413" s="36" t="str">
        <x:f>IF(ISNUMBER(F413),E413*F413,"")</x:f>
      </x:c>
      <x:c r="H413" s="37"/>
      <x:c r="I413" s="37"/>
      <x:c r="J413" s="1" t="n">
        <x:f>IF(ISNUMBER(F413),E413,0)</x:f>
        <x:v>0</x:v>
      </x:c>
      <x:c r="K413" s="1"/>
      <x:c r="L413" s="1" t="str">
        <x:v>https://blog.skyairline.com/planificacion-de-viaje/</x:v>
      </x:c>
      <x:c r="M413" s="1" t="n">
        <x:v>4</x:v>
      </x:c>
    </x:row>
    <x:row r="414" ht="18.75" customHeight="1">
      <x:c r="A414" s="1" t="str">
        <x:v>https://blog.skyairline.com/equipaje-de-cabina/</x:v>
      </x:c>
      <x:c r="B414" s="1" t="str">
        <x:v>equipaje cabina sky</x:v>
      </x:c>
      <x:c r="C414" s="1" t="str">
        <x:v>per</x:v>
      </x:c>
      <x:c r="D414" s="1" t="str">
        <x:v>Marca</x:v>
      </x:c>
      <x:c r="E414" s="35" t="n">
        <x:v>4</x:v>
      </x:c>
      <x:c r="F414" s="36"/>
      <x:c r="G414" s="36" t="str">
        <x:f>IF(ISNUMBER(F414),E414*F414,"")</x:f>
      </x:c>
      <x:c r="H414" s="37"/>
      <x:c r="I414" s="37"/>
      <x:c r="J414" s="1" t="n">
        <x:f>IF(ISNUMBER(F414),E414,0)</x:f>
        <x:v>0</x:v>
      </x:c>
      <x:c r="K414" s="1"/>
      <x:c r="L414" s="1" t="str">
        <x:v>https://blog.skyairline.com/playas-de-lima/</x:v>
      </x:c>
      <x:c r="M414" s="1" t="n">
        <x:v>4</x:v>
      </x:c>
    </x:row>
    <x:row r="415" ht="18.75" customHeight="1">
      <x:c r="A415" s="1" t="str">
        <x:v>https://blog.skyairline.com/equipaje-de-cabina/</x:v>
      </x:c>
      <x:c r="B415" s="1" t="str">
        <x:v>equipaje de mano sky</x:v>
      </x:c>
      <x:c r="C415" s="1" t="str">
        <x:v>arg</x:v>
      </x:c>
      <x:c r="D415" s="1" t="str">
        <x:v>Marca</x:v>
      </x:c>
      <x:c r="E415" s="35" t="n">
        <x:v>4</x:v>
      </x:c>
      <x:c r="F415" s="36"/>
      <x:c r="G415" s="36" t="str">
        <x:f>IF(ISNUMBER(F415),E415*F415,"")</x:f>
      </x:c>
      <x:c r="H415" s="37"/>
      <x:c r="I415" s="37"/>
      <x:c r="J415" s="1" t="n">
        <x:f>IF(ISNUMBER(F415),E415,0)</x:f>
        <x:v>0</x:v>
      </x:c>
      <x:c r="K415" s="1"/>
      <x:c r="L415" s="1" t="str">
        <x:v>https://blog.skyairline.com/region-de-arica-4-lugares-escondidos-que-no-todo-turista-conoce/</x:v>
      </x:c>
      <x:c r="M415" s="1" t="n">
        <x:v>4</x:v>
      </x:c>
    </x:row>
    <x:row r="416" ht="18.75" customHeight="1">
      <x:c r="A416" s="1" t="str">
        <x:v>https://blog.skyairline.com/equipaje-de-cabina/</x:v>
      </x:c>
      <x:c r="B416" s="1" t="str">
        <x:v>equipaje en cabina sky</x:v>
      </x:c>
      <x:c r="C416" s="1" t="str">
        <x:v>chl</x:v>
      </x:c>
      <x:c r="D416" s="1" t="str">
        <x:v>Marca</x:v>
      </x:c>
      <x:c r="E416" s="35" t="n">
        <x:v>4</x:v>
      </x:c>
      <x:c r="F416" s="36"/>
      <x:c r="G416" s="36" t="str">
        <x:f>IF(ISNUMBER(F416),E416*F416,"")</x:f>
      </x:c>
      <x:c r="H416" s="37" t="d">
        <x:v>2026-10-15T00:00:00.000Z</x:v>
      </x:c>
      <x:c r="I416" s="37" t="d">
        <x:v>2026-09-14T12:50:03.000Z</x:v>
      </x:c>
      <x:c r="J416" s="1" t="n">
        <x:f>IF(ISNUMBER(F416),E416,0)</x:f>
        <x:v>0</x:v>
      </x:c>
      <x:c r="K416" s="1"/>
      <x:c r="L416" s="1" t="str">
        <x:v>https://blog.skyairline.com/restaurantes-de-bogota/</x:v>
      </x:c>
      <x:c r="M416" s="1" t="n">
        <x:v>4</x:v>
      </x:c>
    </x:row>
    <x:row r="417" ht="18.75" customHeight="1">
      <x:c r="A417" s="1" t="str">
        <x:v>https://blog.skyairline.com/equipaje-de-cabina/</x:v>
      </x:c>
      <x:c r="B417" s="1" t="str">
        <x:v>equipaje en cabina sky</x:v>
      </x:c>
      <x:c r="C417" s="1" t="str">
        <x:v>per</x:v>
      </x:c>
      <x:c r="D417" s="1" t="str">
        <x:v>Marca</x:v>
      </x:c>
      <x:c r="E417" s="35" t="n">
        <x:v>4</x:v>
      </x:c>
      <x:c r="F417" s="36"/>
      <x:c r="G417" s="36" t="str">
        <x:f>IF(ISNUMBER(F417),E417*F417,"")</x:f>
      </x:c>
      <x:c r="H417" s="37" t="d">
        <x:v>2026-10-15T00:00:00.000Z</x:v>
      </x:c>
      <x:c r="I417" s="37" t="d">
        <x:v>2026-09-14T05:49:54.000Z</x:v>
      </x:c>
      <x:c r="J417" s="1" t="n">
        <x:f>IF(ISNUMBER(F417),E417,0)</x:f>
        <x:v>0</x:v>
      </x:c>
      <x:c r="K417" s="1"/>
      <x:c r="L417" s="1" t="str">
        <x:v>https://blog.skyairline.com/rio-amazonas/</x:v>
      </x:c>
      <x:c r="M417" s="1" t="n">
        <x:v>4</x:v>
      </x:c>
    </x:row>
    <x:row r="418" ht="18.75" customHeight="1">
      <x:c r="A418" s="1" t="str">
        <x:v>https://blog.skyairline.com/equipaje-de-cabina/</x:v>
      </x:c>
      <x:c r="B418" s="1" t="str">
        <x:v>maleta de mano sky</x:v>
      </x:c>
      <x:c r="C418" s="1" t="str">
        <x:v>chl</x:v>
      </x:c>
      <x:c r="D418" s="1" t="str">
        <x:v>Marca</x:v>
      </x:c>
      <x:c r="E418" s="35" t="n">
        <x:v>4</x:v>
      </x:c>
      <x:c r="F418" s="36" t="n">
        <x:v>0.09</x:v>
      </x:c>
      <x:c r="G418" s="36" t="n">
        <x:f>IF(ISNUMBER(F418),E418*F418,"")</x:f>
        <x:v>0.36</x:v>
      </x:c>
      <x:c r="H418" s="37" t="d">
        <x:v>2026-10-15T00:00:00.000Z</x:v>
      </x:c>
      <x:c r="I418" s="37" t="d">
        <x:v>2026-09-12T17:46:50.000Z</x:v>
      </x:c>
      <x:c r="J418" s="1" t="n">
        <x:f>IF(ISNUMBER(F418),E418,0)</x:f>
        <x:v>4</x:v>
      </x:c>
      <x:c r="K418" s="1"/>
      <x:c r="L418" s="1" t="str">
        <x:v>https://blog.skyairline.com/santa-catarina/</x:v>
      </x:c>
      <x:c r="M418" s="1" t="n">
        <x:v>4</x:v>
      </x:c>
    </x:row>
    <x:row r="419" ht="18.75" customHeight="1">
      <x:c r="A419" s="1" t="str">
        <x:v>https://blog.skyairline.com/equipaje-de-cabina/</x:v>
      </x:c>
      <x:c r="B419" s="1" t="str">
        <x:v>medida equipaje de mano sky</x:v>
      </x:c>
      <x:c r="C419" s="1" t="str">
        <x:v>chl</x:v>
      </x:c>
      <x:c r="D419" s="1" t="str">
        <x:v>Marca</x:v>
      </x:c>
      <x:c r="E419" s="35" t="n">
        <x:v>4</x:v>
      </x:c>
      <x:c r="F419" s="36"/>
      <x:c r="G419" s="36" t="str">
        <x:f>IF(ISNUMBER(F419),E419*F419,"")</x:f>
      </x:c>
      <x:c r="H419" s="37"/>
      <x:c r="I419" s="37"/>
      <x:c r="J419" s="1" t="n">
        <x:f>IF(ISNUMBER(F419),E419,0)</x:f>
        <x:v>0</x:v>
      </x:c>
      <x:c r="K419" s="1"/>
      <x:c r="L419" s="1" t="str">
        <x:v>https://blog.skyairline.com/sitios-en-puerto-montt-que-no-todos-conocen/</x:v>
      </x:c>
      <x:c r="M419" s="1" t="n">
        <x:v>4</x:v>
      </x:c>
    </x:row>
    <x:row r="420" ht="18.75" customHeight="1">
      <x:c r="A420" s="1" t="str">
        <x:v>https://blog.skyairline.com/equipaje-de-cabina/</x:v>
      </x:c>
      <x:c r="B420" s="1" t="str">
        <x:v>medidas articulo personal sky</x:v>
      </x:c>
      <x:c r="C420" s="1" t="str">
        <x:v>chl</x:v>
      </x:c>
      <x:c r="D420" s="1" t="str">
        <x:v>Marca</x:v>
      </x:c>
      <x:c r="E420" s="35" t="n">
        <x:v>4</x:v>
      </x:c>
      <x:c r="F420" s="36"/>
      <x:c r="G420" s="36" t="str">
        <x:f>IF(ISNUMBER(F420),E420*F420,"")</x:f>
      </x:c>
      <x:c r="H420" s="37"/>
      <x:c r="I420" s="37"/>
      <x:c r="J420" s="1" t="n">
        <x:f>IF(ISNUMBER(F420),E420,0)</x:f>
        <x:v>0</x:v>
      </x:c>
      <x:c r="K420" s="1"/>
      <x:c r="L420" s="1" t="str">
        <x:v>https://blog.skyairline.com/sky-amplia-la-conexion-de-chile-con-europa-de-la-mano-de-lufthansa-y-swiss/</x:v>
      </x:c>
      <x:c r="M420" s="1" t="n">
        <x:v>4</x:v>
      </x:c>
    </x:row>
    <x:row r="421" ht="18.75" customHeight="1">
      <x:c r="A421" s="1" t="str">
        <x:v>https://blog.skyairline.com/equipaje-de-cabina/</x:v>
      </x:c>
      <x:c r="B421" s="1" t="str">
        <x:v>medidas articulo personal sky</x:v>
      </x:c>
      <x:c r="C421" s="1" t="str">
        <x:v>per</x:v>
      </x:c>
      <x:c r="D421" s="1" t="str">
        <x:v>Marca</x:v>
      </x:c>
      <x:c r="E421" s="35" t="n">
        <x:v>4</x:v>
      </x:c>
      <x:c r="F421" s="36"/>
      <x:c r="G421" s="36" t="str">
        <x:f>IF(ISNUMBER(F421),E421*F421,"")</x:f>
      </x:c>
      <x:c r="H421" s="37"/>
      <x:c r="I421" s="37"/>
      <x:c r="J421" s="1" t="n">
        <x:f>IF(ISNUMBER(F421),E421,0)</x:f>
        <x:v>0</x:v>
      </x:c>
      <x:c r="K421" s="1"/>
      <x:c r="L421" s="1" t="str">
        <x:v>https://blog.skyairline.com/sky-consolida-su-crecimiento-con-avances-en-sostenibilidad-puntualidad-e-inclusion-2/</x:v>
      </x:c>
      <x:c r="M421" s="1" t="n">
        <x:v>4</x:v>
      </x:c>
    </x:row>
    <x:row r="422" ht="18.75" customHeight="1">
      <x:c r="A422" s="1" t="str">
        <x:v>https://blog.skyairline.com/equipaje-de-cabina/</x:v>
      </x:c>
      <x:c r="B422" s="1" t="str">
        <x:v>medidas mochila avion sky</x:v>
      </x:c>
      <x:c r="C422" s="1" t="str">
        <x:v>chl</x:v>
      </x:c>
      <x:c r="D422" s="1" t="str">
        <x:v>Marca</x:v>
      </x:c>
      <x:c r="E422" s="35" t="n">
        <x:v>4</x:v>
      </x:c>
      <x:c r="F422" s="36" t="n">
        <x:v>0.18</x:v>
      </x:c>
      <x:c r="G422" s="36" t="n">
        <x:f>IF(ISNUMBER(F422),E422*F422,"")</x:f>
        <x:v>0.72</x:v>
      </x:c>
      <x:c r="H422" s="37" t="d">
        <x:v>2026-10-15T00:00:00.000Z</x:v>
      </x:c>
      <x:c r="I422" s="37" t="d">
        <x:v>2026-09-15T15:42:54.999Z</x:v>
      </x:c>
      <x:c r="J422" s="1" t="n">
        <x:f>IF(ISNUMBER(F422),E422,0)</x:f>
        <x:v>4</x:v>
      </x:c>
      <x:c r="K422" s="1"/>
      <x:c r="L422" s="1" t="str">
        <x:v>https://blog.skyairline.com/sky-fue-la-aerolinea-mas-puntual-de-latinoamerica-y-se-ubico-en-el-top-5-a-nivel-mundial/</x:v>
      </x:c>
      <x:c r="M422" s="1" t="n">
        <x:v>4</x:v>
      </x:c>
    </x:row>
    <x:row r="423" ht="18.75" customHeight="1">
      <x:c r="A423" s="1" t="str">
        <x:v>https://blog.skyairline.com/equipaje-de-cabina/</x:v>
      </x:c>
      <x:c r="B423" s="1" t="str">
        <x:v>mochila sky airlines</x:v>
      </x:c>
      <x:c r="C423" s="1" t="str">
        <x:v>per</x:v>
      </x:c>
      <x:c r="D423" s="1" t="str">
        <x:v>Marca</x:v>
      </x:c>
      <x:c r="E423" s="35" t="n">
        <x:v>4</x:v>
      </x:c>
      <x:c r="F423" s="36"/>
      <x:c r="G423" s="36" t="str">
        <x:f>IF(ISNUMBER(F423),E423*F423,"")</x:f>
      </x:c>
      <x:c r="H423" s="37" t="d">
        <x:v>2026-10-15T00:00:00.000Z</x:v>
      </x:c>
      <x:c r="I423" s="37" t="d">
        <x:v>2026-09-14T12:01:34.000Z</x:v>
      </x:c>
      <x:c r="J423" s="1" t="n">
        <x:f>IF(ISNUMBER(F423),E423,0)</x:f>
        <x:v>0</x:v>
      </x:c>
      <x:c r="K423" s="1"/>
      <x:c r="L423" s="1" t="str">
        <x:v>https://blog.skyairline.com/sky-fue-la-mas-puntual-de-latinoamerica-en-marzo-de-2026/</x:v>
      </x:c>
      <x:c r="M423" s="1" t="n">
        <x:v>4</x:v>
      </x:c>
    </x:row>
    <x:row r="424" ht="18.75" customHeight="1">
      <x:c r="A424" s="1" t="str">
        <x:v>https://blog.skyairline.com/equipaje-de-cabina/</x:v>
      </x:c>
      <x:c r="B424" s="1" t="str">
        <x:v>sky airline bolso de mano</x:v>
      </x:c>
      <x:c r="C424" s="1" t="str">
        <x:v>per</x:v>
      </x:c>
      <x:c r="D424" s="1" t="str">
        <x:v>Marca</x:v>
      </x:c>
      <x:c r="E424" s="35" t="n">
        <x:v>4</x:v>
      </x:c>
      <x:c r="F424" s="36"/>
      <x:c r="G424" s="36" t="str">
        <x:f>IF(ISNUMBER(F424),E424*F424,"")</x:f>
      </x:c>
      <x:c r="H424" s="37" t="d">
        <x:v>2026-10-15T00:00:00.000Z</x:v>
      </x:c>
      <x:c r="I424" s="37" t="d">
        <x:v>2026-09-12T16:55:15.000Z</x:v>
      </x:c>
      <x:c r="J424" s="1" t="n">
        <x:f>IF(ISNUMBER(F424),E424,0)</x:f>
        <x:v>0</x:v>
      </x:c>
      <x:c r="K424" s="1"/>
      <x:c r="L424" s="1" t="str">
        <x:v>https://blog.skyairline.com/sky-inaugura-primera-sucursal-de-carga-en-vina-del-mar/</x:v>
      </x:c>
      <x:c r="M424" s="1" t="n">
        <x:v>4</x:v>
      </x:c>
    </x:row>
    <x:row r="425" ht="18.75" customHeight="1">
      <x:c r="A425" s="1" t="str">
        <x:v>https://blog.skyairline.com/equipaje-de-cabina/</x:v>
      </x:c>
      <x:c r="B425" s="1" t="str">
        <x:v>sky airlines bolso de mano</x:v>
      </x:c>
      <x:c r="C425" s="1" t="str">
        <x:v>chl</x:v>
      </x:c>
      <x:c r="D425" s="1" t="str">
        <x:v>Marca</x:v>
      </x:c>
      <x:c r="E425" s="35" t="n">
        <x:v>4</x:v>
      </x:c>
      <x:c r="F425" s="36"/>
      <x:c r="G425" s="36" t="str">
        <x:f>IF(ISNUMBER(F425),E425*F425,"")</x:f>
      </x:c>
      <x:c r="H425" s="37" t="d">
        <x:v>2026-10-15T00:00:00.000Z</x:v>
      </x:c>
      <x:c r="I425" s="37" t="d">
        <x:v>2026-09-13T04:03:35.000Z</x:v>
      </x:c>
      <x:c r="J425" s="1" t="n">
        <x:f>IF(ISNUMBER(F425),E425,0)</x:f>
        <x:v>0</x:v>
      </x:c>
      <x:c r="K425" s="1"/>
      <x:c r="L425" s="1" t="str">
        <x:v>https://blog.skyairline.com/sky-lanza-nueva-ruta-directa-que-conectara-puerto-montt-con-bariloche/</x:v>
      </x:c>
      <x:c r="M425" s="1" t="n">
        <x:v>4</x:v>
      </x:c>
    </x:row>
    <x:row r="426" ht="18.75" customHeight="1">
      <x:c r="A426" s="1" t="str">
        <x:v>https://blog.skyairline.com/equipaje-de-cabina/</x:v>
      </x:c>
      <x:c r="B426" s="1" t="str">
        <x:v>sky airlines equipaje de mano</x:v>
      </x:c>
      <x:c r="C426" s="1" t="str">
        <x:v>chl</x:v>
      </x:c>
      <x:c r="D426" s="1" t="str">
        <x:v>Marca</x:v>
      </x:c>
      <x:c r="E426" s="35" t="n">
        <x:v>4</x:v>
      </x:c>
      <x:c r="F426" s="36" t="n">
        <x:v>1.82</x:v>
      </x:c>
      <x:c r="G426" s="36" t="n">
        <x:f>IF(ISNUMBER(F426),E426*F426,"")</x:f>
        <x:v>7.28</x:v>
      </x:c>
      <x:c r="H426" s="37" t="d">
        <x:v>2026-10-15T00:00:00.000Z</x:v>
      </x:c>
      <x:c r="I426" s="37" t="d">
        <x:v>2026-09-17T19:44:39.000Z</x:v>
      </x:c>
      <x:c r="J426" s="1" t="n">
        <x:f>IF(ISNUMBER(F426),E426,0)</x:f>
        <x:v>4</x:v>
      </x:c>
      <x:c r="K426" s="1"/>
      <x:c r="L426" s="1" t="str">
        <x:v>https://blog.skyairline.com/sky-renueva-compromiso-para-impulsar-la-participacion-femenina-en-la-aviacion/</x:v>
      </x:c>
      <x:c r="M426" s="1" t="n">
        <x:v>4</x:v>
      </x:c>
    </x:row>
    <x:row r="427" ht="18.75" customHeight="1">
      <x:c r="A427" s="1" t="str">
        <x:v>https://blog.skyairline.com/equipaje-de-cabina/</x:v>
      </x:c>
      <x:c r="B427" s="1" t="str">
        <x:v>sky bolsa de mano</x:v>
      </x:c>
      <x:c r="C427" s="1" t="str">
        <x:v>per</x:v>
      </x:c>
      <x:c r="D427" s="1" t="str">
        <x:v>Marca</x:v>
      </x:c>
      <x:c r="E427" s="35" t="n">
        <x:v>4</x:v>
      </x:c>
      <x:c r="F427" s="36"/>
      <x:c r="G427" s="36" t="str">
        <x:f>IF(ISNUMBER(F427),E427*F427,"")</x:f>
      </x:c>
      <x:c r="H427" s="37"/>
      <x:c r="I427" s="37"/>
      <x:c r="J427" s="1" t="n">
        <x:f>IF(ISNUMBER(F427),E427,0)</x:f>
        <x:v>0</x:v>
      </x:c>
      <x:c r="K427" s="1"/>
      <x:c r="L427" s="1" t="str">
        <x:v>https://blog.skyairline.com/sky-suma-a-cajamarca-y-talara-a-su-red-de-destinos</x:v>
      </x:c>
      <x:c r="M427" s="1" t="n">
        <x:v>4</x:v>
      </x:c>
    </x:row>
    <x:row r="428" ht="18.75" customHeight="1">
      <x:c r="A428" s="1" t="str">
        <x:v>https://blog.skyairline.com/equipaje-de-cabina/</x:v>
      </x:c>
      <x:c r="B428" s="1" t="str">
        <x:v>sky bolso de mano medidas</x:v>
      </x:c>
      <x:c r="C428" s="1" t="str">
        <x:v>chl</x:v>
      </x:c>
      <x:c r="D428" s="1" t="str">
        <x:v>Marca</x:v>
      </x:c>
      <x:c r="E428" s="35" t="n">
        <x:v>4</x:v>
      </x:c>
      <x:c r="F428" s="36"/>
      <x:c r="G428" s="36" t="str">
        <x:f>IF(ISNUMBER(F428),E428*F428,"")</x:f>
      </x:c>
      <x:c r="H428" s="37"/>
      <x:c r="I428" s="37"/>
      <x:c r="J428" s="1" t="n">
        <x:f>IF(ISNUMBER(F428),E428,0)</x:f>
        <x:v>0</x:v>
      </x:c>
      <x:c r="K428" s="1"/>
      <x:c r="L428" s="1" t="str">
        <x:v>https://blog.skyairline.com/termas-del-cajon-del-maipo/</x:v>
      </x:c>
      <x:c r="M428" s="1" t="n">
        <x:v>4</x:v>
      </x:c>
    </x:row>
    <x:row r="429" ht="18.75" customHeight="1">
      <x:c r="A429" s="1" t="str">
        <x:v>https://blog.skyairline.com/equipaje-de-cabina/</x:v>
      </x:c>
      <x:c r="B429" s="1" t="str">
        <x:v>sky medidas de equipaje de mano</x:v>
      </x:c>
      <x:c r="C429" s="1" t="str">
        <x:v>per</x:v>
      </x:c>
      <x:c r="D429" s="1" t="str">
        <x:v>Marca</x:v>
      </x:c>
      <x:c r="E429" s="35" t="n">
        <x:v>4</x:v>
      </x:c>
      <x:c r="F429" s="36"/>
      <x:c r="G429" s="36" t="str">
        <x:f>IF(ISNUMBER(F429),E429*F429,"")</x:f>
      </x:c>
      <x:c r="H429" s="37"/>
      <x:c r="I429" s="37"/>
      <x:c r="J429" s="1" t="n">
        <x:f>IF(ISNUMBER(F429),E429,0)</x:f>
        <x:v>0</x:v>
      </x:c>
      <x:c r="K429" s="1"/>
      <x:c r="L429" s="1" t="str">
        <x:v>https://blog.skyairline.com/trujillo-peru/</x:v>
      </x:c>
      <x:c r="M429" s="1" t="n">
        <x:v>4</x:v>
      </x:c>
    </x:row>
    <x:row r="430" ht="18.75" customHeight="1">
      <x:c r="A430" s="1" t="str">
        <x:v>https://blog.skyairline.com/equipaje-de-cabina/</x:v>
      </x:c>
      <x:c r="B430" s="1" t="str">
        <x:v>sky peru equipaje de mano</x:v>
      </x:c>
      <x:c r="C430" s="1" t="str">
        <x:v>per</x:v>
      </x:c>
      <x:c r="D430" s="1" t="str">
        <x:v>Marca</x:v>
      </x:c>
      <x:c r="E430" s="35" t="n">
        <x:v>4</x:v>
      </x:c>
      <x:c r="F430" s="36" t="n">
        <x:v>0.57</x:v>
      </x:c>
      <x:c r="G430" s="36" t="n">
        <x:f>IF(ISNUMBER(F430),E430*F430,"")</x:f>
        <x:v>2.28</x:v>
      </x:c>
      <x:c r="H430" s="37" t="d">
        <x:v>2026-10-15T00:00:00.000Z</x:v>
      </x:c>
      <x:c r="I430" s="37" t="d">
        <x:v>2026-09-13T09:11:06.000Z</x:v>
      </x:c>
      <x:c r="J430" s="1" t="n">
        <x:f>IF(ISNUMBER(F430),E430,0)</x:f>
        <x:v>4</x:v>
      </x:c>
      <x:c r="K430" s="1"/>
      <x:c r="L430" s="1" t="str">
        <x:v>https://blog.skyairline.com/tunanmarca/</x:v>
      </x:c>
      <x:c r="M430" s="1" t="n">
        <x:v>4</x:v>
      </x:c>
    </x:row>
    <x:row r="431" ht="18.75" customHeight="1">
      <x:c r="A431" s="1" t="str">
        <x:v>https://blog.skyairline.com/estacionamiento-aeropuerto-santiago/</x:v>
      </x:c>
      <x:c r="B431" s="1" t="str">
        <x:v>estacionamiento aeropuerto santiago</x:v>
      </x:c>
      <x:c r="C431" s="1" t="str">
        <x:v>chl</x:v>
      </x:c>
      <x:c r="D431" s="1" t="str">
        <x:v>Sin marca</x:v>
      </x:c>
      <x:c r="E431" s="35" t="n">
        <x:v>4</x:v>
      </x:c>
      <x:c r="F431" s="36" t="n">
        <x:v>0.26</x:v>
      </x:c>
      <x:c r="G431" s="36" t="n">
        <x:f>IF(ISNUMBER(F431),E431*F431,"")</x:f>
        <x:v>1.04</x:v>
      </x:c>
      <x:c r="H431" s="37" t="d">
        <x:v>2026-10-15T00:00:00.000Z</x:v>
      </x:c>
      <x:c r="I431" s="37" t="d">
        <x:v>2026-09-16T07:10:49.000Z</x:v>
      </x:c>
      <x:c r="J431" s="1" t="n">
        <x:f>IF(ISNUMBER(F431),E431,0)</x:f>
        <x:v>4</x:v>
      </x:c>
      <x:c r="K431" s="1"/>
      <x:c r="L431" s="1" t="str">
        <x:v>https://blog.skyairline.com/vacuna-fiebre-amarilla/</x:v>
      </x:c>
      <x:c r="M431" s="1" t="n">
        <x:v>4</x:v>
      </x:c>
    </x:row>
    <x:row r="432" ht="18.75" customHeight="1">
      <x:c r="A432" s="1" t="str">
        <x:v>https://blog.skyairline.com/estaciones-en-chile/</x:v>
      </x:c>
      <x:c r="B432" s="1" t="str">
        <x:v>que estacion estamos en chile</x:v>
      </x:c>
      <x:c r="C432" s="1" t="str">
        <x:v>chl</x:v>
      </x:c>
      <x:c r="D432" s="1" t="str">
        <x:v>Sin marca</x:v>
      </x:c>
      <x:c r="E432" s="35" t="n">
        <x:v>4</x:v>
      </x:c>
      <x:c r="F432" s="36"/>
      <x:c r="G432" s="36" t="str">
        <x:f>IF(ISNUMBER(F432),E432*F432,"")</x:f>
      </x:c>
      <x:c r="H432" s="37" t="d">
        <x:v>2026-10-15T00:00:00.000Z</x:v>
      </x:c>
      <x:c r="I432" s="37" t="d">
        <x:v>2026-09-16T14:19:15.000Z</x:v>
      </x:c>
      <x:c r="J432" s="1" t="n">
        <x:f>IF(ISNUMBER(F432),E432,0)</x:f>
        <x:v>0</x:v>
      </x:c>
      <x:c r="K432" s="1"/>
      <x:c r="L432" s="1" t="str">
        <x:v>https://blog.skyairline.com/viajar-a-mendoza/</x:v>
      </x:c>
      <x:c r="M432" s="1" t="n">
        <x:v>4</x:v>
      </x:c>
    </x:row>
    <x:row r="433" ht="18.75" customHeight="1">
      <x:c r="A433" s="1" t="str">
        <x:v>https://blog.skyairline.com/mascotas-en-cabina/</x:v>
      </x:c>
      <x:c r="B433" s="1" t="str">
        <x:v>sky airlines mascotas</x:v>
      </x:c>
      <x:c r="C433" s="1" t="str">
        <x:v>arg</x:v>
      </x:c>
      <x:c r="D433" s="1" t="str">
        <x:v>Marca</x:v>
      </x:c>
      <x:c r="E433" s="35" t="n">
        <x:v>4</x:v>
      </x:c>
      <x:c r="F433" s="36"/>
      <x:c r="G433" s="36" t="str">
        <x:f>IF(ISNUMBER(F433),E433*F433,"")</x:f>
      </x:c>
      <x:c r="H433" s="37"/>
      <x:c r="I433" s="37"/>
      <x:c r="J433" s="1" t="n">
        <x:f>IF(ISNUMBER(F433),E433,0)</x:f>
        <x:v>0</x:v>
      </x:c>
      <x:c r="K433" s="1"/>
      <x:c r="L433" s="1" t="str">
        <x:v>https://blog.skyairline.com/vuelos-baratos/</x:v>
      </x:c>
      <x:c r="M433" s="1" t="n">
        <x:v>4</x:v>
      </x:c>
    </x:row>
    <x:row r="434" ht="18.75" customHeight="1">
      <x:c r="A434" s="1" t="str">
        <x:v>https://blog.skyairline.com/mascotas-en-cabina/</x:v>
      </x:c>
      <x:c r="B434" s="1" t="str">
        <x:v>sky requisitos para viajar con mascota</x:v>
      </x:c>
      <x:c r="C434" s="1" t="str">
        <x:v>chl</x:v>
      </x:c>
      <x:c r="D434" s="1" t="str">
        <x:v>Marca</x:v>
      </x:c>
      <x:c r="E434" s="35" t="n">
        <x:v>4</x:v>
      </x:c>
      <x:c r="F434" s="36"/>
      <x:c r="G434" s="36" t="str">
        <x:f>IF(ISNUMBER(F434),E434*F434,"")</x:f>
      </x:c>
      <x:c r="H434" s="37" t="d">
        <x:v>2026-10-15T00:00:00.000Z</x:v>
      </x:c>
      <x:c r="I434" s="37" t="d">
        <x:v>2026-09-15T14:51:58.000Z</x:v>
      </x:c>
      <x:c r="J434" s="1" t="n">
        <x:f>IF(ISNUMBER(F434),E434,0)</x:f>
        <x:v>0</x:v>
      </x:c>
      <x:c r="K434" s="1"/>
      <x:c r="L434" s="1" t="str">
        <x:v>https://blog.skyairline.com/vuelos-colombia-desde-chile/</x:v>
      </x:c>
      <x:c r="M434" s="1" t="n">
        <x:v>4</x:v>
      </x:c>
    </x:row>
    <x:row r="435" ht="18.75" customHeight="1">
      <x:c r="A435" s="1" t="str">
        <x:v>https://blog.skyairline.com/mascotas-en-cabina/</x:v>
      </x:c>
      <x:c r="B435" s="1" t="str">
        <x:v>sky viaje con mascotas</x:v>
      </x:c>
      <x:c r="C435" s="1" t="str">
        <x:v>chl</x:v>
      </x:c>
      <x:c r="D435" s="1" t="str">
        <x:v>Marca</x:v>
      </x:c>
      <x:c r="E435" s="35" t="n">
        <x:v>4</x:v>
      </x:c>
      <x:c r="F435" s="36"/>
      <x:c r="G435" s="36" t="str">
        <x:f>IF(ISNUMBER(F435),E435*F435,"")</x:f>
      </x:c>
      <x:c r="H435" s="37" t="d">
        <x:v>2026-10-15T00:00:00.000Z</x:v>
      </x:c>
      <x:c r="I435" s="37" t="d">
        <x:v>2026-09-14T10:55:23.000Z</x:v>
      </x:c>
      <x:c r="J435" s="1" t="n">
        <x:f>IF(ISNUMBER(F435),E435,0)</x:f>
        <x:v>0</x:v>
      </x:c>
      <x:c r="K435" s="1"/>
      <x:c r="L435" s="1" t="str">
        <x:v>https://blog.skyairline.com/vuelos-sky-internacionales/</x:v>
      </x:c>
      <x:c r="M435" s="1" t="n">
        <x:v>4</x:v>
      </x:c>
    </x:row>
    <x:row r="436" ht="18.75" customHeight="1">
      <x:c r="A436" s="1" t="str">
        <x:v>https://blog.skyairline.com/platos-tipicos-de-lima/</x:v>
      </x:c>
      <x:c r="B436" s="1" t="str">
        <x:v>comidas típicas de lima</x:v>
      </x:c>
      <x:c r="C436" s="1" t="str">
        <x:v>per</x:v>
      </x:c>
      <x:c r="D436" s="1" t="str">
        <x:v>Sin marca</x:v>
      </x:c>
      <x:c r="E436" s="35" t="n">
        <x:v>4</x:v>
      </x:c>
      <x:c r="F436" s="36"/>
      <x:c r="G436" s="36" t="str">
        <x:f>IF(ISNUMBER(F436),E436*F436,"")</x:f>
      </x:c>
      <x:c r="H436" s="37" t="d">
        <x:v>2026-10-15T00:00:00.000Z</x:v>
      </x:c>
      <x:c r="I436" s="37" t="d">
        <x:v>2026-09-15T18:05:39.000Z</x:v>
      </x:c>
      <x:c r="J436" s="1" t="n">
        <x:f>IF(ISNUMBER(F436),E436,0)</x:f>
        <x:v>0</x:v>
      </x:c>
      <x:c r="K436" s="1"/>
      <x:c r="L436" s="1" t="str">
        <x:v>https://blog.skyairline.com/10-lugares-imperdibles-para-hacer-turismo-en-el-norte-de-chile/</x:v>
      </x:c>
      <x:c r="M436" s="1" t="n">
        <x:v>3</x:v>
      </x:c>
    </x:row>
    <x:row r="437" ht="18.75" customHeight="1">
      <x:c r="A437" s="1" t="str">
        <x:v>https://blog.skyairline.com/punta-cana-en-temporada-baja/</x:v>
      </x:c>
      <x:c r="B437" s="1" t="str">
        <x:v>cuando es temporada baja en punta cana</x:v>
      </x:c>
      <x:c r="C437" s="1" t="str">
        <x:v>chl</x:v>
      </x:c>
      <x:c r="D437" s="1" t="str">
        <x:v>Sin marca</x:v>
      </x:c>
      <x:c r="E437" s="35" t="n">
        <x:v>4</x:v>
      </x:c>
      <x:c r="F437" s="36"/>
      <x:c r="G437" s="36" t="str">
        <x:f>IF(ISNUMBER(F437),E437*F437,"")</x:f>
      </x:c>
      <x:c r="H437" s="37" t="d">
        <x:v>2026-10-15T00:00:00.000Z</x:v>
      </x:c>
      <x:c r="I437" s="37" t="d">
        <x:v>2026-09-17T02:19:35.000Z</x:v>
      </x:c>
      <x:c r="J437" s="1" t="n">
        <x:f>IF(ISNUMBER(F437),E437,0)</x:f>
        <x:v>0</x:v>
      </x:c>
      <x:c r="K437" s="1"/>
      <x:c r="L437" s="1" t="str">
        <x:v>https://blog.skyairline.com/4-tips-para-comprar-boletos-a-precios-mas-convenientes/</x:v>
      </x:c>
      <x:c r="M437" s="1" t="n">
        <x:v>3</x:v>
      </x:c>
    </x:row>
    <x:row r="438" ht="18.75" customHeight="1">
      <x:c r="A438" s="1" t="str">
        <x:v>https://blog.skyairline.com/punta-del-este-montevideo/</x:v>
      </x:c>
      <x:c r="B438" s="1" t="str">
        <x:v>distancia desde montevideo a punta del este</x:v>
      </x:c>
      <x:c r="C438" s="1" t="str">
        <x:v>chl</x:v>
      </x:c>
      <x:c r="D438" s="1" t="str">
        <x:v>Sin marca</x:v>
      </x:c>
      <x:c r="E438" s="35" t="n">
        <x:v>4</x:v>
      </x:c>
      <x:c r="F438" s="36"/>
      <x:c r="G438" s="36" t="str">
        <x:f>IF(ISNUMBER(F438),E438*F438,"")</x:f>
      </x:c>
      <x:c r="H438" s="37"/>
      <x:c r="I438" s="37"/>
      <x:c r="J438" s="1" t="n">
        <x:f>IF(ISNUMBER(F438),E438,0)</x:f>
        <x:v>0</x:v>
      </x:c>
      <x:c r="K438" s="1"/>
      <x:c r="L438" s="1" t="str">
        <x:v>https://blog.skyairline.com/a-donde-ir-en-diciembre/</x:v>
      </x:c>
      <x:c r="M438" s="1" t="n">
        <x:v>3</x:v>
      </x:c>
    </x:row>
    <x:row r="439" ht="18.75" customHeight="1">
      <x:c r="A439" s="1" t="str">
        <x:v>https://blog.skyairline.com/que-estudia-tripulante-cabina/</x:v>
      </x:c>
      <x:c r="B439" s="1" t="str">
        <x:v>azafata carrera</x:v>
      </x:c>
      <x:c r="C439" s="1" t="str">
        <x:v>chl</x:v>
      </x:c>
      <x:c r="D439" s="1" t="str">
        <x:v>Sin marca</x:v>
      </x:c>
      <x:c r="E439" s="35" t="n">
        <x:v>4</x:v>
      </x:c>
      <x:c r="F439" s="36" t="n">
        <x:v>0.41</x:v>
      </x:c>
      <x:c r="G439" s="36" t="n">
        <x:f>IF(ISNUMBER(F439),E439*F439,"")</x:f>
        <x:v>1.64</x:v>
      </x:c>
      <x:c r="H439" s="37" t="d">
        <x:v>2026-10-15T00:00:00.000Z</x:v>
      </x:c>
      <x:c r="I439" s="37" t="d">
        <x:v>2026-10-15T05:06:16.000Z</x:v>
      </x:c>
      <x:c r="J439" s="1" t="n">
        <x:f>IF(ISNUMBER(F439),E439,0)</x:f>
        <x:v>4</x:v>
      </x:c>
      <x:c r="K439" s="1"/>
      <x:c r="L439" s="1" t="str">
        <x:v>https://blog.skyairline.com/aerolineas-low-cost/</x:v>
      </x:c>
      <x:c r="M439" s="1" t="n">
        <x:v>3</x:v>
      </x:c>
    </x:row>
    <x:row r="440" ht="18.75" customHeight="1">
      <x:c r="A440" s="1" t="str">
        <x:v>https://blog.skyairline.com/se-puede-llegar-en-avion-a-pucon/</x:v>
      </x:c>
      <x:c r="B440" s="1" t="str">
        <x:v>aeropuerto cerca de pucon</x:v>
      </x:c>
      <x:c r="C440" s="1" t="str">
        <x:v>chl</x:v>
      </x:c>
      <x:c r="D440" s="1" t="str">
        <x:v>Sin marca</x:v>
      </x:c>
      <x:c r="E440" s="35" t="n">
        <x:v>4</x:v>
      </x:c>
      <x:c r="F440" s="36" t="n">
        <x:v>0.64</x:v>
      </x:c>
      <x:c r="G440" s="36" t="n">
        <x:f>IF(ISNUMBER(F440),E440*F440,"")</x:f>
        <x:v>2.56</x:v>
      </x:c>
      <x:c r="H440" s="37" t="d">
        <x:v>2026-10-15T00:00:00.000Z</x:v>
      </x:c>
      <x:c r="I440" s="37" t="d">
        <x:v>2026-09-14T08:38:27.000Z</x:v>
      </x:c>
      <x:c r="J440" s="1" t="n">
        <x:f>IF(ISNUMBER(F440),E440,0)</x:f>
        <x:v>4</x:v>
      </x:c>
      <x:c r="K440" s="1"/>
      <x:c r="L440" s="1" t="str">
        <x:v>https://blog.skyairline.com/ahorrar-espacio-en-la-maleta/</x:v>
      </x:c>
      <x:c r="M440" s="1" t="n">
        <x:v>3</x:v>
      </x:c>
    </x:row>
    <x:row r="441" ht="18.75" customHeight="1">
      <x:c r="A441" s="1" t="str">
        <x:v>https://blog.skyairline.com/sky-airline-2/</x:v>
      </x:c>
      <x:c r="B441" s="1" t="str">
        <x:v>teléfonos de sky servicio al cliente chile</x:v>
      </x:c>
      <x:c r="C441" s="1" t="str">
        <x:v>chl</x:v>
      </x:c>
      <x:c r="D441" s="1" t="str">
        <x:v>Marca</x:v>
      </x:c>
      <x:c r="E441" s="35" t="n">
        <x:v>4</x:v>
      </x:c>
      <x:c r="F441" s="36" t="n">
        <x:v>0.59</x:v>
      </x:c>
      <x:c r="G441" s="36" t="n">
        <x:f>IF(ISNUMBER(F441),E441*F441,"")</x:f>
        <x:v>2.36</x:v>
      </x:c>
      <x:c r="H441" s="37" t="d">
        <x:v>2026-10-15T00:00:00.000Z</x:v>
      </x:c>
      <x:c r="I441" s="37" t="d">
        <x:v>2026-10-15T14:26:47.000Z</x:v>
      </x:c>
      <x:c r="J441" s="1" t="n">
        <x:f>IF(ISNUMBER(F441),E441,0)</x:f>
        <x:v>4</x:v>
      </x:c>
      <x:c r="K441" s="1"/>
      <x:c r="L441" s="1" t="str">
        <x:v>https://blog.skyairline.com/ballenas-2/</x:v>
      </x:c>
      <x:c r="M441" s="1" t="n">
        <x:v>3</x:v>
      </x:c>
    </x:row>
    <x:row r="442" ht="18.75" customHeight="1">
      <x:c r="A442" s="1" t="str">
        <x:v>https://blog.skyairline.com/sky-es-reconocida-por-emin-como-mejor-proveedor-a-nivel-nacional-2025-en-logistica-personas/</x:v>
      </x:c>
      <x:c r="B442" s="1" t="str">
        <x:v>vuelos emin</x:v>
      </x:c>
      <x:c r="C442" s="1" t="str">
        <x:v>chl</x:v>
      </x:c>
      <x:c r="D442" s="1" t="str">
        <x:v>Sin marca</x:v>
      </x:c>
      <x:c r="E442" s="35" t="n">
        <x:v>4</x:v>
      </x:c>
      <x:c r="F442" s="36"/>
      <x:c r="G442" s="36" t="str">
        <x:f>IF(ISNUMBER(F442),E442*F442,"")</x:f>
      </x:c>
      <x:c r="H442" s="37"/>
      <x:c r="I442" s="37"/>
      <x:c r="J442" s="1" t="n">
        <x:f>IF(ISNUMBER(F442),E442,0)</x:f>
        <x:v>0</x:v>
      </x:c>
      <x:c r="K442" s="1"/>
      <x:c r="L442" s="1" t="str">
        <x:v>https://blog.skyairline.com/belo-horizonte/</x:v>
      </x:c>
      <x:c r="M442" s="1" t="n">
        <x:v>3</x:v>
      </x:c>
    </x:row>
    <x:row r="443" ht="18.75" customHeight="1">
      <x:c r="A443" s="1" t="str">
        <x:v>https://blog.skyairline.com/sky-fortalece-su-propuesta-de-valor-para-sus-pasajeros-con-economy-premier/</x:v>
      </x:c>
      <x:c r="B443" s="1" t="str">
        <x:v>economy premier sky airline</x:v>
      </x:c>
      <x:c r="C443" s="1" t="str">
        <x:v>per</x:v>
      </x:c>
      <x:c r="D443" s="1" t="str">
        <x:v>Marca</x:v>
      </x:c>
      <x:c r="E443" s="35" t="n">
        <x:v>4</x:v>
      </x:c>
      <x:c r="F443" s="36"/>
      <x:c r="G443" s="36" t="str">
        <x:f>IF(ISNUMBER(F443),E443*F443,"")</x:f>
      </x:c>
      <x:c r="H443" s="37"/>
      <x:c r="I443" s="37"/>
      <x:c r="J443" s="1" t="n">
        <x:f>IF(ISNUMBER(F443),E443,0)</x:f>
        <x:v>0</x:v>
      </x:c>
      <x:c r="K443" s="1"/>
      <x:c r="L443" s="1" t="str">
        <x:v>https://blog.skyairline.com/beto-carrero-world-santa-catarina-parque-tematico/</x:v>
      </x:c>
      <x:c r="M443" s="1" t="n">
        <x:v>3</x:v>
      </x:c>
    </x:row>
    <x:row r="444" ht="18.75" customHeight="1">
      <x:c r="A444" s="1" t="str">
        <x:v>https://blog.skyairline.com/sky-fortalece-su-propuesta-de-valor-para-sus-pasajeros-con-economy-premier/</x:v>
      </x:c>
      <x:c r="B444" s="1" t="str">
        <x:v>economy premium sky</x:v>
      </x:c>
      <x:c r="C444" s="1" t="str">
        <x:v>per</x:v>
      </x:c>
      <x:c r="D444" s="1" t="str">
        <x:v>Marca</x:v>
      </x:c>
      <x:c r="E444" s="35" t="n">
        <x:v>4</x:v>
      </x:c>
      <x:c r="F444" s="36"/>
      <x:c r="G444" s="36" t="str">
        <x:f>IF(ISNUMBER(F444),E444*F444,"")</x:f>
      </x:c>
      <x:c r="H444" s="37"/>
      <x:c r="I444" s="37"/>
      <x:c r="J444" s="1" t="n">
        <x:f>IF(ISNUMBER(F444),E444,0)</x:f>
        <x:v>0</x:v>
      </x:c>
      <x:c r="K444" s="1"/>
      <x:c r="L444" s="1" t="str">
        <x:v>https://blog.skyairline.com/bosques-del-sur-de-chile-naturaleza-senderos-y-biodiversidad/</x:v>
      </x:c>
      <x:c r="M444" s="1" t="n">
        <x:v>3</x:v>
      </x:c>
    </x:row>
    <x:row r="445" ht="18.75" customHeight="1">
      <x:c r="A445" s="1" t="str">
        <x:v>https://blog.skyairline.com/sky-plus/</x:v>
      </x:c>
      <x:c r="B445" s="1" t="str">
        <x:v>con cuantos puntos sky plus puedo viajar</x:v>
      </x:c>
      <x:c r="C445" s="1" t="str">
        <x:v>chl</x:v>
      </x:c>
      <x:c r="D445" s="1" t="str">
        <x:v>Marca</x:v>
      </x:c>
      <x:c r="E445" s="35" t="n">
        <x:v>4</x:v>
      </x:c>
      <x:c r="F445" s="36"/>
      <x:c r="G445" s="36" t="str">
        <x:f>IF(ISNUMBER(F445),E445*F445,"")</x:f>
      </x:c>
      <x:c r="H445" s="37"/>
      <x:c r="I445" s="37"/>
      <x:c r="J445" s="1" t="n">
        <x:f>IF(ISNUMBER(F445),E445,0)</x:f>
        <x:v>0</x:v>
      </x:c>
      <x:c r="K445" s="1"/>
      <x:c r="L445" s="1" t="str">
        <x:v>https://blog.skyairline.com/bosques-tropicales/</x:v>
      </x:c>
      <x:c r="M445" s="1" t="n">
        <x:v>3</x:v>
      </x:c>
    </x:row>
    <x:row r="446" ht="18.75" customHeight="1">
      <x:c r="A446" s="1" t="str">
        <x:v>https://blog.skyairline.com/sky-plus/</x:v>
      </x:c>
      <x:c r="B446" s="1" t="str">
        <x:v>numero pasajero frecuente sky</x:v>
      </x:c>
      <x:c r="C446" s="1" t="str">
        <x:v>chl</x:v>
      </x:c>
      <x:c r="D446" s="1" t="str">
        <x:v>Marca</x:v>
      </x:c>
      <x:c r="E446" s="35" t="n">
        <x:v>4</x:v>
      </x:c>
      <x:c r="F446" s="36"/>
      <x:c r="G446" s="36" t="str">
        <x:f>IF(ISNUMBER(F446),E446*F446,"")</x:f>
      </x:c>
      <x:c r="H446" s="37"/>
      <x:c r="I446" s="37"/>
      <x:c r="J446" s="1" t="n">
        <x:f>IF(ISNUMBER(F446),E446,0)</x:f>
        <x:v>0</x:v>
      </x:c>
      <x:c r="K446" s="1"/>
      <x:c r="L446" s="1" t="str">
        <x:v>https://blog.skyairline.com/cabanas-sur-de-chile/</x:v>
      </x:c>
      <x:c r="M446" s="1" t="n">
        <x:v>3</x:v>
      </x:c>
    </x:row>
    <x:row r="447" ht="18.75" customHeight="1">
      <x:c r="A447" s="1" t="str">
        <x:v>https://blog.skyairline.com/sky-plus/</x:v>
      </x:c>
      <x:c r="B447" s="1" t="str">
        <x:v>sky platino</x:v>
      </x:c>
      <x:c r="C447" s="1" t="str">
        <x:v>chl</x:v>
      </x:c>
      <x:c r="D447" s="1" t="str">
        <x:v>Marca</x:v>
      </x:c>
      <x:c r="E447" s="35" t="n">
        <x:v>4</x:v>
      </x:c>
      <x:c r="F447" s="36" t="n">
        <x:v>0.3</x:v>
      </x:c>
      <x:c r="G447" s="36" t="n">
        <x:f>IF(ISNUMBER(F447),E447*F447,"")</x:f>
        <x:v>1.2</x:v>
      </x:c>
      <x:c r="H447" s="37" t="d">
        <x:v>2026-10-15T00:00:00.000Z</x:v>
      </x:c>
      <x:c r="I447" s="37" t="d">
        <x:v>2026-10-15T13:12:49.000Z</x:v>
      </x:c>
      <x:c r="J447" s="1" t="n">
        <x:f>IF(ISNUMBER(F447),E447,0)</x:f>
        <x:v>4</x:v>
      </x:c>
      <x:c r="K447" s="1"/>
      <x:c r="L447" s="1" t="str">
        <x:v>https://blog.skyairline.com/catedral-brasilia/</x:v>
      </x:c>
      <x:c r="M447" s="1" t="n">
        <x:v>3</x:v>
      </x:c>
    </x:row>
    <x:row r="448" ht="18.75" customHeight="1">
      <x:c r="A448" s="1" t="str">
        <x:v>https://blog.skyairline.com/sky-plus/</x:v>
      </x:c>
      <x:c r="B448" s="1" t="str">
        <x:v>sky plus</x:v>
      </x:c>
      <x:c r="C448" s="1" t="str">
        <x:v>arg</x:v>
      </x:c>
      <x:c r="D448" s="1" t="str">
        <x:v>Marca</x:v>
      </x:c>
      <x:c r="E448" s="35" t="n">
        <x:v>4</x:v>
      </x:c>
      <x:c r="F448" s="36"/>
      <x:c r="G448" s="36" t="str">
        <x:f>IF(ISNUMBER(F448),E448*F448,"")</x:f>
      </x:c>
      <x:c r="H448" s="37"/>
      <x:c r="I448" s="37"/>
      <x:c r="J448" s="1" t="n">
        <x:f>IF(ISNUMBER(F448),E448,0)</x:f>
        <x:v>0</x:v>
      </x:c>
      <x:c r="K448" s="1"/>
      <x:c r="L448" s="1" t="str">
        <x:v>https://blog.skyairline.com/cerro-santa-lucia/</x:v>
      </x:c>
      <x:c r="M448" s="1" t="n">
        <x:v>3</x:v>
      </x:c>
    </x:row>
    <x:row r="449" ht="18.75" customHeight="1">
      <x:c r="A449" s="1" t="str">
        <x:v>https://blog.skyairline.com/sky-plus/</x:v>
      </x:c>
      <x:c r="B449" s="1" t="str">
        <x:v>sky puntos</x:v>
      </x:c>
      <x:c r="C449" s="1" t="str">
        <x:v>per</x:v>
      </x:c>
      <x:c r="D449" s="1" t="str">
        <x:v>Marca</x:v>
      </x:c>
      <x:c r="E449" s="35" t="n">
        <x:v>4</x:v>
      </x:c>
      <x:c r="F449" s="36"/>
      <x:c r="G449" s="36" t="str">
        <x:f>IF(ISNUMBER(F449),E449*F449,"")</x:f>
      </x:c>
      <x:c r="H449" s="37"/>
      <x:c r="I449" s="37"/>
      <x:c r="J449" s="1" t="n">
        <x:f>IF(ISNUMBER(F449),E449,0)</x:f>
        <x:v>0</x:v>
      </x:c>
      <x:c r="K449" s="1"/>
      <x:c r="L449" s="1" t="str">
        <x:v>https://blog.skyairline.com/chile-vs-peru/</x:v>
      </x:c>
      <x:c r="M449" s="1" t="n">
        <x:v>3</x:v>
      </x:c>
    </x:row>
    <x:row r="450" ht="18.75" customHeight="1">
      <x:c r="A450" s="1" t="str">
        <x:v>https://blog.skyairline.com/sky-suma-a-cajamarca-y-talara-a-su-red-de-destinos/</x:v>
      </x:c>
      <x:c r="B450" s="1" t="str">
        <x:v>nueva aerolinea en cajamarca</x:v>
      </x:c>
      <x:c r="C450" s="1" t="str">
        <x:v>per</x:v>
      </x:c>
      <x:c r="D450" s="1" t="str">
        <x:v>Sin marca</x:v>
      </x:c>
      <x:c r="E450" s="35" t="n">
        <x:v>4</x:v>
      </x:c>
      <x:c r="F450" s="36"/>
      <x:c r="G450" s="36" t="str">
        <x:f>IF(ISNUMBER(F450),E450*F450,"")</x:f>
      </x:c>
      <x:c r="H450" s="37"/>
      <x:c r="I450" s="37"/>
      <x:c r="J450" s="1" t="n">
        <x:f>IF(ISNUMBER(F450),E450,0)</x:f>
        <x:v>0</x:v>
      </x:c>
      <x:c r="K450" s="1"/>
      <x:c r="L450" s="1" t="str">
        <x:v>https://blog.skyairline.com/ciudades-brasilenas/</x:v>
      </x:c>
      <x:c r="M450" s="1" t="n">
        <x:v>3</x:v>
      </x:c>
    </x:row>
    <x:row r="451" ht="18.75" customHeight="1">
      <x:c r="A451" s="1" t="str">
        <x:v>https://blog.skyairline.com/sur-argentino/</x:v>
      </x:c>
      <x:c r="B451" s="1" t="str">
        <x:v>lugares del sur de argentina</x:v>
      </x:c>
      <x:c r="C451" s="1" t="str">
        <x:v>arg</x:v>
      </x:c>
      <x:c r="D451" s="1" t="str">
        <x:v>Sin marca</x:v>
      </x:c>
      <x:c r="E451" s="35" t="n">
        <x:v>4</x:v>
      </x:c>
      <x:c r="F451" s="36"/>
      <x:c r="G451" s="36" t="str">
        <x:f>IF(ISNUMBER(F451),E451*F451,"")</x:f>
      </x:c>
      <x:c r="H451" s="37"/>
      <x:c r="I451" s="37"/>
      <x:c r="J451" s="1" t="n">
        <x:f>IF(ISNUMBER(F451),E451,0)</x:f>
        <x:v>0</x:v>
      </x:c>
      <x:c r="K451" s="1"/>
      <x:c r="L451" s="1" t="str">
        <x:v>https://blog.skyairline.com/ciudades-de-argentina/</x:v>
      </x:c>
      <x:c r="M451" s="1" t="n">
        <x:v>3</x:v>
      </x:c>
    </x:row>
    <x:row r="452" ht="18.75" customHeight="1">
      <x:c r="A452" s="1" t="str">
        <x:v>https://blog.skyairline.com/sur-argentino/</x:v>
      </x:c>
      <x:c r="B452" s="1" t="str">
        <x:v>lugares para visitar en el sur argentino en verano</x:v>
      </x:c>
      <x:c r="C452" s="1" t="str">
        <x:v>arg</x:v>
      </x:c>
      <x:c r="D452" s="1" t="str">
        <x:v>Sin marca</x:v>
      </x:c>
      <x:c r="E452" s="35" t="n">
        <x:v>4</x:v>
      </x:c>
      <x:c r="F452" s="36"/>
      <x:c r="G452" s="36" t="str">
        <x:f>IF(ISNUMBER(F452),E452*F452,"")</x:f>
      </x:c>
      <x:c r="H452" s="37"/>
      <x:c r="I452" s="37"/>
      <x:c r="J452" s="1" t="n">
        <x:f>IF(ISNUMBER(F452),E452,0)</x:f>
        <x:v>0</x:v>
      </x:c>
      <x:c r="K452" s="1"/>
      <x:c r="L452" s="1" t="str">
        <x:v>https://blog.skyairline.com/comida-vegana/</x:v>
      </x:c>
      <x:c r="M452" s="1" t="n">
        <x:v>3</x:v>
      </x:c>
    </x:row>
    <x:row r="453" ht="18.75" customHeight="1">
      <x:c r="A453" s="1" t="str">
        <x:v>https://blog.skyairline.com/tipos-de-equipaje/</x:v>
      </x:c>
      <x:c r="B453" s="1" t="str">
        <x:v>bolso de mano sky medidas</x:v>
      </x:c>
      <x:c r="C453" s="1" t="str">
        <x:v>chl</x:v>
      </x:c>
      <x:c r="D453" s="1" t="str">
        <x:v>Marca</x:v>
      </x:c>
      <x:c r="E453" s="35" t="n">
        <x:v>4</x:v>
      </x:c>
      <x:c r="F453" s="36" t="n">
        <x:v>0.02</x:v>
      </x:c>
      <x:c r="G453" s="36" t="n">
        <x:f>IF(ISNUMBER(F453),E453*F453,"")</x:f>
        <x:v>0.08</x:v>
      </x:c>
      <x:c r="H453" s="37" t="d">
        <x:v>2026-10-15T00:00:00.000Z</x:v>
      </x:c>
      <x:c r="I453" s="37" t="d">
        <x:v>2026-09-16T18:49:32.000Z</x:v>
      </x:c>
      <x:c r="J453" s="1" t="n">
        <x:f>IF(ISNUMBER(F453),E453,0)</x:f>
        <x:v>4</x:v>
      </x:c>
      <x:c r="K453" s="1"/>
      <x:c r="L453" s="1" t="str">
        <x:v>https://blog.skyairline.com/como-llegar-a-alto-bonito-en-puerto-montt/</x:v>
      </x:c>
      <x:c r="M453" s="1" t="n">
        <x:v>3</x:v>
      </x:c>
    </x:row>
    <x:row r="454" ht="18.75" customHeight="1">
      <x:c r="A454" s="1" t="str">
        <x:v>https://blog.skyairline.com/tipos-de-equipaje/</x:v>
      </x:c>
      <x:c r="B454" s="1" t="str">
        <x:v>equipaje de mano sky</x:v>
      </x:c>
      <x:c r="C454" s="1" t="str">
        <x:v>per</x:v>
      </x:c>
      <x:c r="D454" s="1" t="str">
        <x:v>Marca</x:v>
      </x:c>
      <x:c r="E454" s="35" t="n">
        <x:v>4</x:v>
      </x:c>
      <x:c r="F454" s="36"/>
      <x:c r="G454" s="36" t="str">
        <x:f>IF(ISNUMBER(F454),E454*F454,"")</x:f>
      </x:c>
      <x:c r="H454" s="37" t="d">
        <x:v>2026-10-15T00:00:00.000Z</x:v>
      </x:c>
      <x:c r="I454" s="37" t="d">
        <x:v>2026-09-16T05:34:43.000Z</x:v>
      </x:c>
      <x:c r="J454" s="1" t="n">
        <x:f>IF(ISNUMBER(F454),E454,0)</x:f>
        <x:v>0</x:v>
      </x:c>
      <x:c r="K454" s="1"/>
      <x:c r="L454" s="1" t="str">
        <x:v>https://blog.skyairline.com/copiapo/</x:v>
      </x:c>
      <x:c r="M454" s="1" t="n">
        <x:v>3</x:v>
      </x:c>
    </x:row>
    <x:row r="455" ht="18.75" customHeight="1">
      <x:c r="A455" s="1" t="str">
        <x:v>https://blog.skyairline.com/tipos-de-equipaje/</x:v>
      </x:c>
      <x:c r="B455" s="1" t="str">
        <x:v>equipaje de sky</x:v>
      </x:c>
      <x:c r="C455" s="1" t="str">
        <x:v>per</x:v>
      </x:c>
      <x:c r="D455" s="1" t="str">
        <x:v>Marca</x:v>
      </x:c>
      <x:c r="E455" s="35" t="n">
        <x:v>4</x:v>
      </x:c>
      <x:c r="F455" s="36"/>
      <x:c r="G455" s="36" t="str">
        <x:f>IF(ISNUMBER(F455),E455*F455,"")</x:f>
      </x:c>
      <x:c r="H455" s="37"/>
      <x:c r="I455" s="37"/>
      <x:c r="J455" s="1" t="n">
        <x:f>IF(ISNUMBER(F455),E455,0)</x:f>
        <x:v>0</x:v>
      </x:c>
      <x:c r="K455" s="1"/>
      <x:c r="L455" s="1" t="str">
        <x:v>https://blog.skyairline.com/cusquena/</x:v>
      </x:c>
      <x:c r="M455" s="1" t="n">
        <x:v>3</x:v>
      </x:c>
    </x:row>
    <x:row r="456" ht="18.75" customHeight="1">
      <x:c r="A456" s="1" t="str">
        <x:v>https://blog.skyairline.com/tipos-de-equipaje/</x:v>
      </x:c>
      <x:c r="B456" s="1" t="str">
        <x:v>equipaje especial sky</x:v>
      </x:c>
      <x:c r="C456" s="1" t="str">
        <x:v>per</x:v>
      </x:c>
      <x:c r="D456" s="1" t="str">
        <x:v>Marca</x:v>
      </x:c>
      <x:c r="E456" s="35" t="n">
        <x:v>4</x:v>
      </x:c>
      <x:c r="F456" s="36" t="n">
        <x:v>2.87</x:v>
      </x:c>
      <x:c r="G456" s="36" t="n">
        <x:f>IF(ISNUMBER(F456),E456*F456,"")</x:f>
        <x:v>11.48</x:v>
      </x:c>
      <x:c r="H456" s="37" t="d">
        <x:v>2026-10-15T00:00:00.000Z</x:v>
      </x:c>
      <x:c r="I456" s="37" t="d">
        <x:v>2026-10-15T15:24:22.000Z</x:v>
      </x:c>
      <x:c r="J456" s="1" t="n">
        <x:f>IF(ISNUMBER(F456),E456,0)</x:f>
        <x:v>4</x:v>
      </x:c>
      <x:c r="K456" s="1"/>
      <x:c r="L456" s="1" t="str">
        <x:v>https://blog.skyairline.com/destinos-con-vuelos-baratos-desde-chile/</x:v>
      </x:c>
      <x:c r="M456" s="1" t="n">
        <x:v>3</x:v>
      </x:c>
    </x:row>
    <x:row r="457" ht="18.75" customHeight="1">
      <x:c r="A457" s="1" t="str">
        <x:v>https://blog.skyairline.com/tipos-de-equipaje/</x:v>
      </x:c>
      <x:c r="B457" s="1" t="str">
        <x:v>equipajes sky</x:v>
      </x:c>
      <x:c r="C457" s="1" t="str">
        <x:v>chl</x:v>
      </x:c>
      <x:c r="D457" s="1" t="str">
        <x:v>Marca</x:v>
      </x:c>
      <x:c r="E457" s="35" t="n">
        <x:v>4</x:v>
      </x:c>
      <x:c r="F457" s="36" t="n">
        <x:v>1.49</x:v>
      </x:c>
      <x:c r="G457" s="36" t="n">
        <x:f>IF(ISNUMBER(F457),E457*F457,"")</x:f>
        <x:v>5.96</x:v>
      </x:c>
      <x:c r="H457" s="37" t="d">
        <x:v>2026-10-15T00:00:00.000Z</x:v>
      </x:c>
      <x:c r="I457" s="37" t="d">
        <x:v>2026-09-13T18:52:39.000Z</x:v>
      </x:c>
      <x:c r="J457" s="1" t="n">
        <x:f>IF(ISNUMBER(F457),E457,0)</x:f>
        <x:v>4</x:v>
      </x:c>
      <x:c r="K457" s="1"/>
      <x:c r="L457" s="1" t="str">
        <x:v>https://blog.skyairline.com/donde-queda-calafate/</x:v>
      </x:c>
      <x:c r="M457" s="1" t="n">
        <x:v>3</x:v>
      </x:c>
    </x:row>
    <x:row r="458" ht="18.75" customHeight="1">
      <x:c r="A458" s="1" t="str">
        <x:v>https://blog.skyairline.com/tipos-de-equipaje/</x:v>
      </x:c>
      <x:c r="B458" s="1" t="str">
        <x:v>maleta de cabina sky</x:v>
      </x:c>
      <x:c r="C458" s="1" t="str">
        <x:v>chl</x:v>
      </x:c>
      <x:c r="D458" s="1" t="str">
        <x:v>Marca</x:v>
      </x:c>
      <x:c r="E458" s="35" t="n">
        <x:v>4</x:v>
      </x:c>
      <x:c r="F458" s="36" t="n">
        <x:v>0.13</x:v>
      </x:c>
      <x:c r="G458" s="36" t="n">
        <x:f>IF(ISNUMBER(F458),E458*F458,"")</x:f>
        <x:v>0.52</x:v>
      </x:c>
      <x:c r="H458" s="37" t="d">
        <x:v>2026-10-15T00:00:00.000Z</x:v>
      </x:c>
      <x:c r="I458" s="37" t="d">
        <x:v>2026-09-17T17:07:17.000Z</x:v>
      </x:c>
      <x:c r="J458" s="1" t="n">
        <x:f>IF(ISNUMBER(F458),E458,0)</x:f>
        <x:v>4</x:v>
      </x:c>
      <x:c r="K458" s="1"/>
      <x:c r="L458" s="1" t="str">
        <x:v>https://blog.skyairline.com/donde-queda-hornopiren/</x:v>
      </x:c>
      <x:c r="M458" s="1" t="n">
        <x:v>3</x:v>
      </x:c>
    </x:row>
    <x:row r="459" ht="18.75" customHeight="1">
      <x:c r="A459" s="1" t="str">
        <x:v>https://blog.skyairline.com/tipos-de-equipaje/</x:v>
      </x:c>
      <x:c r="B459" s="1" t="str">
        <x:v>maleta sky</x:v>
      </x:c>
      <x:c r="C459" s="1" t="str">
        <x:v>per</x:v>
      </x:c>
      <x:c r="D459" s="1" t="str">
        <x:v>Marca</x:v>
      </x:c>
      <x:c r="E459" s="35" t="n">
        <x:v>4</x:v>
      </x:c>
      <x:c r="F459" s="36" t="n">
        <x:v>0.65</x:v>
      </x:c>
      <x:c r="G459" s="36" t="n">
        <x:f>IF(ISNUMBER(F459),E459*F459,"")</x:f>
        <x:v>2.6</x:v>
      </x:c>
      <x:c r="H459" s="37" t="d">
        <x:v>2026-10-15T00:00:00.000Z</x:v>
      </x:c>
      <x:c r="I459" s="37" t="d">
        <x:v>2026-09-16T01:23:28.999Z</x:v>
      </x:c>
      <x:c r="J459" s="1" t="n">
        <x:f>IF(ISNUMBER(F459),E459,0)</x:f>
        <x:v>4</x:v>
      </x:c>
      <x:c r="K459" s="1"/>
      <x:c r="L459" s="1" t="str">
        <x:v>https://blog.skyairline.com/errores-al-hacer-un-presupuesto-de-viaje/</x:v>
      </x:c>
      <x:c r="M459" s="1" t="n">
        <x:v>3</x:v>
      </x:c>
    </x:row>
    <x:row r="460" ht="18.75" customHeight="1">
      <x:c r="A460" s="1" t="str">
        <x:v>https://blog.skyairline.com/tipos-de-equipaje/</x:v>
      </x:c>
      <x:c r="B460" s="1" t="str">
        <x:v>maletas sky</x:v>
      </x:c>
      <x:c r="C460" s="1" t="str">
        <x:v>per</x:v>
      </x:c>
      <x:c r="D460" s="1" t="str">
        <x:v>Marca</x:v>
      </x:c>
      <x:c r="E460" s="35" t="n">
        <x:v>4</x:v>
      </x:c>
      <x:c r="F460" s="36" t="n">
        <x:v>0.3</x:v>
      </x:c>
      <x:c r="G460" s="36" t="n">
        <x:f>IF(ISNUMBER(F460),E460*F460,"")</x:f>
        <x:v>1.2</x:v>
      </x:c>
      <x:c r="H460" s="37" t="d">
        <x:v>2026-10-15T00:00:00.000Z</x:v>
      </x:c>
      <x:c r="I460" s="37" t="d">
        <x:v>2026-09-15T04:23:03.000Z</x:v>
      </x:c>
      <x:c r="J460" s="1" t="n">
        <x:f>IF(ISNUMBER(F460),E460,0)</x:f>
        <x:v>4</x:v>
      </x:c>
      <x:c r="K460" s="1"/>
      <x:c r="L460" s="1" t="str">
        <x:v>https://blog.skyairline.com/escapadas-fin-de-semana/</x:v>
      </x:c>
      <x:c r="M460" s="1" t="n">
        <x:v>3</x:v>
      </x:c>
    </x:row>
    <x:row r="461" ht="18.75" customHeight="1">
      <x:c r="A461" s="1" t="str">
        <x:v>https://blog.skyairline.com/tipos-de-equipaje/</x:v>
      </x:c>
      <x:c r="B461" s="1" t="str">
        <x:v>sky airlines equipaje precio</x:v>
      </x:c>
      <x:c r="C461" s="1" t="str">
        <x:v>chl</x:v>
      </x:c>
      <x:c r="D461" s="1" t="str">
        <x:v>Marca</x:v>
      </x:c>
      <x:c r="E461" s="35" t="n">
        <x:v>4</x:v>
      </x:c>
      <x:c r="F461" s="36" t="n">
        <x:v>1.18</x:v>
      </x:c>
      <x:c r="G461" s="36" t="n">
        <x:f>IF(ISNUMBER(F461),E461*F461,"")</x:f>
        <x:v>4.72</x:v>
      </x:c>
      <x:c r="H461" s="37" t="d">
        <x:v>2026-10-15T00:00:00.000Z</x:v>
      </x:c>
      <x:c r="I461" s="37" t="d">
        <x:v>2026-09-17T07:23:01.999Z</x:v>
      </x:c>
      <x:c r="J461" s="1" t="n">
        <x:f>IF(ISNUMBER(F461),E461,0)</x:f>
        <x:v>4</x:v>
      </x:c>
      <x:c r="K461" s="1"/>
      <x:c r="L461" s="1" t="str">
        <x:v>https://blog.skyairline.com/festival-de-rio/</x:v>
      </x:c>
      <x:c r="M461" s="1" t="n">
        <x:v>3</x:v>
      </x:c>
    </x:row>
    <x:row r="462" ht="18.75" customHeight="1">
      <x:c r="A462" s="1" t="str">
        <x:v>https://blog.skyairline.com/tipos-de-equipaje/</x:v>
      </x:c>
      <x:c r="B462" s="1" t="str">
        <x:v>sky equipaje de mano</x:v>
      </x:c>
      <x:c r="C462" s="1" t="str">
        <x:v>chl</x:v>
      </x:c>
      <x:c r="D462" s="1" t="str">
        <x:v>Marca</x:v>
      </x:c>
      <x:c r="E462" s="35" t="n">
        <x:v>4</x:v>
      </x:c>
      <x:c r="F462" s="36" t="n">
        <x:v>1.31</x:v>
      </x:c>
      <x:c r="G462" s="36" t="n">
        <x:f>IF(ISNUMBER(F462),E462*F462,"")</x:f>
        <x:v>5.24</x:v>
      </x:c>
      <x:c r="H462" s="37" t="d">
        <x:v>2026-10-15T00:00:00.000Z</x:v>
      </x:c>
      <x:c r="I462" s="37" t="d">
        <x:v>2026-09-17T08:53:51.000Z</x:v>
      </x:c>
      <x:c r="J462" s="1" t="n">
        <x:f>IF(ISNUMBER(F462),E462,0)</x:f>
        <x:v>4</x:v>
      </x:c>
      <x:c r="K462" s="1"/>
      <x:c r="L462" s="1" t="str">
        <x:v>https://blog.skyairline.com/fiestas-patrias-de-chile-2/</x:v>
      </x:c>
      <x:c r="M462" s="1" t="n">
        <x:v>3</x:v>
      </x:c>
    </x:row>
    <x:row r="463" ht="18.75" customHeight="1">
      <x:c r="A463" s="1" t="str">
        <x:v>https://blog.skyairline.com/tipos-de-equipaje/</x:v>
      </x:c>
      <x:c r="B463" s="1" t="str">
        <x:v>sky equipajes</x:v>
      </x:c>
      <x:c r="C463" s="1" t="str">
        <x:v>ury</x:v>
      </x:c>
      <x:c r="D463" s="1" t="str">
        <x:v>Marca</x:v>
      </x:c>
      <x:c r="E463" s="35" t="n">
        <x:v>4</x:v>
      </x:c>
      <x:c r="F463" s="36"/>
      <x:c r="G463" s="36" t="str">
        <x:f>IF(ISNUMBER(F463),E463*F463,"")</x:f>
      </x:c>
      <x:c r="H463" s="37"/>
      <x:c r="I463" s="37"/>
      <x:c r="J463" s="1" t="n">
        <x:f>IF(ISNUMBER(F463),E463,0)</x:f>
        <x:v>0</x:v>
      </x:c>
      <x:c r="K463" s="1"/>
      <x:c r="L463" s="1" t="str">
        <x:v>https://blog.skyairline.com/floralis-generica/</x:v>
      </x:c>
      <x:c r="M463" s="1" t="n">
        <x:v>3</x:v>
      </x:c>
    </x:row>
    <x:row r="464" ht="18.75" customHeight="1">
      <x:c r="A464" s="1" t="str">
        <x:v>https://blog.skyairline.com/tipos-de-equipaje/</x:v>
      </x:c>
      <x:c r="B464" s="1" t="str">
        <x:v>sky maleta</x:v>
      </x:c>
      <x:c r="C464" s="1" t="str">
        <x:v>per</x:v>
      </x:c>
      <x:c r="D464" s="1" t="str">
        <x:v>Marca</x:v>
      </x:c>
      <x:c r="E464" s="35" t="n">
        <x:v>4</x:v>
      </x:c>
      <x:c r="F464" s="36"/>
      <x:c r="G464" s="36" t="str">
        <x:f>IF(ISNUMBER(F464),E464*F464,"")</x:f>
      </x:c>
      <x:c r="H464" s="37"/>
      <x:c r="I464" s="37"/>
      <x:c r="J464" s="1" t="n">
        <x:f>IF(ISNUMBER(F464),E464,0)</x:f>
        <x:v>0</x:v>
      </x:c>
      <x:c r="K464" s="1"/>
      <x:c r="L464" s="1" t="str">
        <x:v>https://blog.skyairline.com/futrono/</x:v>
      </x:c>
      <x:c r="M464" s="1" t="n">
        <x:v>3</x:v>
      </x:c>
    </x:row>
    <x:row r="465" ht="18.75" customHeight="1">
      <x:c r="A465" s="1" t="str">
        <x:v>https://blog.skyairline.com/tipos-de-equipaje/</x:v>
      </x:c>
      <x:c r="B465" s="1" t="str">
        <x:v>sky medidas</x:v>
      </x:c>
      <x:c r="C465" s="1" t="str">
        <x:v>per</x:v>
      </x:c>
      <x:c r="D465" s="1" t="str">
        <x:v>Marca</x:v>
      </x:c>
      <x:c r="E465" s="35" t="n">
        <x:v>4</x:v>
      </x:c>
      <x:c r="F465" s="36"/>
      <x:c r="G465" s="36" t="str">
        <x:f>IF(ISNUMBER(F465),E465*F465,"")</x:f>
      </x:c>
      <x:c r="H465" s="37"/>
      <x:c r="I465" s="37"/>
      <x:c r="J465" s="1" t="n">
        <x:f>IF(ISNUMBER(F465),E465,0)</x:f>
        <x:v>0</x:v>
      </x:c>
      <x:c r="K465" s="1"/>
      <x:c r="L465" s="1" t="str">
        <x:v>https://blog.skyairline.com/gastronomia-peruana/</x:v>
      </x:c>
      <x:c r="M465" s="1" t="n">
        <x:v>3</x:v>
      </x:c>
    </x:row>
    <x:row r="466" ht="18.75" customHeight="1">
      <x:c r="A466" s="1" t="str">
        <x:v>https://blog.skyairline.com/tipos-de-equipaje/</x:v>
      </x:c>
      <x:c r="B466" s="1" t="str">
        <x:v>sky medidas equipaje</x:v>
      </x:c>
      <x:c r="C466" s="1" t="str">
        <x:v>per</x:v>
      </x:c>
      <x:c r="D466" s="1" t="str">
        <x:v>Marca</x:v>
      </x:c>
      <x:c r="E466" s="35" t="n">
        <x:v>4</x:v>
      </x:c>
      <x:c r="F466" s="36" t="n">
        <x:v>1.63</x:v>
      </x:c>
      <x:c r="G466" s="36" t="n">
        <x:f>IF(ISNUMBER(F466),E466*F466,"")</x:f>
        <x:v>6.52</x:v>
      </x:c>
      <x:c r="H466" s="37" t="d">
        <x:v>2026-10-15T00:00:00.000Z</x:v>
      </x:c>
      <x:c r="I466" s="37" t="d">
        <x:v>2026-09-16T01:05:38.000Z</x:v>
      </x:c>
      <x:c r="J466" s="1" t="n">
        <x:f>IF(ISNUMBER(F466),E466,0)</x:f>
        <x:v>4</x:v>
      </x:c>
      <x:c r="K466" s="1"/>
      <x:c r="L466" s="1" t="str">
        <x:v>https://blog.skyairline.com/gran-reconocimiento-sky-entre-las-100-empresas-mejor-evaluadas-por-clientes-en-el-peru/</x:v>
      </x:c>
      <x:c r="M466" s="1" t="n">
        <x:v>3</x:v>
      </x:c>
    </x:row>
    <x:row r="467" ht="18.75" customHeight="1">
      <x:c r="A467" s="1" t="str">
        <x:v>https://blog.skyairline.com/tipos-de-equipaje/</x:v>
      </x:c>
      <x:c r="B467" s="1" t="str">
        <x:v>sky tamaño equipaje</x:v>
      </x:c>
      <x:c r="C467" s="1" t="str">
        <x:v>chl</x:v>
      </x:c>
      <x:c r="D467" s="1" t="str">
        <x:v>Marca</x:v>
      </x:c>
      <x:c r="E467" s="35" t="n">
        <x:v>4</x:v>
      </x:c>
      <x:c r="F467" s="36"/>
      <x:c r="G467" s="36" t="str">
        <x:f>IF(ISNUMBER(F467),E467*F467,"")</x:f>
      </x:c>
      <x:c r="H467" s="37" t="d">
        <x:v>2026-10-15T00:00:00.000Z</x:v>
      </x:c>
      <x:c r="I467" s="37" t="d">
        <x:v>2026-09-13T13:16:38.000Z</x:v>
      </x:c>
      <x:c r="J467" s="1" t="n">
        <x:f>IF(ISNUMBER(F467),E467,0)</x:f>
        <x:v>0</x:v>
      </x:c>
      <x:c r="K467" s="1"/>
      <x:c r="L467" s="1" t="str">
        <x:v>https://blog.skyairline.com/hornopiren/</x:v>
      </x:c>
      <x:c r="M467" s="1" t="n">
        <x:v>3</x:v>
      </x:c>
    </x:row>
    <x:row r="468" ht="18.75" customHeight="1">
      <x:c r="A468" s="1" t="str">
        <x:v>https://blog.skyairline.com/tipos-de-equipaje/</x:v>
      </x:c>
      <x:c r="B468" s="1" t="str">
        <x:v>tipos de equipaje sky</x:v>
      </x:c>
      <x:c r="C468" s="1" t="str">
        <x:v>per</x:v>
      </x:c>
      <x:c r="D468" s="1" t="str">
        <x:v>Marca</x:v>
      </x:c>
      <x:c r="E468" s="35" t="n">
        <x:v>4</x:v>
      </x:c>
      <x:c r="F468" s="36"/>
      <x:c r="G468" s="36" t="str">
        <x:f>IF(ISNUMBER(F468),E468*F468,"")</x:f>
      </x:c>
      <x:c r="H468" s="37" t="d">
        <x:v>2026-10-15T00:00:00.000Z</x:v>
      </x:c>
      <x:c r="I468" s="37" t="d">
        <x:v>2026-09-12T18:07:27.000Z</x:v>
      </x:c>
      <x:c r="J468" s="1" t="n">
        <x:f>IF(ISNUMBER(F468),E468,0)</x:f>
        <x:v>0</x:v>
      </x:c>
      <x:c r="K468" s="1"/>
      <x:c r="L468" s="1" t="str">
        <x:v>https://blog.skyairline.com/hotel-puerto-montt/</x:v>
      </x:c>
      <x:c r="M468" s="1" t="n">
        <x:v>3</x:v>
      </x:c>
    </x:row>
    <x:row r="469" ht="18.75" customHeight="1">
      <x:c r="A469" s="1" t="str">
        <x:v>https://blog.skyairline.com/tipos-de-equipaje/</x:v>
      </x:c>
      <x:c r="B469" s="1" t="str">
        <x:v>valor maleta sky</x:v>
      </x:c>
      <x:c r="C469" s="1" t="str">
        <x:v>chl</x:v>
      </x:c>
      <x:c r="D469" s="1" t="str">
        <x:v>Marca</x:v>
      </x:c>
      <x:c r="E469" s="35" t="n">
        <x:v>4</x:v>
      </x:c>
      <x:c r="F469" s="36" t="n">
        <x:v>2.09</x:v>
      </x:c>
      <x:c r="G469" s="36" t="n">
        <x:f>IF(ISNUMBER(F469),E469*F469,"")</x:f>
        <x:v>8.36</x:v>
      </x:c>
      <x:c r="H469" s="37" t="d">
        <x:v>2026-10-15T00:00:00.000Z</x:v>
      </x:c>
      <x:c r="I469" s="37" t="d">
        <x:v>2026-09-13T09:37:42.000Z</x:v>
      </x:c>
      <x:c r="J469" s="1" t="n">
        <x:f>IF(ISNUMBER(F469),E469,0)</x:f>
        <x:v>4</x:v>
      </x:c>
      <x:c r="K469" s="1"/>
      <x:c r="L469" s="1" t="str">
        <x:v>https://blog.skyairline.com/huaraz-2/</x:v>
      </x:c>
      <x:c r="M469" s="1" t="n">
        <x:v>3</x:v>
      </x:c>
    </x:row>
    <x:row r="470" ht="18.75" customHeight="1">
      <x:c r="A470" s="1" t="str">
        <x:v>https://blog.skyairline.com/viajar-con-bebes/</x:v>
      </x:c>
      <x:c r="B470" s="1" t="str">
        <x:v>los niños pagan pasaje en avion</x:v>
      </x:c>
      <x:c r="C470" s="1" t="str">
        <x:v>per</x:v>
      </x:c>
      <x:c r="D470" s="1" t="str">
        <x:v>Sin marca</x:v>
      </x:c>
      <x:c r="E470" s="35" t="n">
        <x:v>4</x:v>
      </x:c>
      <x:c r="F470" s="36"/>
      <x:c r="G470" s="36" t="str">
        <x:f>IF(ISNUMBER(F470),E470*F470,"")</x:f>
      </x:c>
      <x:c r="H470" s="37"/>
      <x:c r="I470" s="37"/>
      <x:c r="J470" s="1" t="n">
        <x:f>IF(ISNUMBER(F470),E470,0)</x:f>
        <x:v>0</x:v>
      </x:c>
      <x:c r="K470" s="1"/>
      <x:c r="L470" s="1" t="str">
        <x:v>https://blog.skyairline.com/huaraz-peru/</x:v>
      </x:c>
      <x:c r="M470" s="1" t="n">
        <x:v>3</x:v>
      </x:c>
    </x:row>
    <x:row r="471" ht="18.75" customHeight="1">
      <x:c r="A471" s="1" t="str">
        <x:v>https://blog.skyairline.com/viajar-con-perros/</x:v>
      </x:c>
      <x:c r="B471" s="1" t="str">
        <x:v>sky airline mascotas</x:v>
      </x:c>
      <x:c r="C471" s="1" t="str">
        <x:v>per</x:v>
      </x:c>
      <x:c r="D471" s="1" t="str">
        <x:v>Marca</x:v>
      </x:c>
      <x:c r="E471" s="35" t="n">
        <x:v>4</x:v>
      </x:c>
      <x:c r="F471" s="36"/>
      <x:c r="G471" s="36" t="str">
        <x:f>IF(ISNUMBER(F471),E471*F471,"")</x:f>
      </x:c>
      <x:c r="H471" s="37"/>
      <x:c r="I471" s="37"/>
      <x:c r="J471" s="1" t="n">
        <x:f>IF(ISNUMBER(F471),E471,0)</x:f>
        <x:v>0</x:v>
      </x:c>
      <x:c r="K471" s="1"/>
      <x:c r="L471" s="1" t="str">
        <x:v>https://blog.skyairline.com/iglesias-de-chiloe/</x:v>
      </x:c>
      <x:c r="M471" s="1" t="n">
        <x:v>3</x:v>
      </x:c>
    </x:row>
    <x:row r="472" ht="18.75" customHeight="1">
      <x:c r="A472" s="1" t="str">
        <x:v>https://blog.skyairline.com/viajar-con-perros/</x:v>
      </x:c>
      <x:c r="B472" s="1" t="str">
        <x:v>sky mascota en cabina</x:v>
      </x:c>
      <x:c r="C472" s="1" t="str">
        <x:v>chl</x:v>
      </x:c>
      <x:c r="D472" s="1" t="str">
        <x:v>Marca</x:v>
      </x:c>
      <x:c r="E472" s="35" t="n">
        <x:v>4</x:v>
      </x:c>
      <x:c r="F472" s="36"/>
      <x:c r="G472" s="36" t="str">
        <x:f>IF(ISNUMBER(F472),E472*F472,"")</x:f>
      </x:c>
      <x:c r="H472" s="37"/>
      <x:c r="I472" s="37"/>
      <x:c r="J472" s="1" t="n">
        <x:f>IF(ISNUMBER(F472),E472,0)</x:f>
        <x:v>0</x:v>
      </x:c>
      <x:c r="K472" s="1"/>
      <x:c r="L472" s="1" t="str">
        <x:v>https://blog.skyairline.com/isla-de-los-monos/</x:v>
      </x:c>
      <x:c r="M472" s="1" t="n">
        <x:v>3</x:v>
      </x:c>
    </x:row>
    <x:row r="473" ht="18.75" customHeight="1">
      <x:c r="A473" s="1" t="str">
        <x:v>https://blog.skyairline.com/viajar-con-perros/</x:v>
      </x:c>
      <x:c r="B473" s="1" t="str">
        <x:v>sky mascotas</x:v>
      </x:c>
      <x:c r="C473" s="1" t="str">
        <x:v>arg</x:v>
      </x:c>
      <x:c r="D473" s="1" t="str">
        <x:v>Marca</x:v>
      </x:c>
      <x:c r="E473" s="35" t="n">
        <x:v>4</x:v>
      </x:c>
      <x:c r="F473" s="36"/>
      <x:c r="G473" s="36" t="str">
        <x:f>IF(ISNUMBER(F473),E473*F473,"")</x:f>
      </x:c>
      <x:c r="H473" s="37"/>
      <x:c r="I473" s="37"/>
      <x:c r="J473" s="1" t="n">
        <x:f>IF(ISNUMBER(F473),E473,0)</x:f>
        <x:v>0</x:v>
      </x:c>
      <x:c r="K473" s="1"/>
      <x:c r="L473" s="1" t="str">
        <x:v>https://blog.skyairline.com/itinerario/</x:v>
      </x:c>
      <x:c r="M473" s="1" t="n">
        <x:v>3</x:v>
      </x:c>
    </x:row>
    <x:row r="474" ht="18.75" customHeight="1">
      <x:c r="A474" s="1" t="str">
        <x:v>https://blog.skyairline.com/viajar-con-perros/</x:v>
      </x:c>
      <x:c r="B474" s="1" t="str">
        <x:v>sky mascotas requisitos bodega</x:v>
      </x:c>
      <x:c r="C474" s="1" t="str">
        <x:v>per</x:v>
      </x:c>
      <x:c r="D474" s="1" t="str">
        <x:v>Marca</x:v>
      </x:c>
      <x:c r="E474" s="35" t="n">
        <x:v>4</x:v>
      </x:c>
      <x:c r="F474" s="36"/>
      <x:c r="G474" s="36" t="str">
        <x:f>IF(ISNUMBER(F474),E474*F474,"")</x:f>
      </x:c>
      <x:c r="H474" s="37"/>
      <x:c r="I474" s="37"/>
      <x:c r="J474" s="1" t="n">
        <x:f>IF(ISNUMBER(F474),E474,0)</x:f>
        <x:v>0</x:v>
      </x:c>
      <x:c r="K474" s="1"/>
      <x:c r="L474" s="1" t="str">
        <x:v>https://blog.skyairline.com/laguna-de-paca/</x:v>
      </x:c>
      <x:c r="M474" s="1" t="n">
        <x:v>3</x:v>
      </x:c>
    </x:row>
    <x:row r="475" ht="18.75" customHeight="1">
      <x:c r="A475" s="1" t="str">
        <x:v>https://blog.skyairline.com/viajar-con-perros/</x:v>
      </x:c>
      <x:c r="B475" s="1" t="str">
        <x:v>sky requisitos para viajar con mascota</x:v>
      </x:c>
      <x:c r="C475" s="1" t="str">
        <x:v>per</x:v>
      </x:c>
      <x:c r="D475" s="1" t="str">
        <x:v>Marca</x:v>
      </x:c>
      <x:c r="E475" s="35" t="n">
        <x:v>4</x:v>
      </x:c>
      <x:c r="F475" s="36"/>
      <x:c r="G475" s="36" t="str">
        <x:f>IF(ISNUMBER(F475),E475*F475,"")</x:f>
      </x:c>
      <x:c r="H475" s="37"/>
      <x:c r="I475" s="37"/>
      <x:c r="J475" s="1" t="n">
        <x:f>IF(ISNUMBER(F475),E475,0)</x:f>
        <x:v>0</x:v>
      </x:c>
      <x:c r="K475" s="1"/>
      <x:c r="L475" s="1" t="str">
        <x:v>https://blog.skyairline.com/laguna-roja-en-chile-el-misterio-de-sus-aguas-color-sangre/</x:v>
      </x:c>
      <x:c r="M475" s="1" t="n">
        <x:v>3</x:v>
      </x:c>
    </x:row>
    <x:row r="476" ht="18.75" customHeight="1">
      <x:c r="A476" s="1" t="str">
        <x:v>https://blog.skyairline.com/viajar-con-perros/</x:v>
      </x:c>
      <x:c r="B476" s="1" t="str">
        <x:v>sky transporte de mascotas</x:v>
      </x:c>
      <x:c r="C476" s="1" t="str">
        <x:v>chl</x:v>
      </x:c>
      <x:c r="D476" s="1" t="str">
        <x:v>Marca</x:v>
      </x:c>
      <x:c r="E476" s="35" t="n">
        <x:v>4</x:v>
      </x:c>
      <x:c r="F476" s="36"/>
      <x:c r="G476" s="36" t="str">
        <x:f>IF(ISNUMBER(F476),E476*F476,"")</x:f>
      </x:c>
      <x:c r="H476" s="37" t="d">
        <x:v>2026-10-15T00:00:00.000Z</x:v>
      </x:c>
      <x:c r="I476" s="37" t="d">
        <x:v>2026-09-16T08:20:39.000Z</x:v>
      </x:c>
      <x:c r="J476" s="1" t="n">
        <x:f>IF(ISNUMBER(F476),E476,0)</x:f>
        <x:v>0</x:v>
      </x:c>
      <x:c r="K476" s="1"/>
      <x:c r="L476" s="1" t="str">
        <x:v>https://blog.skyairline.com/laguna-san-rafael/</x:v>
      </x:c>
      <x:c r="M476" s="1" t="n">
        <x:v>3</x:v>
      </x:c>
    </x:row>
    <x:row r="477" ht="18.75" customHeight="1">
      <x:c r="A477" s="1" t="str">
        <x:v>https://blog.skyairline.com/viaje-a-brasil-3/</x:v>
      </x:c>
      <x:c r="B477" s="1" t="str">
        <x:v>para ir a brasil se necesita pasaporte</x:v>
      </x:c>
      <x:c r="C477" s="1" t="str">
        <x:v>chl</x:v>
      </x:c>
      <x:c r="D477" s="1" t="str">
        <x:v>Sin marca</x:v>
      </x:c>
      <x:c r="E477" s="35" t="n">
        <x:v>4</x:v>
      </x:c>
      <x:c r="F477" s="36" t="n">
        <x:v>0.13</x:v>
      </x:c>
      <x:c r="G477" s="36" t="n">
        <x:f>IF(ISNUMBER(F477),E477*F477,"")</x:f>
        <x:v>0.52</x:v>
      </x:c>
      <x:c r="H477" s="37" t="d">
        <x:v>2026-10-15T00:00:00.000Z</x:v>
      </x:c>
      <x:c r="I477" s="37" t="d">
        <x:v>2026-09-17T14:57:53.000Z</x:v>
      </x:c>
      <x:c r="J477" s="1" t="n">
        <x:f>IF(ISNUMBER(F477),E477,0)</x:f>
        <x:v>4</x:v>
      </x:c>
      <x:c r="K477" s="1"/>
      <x:c r="L477" s="1" t="str">
        <x:v>https://blog.skyairline.com/las-grutas/</x:v>
      </x:c>
      <x:c r="M477" s="1" t="n">
        <x:v>3</x:v>
      </x:c>
    </x:row>
    <x:row r="478" ht="18.75" customHeight="1">
      <x:c r="A478" s="1" t="str">
        <x:v>https://blog.skyairline.com/10-cosas-que-hacer-en-caminito/</x:v>
      </x:c>
      <x:c r="B478" s="1" t="str">
        <x:v>caminito buenos aires</x:v>
      </x:c>
      <x:c r="C478" s="1" t="str">
        <x:v>chl</x:v>
      </x:c>
      <x:c r="D478" s="1" t="str">
        <x:v>Sin marca</x:v>
      </x:c>
      <x:c r="E478" s="35" t="n">
        <x:v>3</x:v>
      </x:c>
      <x:c r="F478" s="36" t="n">
        <x:v>0.06</x:v>
      </x:c>
      <x:c r="G478" s="36" t="n">
        <x:f>IF(ISNUMBER(F478),E478*F478,"")</x:f>
        <x:v>0.18</x:v>
      </x:c>
      <x:c r="H478" s="37" t="d">
        <x:v>2026-10-15T00:00:00.000Z</x:v>
      </x:c>
      <x:c r="I478" s="37" t="d">
        <x:v>2026-09-14T20:23:51.000Z</x:v>
      </x:c>
      <x:c r="J478" s="1" t="n">
        <x:f>IF(ISNUMBER(F478),E478,0)</x:f>
        <x:v>3</x:v>
      </x:c>
      <x:c r="K478" s="1"/>
      <x:c r="L478" s="1" t="str">
        <x:v>https://blog.skyairline.com/las-trancas-chillan-que-hacer-durante-el-invierno-y-el-verano/</x:v>
      </x:c>
      <x:c r="M478" s="1" t="n">
        <x:v>3</x:v>
      </x:c>
    </x:row>
    <x:row r="479" ht="18.75" customHeight="1">
      <x:c r="A479" s="1" t="str">
        <x:v>https://blog.skyairline.com/10-cosas-que-hacer-en-caminito/</x:v>
      </x:c>
      <x:c r="B479" s="1" t="str">
        <x:v>que ver en caminito</x:v>
      </x:c>
      <x:c r="C479" s="1" t="str">
        <x:v>arg</x:v>
      </x:c>
      <x:c r="D479" s="1" t="str">
        <x:v>Sin marca</x:v>
      </x:c>
      <x:c r="E479" s="35" t="n">
        <x:v>3</x:v>
      </x:c>
      <x:c r="F479" s="36"/>
      <x:c r="G479" s="36" t="str">
        <x:f>IF(ISNUMBER(F479),E479*F479,"")</x:f>
      </x:c>
      <x:c r="H479" s="37"/>
      <x:c r="I479" s="37"/>
      <x:c r="J479" s="1" t="n">
        <x:f>IF(ISNUMBER(F479),E479,0)</x:f>
        <x:v>0</x:v>
      </x:c>
      <x:c r="K479" s="1"/>
      <x:c r="L479" s="1" t="str">
        <x:v>https://blog.skyairline.com/lugares-turisticos-lima/</x:v>
      </x:c>
      <x:c r="M479" s="1" t="n">
        <x:v>3</x:v>
      </x:c>
    </x:row>
    <x:row r="480" ht="18.75" customHeight="1">
      <x:c r="A480" s="1" t="str">
        <x:v>https://blog.skyairline.com/a-donde-ir-en-balmaceda/</x:v>
      </x:c>
      <x:c r="B480" s="1" t="str">
        <x:v>que hacer en balmaceda</x:v>
      </x:c>
      <x:c r="C480" s="1" t="str">
        <x:v>chl</x:v>
      </x:c>
      <x:c r="D480" s="1" t="str">
        <x:v>Sin marca</x:v>
      </x:c>
      <x:c r="E480" s="35" t="n">
        <x:v>3</x:v>
      </x:c>
      <x:c r="F480" s="36" t="n">
        <x:v>0.53</x:v>
      </x:c>
      <x:c r="G480" s="36" t="n">
        <x:f>IF(ISNUMBER(F480),E480*F480,"")</x:f>
        <x:v>1.59</x:v>
      </x:c>
      <x:c r="H480" s="37" t="d">
        <x:v>2026-10-15T00:00:00.000Z</x:v>
      </x:c>
      <x:c r="I480" s="37" t="d">
        <x:v>2026-09-13T03:17:09.000Z</x:v>
      </x:c>
      <x:c r="J480" s="1" t="n">
        <x:f>IF(ISNUMBER(F480),E480,0)</x:f>
        <x:v>3</x:v>
      </x:c>
      <x:c r="K480" s="1"/>
      <x:c r="L480" s="1" t="str">
        <x:v>https://blog.skyairline.com/millennials-lideran-los-viajes-en-peru-y-la-generacion-z-gana-protagonismo-en-vuelos-de-sky-airline/</x:v>
      </x:c>
      <x:c r="M480" s="1" t="n">
        <x:v>3</x:v>
      </x:c>
    </x:row>
    <x:row r="481" ht="18.75" customHeight="1">
      <x:c r="A481" s="1" t="str">
        <x:v>https://blog.skyairline.com/aeropuerto-chiloe/</x:v>
      </x:c>
      <x:c r="B481" s="1" t="str">
        <x:v>aeropuerto castro chiloe</x:v>
      </x:c>
      <x:c r="C481" s="1" t="str">
        <x:v>chl</x:v>
      </x:c>
      <x:c r="D481" s="1" t="str">
        <x:v>Sin marca</x:v>
      </x:c>
      <x:c r="E481" s="35" t="n">
        <x:v>3</x:v>
      </x:c>
      <x:c r="F481" s="36" t="n">
        <x:v>1.7</x:v>
      </x:c>
      <x:c r="G481" s="36" t="n">
        <x:f>IF(ISNUMBER(F481),E481*F481,"")</x:f>
        <x:v>5.1</x:v>
      </x:c>
      <x:c r="H481" s="37" t="d">
        <x:v>2026-10-15T00:00:00.000Z</x:v>
      </x:c>
      <x:c r="I481" s="37" t="d">
        <x:v>2026-09-13T23:25:50.000Z</x:v>
      </x:c>
      <x:c r="J481" s="1" t="n">
        <x:f>IF(ISNUMBER(F481),E481,0)</x:f>
        <x:v>3</x:v>
      </x:c>
      <x:c r="K481" s="1"/>
      <x:c r="L481" s="1" t="str">
        <x:v>https://blog.skyairline.com/murales-de-calle-en-miami/</x:v>
      </x:c>
      <x:c r="M481" s="1" t="n">
        <x:v>3</x:v>
      </x:c>
    </x:row>
    <x:row r="482" ht="18.75" customHeight="1">
      <x:c r="A482" s="1" t="str">
        <x:v>https://blog.skyairline.com/aeropuerto-chiloe/</x:v>
      </x:c>
      <x:c r="B482" s="1" t="str">
        <x:v>aeropuerto de castro</x:v>
      </x:c>
      <x:c r="C482" s="1" t="str">
        <x:v>chl</x:v>
      </x:c>
      <x:c r="D482" s="1" t="str">
        <x:v>Sin marca</x:v>
      </x:c>
      <x:c r="E482" s="35" t="n">
        <x:v>3</x:v>
      </x:c>
      <x:c r="F482" s="36" t="n">
        <x:v>1.13</x:v>
      </x:c>
      <x:c r="G482" s="36" t="n">
        <x:f>IF(ISNUMBER(F482),E482*F482,"")</x:f>
        <x:v>3.3899999999999997</x:v>
      </x:c>
      <x:c r="H482" s="37" t="d">
        <x:v>2026-10-15T00:00:00.000Z</x:v>
      </x:c>
      <x:c r="I482" s="37" t="d">
        <x:v>2026-09-14T04:11:03.999Z</x:v>
      </x:c>
      <x:c r="J482" s="1" t="n">
        <x:f>IF(ISNUMBER(F482),E482,0)</x:f>
        <x:v>3</x:v>
      </x:c>
      <x:c r="K482" s="1"/>
      <x:c r="L482" s="1" t="str">
        <x:v>https://blog.skyairline.com/museo-de-bellas-artes/</x:v>
      </x:c>
      <x:c r="M482" s="1" t="n">
        <x:v>3</x:v>
      </x:c>
    </x:row>
    <x:row r="483" ht="18.75" customHeight="1">
      <x:c r="A483" s="1" t="str">
        <x:v>https://blog.skyairline.com/aeropuerto-chiloe/</x:v>
      </x:c>
      <x:c r="B483" s="1" t="str">
        <x:v>mhc aeropuerto</x:v>
      </x:c>
      <x:c r="C483" s="1" t="str">
        <x:v>chl</x:v>
      </x:c>
      <x:c r="D483" s="1" t="str">
        <x:v>Sin marca</x:v>
      </x:c>
      <x:c r="E483" s="35" t="n">
        <x:v>3</x:v>
      </x:c>
      <x:c r="F483" s="36"/>
      <x:c r="G483" s="36" t="str">
        <x:f>IF(ISNUMBER(F483),E483*F483,"")</x:f>
      </x:c>
      <x:c r="H483" s="37" t="d">
        <x:v>2026-10-15T00:00:00.000Z</x:v>
      </x:c>
      <x:c r="I483" s="37" t="d">
        <x:v>2026-09-14T01:43:25.000Z</x:v>
      </x:c>
      <x:c r="J483" s="1" t="n">
        <x:f>IF(ISNUMBER(F483),E483,0)</x:f>
        <x:v>0</x:v>
      </x:c>
      <x:c r="K483" s="1"/>
      <x:c r="L483" s="1" t="str">
        <x:v>https://blog.skyairline.com/oscar-niemeyer/</x:v>
      </x:c>
      <x:c r="M483" s="1" t="n">
        <x:v>3</x:v>
      </x:c>
    </x:row>
    <x:row r="484" ht="18.75" customHeight="1">
      <x:c r="A484" s="1" t="str">
        <x:v>https://blog.skyairline.com/aeropuerto-concepcion/</x:v>
      </x:c>
      <x:c r="B484" s="1" t="str">
        <x:v>aeropuerto concepcion</x:v>
      </x:c>
      <x:c r="C484" s="1" t="str">
        <x:v>chl</x:v>
      </x:c>
      <x:c r="D484" s="1" t="str">
        <x:v>Sin marca</x:v>
      </x:c>
      <x:c r="E484" s="35" t="n">
        <x:v>3</x:v>
      </x:c>
      <x:c r="F484" s="36" t="n">
        <x:v>0.99</x:v>
      </x:c>
      <x:c r="G484" s="36" t="n">
        <x:f>IF(ISNUMBER(F484),E484*F484,"")</x:f>
        <x:v>2.9699999999999998</x:v>
      </x:c>
      <x:c r="H484" s="37" t="d">
        <x:v>2026-10-15T00:00:00.000Z</x:v>
      </x:c>
      <x:c r="I484" s="37" t="d">
        <x:v>2026-09-16T13:46:22.999Z</x:v>
      </x:c>
      <x:c r="J484" s="1" t="n">
        <x:f>IF(ISNUMBER(F484),E484,0)</x:f>
        <x:v>3</x:v>
      </x:c>
      <x:c r="K484" s="1"/>
      <x:c r="L484" s="1" t="str">
        <x:v>https://blog.skyairline.com/panoramas-en-santiago/</x:v>
      </x:c>
      <x:c r="M484" s="1" t="n">
        <x:v>3</x:v>
      </x:c>
    </x:row>
    <x:row r="485" ht="18.75" customHeight="1">
      <x:c r="A485" s="1" t="str">
        <x:v>https://blog.skyairline.com/aeropuertos-en-buenos-aires/</x:v>
      </x:c>
      <x:c r="B485" s="1" t="str">
        <x:v>aeropuertos de buenos aires</x:v>
      </x:c>
      <x:c r="C485" s="1" t="str">
        <x:v>per</x:v>
      </x:c>
      <x:c r="D485" s="1" t="str">
        <x:v>Sin marca</x:v>
      </x:c>
      <x:c r="E485" s="35" t="n">
        <x:v>3</x:v>
      </x:c>
      <x:c r="F485" s="36" t="n">
        <x:v>1.5</x:v>
      </x:c>
      <x:c r="G485" s="36" t="n">
        <x:f>IF(ISNUMBER(F485),E485*F485,"")</x:f>
        <x:v>4.5</x:v>
      </x:c>
      <x:c r="H485" s="37" t="d">
        <x:v>2026-10-15T00:00:00.000Z</x:v>
      </x:c>
      <x:c r="I485" s="37" t="d">
        <x:v>2026-09-16T14:34:40.000Z</x:v>
      </x:c>
      <x:c r="J485" s="1" t="n">
        <x:f>IF(ISNUMBER(F485),E485,0)</x:f>
        <x:v>3</x:v>
      </x:c>
      <x:c r="K485" s="1"/>
      <x:c r="L485" s="1" t="str">
        <x:v>https://blog.skyairline.com/parque-do-ibirapuera/</x:v>
      </x:c>
      <x:c r="M485" s="1" t="n">
        <x:v>3</x:v>
      </x:c>
    </x:row>
    <x:row r="486" ht="18.75" customHeight="1">
      <x:c r="A486" s="1" t="str">
        <x:v>https://blog.skyairline.com/aeropuertos-en-el-sur-de-chile/</x:v>
      </x:c>
      <x:c r="B486" s="1" t="str">
        <x:v>aeropuertos del sur de chile</x:v>
      </x:c>
      <x:c r="C486" s="1" t="str">
        <x:v>chl</x:v>
      </x:c>
      <x:c r="D486" s="1" t="str">
        <x:v>Sin marca</x:v>
      </x:c>
      <x:c r="E486" s="35" t="n">
        <x:v>3</x:v>
      </x:c>
      <x:c r="F486" s="36" t="n">
        <x:v>2.5</x:v>
      </x:c>
      <x:c r="G486" s="36" t="n">
        <x:f>IF(ISNUMBER(F486),E486*F486,"")</x:f>
        <x:v>7.5</x:v>
      </x:c>
      <x:c r="H486" s="37" t="d">
        <x:v>2026-10-15T00:00:00.000Z</x:v>
      </x:c>
      <x:c r="I486" s="37" t="d">
        <x:v>2026-10-15T11:36:36.000Z</x:v>
      </x:c>
      <x:c r="J486" s="1" t="n">
        <x:f>IF(ISNUMBER(F486),E486,0)</x:f>
        <x:v>3</x:v>
      </x:c>
      <x:c r="K486" s="1"/>
      <x:c r="L486" s="1" t="str">
        <x:v>https://blog.skyairline.com/parque-nacional-huerquehue/</x:v>
      </x:c>
      <x:c r="M486" s="1" t="n">
        <x:v>3</x:v>
      </x:c>
    </x:row>
    <x:row r="487" ht="18.75" customHeight="1">
      <x:c r="A487" s="1" t="str">
        <x:v>https://blog.skyairline.com/angra-dos-reis/</x:v>
      </x:c>
      <x:c r="B487" s="1" t="str">
        <x:v>angra dos reis</x:v>
      </x:c>
      <x:c r="C487" s="1" t="str">
        <x:v>chl</x:v>
      </x:c>
      <x:c r="D487" s="1" t="str">
        <x:v>Sin marca</x:v>
      </x:c>
      <x:c r="E487" s="35" t="n">
        <x:v>3</x:v>
      </x:c>
      <x:c r="F487" s="36" t="n">
        <x:v>0.95</x:v>
      </x:c>
      <x:c r="G487" s="36" t="n">
        <x:f>IF(ISNUMBER(F487),E487*F487,"")</x:f>
        <x:v>2.8499999999999996</x:v>
      </x:c>
      <x:c r="H487" s="37" t="d">
        <x:v>2026-10-15T00:00:00.000Z</x:v>
      </x:c>
      <x:c r="I487" s="37" t="d">
        <x:v>2026-09-16T06:39:43.000Z</x:v>
      </x:c>
      <x:c r="J487" s="1" t="n">
        <x:f>IF(ISNUMBER(F487),E487,0)</x:f>
        <x:v>3</x:v>
      </x:c>
      <x:c r="K487" s="1"/>
      <x:c r="L487" s="1" t="str">
        <x:v>https://blog.skyairline.com/parque-natural-pichiluli/</x:v>
      </x:c>
      <x:c r="M487" s="1" t="n">
        <x:v>3</x:v>
      </x:c>
    </x:row>
    <x:row r="488" ht="18.75" customHeight="1">
      <x:c r="A488" s="1" t="str">
        <x:v>https://blog.skyairline.com/auroras-australes-en-chile-cuando-y-donde-verlas/</x:v>
      </x:c>
      <x:c r="B488" s="1" t="str">
        <x:v>auroras australes</x:v>
      </x:c>
      <x:c r="C488" s="1" t="str">
        <x:v>chl</x:v>
      </x:c>
      <x:c r="D488" s="1" t="str">
        <x:v>Sin marca</x:v>
      </x:c>
      <x:c r="E488" s="35" t="n">
        <x:v>3</x:v>
      </x:c>
      <x:c r="F488" s="36"/>
      <x:c r="G488" s="36" t="str">
        <x:f>IF(ISNUMBER(F488),E488*F488,"")</x:f>
      </x:c>
      <x:c r="H488" s="37" t="d">
        <x:v>2026-10-15T00:00:00.000Z</x:v>
      </x:c>
      <x:c r="I488" s="37" t="d">
        <x:v>2026-09-17T09:49:32.999Z</x:v>
      </x:c>
      <x:c r="J488" s="1" t="n">
        <x:f>IF(ISNUMBER(F488),E488,0)</x:f>
        <x:v>0</x:v>
      </x:c>
      <x:c r="K488" s="1"/>
      <x:c r="L488" s="1" t="str">
        <x:v>https://blog.skyairline.com/parques-acuaticos-en-chile/</x:v>
      </x:c>
      <x:c r="M488" s="1" t="n">
        <x:v>3</x:v>
      </x:c>
    </x:row>
    <x:row r="489" ht="18.75" customHeight="1">
      <x:c r="A489" s="1" t="str">
        <x:v>https://blog.skyairline.com/bicicleta-en-avion/</x:v>
      </x:c>
      <x:c r="B489" s="1" t="str">
        <x:v>equipaje especial sky</x:v>
      </x:c>
      <x:c r="C489" s="1" t="str">
        <x:v>chl</x:v>
      </x:c>
      <x:c r="D489" s="1" t="str">
        <x:v>Marca</x:v>
      </x:c>
      <x:c r="E489" s="35" t="n">
        <x:v>3</x:v>
      </x:c>
      <x:c r="F489" s="36" t="n">
        <x:v>0.72</x:v>
      </x:c>
      <x:c r="G489" s="36" t="n">
        <x:f>IF(ISNUMBER(F489),E489*F489,"")</x:f>
        <x:v>2.16</x:v>
      </x:c>
      <x:c r="H489" s="37" t="d">
        <x:v>2026-10-15T00:00:00.000Z</x:v>
      </x:c>
      <x:c r="I489" s="37" t="d">
        <x:v>2026-09-13T03:08:00.000Z</x:v>
      </x:c>
      <x:c r="J489" s="1" t="n">
        <x:f>IF(ISNUMBER(F489),E489,0)</x:f>
        <x:v>3</x:v>
      </x:c>
      <x:c r="K489" s="1"/>
      <x:c r="L489" s="1" t="str">
        <x:v>https://blog.skyairline.com/parques-de-atracciones/</x:v>
      </x:c>
      <x:c r="M489" s="1" t="n">
        <x:v>3</x:v>
      </x:c>
    </x:row>
    <x:row r="490" ht="18.75" customHeight="1">
      <x:c r="A490" s="1" t="str">
        <x:v>https://blog.skyairline.com/cambiar-vuelo-sky/</x:v>
      </x:c>
      <x:c r="B490" s="1" t="str">
        <x:v>cambiar fecha de vuelo</x:v>
      </x:c>
      <x:c r="C490" s="1" t="str">
        <x:v>per</x:v>
      </x:c>
      <x:c r="D490" s="1" t="str">
        <x:v>Sin marca</x:v>
      </x:c>
      <x:c r="E490" s="35" t="n">
        <x:v>3</x:v>
      </x:c>
      <x:c r="F490" s="36"/>
      <x:c r="G490" s="36" t="str">
        <x:f>IF(ISNUMBER(F490),E490*F490,"")</x:f>
      </x:c>
      <x:c r="H490" s="37" t="d">
        <x:v>2026-10-15T00:00:00.000Z</x:v>
      </x:c>
      <x:c r="I490" s="37" t="d">
        <x:v>2026-09-14T03:47:22.000Z</x:v>
      </x:c>
      <x:c r="J490" s="1" t="n">
        <x:f>IF(ISNUMBER(F490),E490,0)</x:f>
        <x:v>0</x:v>
      </x:c>
      <x:c r="K490" s="1"/>
      <x:c r="L490" s="1" t="str">
        <x:v>https://blog.skyairline.com/peru-a-chile-sky-airline/</x:v>
      </x:c>
      <x:c r="M490" s="1" t="n">
        <x:v>3</x:v>
      </x:c>
    </x:row>
    <x:row r="491" ht="18.75" customHeight="1">
      <x:c r="A491" s="1" t="str">
        <x:v>https://blog.skyairline.com/cambiar-vuelo-sky/</x:v>
      </x:c>
      <x:c r="B491" s="1" t="str">
        <x:v>cambiar vuelo sky airline</x:v>
      </x:c>
      <x:c r="C491" s="1" t="str">
        <x:v>chl</x:v>
      </x:c>
      <x:c r="D491" s="1" t="str">
        <x:v>Marca</x:v>
      </x:c>
      <x:c r="E491" s="35" t="n">
        <x:v>3</x:v>
      </x:c>
      <x:c r="F491" s="36" t="n">
        <x:v>0.25</x:v>
      </x:c>
      <x:c r="G491" s="36" t="n">
        <x:f>IF(ISNUMBER(F491),E491*F491,"")</x:f>
        <x:v>0.75</x:v>
      </x:c>
      <x:c r="H491" s="37" t="d">
        <x:v>2026-10-15T00:00:00.000Z</x:v>
      </x:c>
      <x:c r="I491" s="37" t="d">
        <x:v>2026-09-17T23:57:51.000Z</x:v>
      </x:c>
      <x:c r="J491" s="1" t="n">
        <x:f>IF(ISNUMBER(F491),E491,0)</x:f>
        <x:v>3</x:v>
      </x:c>
      <x:c r="K491" s="1"/>
      <x:c r="L491" s="1" t="str">
        <x:v>https://blog.skyairline.com/pica-en-iquique/</x:v>
      </x:c>
      <x:c r="M491" s="1" t="n">
        <x:v>3</x:v>
      </x:c>
    </x:row>
    <x:row r="492" ht="18.75" customHeight="1">
      <x:c r="A492" s="1" t="str">
        <x:v>https://blog.skyairline.com/cambiar-vuelo-sky/</x:v>
      </x:c>
      <x:c r="B492" s="1" t="str">
        <x:v>cambio de pasaje sky peru</x:v>
      </x:c>
      <x:c r="C492" s="1" t="str">
        <x:v>per</x:v>
      </x:c>
      <x:c r="D492" s="1" t="str">
        <x:v>Marca</x:v>
      </x:c>
      <x:c r="E492" s="35" t="n">
        <x:v>3</x:v>
      </x:c>
      <x:c r="F492" s="36" t="n">
        <x:v>0.89</x:v>
      </x:c>
      <x:c r="G492" s="36" t="n">
        <x:f>IF(ISNUMBER(F492),E492*F492,"")</x:f>
        <x:v>2.67</x:v>
      </x:c>
      <x:c r="H492" s="37" t="d">
        <x:v>2026-10-15T00:00:00.000Z</x:v>
      </x:c>
      <x:c r="I492" s="37" t="d">
        <x:v>2026-09-17T00:42:15.000Z</x:v>
      </x:c>
      <x:c r="J492" s="1" t="n">
        <x:f>IF(ISNUMBER(F492),E492,0)</x:f>
        <x:v>3</x:v>
      </x:c>
      <x:c r="K492" s="1"/>
      <x:c r="L492" s="1" t="str">
        <x:v>https://blog.skyairline.com/planifica-tu-viaje-sur-de-chile/</x:v>
      </x:c>
      <x:c r="M492" s="1" t="n">
        <x:v>3</x:v>
      </x:c>
    </x:row>
    <x:row r="493" ht="18.75" customHeight="1">
      <x:c r="A493" s="1" t="str">
        <x:v>https://blog.skyairline.com/cambiar-vuelo-sky/</x:v>
      </x:c>
      <x:c r="B493" s="1" t="str">
        <x:v>cambio de vuelo sky</x:v>
      </x:c>
      <x:c r="C493" s="1" t="str">
        <x:v>per</x:v>
      </x:c>
      <x:c r="D493" s="1" t="str">
        <x:v>Marca</x:v>
      </x:c>
      <x:c r="E493" s="35" t="n">
        <x:v>3</x:v>
      </x:c>
      <x:c r="F493" s="36" t="n">
        <x:v>0.18</x:v>
      </x:c>
      <x:c r="G493" s="36" t="n">
        <x:f>IF(ISNUMBER(F493),E493*F493,"")</x:f>
        <x:v>0.54</x:v>
      </x:c>
      <x:c r="H493" s="37" t="d">
        <x:v>2026-10-15T00:00:00.000Z</x:v>
      </x:c>
      <x:c r="I493" s="37" t="d">
        <x:v>2026-09-16T15:25:08.000Z</x:v>
      </x:c>
      <x:c r="J493" s="1" t="n">
        <x:f>IF(ISNUMBER(F493),E493,0)</x:f>
        <x:v>3</x:v>
      </x:c>
      <x:c r="K493" s="1"/>
      <x:c r="L493" s="1" t="str">
        <x:v>https://blog.skyairline.com/planificar-viaje/</x:v>
      </x:c>
      <x:c r="M493" s="1" t="n">
        <x:v>3</x:v>
      </x:c>
    </x:row>
    <x:row r="494" ht="18.75" customHeight="1">
      <x:c r="A494" s="1" t="str">
        <x:v>https://blog.skyairline.com/cambiar-vuelo-sky/</x:v>
      </x:c>
      <x:c r="B494" s="1" t="str">
        <x:v>cambio de vuelo sky peru</x:v>
      </x:c>
      <x:c r="C494" s="1" t="str">
        <x:v>ita</x:v>
      </x:c>
      <x:c r="D494" s="1" t="str">
        <x:v>Marca</x:v>
      </x:c>
      <x:c r="E494" s="35" t="n">
        <x:v>3</x:v>
      </x:c>
      <x:c r="F494" s="36"/>
      <x:c r="G494" s="36" t="str">
        <x:f>IF(ISNUMBER(F494),E494*F494,"")</x:f>
      </x:c>
      <x:c r="H494" s="37"/>
      <x:c r="I494" s="37"/>
      <x:c r="J494" s="1" t="n">
        <x:f>IF(ISNUMBER(F494),E494,0)</x:f>
        <x:v>0</x:v>
      </x:c>
      <x:c r="K494" s="1"/>
      <x:c r="L494" s="1" t="str">
        <x:v>https://blog.skyairline.com/plato-tipico-de-tacna/</x:v>
      </x:c>
      <x:c r="M494" s="1" t="n">
        <x:v>3</x:v>
      </x:c>
    </x:row>
    <x:row r="495" ht="18.75" customHeight="1">
      <x:c r="A495" s="1" t="str">
        <x:v>https://blog.skyairline.com/cambiar-vuelo-sky/</x:v>
      </x:c>
      <x:c r="B495" s="1" t="str">
        <x:v>cambio pasaje sky</x:v>
      </x:c>
      <x:c r="C495" s="1" t="str">
        <x:v>chl</x:v>
      </x:c>
      <x:c r="D495" s="1" t="str">
        <x:v>Marca</x:v>
      </x:c>
      <x:c r="E495" s="35" t="n">
        <x:v>3</x:v>
      </x:c>
      <x:c r="F495" s="36" t="n">
        <x:v>0.77</x:v>
      </x:c>
      <x:c r="G495" s="36" t="n">
        <x:f>IF(ISNUMBER(F495),E495*F495,"")</x:f>
        <x:v>2.31</x:v>
      </x:c>
      <x:c r="H495" s="37" t="d">
        <x:v>2026-10-15T00:00:00.000Z</x:v>
      </x:c>
      <x:c r="I495" s="37" t="d">
        <x:v>2026-09-17T04:15:18.000Z</x:v>
      </x:c>
      <x:c r="J495" s="1" t="n">
        <x:f>IF(ISNUMBER(F495),E495,0)</x:f>
        <x:v>3</x:v>
      </x:c>
      <x:c r="K495" s="1"/>
      <x:c r="L495" s="1" t="str">
        <x:v>https://blog.skyairline.com/playa-lobitos/</x:v>
      </x:c>
      <x:c r="M495" s="1" t="n">
        <x:v>3</x:v>
      </x:c>
    </x:row>
    <x:row r="496" ht="18.75" customHeight="1">
      <x:c r="A496" s="1" t="str">
        <x:v>https://blog.skyairline.com/cambiar-vuelo-sky/</x:v>
      </x:c>
      <x:c r="B496" s="1" t="str">
        <x:v>como postergar un vuelo en sky</x:v>
      </x:c>
      <x:c r="C496" s="1" t="str">
        <x:v>per</x:v>
      </x:c>
      <x:c r="D496" s="1" t="str">
        <x:v>Marca</x:v>
      </x:c>
      <x:c r="E496" s="35" t="n">
        <x:v>3</x:v>
      </x:c>
      <x:c r="F496" s="36"/>
      <x:c r="G496" s="36" t="str">
        <x:f>IF(ISNUMBER(F496),E496*F496,"")</x:f>
      </x:c>
      <x:c r="H496" s="37"/>
      <x:c r="I496" s="37"/>
      <x:c r="J496" s="1" t="n">
        <x:f>IF(ISNUMBER(F496),E496,0)</x:f>
        <x:v>0</x:v>
      </x:c>
      <x:c r="K496" s="1"/>
      <x:c r="L496" s="1" t="str">
        <x:v>https://blog.skyairline.com/playas-de-iquique/</x:v>
      </x:c>
      <x:c r="M496" s="1" t="n">
        <x:v>3</x:v>
      </x:c>
    </x:row>
    <x:row r="497" ht="18.75" customHeight="1">
      <x:c r="A497" s="1" t="str">
        <x:v>https://blog.skyairline.com/cambiar-vuelo-sky/</x:v>
      </x:c>
      <x:c r="B497" s="1" t="str">
        <x:v>modificar vuelo sky</x:v>
      </x:c>
      <x:c r="C497" s="1" t="str">
        <x:v>chl</x:v>
      </x:c>
      <x:c r="D497" s="1" t="str">
        <x:v>Marca</x:v>
      </x:c>
      <x:c r="E497" s="35" t="n">
        <x:v>3</x:v>
      </x:c>
      <x:c r="F497" s="36" t="n">
        <x:v>0.35</x:v>
      </x:c>
      <x:c r="G497" s="36" t="n">
        <x:f>IF(ISNUMBER(F497),E497*F497,"")</x:f>
        <x:v>1.0499999999999998</x:v>
      </x:c>
      <x:c r="H497" s="37" t="d">
        <x:v>2026-10-15T00:00:00.000Z</x:v>
      </x:c>
      <x:c r="I497" s="37" t="d">
        <x:v>2026-10-15T15:47:40.000Z</x:v>
      </x:c>
      <x:c r="J497" s="1" t="n">
        <x:f>IF(ISNUMBER(F497),E497,0)</x:f>
        <x:v>3</x:v>
      </x:c>
      <x:c r="K497" s="1"/>
      <x:c r="L497" s="1" t="str">
        <x:v>https://blog.skyairline.com/playas-rio-de-janeiro/</x:v>
      </x:c>
      <x:c r="M497" s="1" t="n">
        <x:v>3</x:v>
      </x:c>
    </x:row>
    <x:row r="498" ht="18.75" customHeight="1">
      <x:c r="A498" s="1" t="str">
        <x:v>https://blog.skyairline.com/cambiar-vuelo-sky/</x:v>
      </x:c>
      <x:c r="B498" s="1" t="str">
        <x:v>sky</x:v>
      </x:c>
      <x:c r="C498" s="1" t="str">
        <x:v>per</x:v>
      </x:c>
      <x:c r="D498" s="1" t="str">
        <x:v>Marca</x:v>
      </x:c>
      <x:c r="E498" s="35" t="n">
        <x:v>3</x:v>
      </x:c>
      <x:c r="F498" s="36" t="n">
        <x:v>0.16</x:v>
      </x:c>
      <x:c r="G498" s="36" t="n">
        <x:f>IF(ISNUMBER(F498),E498*F498,"")</x:f>
        <x:v>0.48</x:v>
      </x:c>
      <x:c r="H498" s="37" t="d">
        <x:v>2026-10-15T00:00:00.000Z</x:v>
      </x:c>
      <x:c r="I498" s="37" t="d">
        <x:v>2026-09-15T03:38:50.000Z</x:v>
      </x:c>
      <x:c r="J498" s="1" t="n">
        <x:f>IF(ISNUMBER(F498),E498,0)</x:f>
        <x:v>3</x:v>
      </x:c>
      <x:c r="K498" s="1"/>
      <x:c r="L498" s="1" t="str">
        <x:v>https://blog.skyairline.com/practicando-tubing/</x:v>
      </x:c>
      <x:c r="M498" s="1" t="n">
        <x:v>3</x:v>
      </x:c>
    </x:row>
    <x:row r="499" ht="18.75" customHeight="1">
      <x:c r="A499" s="1" t="str">
        <x:v>https://blog.skyairline.com/cambiar-vuelo-sky/</x:v>
      </x:c>
      <x:c r="B499" s="1" t="str">
        <x:v>sky airlines cambiar fecha de vuelo</x:v>
      </x:c>
      <x:c r="C499" s="1" t="str">
        <x:v>per</x:v>
      </x:c>
      <x:c r="D499" s="1" t="str">
        <x:v>Marca</x:v>
      </x:c>
      <x:c r="E499" s="35" t="n">
        <x:v>3</x:v>
      </x:c>
      <x:c r="F499" s="36"/>
      <x:c r="G499" s="36" t="str">
        <x:f>IF(ISNUMBER(F499),E499*F499,"")</x:f>
      </x:c>
      <x:c r="H499" s="37"/>
      <x:c r="I499" s="37"/>
      <x:c r="J499" s="1" t="n">
        <x:f>IF(ISNUMBER(F499),E499,0)</x:f>
        <x:v>0</x:v>
      </x:c>
      <x:c r="K499" s="1"/>
      <x:c r="L499" s="1" t="str">
        <x:v>https://blog.skyairline.com/preguntas-para-conocer-a-alguien/</x:v>
      </x:c>
      <x:c r="M499" s="1" t="n">
        <x:v>3</x:v>
      </x:c>
    </x:row>
    <x:row r="500" ht="18.75" customHeight="1">
      <x:c r="A500" s="1" t="str">
        <x:v>https://blog.skyairline.com/cambiar-vuelo-sky/</x:v>
      </x:c>
      <x:c r="B500" s="1" t="str">
        <x:v>sky cambio de fecha de vuelo</x:v>
      </x:c>
      <x:c r="C500" s="1" t="str">
        <x:v>chl</x:v>
      </x:c>
      <x:c r="D500" s="1" t="str">
        <x:v>Marca</x:v>
      </x:c>
      <x:c r="E500" s="35" t="n">
        <x:v>3</x:v>
      </x:c>
      <x:c r="F500" s="36"/>
      <x:c r="G500" s="36" t="str">
        <x:f>IF(ISNUMBER(F500),E500*F500,"")</x:f>
      </x:c>
      <x:c r="H500" s="37"/>
      <x:c r="I500" s="37"/>
      <x:c r="J500" s="1" t="n">
        <x:f>IF(ISNUMBER(F500),E500,0)</x:f>
        <x:v>0</x:v>
      </x:c>
      <x:c r="K500" s="1"/>
      <x:c r="L500" s="1" t="str">
        <x:v>https://blog.skyairline.com/rio-cerca-de-santiago/</x:v>
      </x:c>
      <x:c r="M500" s="1" t="n">
        <x:v>3</x:v>
      </x:c>
    </x:row>
    <x:row r="501" ht="18.75" customHeight="1">
      <x:c r="A501" s="1" t="str">
        <x:v>https://blog.skyairline.com/cambiar-vuelo-sky/</x:v>
      </x:c>
      <x:c r="B501" s="1" t="str">
        <x:v>sky cambio de vuelo chile</x:v>
      </x:c>
      <x:c r="C501" s="1" t="str">
        <x:v>chl</x:v>
      </x:c>
      <x:c r="D501" s="1" t="str">
        <x:v>Marca</x:v>
      </x:c>
      <x:c r="E501" s="35" t="n">
        <x:v>3</x:v>
      </x:c>
      <x:c r="F501" s="36" t="n">
        <x:v>0.78</x:v>
      </x:c>
      <x:c r="G501" s="36" t="n">
        <x:f>IF(ISNUMBER(F501),E501*F501,"")</x:f>
        <x:v>2.34</x:v>
      </x:c>
      <x:c r="H501" s="37" t="d">
        <x:v>2026-10-15T00:00:00.000Z</x:v>
      </x:c>
      <x:c r="I501" s="37" t="d">
        <x:v>2026-09-16T02:38:17.000Z</x:v>
      </x:c>
      <x:c r="J501" s="1" t="n">
        <x:f>IF(ISNUMBER(F501),E501,0)</x:f>
        <x:v>3</x:v>
      </x:c>
      <x:c r="K501" s="1"/>
      <x:c r="L501" s="1" t="str">
        <x:v>https://blog.skyairline.com/roaming-internacional/</x:v>
      </x:c>
      <x:c r="M501" s="1" t="n">
        <x:v>3</x:v>
      </x:c>
    </x:row>
    <x:row r="502" ht="18.75" customHeight="1">
      <x:c r="A502" s="1" t="str">
        <x:v>https://blog.skyairline.com/cambiar-vuelo-sky/</x:v>
      </x:c>
      <x:c r="B502" s="1" t="str">
        <x:v>sky peru cambio de fecha de vuelo</x:v>
      </x:c>
      <x:c r="C502" s="1" t="str">
        <x:v>per</x:v>
      </x:c>
      <x:c r="D502" s="1" t="str">
        <x:v>Marca</x:v>
      </x:c>
      <x:c r="E502" s="35" t="n">
        <x:v>3</x:v>
      </x:c>
      <x:c r="F502" s="36"/>
      <x:c r="G502" s="36" t="str">
        <x:f>IF(ISNUMBER(F502),E502*F502,"")</x:f>
      </x:c>
      <x:c r="H502" s="37"/>
      <x:c r="I502" s="37"/>
      <x:c r="J502" s="1" t="n">
        <x:f>IF(ISNUMBER(F502),E502,0)</x:f>
        <x:v>0</x:v>
      </x:c>
      <x:c r="K502" s="1"/>
      <x:c r="L502" s="1" t="str">
        <x:v>https://blog.skyairline.com/ruinas-antiguas-en-peru/</x:v>
      </x:c>
      <x:c r="M502" s="1" t="n">
        <x:v>3</x:v>
      </x:c>
    </x:row>
    <x:row r="503" ht="18.75" customHeight="1">
      <x:c r="A503" s="1" t="str">
        <x:v>https://blog.skyairline.com/cambiar-vuelo-sky/</x:v>
      </x:c>
      <x:c r="B503" s="1" t="str">
        <x:v>sky peru cambio de vuelo</x:v>
      </x:c>
      <x:c r="C503" s="1" t="str">
        <x:v>per</x:v>
      </x:c>
      <x:c r="D503" s="1" t="str">
        <x:v>Marca</x:v>
      </x:c>
      <x:c r="E503" s="35" t="n">
        <x:v>3</x:v>
      </x:c>
      <x:c r="F503" s="36" t="n">
        <x:v>0.07</x:v>
      </x:c>
      <x:c r="G503" s="36" t="n">
        <x:f>IF(ISNUMBER(F503),E503*F503,"")</x:f>
        <x:v>0.21000000000000002</x:v>
      </x:c>
      <x:c r="H503" s="37" t="d">
        <x:v>2026-10-15T00:00:00.000Z</x:v>
      </x:c>
      <x:c r="I503" s="37" t="d">
        <x:v>2026-09-16T13:34:03.000Z</x:v>
      </x:c>
      <x:c r="J503" s="1" t="n">
        <x:f>IF(ISNUMBER(F503),E503,0)</x:f>
        <x:v>3</x:v>
      </x:c>
      <x:c r="K503" s="1"/>
      <x:c r="L503" s="1" t="str">
        <x:v>https://blog.skyairline.com/ruinas-de-huanchaca/</x:v>
      </x:c>
      <x:c r="M503" s="1" t="n">
        <x:v>3</x:v>
      </x:c>
    </x:row>
    <x:row r="504" ht="18.75" customHeight="1">
      <x:c r="A504" s="1" t="str">
        <x:v>https://blog.skyairline.com/cambiar-vuelo-sky/</x:v>
      </x:c>
      <x:c r="B504" s="1" t="str">
        <x:v>sky reprogramar vuelo</x:v>
      </x:c>
      <x:c r="C504" s="1" t="str">
        <x:v>per</x:v>
      </x:c>
      <x:c r="D504" s="1" t="str">
        <x:v>Marca</x:v>
      </x:c>
      <x:c r="E504" s="35" t="n">
        <x:v>3</x:v>
      </x:c>
      <x:c r="F504" s="36" t="n">
        <x:v>0.27</x:v>
      </x:c>
      <x:c r="G504" s="36" t="n">
        <x:f>IF(ISNUMBER(F504),E504*F504,"")</x:f>
        <x:v>0.81</x:v>
      </x:c>
      <x:c r="H504" s="37" t="d">
        <x:v>2026-10-15T00:00:00.000Z</x:v>
      </x:c>
      <x:c r="I504" s="37" t="d">
        <x:v>2026-09-14T04:13:53.000Z</x:v>
      </x:c>
      <x:c r="J504" s="1" t="n">
        <x:f>IF(ISNUMBER(F504),E504,0)</x:f>
        <x:v>3</x:v>
      </x:c>
      <x:c r="K504" s="1"/>
      <x:c r="L504" s="1" t="str">
        <x:v>https://blog.skyairline.com/sky-air-france-y-klm-firman-acuerdo-interlineal-para-conectar-pasajeros-que-viajen-desde-y-hacia-europa-con-mas-de-30-destinos-en-chile-peru-y-el-resto-de-la-region/</x:v>
      </x:c>
      <x:c r="M504" s="1" t="n">
        <x:v>3</x:v>
      </x:c>
    </x:row>
    <x:row r="505" ht="18.75" customHeight="1">
      <x:c r="A505" s="1" t="str">
        <x:v>https://blog.skyairline.com/canasvieiras/</x:v>
      </x:c>
      <x:c r="B505" s="1" t="str">
        <x:v>canasvieiras</x:v>
      </x:c>
      <x:c r="C505" s="1" t="str">
        <x:v>chl</x:v>
      </x:c>
      <x:c r="D505" s="1" t="str">
        <x:v>Sin marca</x:v>
      </x:c>
      <x:c r="E505" s="35" t="n">
        <x:v>3</x:v>
      </x:c>
      <x:c r="F505" s="36" t="n">
        <x:v>1.46</x:v>
      </x:c>
      <x:c r="G505" s="36" t="n">
        <x:f>IF(ISNUMBER(F505),E505*F505,"")</x:f>
        <x:v>4.38</x:v>
      </x:c>
      <x:c r="H505" s="37" t="d">
        <x:v>2026-10-15T00:00:00.000Z</x:v>
      </x:c>
      <x:c r="I505" s="37" t="d">
        <x:v>2026-09-15T00:23:05.000Z</x:v>
      </x:c>
      <x:c r="J505" s="1" t="n">
        <x:f>IF(ISNUMBER(F505),E505,0)</x:f>
        <x:v>3</x:v>
      </x:c>
      <x:c r="K505" s="1"/>
      <x:c r="L505" s="1" t="str">
        <x:v>https://blog.skyairline.com/sky-airline-regresa-al-mercado-uruguayo-con-el-lanzamiento-de-4-rutas-internacionales-desde-montevideo/</x:v>
      </x:c>
      <x:c r="M505" s="1" t="n">
        <x:v>3</x:v>
      </x:c>
    </x:row>
    <x:row r="506" ht="18.75" customHeight="1">
      <x:c r="A506" s="1" t="str">
        <x:v>https://blog.skyairline.com/categoria/oportunidades/</x:v>
      </x:c>
      <x:c r="B506" s="1" t="str">
        <x:v>sky airlines empleos</x:v>
      </x:c>
      <x:c r="C506" s="1" t="str">
        <x:v>chl</x:v>
      </x:c>
      <x:c r="D506" s="1" t="str">
        <x:v>Marca</x:v>
      </x:c>
      <x:c r="E506" s="35" t="n">
        <x:v>3</x:v>
      </x:c>
      <x:c r="F506" s="36" t="n">
        <x:v>0.01</x:v>
      </x:c>
      <x:c r="G506" s="36" t="n">
        <x:f>IF(ISNUMBER(F506),E506*F506,"")</x:f>
        <x:v>0.03</x:v>
      </x:c>
      <x:c r="H506" s="37" t="d">
        <x:v>2026-10-15T00:00:00.000Z</x:v>
      </x:c>
      <x:c r="I506" s="37" t="d">
        <x:v>2026-09-15T09:52:59.000Z</x:v>
      </x:c>
      <x:c r="J506" s="1" t="n">
        <x:f>IF(ISNUMBER(F506),E506,0)</x:f>
        <x:v>3</x:v>
      </x:c>
      <x:c r="K506" s="1"/>
      <x:c r="L506" s="1" t="str">
        <x:v>https://blog.skyairline.com/sky-conecta-al-peru-con-europa-a-traves-de-acuerdo-con-lufthansa-y-swiss/</x:v>
      </x:c>
      <x:c r="M506" s="1" t="n">
        <x:v>3</x:v>
      </x:c>
    </x:row>
    <x:row r="507" ht="18.75" customHeight="1">
      <x:c r="A507" s="1" t="str">
        <x:v>https://blog.skyairline.com/categoria/oportunidades/</x:v>
      </x:c>
      <x:c r="B507" s="1" t="str">
        <x:v>sky airlines trabajo tripulante de cabina</x:v>
      </x:c>
      <x:c r="C507" s="1" t="str">
        <x:v>chl</x:v>
      </x:c>
      <x:c r="D507" s="1" t="str">
        <x:v>Marca</x:v>
      </x:c>
      <x:c r="E507" s="35" t="n">
        <x:v>3</x:v>
      </x:c>
      <x:c r="F507" s="36"/>
      <x:c r="G507" s="36" t="str">
        <x:f>IF(ISNUMBER(F507),E507*F507,"")</x:f>
      </x:c>
      <x:c r="H507" s="37" t="d">
        <x:v>2026-10-15T00:00:00.000Z</x:v>
      </x:c>
      <x:c r="I507" s="37" t="d">
        <x:v>2026-09-14T06:52:07.000Z</x:v>
      </x:c>
      <x:c r="J507" s="1" t="n">
        <x:f>IF(ISNUMBER(F507),E507,0)</x:f>
        <x:v>0</x:v>
      </x:c>
      <x:c r="K507" s="1"/>
      <x:c r="L507" s="1" t="str">
        <x:v>https://blog.skyairline.com/sky-despega-con-3-rutas-para-la-temporada-de-invierno/</x:v>
      </x:c>
      <x:c r="M507" s="1" t="n">
        <x:v>3</x:v>
      </x:c>
    </x:row>
    <x:row r="508" ht="18.75" customHeight="1">
      <x:c r="A508" s="1" t="str">
        <x:v>https://blog.skyairline.com/categoria/oportunidades/</x:v>
      </x:c>
      <x:c r="B508" s="1" t="str">
        <x:v>sky empleo</x:v>
      </x:c>
      <x:c r="C508" s="1" t="str">
        <x:v>chl</x:v>
      </x:c>
      <x:c r="D508" s="1" t="str">
        <x:v>Marca</x:v>
      </x:c>
      <x:c r="E508" s="35" t="n">
        <x:v>3</x:v>
      </x:c>
      <x:c r="F508" s="36"/>
      <x:c r="G508" s="36" t="str">
        <x:f>IF(ISNUMBER(F508),E508*F508,"")</x:f>
      </x:c>
      <x:c r="H508" s="37"/>
      <x:c r="I508" s="37"/>
      <x:c r="J508" s="1" t="n">
        <x:f>IF(ISNUMBER(F508),E508,0)</x:f>
        <x:v>0</x:v>
      </x:c>
      <x:c r="K508" s="1"/>
      <x:c r="L508" s="1" t="str">
        <x:v>https://blog.skyairline.com/sky-inaugura-nueva-ruta-santiago-bariloche/</x:v>
      </x:c>
      <x:c r="M508" s="1" t="n">
        <x:v>3</x:v>
      </x:c>
    </x:row>
    <x:row r="509" ht="18.75" customHeight="1">
      <x:c r="A509" s="1" t="str">
        <x:v>https://blog.skyairline.com/categoria/oportunidades/</x:v>
      </x:c>
      <x:c r="B509" s="1" t="str">
        <x:v>sky trabajo</x:v>
      </x:c>
      <x:c r="C509" s="1" t="str">
        <x:v>per</x:v>
      </x:c>
      <x:c r="D509" s="1" t="str">
        <x:v>Marca</x:v>
      </x:c>
      <x:c r="E509" s="35" t="n">
        <x:v>3</x:v>
      </x:c>
      <x:c r="F509" s="36" t="n">
        <x:v>0.15</x:v>
      </x:c>
      <x:c r="G509" s="36" t="n">
        <x:f>IF(ISNUMBER(F509),E509*F509,"")</x:f>
        <x:v>0.44999999999999996</x:v>
      </x:c>
      <x:c r="H509" s="37" t="d">
        <x:v>2026-10-15T00:00:00.000Z</x:v>
      </x:c>
      <x:c r="I509" s="37" t="d">
        <x:v>2026-09-17T03:52:29.000Z</x:v>
      </x:c>
      <x:c r="J509" s="1" t="n">
        <x:f>IF(ISNUMBER(F509),E509,0)</x:f>
        <x:v>3</x:v>
      </x:c>
      <x:c r="K509" s="1"/>
      <x:c r="L509" s="1" t="str">
        <x:v>https://blog.skyairline.com/sky-inicio-vuelos-directos-entre-arequipa-y-cusco/</x:v>
      </x:c>
      <x:c r="M509" s="1" t="n">
        <x:v>3</x:v>
      </x:c>
    </x:row>
    <x:row r="510" ht="18.75" customHeight="1">
      <x:c r="A510" s="1" t="str">
        <x:v>https://blog.skyairline.com/categoria/oportunidades/</x:v>
      </x:c>
      <x:c r="B510" s="1" t="str">
        <x:v>sky trabajos</x:v>
      </x:c>
      <x:c r="C510" s="1" t="str">
        <x:v>chl</x:v>
      </x:c>
      <x:c r="D510" s="1" t="str">
        <x:v>Marca</x:v>
      </x:c>
      <x:c r="E510" s="35" t="n">
        <x:v>3</x:v>
      </x:c>
      <x:c r="F510" s="36" t="n">
        <x:v>0.16</x:v>
      </x:c>
      <x:c r="G510" s="36" t="n">
        <x:f>IF(ISNUMBER(F510),E510*F510,"")</x:f>
        <x:v>0.48</x:v>
      </x:c>
      <x:c r="H510" s="37" t="d">
        <x:v>2026-10-15T00:00:00.000Z</x:v>
      </x:c>
      <x:c r="I510" s="37" t="d">
        <x:v>2026-09-12T17:26:07.000Z</x:v>
      </x:c>
      <x:c r="J510" s="1" t="n">
        <x:f>IF(ISNUMBER(F510),E510,0)</x:f>
        <x:v>3</x:v>
      </x:c>
      <x:c r="K510" s="1"/>
      <x:c r="L510" s="1" t="str">
        <x:v>https://blog.skyairline.com/sky-peru/</x:v>
      </x:c>
      <x:c r="M510" s="1" t="n">
        <x:v>3</x:v>
      </x:c>
    </x:row>
    <x:row r="511" ht="18.75" customHeight="1">
      <x:c r="A511" s="1" t="str">
        <x:v>https://blog.skyairline.com/categoria/oportunidades/</x:v>
      </x:c>
      <x:c r="B511" s="1" t="str">
        <x:v>trabajo en sky</x:v>
      </x:c>
      <x:c r="C511" s="1" t="str">
        <x:v>chl</x:v>
      </x:c>
      <x:c r="D511" s="1" t="str">
        <x:v>Marca</x:v>
      </x:c>
      <x:c r="E511" s="35" t="n">
        <x:v>3</x:v>
      </x:c>
      <x:c r="F511" s="36"/>
      <x:c r="G511" s="36" t="str">
        <x:f>IF(ISNUMBER(F511),E511*F511,"")</x:f>
      </x:c>
      <x:c r="H511" s="37"/>
      <x:c r="I511" s="37"/>
      <x:c r="J511" s="1" t="n">
        <x:f>IF(ISNUMBER(F511),E511,0)</x:f>
        <x:v>0</x:v>
      </x:c>
      <x:c r="K511" s="1"/>
      <x:c r="L511" s="1" t="str">
        <x:v>https://blog.skyairline.com/sky-plus-cierra-el-ano-2025-con-mas-de-15-millones-de-suscriptores/</x:v>
      </x:c>
      <x:c r="M511" s="1" t="n">
        <x:v>3</x:v>
      </x:c>
    </x:row>
    <x:row r="512" ht="18.75" customHeight="1">
      <x:c r="A512" s="1" t="str">
        <x:v>https://blog.skyairline.com/categoria/oportunidades/</x:v>
      </x:c>
      <x:c r="B512" s="1" t="str">
        <x:v>trabajo en sky airlines chile</x:v>
      </x:c>
      <x:c r="C512" s="1" t="str">
        <x:v>chl</x:v>
      </x:c>
      <x:c r="D512" s="1" t="str">
        <x:v>Marca</x:v>
      </x:c>
      <x:c r="E512" s="35" t="n">
        <x:v>3</x:v>
      </x:c>
      <x:c r="F512" s="36" t="n">
        <x:v>0.01</x:v>
      </x:c>
      <x:c r="G512" s="36" t="n">
        <x:f>IF(ISNUMBER(F512),E512*F512,"")</x:f>
        <x:v>0.03</x:v>
      </x:c>
      <x:c r="H512" s="37" t="d">
        <x:v>2026-10-15T00:00:00.000Z</x:v>
      </x:c>
      <x:c r="I512" s="37" t="d">
        <x:v>2026-10-15T08:21:22.000Z</x:v>
      </x:c>
      <x:c r="J512" s="1" t="n">
        <x:f>IF(ISNUMBER(F512),E512,0)</x:f>
        <x:v>3</x:v>
      </x:c>
      <x:c r="K512" s="1"/>
      <x:c r="L512" s="1" t="str">
        <x:v>https://blog.skyairline.com/sky-revela-el-lado-menos-visible-de-sus-tripulantes-de-cabina/</x:v>
      </x:c>
      <x:c r="M512" s="1" t="n">
        <x:v>3</x:v>
      </x:c>
    </x:row>
    <x:row r="513" ht="18.75" customHeight="1">
      <x:c r="A513" s="1" t="str">
        <x:v>https://blog.skyairline.com/categoria/oportunidades/</x:v>
      </x:c>
      <x:c r="B513" s="1" t="str">
        <x:v>tripulante de cabina sky trabajo</x:v>
      </x:c>
      <x:c r="C513" s="1" t="str">
        <x:v>chl</x:v>
      </x:c>
      <x:c r="D513" s="1" t="str">
        <x:v>Marca</x:v>
      </x:c>
      <x:c r="E513" s="35" t="n">
        <x:v>3</x:v>
      </x:c>
      <x:c r="F513" s="36"/>
      <x:c r="G513" s="36" t="str">
        <x:f>IF(ISNUMBER(F513),E513*F513,"")</x:f>
      </x:c>
      <x:c r="H513" s="37" t="d">
        <x:v>2026-10-15T00:00:00.000Z</x:v>
      </x:c>
      <x:c r="I513" s="37" t="d">
        <x:v>2026-09-17T20:57:49.000Z</x:v>
      </x:c>
      <x:c r="J513" s="1" t="n">
        <x:f>IF(ISNUMBER(F513),E513,0)</x:f>
        <x:v>0</x:v>
      </x:c>
      <x:c r="K513" s="1"/>
      <x:c r="L513" s="1" t="str">
        <x:v>https://blog.skyairline.com/temporada-baja-para-viajar/</x:v>
      </x:c>
      <x:c r="M513" s="1" t="n">
        <x:v>3</x:v>
      </x:c>
    </x:row>
    <x:row r="514" ht="18.75" customHeight="1">
      <x:c r="A514" s="1" t="str">
        <x:v>https://blog.skyairline.com/check-in-automatico/</x:v>
      </x:c>
      <x:c r="B514" s="1" t="str">
        <x:v>check-in sky chile</x:v>
      </x:c>
      <x:c r="C514" s="1" t="str">
        <x:v>chl</x:v>
      </x:c>
      <x:c r="D514" s="1" t="str">
        <x:v>Marca</x:v>
      </x:c>
      <x:c r="E514" s="35" t="n">
        <x:v>3</x:v>
      </x:c>
      <x:c r="F514" s="36" t="n">
        <x:v>0.07</x:v>
      </x:c>
      <x:c r="G514" s="36" t="n">
        <x:f>IF(ISNUMBER(F514),E514*F514,"")</x:f>
        <x:v>0.21000000000000002</x:v>
      </x:c>
      <x:c r="H514" s="37" t="d">
        <x:v>2026-10-15T00:00:00.000Z</x:v>
      </x:c>
      <x:c r="I514" s="37" t="d">
        <x:v>2026-10-15T12:59:28.000Z</x:v>
      </x:c>
      <x:c r="J514" s="1" t="n">
        <x:f>IF(ISNUMBER(F514),E514,0)</x:f>
        <x:v>3</x:v>
      </x:c>
      <x:c r="K514" s="1"/>
      <x:c r="L514" s="1" t="str">
        <x:v>https://blog.skyairline.com/viaja-sin-estres-con-sky-en-estas-vacaciones-claves-para-evitar-contratiempos-en-el-nuevo-jorge-chavez/</x:v>
      </x:c>
      <x:c r="M514" s="1" t="n">
        <x:v>3</x:v>
      </x:c>
    </x:row>
    <x:row r="515" ht="18.75" customHeight="1">
      <x:c r="A515" s="1" t="str">
        <x:v>https://blog.skyairline.com/check-in-automatico/</x:v>
      </x:c>
      <x:c r="B515" s="1" t="str">
        <x:v>sky check-in automático</x:v>
      </x:c>
      <x:c r="C515" s="1" t="str">
        <x:v>chl</x:v>
      </x:c>
      <x:c r="D515" s="1" t="str">
        <x:v>Marca</x:v>
      </x:c>
      <x:c r="E515" s="35" t="n">
        <x:v>3</x:v>
      </x:c>
      <x:c r="F515" s="36" t="n">
        <x:v>0.42</x:v>
      </x:c>
      <x:c r="G515" s="36" t="n">
        <x:f>IF(ISNUMBER(F515),E515*F515,"")</x:f>
        <x:v>1.26</x:v>
      </x:c>
      <x:c r="H515" s="37" t="d">
        <x:v>2026-10-15T00:00:00.000Z</x:v>
      </x:c>
      <x:c r="I515" s="37" t="d">
        <x:v>2026-09-13T23:07:46.000Z</x:v>
      </x:c>
      <x:c r="J515" s="1" t="n">
        <x:f>IF(ISNUMBER(F515),E515,0)</x:f>
        <x:v>3</x:v>
      </x:c>
      <x:c r="K515" s="1"/>
      <x:c r="L515" s="1" t="str">
        <x:v>https://blog.skyairline.com/viajar-pronto/</x:v>
      </x:c>
      <x:c r="M515" s="1" t="n">
        <x:v>3</x:v>
      </x:c>
    </x:row>
    <x:row r="516" ht="18.75" customHeight="1">
      <x:c r="A516" s="1" t="str">
        <x:v>https://blog.skyairline.com/ciudades-cercanas-rio-de-janeiro/</x:v>
      </x:c>
      <x:c r="B516" s="1" t="str">
        <x:v>ciudades cercanas a rio de janeiro</x:v>
      </x:c>
      <x:c r="C516" s="1" t="str">
        <x:v>arg</x:v>
      </x:c>
      <x:c r="D516" s="1" t="str">
        <x:v>Sin marca</x:v>
      </x:c>
      <x:c r="E516" s="35" t="n">
        <x:v>3</x:v>
      </x:c>
      <x:c r="F516" s="36"/>
      <x:c r="G516" s="36" t="str">
        <x:f>IF(ISNUMBER(F516),E516*F516,"")</x:f>
      </x:c>
      <x:c r="H516" s="37"/>
      <x:c r="I516" s="37"/>
      <x:c r="J516" s="1" t="n">
        <x:f>IF(ISNUMBER(F516),E516,0)</x:f>
        <x:v>0</x:v>
      </x:c>
      <x:c r="K516" s="1"/>
      <x:c r="L516" s="1" t="str">
        <x:v>https://blog.skyairline.com/viajeros-mas-famosos/</x:v>
      </x:c>
      <x:c r="M516" s="1" t="n">
        <x:v>3</x:v>
      </x:c>
    </x:row>
    <x:row r="517" ht="18.75" customHeight="1">
      <x:c r="A517" s="1" t="str">
        <x:v>https://blog.skyairline.com/como-llegar-a-muchu-picchu/</x:v>
      </x:c>
      <x:c r="B517" s="1" t="str">
        <x:v>como llegar a machu picchu</x:v>
      </x:c>
      <x:c r="C517" s="1" t="str">
        <x:v>chl</x:v>
      </x:c>
      <x:c r="D517" s="1" t="str">
        <x:v>Sin marca</x:v>
      </x:c>
      <x:c r="E517" s="35" t="n">
        <x:v>3</x:v>
      </x:c>
      <x:c r="F517" s="36" t="n">
        <x:v>0.96</x:v>
      </x:c>
      <x:c r="G517" s="36" t="n">
        <x:f>IF(ISNUMBER(F517),E517*F517,"")</x:f>
        <x:v>2.88</x:v>
      </x:c>
      <x:c r="H517" s="37" t="d">
        <x:v>2026-10-15T00:00:00.000Z</x:v>
      </x:c>
      <x:c r="I517" s="37" t="d">
        <x:v>2026-09-18T00:03:39.000Z</x:v>
      </x:c>
      <x:c r="J517" s="1" t="n">
        <x:f>IF(ISNUMBER(F517),E517,0)</x:f>
        <x:v>3</x:v>
      </x:c>
      <x:c r="K517" s="1"/>
      <x:c r="L517" s="1" t="str">
        <x:v>https://blog.skyairline.com/villa-maria-del-triunfo/</x:v>
      </x:c>
      <x:c r="M517" s="1" t="n">
        <x:v>3</x:v>
      </x:c>
    </x:row>
    <x:row r="518" ht="18.75" customHeight="1">
      <x:c r="A518" s="1" t="str">
        <x:v>https://blog.skyairline.com/comprar-pasajes-baratos/</x:v>
      </x:c>
      <x:c r="B518" s="1" t="str">
        <x:v>cuando bajan los pasajes de avion</x:v>
      </x:c>
      <x:c r="C518" s="1" t="str">
        <x:v>chl</x:v>
      </x:c>
      <x:c r="D518" s="1" t="str">
        <x:v>Sin marca</x:v>
      </x:c>
      <x:c r="E518" s="35" t="n">
        <x:v>3</x:v>
      </x:c>
      <x:c r="F518" s="36" t="n">
        <x:v>1.15</x:v>
      </x:c>
      <x:c r="G518" s="36" t="n">
        <x:f>IF(ISNUMBER(F518),E518*F518,"")</x:f>
        <x:v>3.4499999999999997</x:v>
      </x:c>
      <x:c r="H518" s="37" t="d">
        <x:v>2026-10-15T00:00:00.000Z</x:v>
      </x:c>
      <x:c r="I518" s="37" t="d">
        <x:v>2026-09-17T18:43:03.000Z</x:v>
      </x:c>
      <x:c r="J518" s="1" t="n">
        <x:f>IF(ISNUMBER(F518),E518,0)</x:f>
        <x:v>3</x:v>
      </x:c>
      <x:c r="K518" s="1"/>
      <x:c r="L518" s="1" t="str">
        <x:v>https://blog.skyairline.com/vinedos-en-chile/</x:v>
      </x:c>
      <x:c r="M518" s="1" t="n">
        <x:v>3</x:v>
      </x:c>
    </x:row>
    <x:row r="519" ht="18.75" customHeight="1">
      <x:c r="A519" s="1" t="str">
        <x:v>https://blog.skyairline.com/cultura-chavin/</x:v>
      </x:c>
      <x:c r="B519" s="1" t="str">
        <x:v>cuál es la importancia del templo chavín de huántar</x:v>
      </x:c>
      <x:c r="C519" s="1" t="str">
        <x:v>per</x:v>
      </x:c>
      <x:c r="D519" s="1" t="str">
        <x:v>Sin marca</x:v>
      </x:c>
      <x:c r="E519" s="35" t="n">
        <x:v>3</x:v>
      </x:c>
      <x:c r="F519" s="36"/>
      <x:c r="G519" s="36" t="str">
        <x:f>IF(ISNUMBER(F519),E519*F519,"")</x:f>
      </x:c>
      <x:c r="H519" s="37" t="d">
        <x:v>2026-10-15T00:00:00.000Z</x:v>
      </x:c>
      <x:c r="I519" s="37" t="d">
        <x:v>2026-09-14T01:24:25.000Z</x:v>
      </x:c>
      <x:c r="J519" s="1" t="n">
        <x:f>IF(ISNUMBER(F519),E519,0)</x:f>
        <x:v>0</x:v>
      </x:c>
      <x:c r="K519" s="1"/>
      <x:c r="L519" s="1" t="str">
        <x:v>https://blog.skyairline.com/volcanes-chile/</x:v>
      </x:c>
      <x:c r="M519" s="1" t="n">
        <x:v>3</x:v>
      </x:c>
    </x:row>
    <x:row r="520" ht="18.75" customHeight="1">
      <x:c r="A520" s="1" t="str">
        <x:v>https://blog.skyairline.com/curso-tripulante-cabina/</x:v>
      </x:c>
      <x:c r="B520" s="1" t="str">
        <x:v>azafata sky</x:v>
      </x:c>
      <x:c r="C520" s="1" t="str">
        <x:v>chl</x:v>
      </x:c>
      <x:c r="D520" s="1" t="str">
        <x:v>Marca</x:v>
      </x:c>
      <x:c r="E520" s="35" t="n">
        <x:v>3</x:v>
      </x:c>
      <x:c r="F520" s="36"/>
      <x:c r="G520" s="36" t="str">
        <x:f>IF(ISNUMBER(F520),E520*F520,"")</x:f>
      </x:c>
      <x:c r="H520" s="37" t="d">
        <x:v>2026-10-15T00:00:00.000Z</x:v>
      </x:c>
      <x:c r="I520" s="37" t="d">
        <x:v>2026-09-16T05:44:34.000Z</x:v>
      </x:c>
      <x:c r="J520" s="1" t="n">
        <x:f>IF(ISNUMBER(F520),E520,0)</x:f>
        <x:v>0</x:v>
      </x:c>
      <x:c r="K520" s="1"/>
      <x:c r="L520" s="1" t="str">
        <x:v>https://blog.skyairline.com/vuelos-a-valdivia/</x:v>
      </x:c>
      <x:c r="M520" s="1" t="n">
        <x:v>3</x:v>
      </x:c>
    </x:row>
    <x:row r="521" ht="18.75" customHeight="1">
      <x:c r="A521" s="1" t="str">
        <x:v>https://blog.skyairline.com/curso-tripulante-cabina/</x:v>
      </x:c>
      <x:c r="B521" s="1" t="str">
        <x:v>como ser tripulante de cabina en chile</x:v>
      </x:c>
      <x:c r="C521" s="1" t="str">
        <x:v>chl</x:v>
      </x:c>
      <x:c r="D521" s="1" t="str">
        <x:v>Sin marca</x:v>
      </x:c>
      <x:c r="E521" s="35" t="n">
        <x:v>3</x:v>
      </x:c>
      <x:c r="F521" s="36" t="n">
        <x:v>0.44</x:v>
      </x:c>
      <x:c r="G521" s="36" t="n">
        <x:f>IF(ISNUMBER(F521),E521*F521,"")</x:f>
        <x:v>1.32</x:v>
      </x:c>
      <x:c r="H521" s="37" t="d">
        <x:v>2026-10-15T00:00:00.000Z</x:v>
      </x:c>
      <x:c r="I521" s="37" t="d">
        <x:v>2026-09-15T12:58:42.000Z</x:v>
      </x:c>
      <x:c r="J521" s="1" t="n">
        <x:f>IF(ISNUMBER(F521),E521,0)</x:f>
        <x:v>3</x:v>
      </x:c>
      <x:c r="K521" s="1"/>
      <x:c r="L521" s="1" t="str">
        <x:v>https://blog.skyairline.com/aerolinea-sky-inicia-vuelos-a-chiclayo-y-cajamarca/</x:v>
      </x:c>
      <x:c r="M521" s="1" t="n">
        <x:v>2</x:v>
      </x:c>
    </x:row>
    <x:row r="522" ht="18.75" customHeight="1">
      <x:c r="A522" s="1" t="str">
        <x:v>https://blog.skyairline.com/curso-tripulante-cabina/</x:v>
      </x:c>
      <x:c r="B522" s="1" t="str">
        <x:v>curso de azafata chile</x:v>
      </x:c>
      <x:c r="C522" s="1" t="str">
        <x:v>chl</x:v>
      </x:c>
      <x:c r="D522" s="1" t="str">
        <x:v>Sin marca</x:v>
      </x:c>
      <x:c r="E522" s="35" t="n">
        <x:v>3</x:v>
      </x:c>
      <x:c r="F522" s="36" t="n">
        <x:v>0.24</x:v>
      </x:c>
      <x:c r="G522" s="36" t="n">
        <x:f>IF(ISNUMBER(F522),E522*F522,"")</x:f>
        <x:v>0.72</x:v>
      </x:c>
      <x:c r="H522" s="37" t="d">
        <x:v>2026-10-15T00:00:00.000Z</x:v>
      </x:c>
      <x:c r="I522" s="37" t="d">
        <x:v>2026-09-13T14:35:59.999Z</x:v>
      </x:c>
      <x:c r="J522" s="1" t="n">
        <x:f>IF(ISNUMBER(F522),E522,0)</x:f>
        <x:v>3</x:v>
      </x:c>
      <x:c r="K522" s="1"/>
      <x:c r="L522" s="1" t="str">
        <x:v>https://blog.skyairline.com/aerolineas-baratas-en-chile-y-latinoamerica/</x:v>
      </x:c>
      <x:c r="M522" s="1" t="n">
        <x:v>2</x:v>
      </x:c>
    </x:row>
    <x:row r="523" ht="18.75" customHeight="1">
      <x:c r="A523" s="1" t="str">
        <x:v>https://blog.skyairline.com/curso-tripulante-cabina/</x:v>
      </x:c>
      <x:c r="B523" s="1" t="str">
        <x:v>curso tripulante de cabina sky 2026</x:v>
      </x:c>
      <x:c r="C523" s="1" t="str">
        <x:v>chl</x:v>
      </x:c>
      <x:c r="D523" s="1" t="str">
        <x:v>Marca</x:v>
      </x:c>
      <x:c r="E523" s="35" t="n">
        <x:v>3</x:v>
      </x:c>
      <x:c r="F523" s="36" t="n">
        <x:v>0.41</x:v>
      </x:c>
      <x:c r="G523" s="36" t="n">
        <x:f>IF(ISNUMBER(F523),E523*F523,"")</x:f>
        <x:v>1.23</x:v>
      </x:c>
      <x:c r="H523" s="37" t="d">
        <x:v>2026-10-15T00:00:00.000Z</x:v>
      </x:c>
      <x:c r="I523" s="37" t="d">
        <x:v>2026-09-13T20:33:02.000Z</x:v>
      </x:c>
      <x:c r="J523" s="1" t="n">
        <x:f>IF(ISNUMBER(F523),E523,0)</x:f>
        <x:v>3</x:v>
      </x:c>
      <x:c r="K523" s="1"/>
      <x:c r="L523" s="1" t="str">
        <x:v>https://blog.skyairline.com/ahorrar-en-arriendo-de-auto/</x:v>
      </x:c>
      <x:c r="M523" s="1" t="n">
        <x:v>2</x:v>
      </x:c>
    </x:row>
    <x:row r="524" ht="18.75" customHeight="1">
      <x:c r="A524" s="1" t="str">
        <x:v>https://blog.skyairline.com/curso-tripulante-cabina/</x:v>
      </x:c>
      <x:c r="B524" s="1" t="str">
        <x:v>postulacion tripulante de cabina</x:v>
      </x:c>
      <x:c r="C524" s="1" t="str">
        <x:v>chl</x:v>
      </x:c>
      <x:c r="D524" s="1" t="str">
        <x:v>Sin marca</x:v>
      </x:c>
      <x:c r="E524" s="35" t="n">
        <x:v>3</x:v>
      </x:c>
      <x:c r="F524" s="36" t="n">
        <x:v>0.42</x:v>
      </x:c>
      <x:c r="G524" s="36" t="n">
        <x:f>IF(ISNUMBER(F524),E524*F524,"")</x:f>
        <x:v>1.26</x:v>
      </x:c>
      <x:c r="H524" s="37" t="d">
        <x:v>2026-10-15T00:00:00.000Z</x:v>
      </x:c>
      <x:c r="I524" s="37" t="d">
        <x:v>2026-09-17T06:01:27.000Z</x:v>
      </x:c>
      <x:c r="J524" s="1" t="n">
        <x:f>IF(ISNUMBER(F524),E524,0)</x:f>
        <x:v>3</x:v>
      </x:c>
      <x:c r="K524" s="1"/>
      <x:c r="L524" s="1" t="str">
        <x:v>https://blog.skyairline.com/alpamayo/</x:v>
      </x:c>
      <x:c r="M524" s="1" t="n">
        <x:v>2</x:v>
      </x:c>
    </x:row>
    <x:row r="525" ht="18.75" customHeight="1">
      <x:c r="A525" s="1" t="str">
        <x:v>https://blog.skyairline.com/curso-tripulante-cabina/</x:v>
      </x:c>
      <x:c r="B525" s="1" t="str">
        <x:v>postulaciones tripulante de cabina</x:v>
      </x:c>
      <x:c r="C525" s="1" t="str">
        <x:v>chl</x:v>
      </x:c>
      <x:c r="D525" s="1" t="str">
        <x:v>Sin marca</x:v>
      </x:c>
      <x:c r="E525" s="35" t="n">
        <x:v>3</x:v>
      </x:c>
      <x:c r="F525" s="36" t="n">
        <x:v>0.28</x:v>
      </x:c>
      <x:c r="G525" s="36" t="n">
        <x:f>IF(ISNUMBER(F525),E525*F525,"")</x:f>
        <x:v>0.8400000000000001</x:v>
      </x:c>
      <x:c r="H525" s="37" t="d">
        <x:v>2026-10-15T00:00:00.000Z</x:v>
      </x:c>
      <x:c r="I525" s="37" t="d">
        <x:v>2026-10-15T10:52:28.000Z</x:v>
      </x:c>
      <x:c r="J525" s="1" t="n">
        <x:f>IF(ISNUMBER(F525),E525,0)</x:f>
        <x:v>3</x:v>
      </x:c>
      <x:c r="K525" s="1"/>
      <x:c r="L525" s="1" t="str">
        <x:v>https://blog.skyairline.com/aquario-rio-de-janeiro/</x:v>
      </x:c>
      <x:c r="M525" s="1" t="n">
        <x:v>2</x:v>
      </x:c>
    </x:row>
    <x:row r="526" ht="18.75" customHeight="1">
      <x:c r="A526" s="1" t="str">
        <x:v>https://blog.skyairline.com/curso-tripulante-cabina/</x:v>
      </x:c>
      <x:c r="B526" s="1" t="str">
        <x:v>que requisitos piden para ser azafata</x:v>
      </x:c>
      <x:c r="C526" s="1" t="str">
        <x:v>chl</x:v>
      </x:c>
      <x:c r="D526" s="1" t="str">
        <x:v>Sin marca</x:v>
      </x:c>
      <x:c r="E526" s="35" t="n">
        <x:v>3</x:v>
      </x:c>
      <x:c r="F526" s="36"/>
      <x:c r="G526" s="36" t="str">
        <x:f>IF(ISNUMBER(F526),E526*F526,"")</x:f>
      </x:c>
      <x:c r="H526" s="37"/>
      <x:c r="I526" s="37"/>
      <x:c r="J526" s="1" t="n">
        <x:f>IF(ISNUMBER(F526),E526,0)</x:f>
        <x:v>0</x:v>
      </x:c>
      <x:c r="K526" s="1"/>
      <x:c r="L526" s="1" t="str">
        <x:v>https://blog.skyairline.com/argentina-y-uruguay/</x:v>
      </x:c>
      <x:c r="M526" s="1" t="n">
        <x:v>2</x:v>
      </x:c>
    </x:row>
    <x:row r="527" ht="18.75" customHeight="1">
      <x:c r="A527" s="1" t="str">
        <x:v>https://blog.skyairline.com/curso-tripulante-cabina/</x:v>
      </x:c>
      <x:c r="B527" s="1" t="str">
        <x:v>requisitos para ser azafata</x:v>
      </x:c>
      <x:c r="C527" s="1" t="str">
        <x:v>chl</x:v>
      </x:c>
      <x:c r="D527" s="1" t="str">
        <x:v>Sin marca</x:v>
      </x:c>
      <x:c r="E527" s="35" t="n">
        <x:v>3</x:v>
      </x:c>
      <x:c r="F527" s="36" t="n">
        <x:v>0.46</x:v>
      </x:c>
      <x:c r="G527" s="36" t="n">
        <x:f>IF(ISNUMBER(F527),E527*F527,"")</x:f>
        <x:v>1.3800000000000001</x:v>
      </x:c>
      <x:c r="H527" s="37" t="d">
        <x:v>2026-10-15T00:00:00.000Z</x:v>
      </x:c>
      <x:c r="I527" s="37" t="d">
        <x:v>2026-09-17T13:01:24.000Z</x:v>
      </x:c>
      <x:c r="J527" s="1" t="n">
        <x:f>IF(ISNUMBER(F527),E527,0)</x:f>
        <x:v>3</x:v>
      </x:c>
      <x:c r="K527" s="1"/>
      <x:c r="L527" s="1" t="str">
        <x:v>https://blog.skyairline.com/arica-y-parinacota-cuales-destinos-no-te-puedes-perder-en-esta-region/</x:v>
      </x:c>
      <x:c r="M527" s="1" t="n">
        <x:v>2</x:v>
      </x:c>
    </x:row>
    <x:row r="528" ht="18.75" customHeight="1">
      <x:c r="A528" s="1" t="str">
        <x:v>https://blog.skyairline.com/curso-tripulante-cabina/</x:v>
      </x:c>
      <x:c r="B528" s="1" t="str">
        <x:v>requisitos para ser azafata en chile</x:v>
      </x:c>
      <x:c r="C528" s="1" t="str">
        <x:v>chl</x:v>
      </x:c>
      <x:c r="D528" s="1" t="str">
        <x:v>Sin marca</x:v>
      </x:c>
      <x:c r="E528" s="35" t="n">
        <x:v>3</x:v>
      </x:c>
      <x:c r="F528" s="36" t="n">
        <x:v>0.21</x:v>
      </x:c>
      <x:c r="G528" s="36" t="n">
        <x:f>IF(ISNUMBER(F528),E528*F528,"")</x:f>
        <x:v>0.63</x:v>
      </x:c>
      <x:c r="H528" s="37" t="d">
        <x:v>2026-10-15T00:00:00.000Z</x:v>
      </x:c>
      <x:c r="I528" s="37" t="d">
        <x:v>2026-09-15T03:34:34.000Z</x:v>
      </x:c>
      <x:c r="J528" s="1" t="n">
        <x:f>IF(ISNUMBER(F528),E528,0)</x:f>
        <x:v>3</x:v>
      </x:c>
      <x:c r="K528" s="1"/>
      <x:c r="L528" s="1" t="str">
        <x:v>https://blog.skyairline.com/aterrizaje-de-emergencia/</x:v>
      </x:c>
      <x:c r="M528" s="1" t="n">
        <x:v>2</x:v>
      </x:c>
    </x:row>
    <x:row r="529" ht="18.75" customHeight="1">
      <x:c r="A529" s="1" t="str">
        <x:v>https://blog.skyairline.com/curso-tripulante-cabina/</x:v>
      </x:c>
      <x:c r="B529" s="1" t="str">
        <x:v>tripulante de cabina carrera</x:v>
      </x:c>
      <x:c r="C529" s="1" t="str">
        <x:v>chl</x:v>
      </x:c>
      <x:c r="D529" s="1" t="str">
        <x:v>Sin marca</x:v>
      </x:c>
      <x:c r="E529" s="35" t="n">
        <x:v>3</x:v>
      </x:c>
      <x:c r="F529" s="36" t="n">
        <x:v>0.31</x:v>
      </x:c>
      <x:c r="G529" s="36" t="n">
        <x:f>IF(ISNUMBER(F529),E529*F529,"")</x:f>
        <x:v>0.9299999999999999</x:v>
      </x:c>
      <x:c r="H529" s="37" t="d">
        <x:v>2026-10-15T00:00:00.000Z</x:v>
      </x:c>
      <x:c r="I529" s="37" t="d">
        <x:v>2026-09-14T18:09:49.000Z</x:v>
      </x:c>
      <x:c r="J529" s="1" t="n">
        <x:f>IF(ISNUMBER(F529),E529,0)</x:f>
        <x:v>3</x:v>
      </x:c>
      <x:c r="K529" s="1"/>
      <x:c r="L529" s="1" t="str">
        <x:v>https://blog.skyairline.com/bahiua-del-corral/</x:v>
      </x:c>
      <x:c r="M529" s="1" t="n">
        <x:v>2</x:v>
      </x:c>
    </x:row>
    <x:row r="530" ht="18.75" customHeight="1">
      <x:c r="A530" s="1" t="str">
        <x:v>https://blog.skyairline.com/descubre-economy-premier-la-nueva-experiencia-para-viajar-mas-comodo/</x:v>
      </x:c>
      <x:c r="B530" s="1" t="str">
        <x:v>sky premier</x:v>
      </x:c>
      <x:c r="C530" s="1" t="str">
        <x:v>chl</x:v>
      </x:c>
      <x:c r="D530" s="1" t="str">
        <x:v>Marca</x:v>
      </x:c>
      <x:c r="E530" s="35" t="n">
        <x:v>3</x:v>
      </x:c>
      <x:c r="F530" s="36"/>
      <x:c r="G530" s="36" t="str">
        <x:f>IF(ISNUMBER(F530),E530*F530,"")</x:f>
      </x:c>
      <x:c r="H530" s="37"/>
      <x:c r="I530" s="37"/>
      <x:c r="J530" s="1" t="n">
        <x:f>IF(ISNUMBER(F530),E530,0)</x:f>
        <x:v>0</x:v>
      </x:c>
      <x:c r="K530" s="1"/>
      <x:c r="L530" s="1" t="str">
        <x:v>https://blog.skyairline.com/bailes-tipicos-chile</x:v>
      </x:c>
      <x:c r="M530" s="1" t="n">
        <x:v>2</x:v>
      </x:c>
    </x:row>
    <x:row r="531" ht="18.75" customHeight="1">
      <x:c r="A531" s="1" t="str">
        <x:v>https://blog.skyairline.com/documentos-que-necesitas-para-viajar-a-argentina-desde-chile/</x:v>
      </x:c>
      <x:c r="B531" s="1" t="str">
        <x:v>requisitos para entrar a argentina desde chile</x:v>
      </x:c>
      <x:c r="C531" s="1" t="str">
        <x:v>chl</x:v>
      </x:c>
      <x:c r="D531" s="1" t="str">
        <x:v>Sin marca</x:v>
      </x:c>
      <x:c r="E531" s="35" t="n">
        <x:v>3</x:v>
      </x:c>
      <x:c r="F531" s="36" t="n">
        <x:v>0.44</x:v>
      </x:c>
      <x:c r="G531" s="36" t="n">
        <x:f>IF(ISNUMBER(F531),E531*F531,"")</x:f>
        <x:v>1.32</x:v>
      </x:c>
      <x:c r="H531" s="37" t="d">
        <x:v>2026-10-15T00:00:00.000Z</x:v>
      </x:c>
      <x:c r="I531" s="37" t="d">
        <x:v>2026-09-14T22:46:46.000Z</x:v>
      </x:c>
      <x:c r="J531" s="1" t="n">
        <x:f>IF(ISNUMBER(F531),E531,0)</x:f>
        <x:v>3</x:v>
      </x:c>
      <x:c r="K531" s="1"/>
      <x:c r="L531" s="1" t="str">
        <x:v>https://blog.skyairline.com/baquedano/</x:v>
      </x:c>
      <x:c r="M531" s="1" t="n">
        <x:v>2</x:v>
      </x:c>
    </x:row>
    <x:row r="532" ht="18.75" customHeight="1">
      <x:c r="A532" s="1" t="str">
        <x:v>https://blog.skyairline.com/donde-queda-punta-cana/</x:v>
      </x:c>
      <x:c r="B532" s="1" t="str">
        <x:v>donde queda punta cana en que pais</x:v>
      </x:c>
      <x:c r="C532" s="1" t="str">
        <x:v>chl</x:v>
      </x:c>
      <x:c r="D532" s="1" t="str">
        <x:v>Sin marca</x:v>
      </x:c>
      <x:c r="E532" s="35" t="n">
        <x:v>3</x:v>
      </x:c>
      <x:c r="F532" s="36" t="n">
        <x:v>1.26</x:v>
      </x:c>
      <x:c r="G532" s="36" t="n">
        <x:f>IF(ISNUMBER(F532),E532*F532,"")</x:f>
        <x:v>3.7800000000000002</x:v>
      </x:c>
      <x:c r="H532" s="37" t="d">
        <x:v>2026-10-15T00:00:00.000Z</x:v>
      </x:c>
      <x:c r="I532" s="37" t="d">
        <x:v>2026-09-14T06:43:42.000Z</x:v>
      </x:c>
      <x:c r="J532" s="1" t="n">
        <x:f>IF(ISNUMBER(F532),E532,0)</x:f>
        <x:v>3</x:v>
      </x:c>
      <x:c r="K532" s="1"/>
      <x:c r="L532" s="1" t="str">
        <x:v>https://blog.skyairline.com/bodegas-en-mendoza/</x:v>
      </x:c>
      <x:c r="M532" s="1" t="n">
        <x:v>2</x:v>
      </x:c>
    </x:row>
    <x:row r="533" ht="18.75" customHeight="1">
      <x:c r="A533" s="1" t="str">
        <x:v>https://blog.skyairline.com/donde-viajar-con-ninos/</x:v>
      </x:c>
      <x:c r="B533" s="1" t="str">
        <x:v>lugares para viajar con niños</x:v>
      </x:c>
      <x:c r="C533" s="1" t="str">
        <x:v>chl</x:v>
      </x:c>
      <x:c r="D533" s="1" t="str">
        <x:v>Sin marca</x:v>
      </x:c>
      <x:c r="E533" s="35" t="n">
        <x:v>3</x:v>
      </x:c>
      <x:c r="F533" s="36"/>
      <x:c r="G533" s="36" t="str">
        <x:f>IF(ISNUMBER(F533),E533*F533,"")</x:f>
      </x:c>
      <x:c r="H533" s="37" t="d">
        <x:v>2026-10-15T00:00:00.000Z</x:v>
      </x:c>
      <x:c r="I533" s="37" t="d">
        <x:v>2026-06-18T19:03:53.000Z</x:v>
      </x:c>
      <x:c r="J533" s="1" t="n">
        <x:f>IF(ISNUMBER(F533),E533,0)</x:f>
        <x:v>0</x:v>
      </x:c>
      <x:c r="K533" s="1"/>
      <x:c r="L533" s="1" t="str">
        <x:v>https://blog.skyairline.com/bosque-encantado-pucon-que-hacer-y-como-llegar/</x:v>
      </x:c>
      <x:c r="M533" s="1" t="n">
        <x:v>2</x:v>
      </x:c>
    </x:row>
    <x:row r="534" ht="18.75" customHeight="1">
      <x:c r="A534" s="1" t="str">
        <x:v>https://blog.skyairline.com/enchufe-argentina/</x:v>
      </x:c>
      <x:c r="B534" s="1" t="str">
        <x:v>que enchufe se usa en argentina</x:v>
      </x:c>
      <x:c r="C534" s="1" t="str">
        <x:v>chl</x:v>
      </x:c>
      <x:c r="D534" s="1" t="str">
        <x:v>Sin marca</x:v>
      </x:c>
      <x:c r="E534" s="35" t="n">
        <x:v>3</x:v>
      </x:c>
      <x:c r="F534" s="36"/>
      <x:c r="G534" s="36" t="str">
        <x:f>IF(ISNUMBER(F534),E534*F534,"")</x:f>
      </x:c>
      <x:c r="H534" s="37"/>
      <x:c r="I534" s="37"/>
      <x:c r="J534" s="1" t="n">
        <x:f>IF(ISNUMBER(F534),E534,0)</x:f>
        <x:v>0</x:v>
      </x:c>
      <x:c r="K534" s="1"/>
      <x:c r="L534" s="1" t="str">
        <x:v>https://blog.skyairline.com/bucear-en-chile/</x:v>
      </x:c>
      <x:c r="M534" s="1" t="n">
        <x:v>2</x:v>
      </x:c>
    </x:row>
    <x:row r="535" ht="18.75" customHeight="1">
      <x:c r="A535" s="1" t="str">
        <x:v>https://blog.skyairline.com/enchufe-argentina/</x:v>
      </x:c>
      <x:c r="B535" s="1" t="str">
        <x:v>tipo de enchufe en argentina</x:v>
      </x:c>
      <x:c r="C535" s="1" t="str">
        <x:v>chl</x:v>
      </x:c>
      <x:c r="D535" s="1" t="str">
        <x:v>Sin marca</x:v>
      </x:c>
      <x:c r="E535" s="35" t="n">
        <x:v>3</x:v>
      </x:c>
      <x:c r="F535" s="36"/>
      <x:c r="G535" s="36" t="str">
        <x:f>IF(ISNUMBER(F535),E535*F535,"")</x:f>
      </x:c>
      <x:c r="H535" s="37"/>
      <x:c r="I535" s="37"/>
      <x:c r="J535" s="1" t="n">
        <x:f>IF(ISNUMBER(F535),E535,0)</x:f>
        <x:v>0</x:v>
      </x:c>
      <x:c r="K535" s="1"/>
      <x:c r="L535" s="1" t="str">
        <x:v>https://blog.skyairline.com/buenos-aires-ciudad/</x:v>
      </x:c>
      <x:c r="M535" s="1" t="n">
        <x:v>2</x:v>
      </x:c>
    </x:row>
    <x:row r="536" ht="18.75" customHeight="1">
      <x:c r="A536" s="1" t="str">
        <x:v>https://blog.skyairline.com/enchufe-brasil/</x:v>
      </x:c>
      <x:c r="B536" s="1" t="str">
        <x:v>como son los enchufes en brasil</x:v>
      </x:c>
      <x:c r="C536" s="1" t="str">
        <x:v>chl</x:v>
      </x:c>
      <x:c r="D536" s="1" t="str">
        <x:v>Sin marca</x:v>
      </x:c>
      <x:c r="E536" s="35" t="n">
        <x:v>3</x:v>
      </x:c>
      <x:c r="F536" s="36" t="n">
        <x:v>0.19</x:v>
      </x:c>
      <x:c r="G536" s="36" t="n">
        <x:f>IF(ISNUMBER(F536),E536*F536,"")</x:f>
        <x:v>0.5700000000000001</x:v>
      </x:c>
      <x:c r="H536" s="37" t="d">
        <x:v>2026-10-15T00:00:00.000Z</x:v>
      </x:c>
      <x:c r="I536" s="37" t="d">
        <x:v>2026-09-15T04:58:22.000Z</x:v>
      </x:c>
      <x:c r="J536" s="1" t="n">
        <x:f>IF(ISNUMBER(F536),E536,0)</x:f>
        <x:v>3</x:v>
      </x:c>
      <x:c r="K536" s="1"/>
      <x:c r="L536" s="1" t="str">
        <x:v>https://blog.skyairline.com/cabo-blanco/</x:v>
      </x:c>
      <x:c r="M536" s="1" t="n">
        <x:v>2</x:v>
      </x:c>
    </x:row>
    <x:row r="537" ht="18.75" customHeight="1">
      <x:c r="A537" s="1" t="str">
        <x:v>https://blog.skyairline.com/enchufe-brasil/</x:v>
      </x:c>
      <x:c r="B537" s="1" t="str">
        <x:v>enchufes brasil</x:v>
      </x:c>
      <x:c r="C537" s="1" t="str">
        <x:v>chl</x:v>
      </x:c>
      <x:c r="D537" s="1" t="str">
        <x:v>Sin marca</x:v>
      </x:c>
      <x:c r="E537" s="35" t="n">
        <x:v>3</x:v>
      </x:c>
      <x:c r="F537" s="36" t="n">
        <x:v>0.16</x:v>
      </x:c>
      <x:c r="G537" s="36" t="n">
        <x:f>IF(ISNUMBER(F537),E537*F537,"")</x:f>
        <x:v>0.48</x:v>
      </x:c>
      <x:c r="H537" s="37" t="d">
        <x:v>2026-10-15T00:00:00.000Z</x:v>
      </x:c>
      <x:c r="I537" s="37" t="d">
        <x:v>2026-09-13T19:32:38.000Z</x:v>
      </x:c>
      <x:c r="J537" s="1" t="n">
        <x:f>IF(ISNUMBER(F537),E537,0)</x:f>
        <x:v>3</x:v>
      </x:c>
      <x:c r="K537" s="1"/>
      <x:c r="L537" s="1" t="str">
        <x:v>https://blog.skyairline.com/cabo-frio-2/</x:v>
      </x:c>
      <x:c r="M537" s="1" t="n">
        <x:v>2</x:v>
      </x:c>
    </x:row>
    <x:row r="538" ht="18.75" customHeight="1">
      <x:c r="A538" s="1" t="str">
        <x:v>https://blog.skyairline.com/enchufe-brasil/</x:v>
      </x:c>
      <x:c r="B538" s="1" t="str">
        <x:v>tipo de enchufe en brasil vs chile</x:v>
      </x:c>
      <x:c r="C538" s="1" t="str">
        <x:v>chl</x:v>
      </x:c>
      <x:c r="D538" s="1" t="str">
        <x:v>Sin marca</x:v>
      </x:c>
      <x:c r="E538" s="35" t="n">
        <x:v>3</x:v>
      </x:c>
      <x:c r="F538" s="36" t="n">
        <x:v>0.1</x:v>
      </x:c>
      <x:c r="G538" s="36" t="n">
        <x:f>IF(ISNUMBER(F538),E538*F538,"")</x:f>
        <x:v>0.30000000000000004</x:v>
      </x:c>
      <x:c r="H538" s="37" t="d">
        <x:v>2026-10-15T00:00:00.000Z</x:v>
      </x:c>
      <x:c r="I538" s="37" t="d">
        <x:v>2026-09-15T23:41:56.000Z</x:v>
      </x:c>
      <x:c r="J538" s="1" t="n">
        <x:f>IF(ISNUMBER(F538),E538,0)</x:f>
        <x:v>3</x:v>
      </x:c>
      <x:c r="K538" s="1"/>
      <x:c r="L538" s="1" t="str">
        <x:v>https://blog.skyairline.com/camping-en-villarrica/</x:v>
      </x:c>
      <x:c r="M538" s="1" t="n">
        <x:v>2</x:v>
      </x:c>
    </x:row>
    <x:row r="539" ht="18.75" customHeight="1">
      <x:c r="A539" s="1" t="str">
        <x:v>https://blog.skyairline.com/equipaje-de-bodega/</x:v>
      </x:c>
      <x:c r="B539" s="1" t="str">
        <x:v>1 bolso de mano sky medidas</x:v>
      </x:c>
      <x:c r="C539" s="1" t="str">
        <x:v>per</x:v>
      </x:c>
      <x:c r="D539" s="1" t="str">
        <x:v>Marca</x:v>
      </x:c>
      <x:c r="E539" s="35" t="n">
        <x:v>3</x:v>
      </x:c>
      <x:c r="F539" s="36"/>
      <x:c r="G539" s="36" t="str">
        <x:f>IF(ISNUMBER(F539),E539*F539,"")</x:f>
      </x:c>
      <x:c r="H539" s="37"/>
      <x:c r="I539" s="37"/>
      <x:c r="J539" s="1" t="n">
        <x:f>IF(ISNUMBER(F539),E539,0)</x:f>
        <x:v>0</x:v>
      </x:c>
      <x:c r="K539" s="1"/>
      <x:c r="L539" s="1" t="str">
        <x:v>https://blog.skyairline.com/camping-valdivia/</x:v>
      </x:c>
      <x:c r="M539" s="1" t="n">
        <x:v>2</x:v>
      </x:c>
    </x:row>
    <x:row r="540" ht="18.75" customHeight="1">
      <x:c r="A540" s="1" t="str">
        <x:v>https://blog.skyairline.com/equipaje-de-bodega/</x:v>
      </x:c>
      <x:c r="B540" s="1" t="str">
        <x:v>bolsa de mano sky medidas</x:v>
      </x:c>
      <x:c r="C540" s="1" t="str">
        <x:v>per</x:v>
      </x:c>
      <x:c r="D540" s="1" t="str">
        <x:v>Marca</x:v>
      </x:c>
      <x:c r="E540" s="35" t="n">
        <x:v>3</x:v>
      </x:c>
      <x:c r="F540" s="36"/>
      <x:c r="G540" s="36" t="str">
        <x:f>IF(ISNUMBER(F540),E540*F540,"")</x:f>
      </x:c>
      <x:c r="H540" s="37"/>
      <x:c r="I540" s="37"/>
      <x:c r="J540" s="1" t="n">
        <x:f>IF(ISNUMBER(F540),E540,0)</x:f>
        <x:v>0</x:v>
      </x:c>
      <x:c r="K540" s="1"/>
      <x:c r="L540" s="1" t="str">
        <x:v>https://blog.skyairline.com/capitolio-minas-gerais/</x:v>
      </x:c>
      <x:c r="M540" s="1" t="n">
        <x:v>2</x:v>
      </x:c>
    </x:row>
    <x:row r="541" ht="18.75" customHeight="1">
      <x:c r="A541" s="1" t="str">
        <x:v>https://blog.skyairline.com/equipaje-de-bodega/</x:v>
      </x:c>
      <x:c r="B541" s="1" t="str">
        <x:v>bolso de mano medidas sky</x:v>
      </x:c>
      <x:c r="C541" s="1" t="str">
        <x:v>chl</x:v>
      </x:c>
      <x:c r="D541" s="1" t="str">
        <x:v>Marca</x:v>
      </x:c>
      <x:c r="E541" s="35" t="n">
        <x:v>3</x:v>
      </x:c>
      <x:c r="F541" s="36" t="n">
        <x:v>0.1</x:v>
      </x:c>
      <x:c r="G541" s="36" t="n">
        <x:f>IF(ISNUMBER(F541),E541*F541,"")</x:f>
        <x:v>0.30000000000000004</x:v>
      </x:c>
      <x:c r="H541" s="37" t="d">
        <x:v>2026-10-15T00:00:00.000Z</x:v>
      </x:c>
      <x:c r="I541" s="37" t="d">
        <x:v>2026-09-15T22:37:37.000Z</x:v>
      </x:c>
      <x:c r="J541" s="1" t="n">
        <x:f>IF(ISNUMBER(F541),E541,0)</x:f>
        <x:v>3</x:v>
      </x:c>
      <x:c r="K541" s="1"/>
      <x:c r="L541" s="1" t="str">
        <x:v>https://blog.skyairline.com/cascada-de-las-animas/</x:v>
      </x:c>
      <x:c r="M541" s="1" t="n">
        <x:v>2</x:v>
      </x:c>
    </x:row>
    <x:row r="542" ht="18.75" customHeight="1">
      <x:c r="A542" s="1" t="str">
        <x:v>https://blog.skyairline.com/equipaje-de-bodega/</x:v>
      </x:c>
      <x:c r="B542" s="1" t="str">
        <x:v>dimensiones equipaje de mano sky</x:v>
      </x:c>
      <x:c r="C542" s="1" t="str">
        <x:v>chl</x:v>
      </x:c>
      <x:c r="D542" s="1" t="str">
        <x:v>Marca</x:v>
      </x:c>
      <x:c r="E542" s="35" t="n">
        <x:v>3</x:v>
      </x:c>
      <x:c r="F542" s="36"/>
      <x:c r="G542" s="36" t="str">
        <x:f>IF(ISNUMBER(F542),E542*F542,"")</x:f>
      </x:c>
      <x:c r="H542" s="37"/>
      <x:c r="I542" s="37"/>
      <x:c r="J542" s="1" t="n">
        <x:f>IF(ISNUMBER(F542),E542,0)</x:f>
        <x:v>0</x:v>
      </x:c>
      <x:c r="K542" s="1"/>
      <x:c r="L542" s="1" t="str">
        <x:v>https://blog.skyairline.com/centros-comerciales-en-concepcion/</x:v>
      </x:c>
      <x:c r="M542" s="1" t="n">
        <x:v>2</x:v>
      </x:c>
    </x:row>
    <x:row r="543" ht="18.75" customHeight="1">
      <x:c r="A543" s="1" t="str">
        <x:v>https://blog.skyairline.com/equipaje-de-bodega/</x:v>
      </x:c>
      <x:c r="B543" s="1" t="str">
        <x:v>equipaje cabina sky</x:v>
      </x:c>
      <x:c r="C543" s="1" t="str">
        <x:v>chl</x:v>
      </x:c>
      <x:c r="D543" s="1" t="str">
        <x:v>Marca</x:v>
      </x:c>
      <x:c r="E543" s="35" t="n">
        <x:v>3</x:v>
      </x:c>
      <x:c r="F543" s="36"/>
      <x:c r="G543" s="36" t="str">
        <x:f>IF(ISNUMBER(F543),E543*F543,"")</x:f>
      </x:c>
      <x:c r="H543" s="37" t="d">
        <x:v>2026-10-15T00:00:00.000Z</x:v>
      </x:c>
      <x:c r="I543" s="37" t="d">
        <x:v>2026-09-13T22:19:28.000Z</x:v>
      </x:c>
      <x:c r="J543" s="1" t="n">
        <x:f>IF(ISNUMBER(F543),E543,0)</x:f>
        <x:v>0</x:v>
      </x:c>
      <x:c r="K543" s="1"/>
      <x:c r="L543" s="1" t="str">
        <x:v>https://blog.skyairline.com/cerro-dragon/</x:v>
      </x:c>
      <x:c r="M543" s="1" t="n">
        <x:v>2</x:v>
      </x:c>
    </x:row>
    <x:row r="544" ht="18.75" customHeight="1">
      <x:c r="A544" s="1" t="str">
        <x:v>https://blog.skyairline.com/equipaje-de-bodega/</x:v>
      </x:c>
      <x:c r="B544" s="1" t="str">
        <x:v>equipaje de bodega sky</x:v>
      </x:c>
      <x:c r="C544" s="1" t="str">
        <x:v>per</x:v>
      </x:c>
      <x:c r="D544" s="1" t="str">
        <x:v>Marca</x:v>
      </x:c>
      <x:c r="E544" s="35" t="n">
        <x:v>3</x:v>
      </x:c>
      <x:c r="F544" s="36"/>
      <x:c r="G544" s="36" t="str">
        <x:f>IF(ISNUMBER(F544),E544*F544,"")</x:f>
      </x:c>
      <x:c r="H544" s="37" t="d">
        <x:v>2026-10-15T00:00:00.000Z</x:v>
      </x:c>
      <x:c r="I544" s="37" t="d">
        <x:v>2026-09-15T11:40:31.000Z</x:v>
      </x:c>
      <x:c r="J544" s="1" t="n">
        <x:f>IF(ISNUMBER(F544),E544,0)</x:f>
        <x:v>0</x:v>
      </x:c>
      <x:c r="K544" s="1"/>
      <x:c r="L544" s="1" t="str">
        <x:v>https://blog.skyairline.com/cerros-mas-altas-de-chile/</x:v>
      </x:c>
      <x:c r="M544" s="1" t="n">
        <x:v>2</x:v>
      </x:c>
    </x:row>
    <x:row r="545" ht="18.75" customHeight="1">
      <x:c r="A545" s="1" t="str">
        <x:v>https://blog.skyairline.com/equipaje-de-bodega/</x:v>
      </x:c>
      <x:c r="B545" s="1" t="str">
        <x:v>equipaje en cabina sky medidas</x:v>
      </x:c>
      <x:c r="C545" s="1" t="str">
        <x:v>arg</x:v>
      </x:c>
      <x:c r="D545" s="1" t="str">
        <x:v>Marca</x:v>
      </x:c>
      <x:c r="E545" s="35" t="n">
        <x:v>3</x:v>
      </x:c>
      <x:c r="F545" s="36"/>
      <x:c r="G545" s="36" t="str">
        <x:f>IF(ISNUMBER(F545),E545*F545,"")</x:f>
      </x:c>
      <x:c r="H545" s="37"/>
      <x:c r="I545" s="37"/>
      <x:c r="J545" s="1" t="n">
        <x:f>IF(ISNUMBER(F545),E545,0)</x:f>
        <x:v>0</x:v>
      </x:c>
      <x:c r="K545" s="1"/>
      <x:c r="L545" s="1" t="str">
        <x:v>https://blog.skyairline.com/ciudad-de-llanquihue-historia-y-sitios-imperdibles/</x:v>
      </x:c>
      <x:c r="M545" s="1" t="n">
        <x:v>2</x:v>
      </x:c>
    </x:row>
    <x:row r="546" ht="18.75" customHeight="1">
      <x:c r="A546" s="1" t="str">
        <x:v>https://blog.skyairline.com/equipaje-de-bodega/</x:v>
      </x:c>
      <x:c r="B546" s="1" t="str">
        <x:v>equipaje sky</x:v>
      </x:c>
      <x:c r="C546" s="1" t="str">
        <x:v>ury</x:v>
      </x:c>
      <x:c r="D546" s="1" t="str">
        <x:v>Marca</x:v>
      </x:c>
      <x:c r="E546" s="35" t="n">
        <x:v>3</x:v>
      </x:c>
      <x:c r="F546" s="36"/>
      <x:c r="G546" s="36" t="str">
        <x:f>IF(ISNUMBER(F546),E546*F546,"")</x:f>
      </x:c>
      <x:c r="H546" s="37"/>
      <x:c r="I546" s="37"/>
      <x:c r="J546" s="1" t="n">
        <x:f>IF(ISNUMBER(F546),E546,0)</x:f>
        <x:v>0</x:v>
      </x:c>
      <x:c r="K546" s="1"/>
      <x:c r="L546" s="1" t="str">
        <x:v>https://blog.skyairline.com/ciudad-de-mendoza/</x:v>
      </x:c>
      <x:c r="M546" s="1" t="n">
        <x:v>2</x:v>
      </x:c>
    </x:row>
    <x:row r="547" ht="18.75" customHeight="1">
      <x:c r="A547" s="1" t="str">
        <x:v>https://blog.skyairline.com/equipaje-de-bodega/</x:v>
      </x:c>
      <x:c r="B547" s="1" t="str">
        <x:v>equipaje sky airlines</x:v>
      </x:c>
      <x:c r="C547" s="1" t="str">
        <x:v>ury</x:v>
      </x:c>
      <x:c r="D547" s="1" t="str">
        <x:v>Marca</x:v>
      </x:c>
      <x:c r="E547" s="35" t="n">
        <x:v>3</x:v>
      </x:c>
      <x:c r="F547" s="36"/>
      <x:c r="G547" s="36" t="str">
        <x:f>IF(ISNUMBER(F547),E547*F547,"")</x:f>
      </x:c>
      <x:c r="H547" s="37"/>
      <x:c r="I547" s="37"/>
      <x:c r="J547" s="1" t="n">
        <x:f>IF(ISNUMBER(F547),E547,0)</x:f>
        <x:v>0</x:v>
      </x:c>
      <x:c r="K547" s="1"/>
      <x:c r="L547" s="1" t="str">
        <x:v>https://blog.skyairline.com/ciudades-de-peru/</x:v>
      </x:c>
      <x:c r="M547" s="1" t="n">
        <x:v>2</x:v>
      </x:c>
    </x:row>
    <x:row r="548" ht="18.75" customHeight="1">
      <x:c r="A548" s="1" t="str">
        <x:v>https://blog.skyairline.com/equipaje-de-bodega/</x:v>
      </x:c>
      <x:c r="B548" s="1" t="str">
        <x:v>maleta cabina sky medidas</x:v>
      </x:c>
      <x:c r="C548" s="1" t="str">
        <x:v>chl</x:v>
      </x:c>
      <x:c r="D548" s="1" t="str">
        <x:v>Marca</x:v>
      </x:c>
      <x:c r="E548" s="35" t="n">
        <x:v>3</x:v>
      </x:c>
      <x:c r="F548" s="36"/>
      <x:c r="G548" s="36" t="str">
        <x:f>IF(ISNUMBER(F548),E548*F548,"")</x:f>
      </x:c>
      <x:c r="H548" s="37"/>
      <x:c r="I548" s="37"/>
      <x:c r="J548" s="1" t="n">
        <x:f>IF(ISNUMBER(F548),E548,0)</x:f>
        <x:v>0</x:v>
      </x:c>
      <x:c r="K548" s="1"/>
      <x:c r="L548" s="1" t="str">
        <x:v>https://blog.skyairline.com/ciudades-del-sur-de-chile-para-conocer-y-recorrer/</x:v>
      </x:c>
      <x:c r="M548" s="1" t="n">
        <x:v>2</x:v>
      </x:c>
    </x:row>
    <x:row r="549" ht="18.75" customHeight="1">
      <x:c r="A549" s="1" t="str">
        <x:v>https://blog.skyairline.com/equipaje-de-bodega/</x:v>
      </x:c>
      <x:c r="B549" s="1" t="str">
        <x:v>maleta de cabina medidas sky</x:v>
      </x:c>
      <x:c r="C549" s="1" t="str">
        <x:v>chl</x:v>
      </x:c>
      <x:c r="D549" s="1" t="str">
        <x:v>Marca</x:v>
      </x:c>
      <x:c r="E549" s="35" t="n">
        <x:v>3</x:v>
      </x:c>
      <x:c r="F549" s="36" t="n">
        <x:v>0.19</x:v>
      </x:c>
      <x:c r="G549" s="36" t="n">
        <x:f>IF(ISNUMBER(F549),E549*F549,"")</x:f>
        <x:v>0.5700000000000001</x:v>
      </x:c>
      <x:c r="H549" s="37" t="d">
        <x:v>2026-10-15T00:00:00.000Z</x:v>
      </x:c>
      <x:c r="I549" s="37" t="d">
        <x:v>2026-09-16T18:10:03.999Z</x:v>
      </x:c>
      <x:c r="J549" s="1" t="n">
        <x:f>IF(ISNUMBER(F549),E549,0)</x:f>
        <x:v>3</x:v>
      </x:c>
      <x:c r="K549" s="1"/>
      <x:c r="L549" s="1" t="str">
        <x:v>https://blog.skyairline.com/ciudades-peruanas/</x:v>
      </x:c>
      <x:c r="M549" s="1" t="n">
        <x:v>2</x:v>
      </x:c>
    </x:row>
    <x:row r="550" ht="18.75" customHeight="1">
      <x:c r="A550" s="1" t="str">
        <x:v>https://blog.skyairline.com/equipaje-de-bodega/</x:v>
      </x:c>
      <x:c r="B550" s="1" t="str">
        <x:v>maleta de cabina sky</x:v>
      </x:c>
      <x:c r="C550" s="1" t="str">
        <x:v>chl</x:v>
      </x:c>
      <x:c r="D550" s="1" t="str">
        <x:v>Marca</x:v>
      </x:c>
      <x:c r="E550" s="35" t="n">
        <x:v>3</x:v>
      </x:c>
      <x:c r="F550" s="36" t="n">
        <x:v>0.13</x:v>
      </x:c>
      <x:c r="G550" s="36" t="n">
        <x:f>IF(ISNUMBER(F550),E550*F550,"")</x:f>
        <x:v>0.39</x:v>
      </x:c>
      <x:c r="H550" s="37" t="d">
        <x:v>2026-10-15T00:00:00.000Z</x:v>
      </x:c>
      <x:c r="I550" s="37" t="d">
        <x:v>2026-09-17T17:07:17.000Z</x:v>
      </x:c>
      <x:c r="J550" s="1" t="n">
        <x:f>IF(ISNUMBER(F550),E550,0)</x:f>
        <x:v>3</x:v>
      </x:c>
      <x:c r="K550" s="1"/>
      <x:c r="L550" s="1" t="str">
        <x:v>https://blog.skyairline.com/clima-en-la-patagonia-como-prepararte-para-tu-viaje/</x:v>
      </x:c>
      <x:c r="M550" s="1" t="n">
        <x:v>2</x:v>
      </x:c>
    </x:row>
    <x:row r="551" ht="18.75" customHeight="1">
      <x:c r="A551" s="1" t="str">
        <x:v>https://blog.skyairline.com/equipaje-de-bodega/</x:v>
      </x:c>
      <x:c r="B551" s="1" t="str">
        <x:v>maleta de cabina sky medidas</x:v>
      </x:c>
      <x:c r="C551" s="1" t="str">
        <x:v>chl</x:v>
      </x:c>
      <x:c r="D551" s="1" t="str">
        <x:v>Marca</x:v>
      </x:c>
      <x:c r="E551" s="35" t="n">
        <x:v>3</x:v>
      </x:c>
      <x:c r="F551" s="36" t="n">
        <x:v>0.01</x:v>
      </x:c>
      <x:c r="G551" s="36" t="n">
        <x:f>IF(ISNUMBER(F551),E551*F551,"")</x:f>
        <x:v>0.03</x:v>
      </x:c>
      <x:c r="H551" s="37" t="d">
        <x:v>2026-10-15T00:00:00.000Z</x:v>
      </x:c>
      <x:c r="I551" s="37" t="d">
        <x:v>2026-10-15T04:17:32.000Z</x:v>
      </x:c>
      <x:c r="J551" s="1" t="n">
        <x:f>IF(ISNUMBER(F551),E551,0)</x:f>
        <x:v>3</x:v>
      </x:c>
      <x:c r="K551" s="1"/>
      <x:c r="L551" s="1" t="str">
        <x:v>https://blog.skyairline.com/clima-florianopolis</x:v>
      </x:c>
      <x:c r="M551" s="1" t="n">
        <x:v>2</x:v>
      </x:c>
    </x:row>
    <x:row r="552" ht="18.75" customHeight="1">
      <x:c r="A552" s="1" t="str">
        <x:v>https://blog.skyairline.com/equipaje-de-bodega/</x:v>
      </x:c>
      <x:c r="B552" s="1" t="str">
        <x:v>medida de bolso de mano sky</x:v>
      </x:c>
      <x:c r="C552" s="1" t="str">
        <x:v>per</x:v>
      </x:c>
      <x:c r="D552" s="1" t="str">
        <x:v>Marca</x:v>
      </x:c>
      <x:c r="E552" s="35" t="n">
        <x:v>3</x:v>
      </x:c>
      <x:c r="F552" s="36"/>
      <x:c r="G552" s="36" t="str">
        <x:f>IF(ISNUMBER(F552),E552*F552,"")</x:f>
      </x:c>
      <x:c r="H552" s="37"/>
      <x:c r="I552" s="37"/>
      <x:c r="J552" s="1" t="n">
        <x:f>IF(ISNUMBER(F552),E552,0)</x:f>
        <x:v>0</x:v>
      </x:c>
      <x:c r="K552" s="1"/>
      <x:c r="L552" s="1" t="str">
        <x:v>https://blog.skyairline.com/clima-florianopolis-2/</x:v>
      </x:c>
      <x:c r="M552" s="1" t="n">
        <x:v>2</x:v>
      </x:c>
    </x:row>
    <x:row r="553" ht="18.75" customHeight="1">
      <x:c r="A553" s="1" t="str">
        <x:v>https://blog.skyairline.com/equipaje-de-bodega/</x:v>
      </x:c>
      <x:c r="B553" s="1" t="str">
        <x:v>medida de equipaje de mano sky</x:v>
      </x:c>
      <x:c r="C553" s="1" t="str">
        <x:v>per</x:v>
      </x:c>
      <x:c r="D553" s="1" t="str">
        <x:v>Marca</x:v>
      </x:c>
      <x:c r="E553" s="35" t="n">
        <x:v>3</x:v>
      </x:c>
      <x:c r="F553" s="36"/>
      <x:c r="G553" s="36" t="str">
        <x:f>IF(ISNUMBER(F553),E553*F553,"")</x:f>
      </x:c>
      <x:c r="H553" s="37" t="d">
        <x:v>2026-10-15T00:00:00.000Z</x:v>
      </x:c>
      <x:c r="I553" s="37" t="d">
        <x:v>2026-09-15T03:26:19.000Z</x:v>
      </x:c>
      <x:c r="J553" s="1" t="n">
        <x:f>IF(ISNUMBER(F553),E553,0)</x:f>
        <x:v>0</x:v>
      </x:c>
      <x:c r="K553" s="1"/>
      <x:c r="L553" s="1" t="str">
        <x:v>https://blog.skyairline.com/co2-vuelos/</x:v>
      </x:c>
      <x:c r="M553" s="1" t="n">
        <x:v>2</x:v>
      </x:c>
    </x:row>
    <x:row r="554" ht="18.75" customHeight="1">
      <x:c r="A554" s="1" t="str">
        <x:v>https://blog.skyairline.com/equipaje-de-bodega/</x:v>
      </x:c>
      <x:c r="B554" s="1" t="str">
        <x:v>medida equipaje de mano sky</x:v>
      </x:c>
      <x:c r="C554" s="1" t="str">
        <x:v>chl</x:v>
      </x:c>
      <x:c r="D554" s="1" t="str">
        <x:v>Marca</x:v>
      </x:c>
      <x:c r="E554" s="35" t="n">
        <x:v>3</x:v>
      </x:c>
      <x:c r="F554" s="36"/>
      <x:c r="G554" s="36" t="str">
        <x:f>IF(ISNUMBER(F554),E554*F554,"")</x:f>
      </x:c>
      <x:c r="H554" s="37"/>
      <x:c r="I554" s="37"/>
      <x:c r="J554" s="1" t="n">
        <x:f>IF(ISNUMBER(F554),E554,0)</x:f>
        <x:v>0</x:v>
      </x:c>
      <x:c r="K554" s="1"/>
      <x:c r="L554" s="1" t="str">
        <x:v>https://blog.skyairline.com/como-visitar-el-eje-cafetero-desde-el-aeropuerto-el-dorado/</x:v>
      </x:c>
      <x:c r="M554" s="1" t="n">
        <x:v>2</x:v>
      </x:c>
    </x:row>
    <x:row r="555" ht="18.75" customHeight="1">
      <x:c r="A555" s="1" t="str">
        <x:v>https://blog.skyairline.com/equipaje-de-bodega/</x:v>
      </x:c>
      <x:c r="B555" s="1" t="str">
        <x:v>medidas bolso de mano sky 2026</x:v>
      </x:c>
      <x:c r="C555" s="1" t="str">
        <x:v>per</x:v>
      </x:c>
      <x:c r="D555" s="1" t="str">
        <x:v>Marca</x:v>
      </x:c>
      <x:c r="E555" s="35" t="n">
        <x:v>3</x:v>
      </x:c>
      <x:c r="F555" s="36" t="n">
        <x:v>0.89</x:v>
      </x:c>
      <x:c r="G555" s="36" t="n">
        <x:f>IF(ISNUMBER(F555),E555*F555,"")</x:f>
        <x:v>2.67</x:v>
      </x:c>
      <x:c r="H555" s="37" t="d">
        <x:v>2026-10-15T00:00:00.000Z</x:v>
      </x:c>
      <x:c r="I555" s="37" t="d">
        <x:v>2026-09-16T08:06:26.000Z</x:v>
      </x:c>
      <x:c r="J555" s="1" t="n">
        <x:f>IF(ISNUMBER(F555),E555,0)</x:f>
        <x:v>3</x:v>
      </x:c>
      <x:c r="K555" s="1"/>
      <x:c r="L555" s="1" t="str">
        <x:v>https://blog.skyairline.com/concepcion-2/</x:v>
      </x:c>
      <x:c r="M555" s="1" t="n">
        <x:v>2</x:v>
      </x:c>
    </x:row>
    <x:row r="556" ht="18.75" customHeight="1">
      <x:c r="A556" s="1" t="str">
        <x:v>https://blog.skyairline.com/equipaje-de-bodega/</x:v>
      </x:c>
      <x:c r="B556" s="1" t="str">
        <x:v>medidas carry on sky airlines</x:v>
      </x:c>
      <x:c r="C556" s="1" t="str">
        <x:v>per</x:v>
      </x:c>
      <x:c r="D556" s="1" t="str">
        <x:v>Marca</x:v>
      </x:c>
      <x:c r="E556" s="35" t="n">
        <x:v>3</x:v>
      </x:c>
      <x:c r="F556" s="36"/>
      <x:c r="G556" s="36" t="str">
        <x:f>IF(ISNUMBER(F556),E556*F556,"")</x:f>
      </x:c>
      <x:c r="H556" s="37"/>
      <x:c r="I556" s="37"/>
      <x:c r="J556" s="1" t="n">
        <x:f>IF(ISNUMBER(F556),E556,0)</x:f>
        <x:v>0</x:v>
      </x:c>
      <x:c r="K556" s="1"/>
      <x:c r="L556" s="1" t="str">
        <x:v>https://blog.skyairline.com/conciertos-en-chile-2025/</x:v>
      </x:c>
      <x:c r="M556" s="1" t="n">
        <x:v>2</x:v>
      </x:c>
    </x:row>
    <x:row r="557" ht="18.75" customHeight="1">
      <x:c r="A557" s="1" t="str">
        <x:v>https://blog.skyairline.com/equipaje-de-bodega/</x:v>
      </x:c>
      <x:c r="B557" s="1" t="str">
        <x:v>medidas equipaje sky airline</x:v>
      </x:c>
      <x:c r="C557" s="1" t="str">
        <x:v>ury</x:v>
      </x:c>
      <x:c r="D557" s="1" t="str">
        <x:v>Marca</x:v>
      </x:c>
      <x:c r="E557" s="35" t="n">
        <x:v>3</x:v>
      </x:c>
      <x:c r="F557" s="36"/>
      <x:c r="G557" s="36" t="str">
        <x:f>IF(ISNUMBER(F557),E557*F557,"")</x:f>
      </x:c>
      <x:c r="H557" s="37"/>
      <x:c r="I557" s="37"/>
      <x:c r="J557" s="1" t="n">
        <x:f>IF(ISNUMBER(F557),E557,0)</x:f>
        <x:v>0</x:v>
      </x:c>
      <x:c r="K557" s="1"/>
      <x:c r="L557" s="1" t="str">
        <x:v>https://blog.skyairline.com/corralco/</x:v>
      </x:c>
      <x:c r="M557" s="1" t="n">
        <x:v>2</x:v>
      </x:c>
    </x:row>
    <x:row r="558" ht="18.75" customHeight="1">
      <x:c r="A558" s="1" t="str">
        <x:v>https://blog.skyairline.com/equipaje-de-bodega/</x:v>
      </x:c>
      <x:c r="B558" s="1" t="str">
        <x:v>medidas maleta sky</x:v>
      </x:c>
      <x:c r="C558" s="1" t="str">
        <x:v>chl</x:v>
      </x:c>
      <x:c r="D558" s="1" t="str">
        <x:v>Marca</x:v>
      </x:c>
      <x:c r="E558" s="35" t="n">
        <x:v>3</x:v>
      </x:c>
      <x:c r="F558" s="36" t="n">
        <x:v>0.02</x:v>
      </x:c>
      <x:c r="G558" s="36" t="n">
        <x:f>IF(ISNUMBER(F558),E558*F558,"")</x:f>
        <x:v>0.06</x:v>
      </x:c>
      <x:c r="H558" s="37" t="d">
        <x:v>2026-10-15T00:00:00.000Z</x:v>
      </x:c>
      <x:c r="I558" s="37" t="d">
        <x:v>2026-09-13T21:46:38.000Z</x:v>
      </x:c>
      <x:c r="J558" s="1" t="n">
        <x:f>IF(ISNUMBER(F558),E558,0)</x:f>
        <x:v>3</x:v>
      </x:c>
      <x:c r="K558" s="1"/>
      <x:c r="L558" s="1" t="str">
        <x:v>https://blog.skyairline.com/cuanto-conocemos-del-mar/</x:v>
      </x:c>
      <x:c r="M558" s="1" t="n">
        <x:v>2</x:v>
      </x:c>
    </x:row>
    <x:row r="559" ht="18.75" customHeight="1">
      <x:c r="A559" s="1" t="str">
        <x:v>https://blog.skyairline.com/equipaje-de-bodega/</x:v>
      </x:c>
      <x:c r="B559" s="1" t="str">
        <x:v>medidas mochila de mano sky</x:v>
      </x:c>
      <x:c r="C559" s="1" t="str">
        <x:v>per</x:v>
      </x:c>
      <x:c r="D559" s="1" t="str">
        <x:v>Marca</x:v>
      </x:c>
      <x:c r="E559" s="35" t="n">
        <x:v>3</x:v>
      </x:c>
      <x:c r="F559" s="36"/>
      <x:c r="G559" s="36" t="str">
        <x:f>IF(ISNUMBER(F559),E559*F559,"")</x:f>
      </x:c>
      <x:c r="H559" s="37" t="d">
        <x:v>2026-10-15T00:00:00.000Z</x:v>
      </x:c>
      <x:c r="I559" s="37" t="d">
        <x:v>2026-09-17T14:02:06.999Z</x:v>
      </x:c>
      <x:c r="J559" s="1" t="n">
        <x:f>IF(ISNUMBER(F559),E559,0)</x:f>
        <x:v>0</x:v>
      </x:c>
      <x:c r="K559" s="1"/>
      <x:c r="L559" s="1" t="str">
        <x:v>https://blog.skyairline.com/cuidado-de-las-playas/</x:v>
      </x:c>
      <x:c r="M559" s="1" t="n">
        <x:v>2</x:v>
      </x:c>
    </x:row>
    <x:row r="560" ht="18.75" customHeight="1">
      <x:c r="A560" s="1" t="str">
        <x:v>https://blog.skyairline.com/equipaje-de-bodega/</x:v>
      </x:c>
      <x:c r="B560" s="1" t="str">
        <x:v>sky airline equipaje</x:v>
      </x:c>
      <x:c r="C560" s="1" t="str">
        <x:v>per</x:v>
      </x:c>
      <x:c r="D560" s="1" t="str">
        <x:v>Marca</x:v>
      </x:c>
      <x:c r="E560" s="35" t="n">
        <x:v>3</x:v>
      </x:c>
      <x:c r="F560" s="36"/>
      <x:c r="G560" s="36" t="str">
        <x:f>IF(ISNUMBER(F560),E560*F560,"")</x:f>
      </x:c>
      <x:c r="H560" s="37" t="d">
        <x:v>2026-10-15T00:00:00.000Z</x:v>
      </x:c>
      <x:c r="I560" s="37" t="d">
        <x:v>2026-09-15T13:29:42.000Z</x:v>
      </x:c>
      <x:c r="J560" s="1" t="n">
        <x:f>IF(ISNUMBER(F560),E560,0)</x:f>
        <x:v>0</x:v>
      </x:c>
      <x:c r="K560" s="1"/>
      <x:c r="L560" s="1" t="str">
        <x:v>https://blog.skyairline.com/deporte-extremo-santiago/</x:v>
      </x:c>
      <x:c r="M560" s="1" t="n">
        <x:v>2</x:v>
      </x:c>
    </x:row>
    <x:row r="561" ht="18.75" customHeight="1">
      <x:c r="A561" s="1" t="str">
        <x:v>https://blog.skyairline.com/equipaje-de-bodega/</x:v>
      </x:c>
      <x:c r="B561" s="1" t="str">
        <x:v>sky airline equipaje de mano</x:v>
      </x:c>
      <x:c r="C561" s="1" t="str">
        <x:v>chl</x:v>
      </x:c>
      <x:c r="D561" s="1" t="str">
        <x:v>Marca</x:v>
      </x:c>
      <x:c r="E561" s="35" t="n">
        <x:v>3</x:v>
      </x:c>
      <x:c r="F561" s="36" t="n">
        <x:v>1.82</x:v>
      </x:c>
      <x:c r="G561" s="36" t="n">
        <x:f>IF(ISNUMBER(F561),E561*F561,"")</x:f>
        <x:v>5.46</x:v>
      </x:c>
      <x:c r="H561" s="37" t="d">
        <x:v>2026-10-15T00:00:00.000Z</x:v>
      </x:c>
      <x:c r="I561" s="37" t="d">
        <x:v>2026-09-14T08:16:34.000Z</x:v>
      </x:c>
      <x:c r="J561" s="1" t="n">
        <x:f>IF(ISNUMBER(F561),E561,0)</x:f>
        <x:v>3</x:v>
      </x:c>
      <x:c r="K561" s="1"/>
      <x:c r="L561" s="1" t="str">
        <x:v>https://blog.skyairline.com/donde-hacer-rafting/</x:v>
      </x:c>
      <x:c r="M561" s="1" t="n">
        <x:v>2</x:v>
      </x:c>
    </x:row>
    <x:row r="562" ht="18.75" customHeight="1">
      <x:c r="A562" s="1" t="str">
        <x:v>https://blog.skyairline.com/equipaje-de-bodega/</x:v>
      </x:c>
      <x:c r="B562" s="1" t="str">
        <x:v>sky airline medidas equipaje</x:v>
      </x:c>
      <x:c r="C562" s="1" t="str">
        <x:v>chl</x:v>
      </x:c>
      <x:c r="D562" s="1" t="str">
        <x:v>Marca</x:v>
      </x:c>
      <x:c r="E562" s="35" t="n">
        <x:v>3</x:v>
      </x:c>
      <x:c r="F562" s="36"/>
      <x:c r="G562" s="36" t="str">
        <x:f>IF(ISNUMBER(F562),E562*F562,"")</x:f>
      </x:c>
      <x:c r="H562" s="37"/>
      <x:c r="I562" s="37"/>
      <x:c r="J562" s="1" t="n">
        <x:f>IF(ISNUMBER(F562),E562,0)</x:f>
        <x:v>0</x:v>
      </x:c>
      <x:c r="K562" s="1"/>
      <x:c r="L562" s="1" t="str">
        <x:v>https://blog.skyairline.com/donde-queda-putre/</x:v>
      </x:c>
      <x:c r="M562" s="1" t="n">
        <x:v>2</x:v>
      </x:c>
    </x:row>
    <x:row r="563" ht="18.75" customHeight="1">
      <x:c r="A563" s="1" t="str">
        <x:v>https://blog.skyairline.com/equipaje-de-bodega/</x:v>
      </x:c>
      <x:c r="B563" s="1" t="str">
        <x:v>sky airlines equipaje</x:v>
      </x:c>
      <x:c r="C563" s="1" t="str">
        <x:v>arg</x:v>
      </x:c>
      <x:c r="D563" s="1" t="str">
        <x:v>Marca</x:v>
      </x:c>
      <x:c r="E563" s="35" t="n">
        <x:v>3</x:v>
      </x:c>
      <x:c r="F563" s="36"/>
      <x:c r="G563" s="36" t="str">
        <x:f>IF(ISNUMBER(F563),E563*F563,"")</x:f>
      </x:c>
      <x:c r="H563" s="37"/>
      <x:c r="I563" s="37"/>
      <x:c r="J563" s="1" t="n">
        <x:f>IF(ISNUMBER(F563),E563,0)</x:f>
        <x:v>0</x:v>
      </x:c>
      <x:c r="K563" s="1"/>
      <x:c r="L563" s="1" t="str">
        <x:v>https://blog.skyairline.com/edificios-en-sao-paulo/</x:v>
      </x:c>
      <x:c r="M563" s="1" t="n">
        <x:v>2</x:v>
      </x:c>
    </x:row>
    <x:row r="564" ht="18.75" customHeight="1">
      <x:c r="A564" s="1" t="str">
        <x:v>https://blog.skyairline.com/equipaje-de-bodega/</x:v>
      </x:c>
      <x:c r="B564" s="1" t="str">
        <x:v>sky airlines equipaje</x:v>
      </x:c>
      <x:c r="C564" s="1" t="str">
        <x:v>chl</x:v>
      </x:c>
      <x:c r="D564" s="1" t="str">
        <x:v>Marca</x:v>
      </x:c>
      <x:c r="E564" s="35" t="n">
        <x:v>3</x:v>
      </x:c>
      <x:c r="F564" s="36" t="n">
        <x:v>0.62</x:v>
      </x:c>
      <x:c r="G564" s="36" t="n">
        <x:f>IF(ISNUMBER(F564),E564*F564,"")</x:f>
        <x:v>1.8599999999999999</x:v>
      </x:c>
      <x:c r="H564" s="37" t="d">
        <x:v>2026-10-15T00:00:00.000Z</x:v>
      </x:c>
      <x:c r="I564" s="37" t="d">
        <x:v>2026-09-12T19:12:17.000Z</x:v>
      </x:c>
      <x:c r="J564" s="1" t="n">
        <x:f>IF(ISNUMBER(F564),E564,0)</x:f>
        <x:v>3</x:v>
      </x:c>
      <x:c r="K564" s="1"/>
      <x:c r="L564" s="1" t="str">
        <x:v>https://blog.skyairline.com/esmeralda/</x:v>
      </x:c>
      <x:c r="M564" s="1" t="n">
        <x:v>2</x:v>
      </x:c>
    </x:row>
    <x:row r="565" ht="18.75" customHeight="1">
      <x:c r="A565" s="1" t="str">
        <x:v>https://blog.skyairline.com/equipaje-de-bodega/</x:v>
      </x:c>
      <x:c r="B565" s="1" t="str">
        <x:v>sky airlines medidas equipaje</x:v>
      </x:c>
      <x:c r="C565" s="1" t="str">
        <x:v>per</x:v>
      </x:c>
      <x:c r="D565" s="1" t="str">
        <x:v>Marca</x:v>
      </x:c>
      <x:c r="E565" s="35" t="n">
        <x:v>3</x:v>
      </x:c>
      <x:c r="F565" s="36"/>
      <x:c r="G565" s="36" t="str">
        <x:f>IF(ISNUMBER(F565),E565*F565,"")</x:f>
      </x:c>
      <x:c r="H565" s="37"/>
      <x:c r="I565" s="37"/>
      <x:c r="J565" s="1" t="n">
        <x:f>IF(ISNUMBER(F565),E565,0)</x:f>
        <x:v>0</x:v>
      </x:c>
      <x:c r="K565" s="1"/>
      <x:c r="L565" s="1" t="str">
        <x:v>https://blog.skyairline.com/estadio-nacional-santiago/</x:v>
      </x:c>
      <x:c r="M565" s="1" t="n">
        <x:v>2</x:v>
      </x:c>
    </x:row>
    <x:row r="566" ht="18.75" customHeight="1">
      <x:c r="A566" s="1" t="str">
        <x:v>https://blog.skyairline.com/equipaje-de-bodega/</x:v>
      </x:c>
      <x:c r="B566" s="1" t="str">
        <x:v>sky bolso de mano medidas</x:v>
      </x:c>
      <x:c r="C566" s="1" t="str">
        <x:v>chl</x:v>
      </x:c>
      <x:c r="D566" s="1" t="str">
        <x:v>Marca</x:v>
      </x:c>
      <x:c r="E566" s="35" t="n">
        <x:v>3</x:v>
      </x:c>
      <x:c r="F566" s="36"/>
      <x:c r="G566" s="36" t="str">
        <x:f>IF(ISNUMBER(F566),E566*F566,"")</x:f>
      </x:c>
      <x:c r="H566" s="37"/>
      <x:c r="I566" s="37"/>
      <x:c r="J566" s="1" t="n">
        <x:f>IF(ISNUMBER(F566),E566,0)</x:f>
        <x:v>0</x:v>
      </x:c>
      <x:c r="K566" s="1"/>
      <x:c r="L566" s="1" t="str">
        <x:v>https://blog.skyairline.com/estadios-de-futbol-de-porto-alegre/</x:v>
      </x:c>
      <x:c r="M566" s="1" t="n">
        <x:v>2</x:v>
      </x:c>
    </x:row>
    <x:row r="567" ht="18.75" customHeight="1">
      <x:c r="A567" s="1" t="str">
        <x:v>https://blog.skyairline.com/equipaje-de-bodega/</x:v>
      </x:c>
      <x:c r="B567" s="1" t="str">
        <x:v>sky dimensiones equipaje</x:v>
      </x:c>
      <x:c r="C567" s="1" t="str">
        <x:v>chl</x:v>
      </x:c>
      <x:c r="D567" s="1" t="str">
        <x:v>Marca</x:v>
      </x:c>
      <x:c r="E567" s="35" t="n">
        <x:v>3</x:v>
      </x:c>
      <x:c r="F567" s="36" t="n">
        <x:v>2.37</x:v>
      </x:c>
      <x:c r="G567" s="36" t="n">
        <x:f>IF(ISNUMBER(F567),E567*F567,"")</x:f>
        <x:v>7.11</x:v>
      </x:c>
      <x:c r="H567" s="37" t="d">
        <x:v>2026-10-15T00:00:00.000Z</x:v>
      </x:c>
      <x:c r="I567" s="37" t="d">
        <x:v>2026-09-17T09:44:07.000Z</x:v>
      </x:c>
      <x:c r="J567" s="1" t="n">
        <x:f>IF(ISNUMBER(F567),E567,0)</x:f>
        <x:v>3</x:v>
      </x:c>
      <x:c r="K567" s="1"/>
      <x:c r="L567" s="1" t="str">
        <x:v>https://blog.skyairline.com/farellones-que-hacer/</x:v>
      </x:c>
      <x:c r="M567" s="1" t="n">
        <x:v>2</x:v>
      </x:c>
    </x:row>
    <x:row r="568" ht="18.75" customHeight="1">
      <x:c r="A568" s="1" t="str">
        <x:v>https://blog.skyairline.com/equipaje-de-bodega/</x:v>
      </x:c>
      <x:c r="B568" s="1" t="str">
        <x:v>sky equipaje</x:v>
      </x:c>
      <x:c r="C568" s="1" t="str">
        <x:v>arg</x:v>
      </x:c>
      <x:c r="D568" s="1" t="str">
        <x:v>Marca</x:v>
      </x:c>
      <x:c r="E568" s="35" t="n">
        <x:v>3</x:v>
      </x:c>
      <x:c r="F568" s="36"/>
      <x:c r="G568" s="36" t="str">
        <x:f>IF(ISNUMBER(F568),E568*F568,"")</x:f>
      </x:c>
      <x:c r="H568" s="37"/>
      <x:c r="I568" s="37"/>
      <x:c r="J568" s="1" t="n">
        <x:f>IF(ISNUMBER(F568),E568,0)</x:f>
        <x:v>0</x:v>
      </x:c>
      <x:c r="K568" s="1"/>
      <x:c r="L568" s="1" t="str">
        <x:v>https://blog.skyairline.com/fiesta-de-la-tirana-tradicion-historia-y-celebracion/</x:v>
      </x:c>
      <x:c r="M568" s="1" t="n">
        <x:v>2</x:v>
      </x:c>
    </x:row>
    <x:row r="569" ht="18.75" customHeight="1">
      <x:c r="A569" s="1" t="str">
        <x:v>https://blog.skyairline.com/equipaje-de-bodega/</x:v>
      </x:c>
      <x:c r="B569" s="1" t="str">
        <x:v>sky equipaje de bodega</x:v>
      </x:c>
      <x:c r="C569" s="1" t="str">
        <x:v>arg</x:v>
      </x:c>
      <x:c r="D569" s="1" t="str">
        <x:v>Marca</x:v>
      </x:c>
      <x:c r="E569" s="35" t="n">
        <x:v>3</x:v>
      </x:c>
      <x:c r="F569" s="36"/>
      <x:c r="G569" s="36" t="str">
        <x:f>IF(ISNUMBER(F569),E569*F569,"")</x:f>
      </x:c>
      <x:c r="H569" s="37"/>
      <x:c r="I569" s="37"/>
      <x:c r="J569" s="1" t="n">
        <x:f>IF(ISNUMBER(F569),E569,0)</x:f>
        <x:v>0</x:v>
      </x:c>
      <x:c r="K569" s="1"/>
      <x:c r="L569" s="1" t="str">
        <x:v>https://blog.skyairline.com/fiesta-de-la-tirana/</x:v>
      </x:c>
      <x:c r="M569" s="1" t="n">
        <x:v>2</x:v>
      </x:c>
    </x:row>
    <x:row r="570" ht="18.75" customHeight="1">
      <x:c r="A570" s="1" t="str">
        <x:v>https://blog.skyairline.com/equipaje-de-bodega/</x:v>
      </x:c>
      <x:c r="B570" s="1" t="str">
        <x:v>sky equipaje de bodega</x:v>
      </x:c>
      <x:c r="C570" s="1" t="str">
        <x:v>bra</x:v>
      </x:c>
      <x:c r="D570" s="1" t="str">
        <x:v>Marca</x:v>
      </x:c>
      <x:c r="E570" s="35" t="n">
        <x:v>3</x:v>
      </x:c>
      <x:c r="F570" s="36"/>
      <x:c r="G570" s="36" t="str">
        <x:f>IF(ISNUMBER(F570),E570*F570,"")</x:f>
      </x:c>
      <x:c r="H570" s="37"/>
      <x:c r="I570" s="37"/>
      <x:c r="J570" s="1" t="n">
        <x:f>IF(ISNUMBER(F570),E570,0)</x:f>
        <x:v>0</x:v>
      </x:c>
      <x:c r="K570" s="1"/>
      <x:c r="L570" s="1" t="str">
        <x:v>https://blog.skyairline.com/fiestas-en-halloween/</x:v>
      </x:c>
      <x:c r="M570" s="1" t="n">
        <x:v>2</x:v>
      </x:c>
    </x:row>
    <x:row r="571" ht="18.75" customHeight="1">
      <x:c r="A571" s="1" t="str">
        <x:v>https://blog.skyairline.com/equipaje-de-bodega/</x:v>
      </x:c>
      <x:c r="B571" s="1" t="str">
        <x:v>sky equipaje de mano medidas</x:v>
      </x:c>
      <x:c r="C571" s="1" t="str">
        <x:v>per</x:v>
      </x:c>
      <x:c r="D571" s="1" t="str">
        <x:v>Marca</x:v>
      </x:c>
      <x:c r="E571" s="35" t="n">
        <x:v>3</x:v>
      </x:c>
      <x:c r="F571" s="36" t="n">
        <x:v>1.68</x:v>
      </x:c>
      <x:c r="G571" s="36" t="n">
        <x:f>IF(ISNUMBER(F571),E571*F571,"")</x:f>
        <x:v>5.04</x:v>
      </x:c>
      <x:c r="H571" s="37" t="d">
        <x:v>2026-10-15T00:00:00.000Z</x:v>
      </x:c>
      <x:c r="I571" s="37" t="d">
        <x:v>2026-09-16T07:45:18.000Z</x:v>
      </x:c>
      <x:c r="J571" s="1" t="n">
        <x:f>IF(ISNUMBER(F571),E571,0)</x:f>
        <x:v>3</x:v>
      </x:c>
      <x:c r="K571" s="1"/>
      <x:c r="L571" s="1" t="str">
        <x:v>https://blog.skyairline.com/gastronomia-latinoamericana/</x:v>
      </x:c>
      <x:c r="M571" s="1" t="n">
        <x:v>2</x:v>
      </x:c>
    </x:row>
    <x:row r="572" ht="18.75" customHeight="1">
      <x:c r="A572" s="1" t="str">
        <x:v>https://blog.skyairline.com/equipaje-de-bodega/</x:v>
      </x:c>
      <x:c r="B572" s="1" t="str">
        <x:v>sky equipaje medidas</x:v>
      </x:c>
      <x:c r="C572" s="1" t="str">
        <x:v>per</x:v>
      </x:c>
      <x:c r="D572" s="1" t="str">
        <x:v>Marca</x:v>
      </x:c>
      <x:c r="E572" s="35" t="n">
        <x:v>3</x:v>
      </x:c>
      <x:c r="F572" s="36"/>
      <x:c r="G572" s="36" t="str">
        <x:f>IF(ISNUMBER(F572),E572*F572,"")</x:f>
      </x:c>
      <x:c r="H572" s="37" t="d">
        <x:v>2026-10-15T00:00:00.000Z</x:v>
      </x:c>
      <x:c r="I572" s="37" t="d">
        <x:v>2026-09-16T17:24:00.000Z</x:v>
      </x:c>
      <x:c r="J572" s="1" t="n">
        <x:f>IF(ISNUMBER(F572),E572,0)</x:f>
        <x:v>0</x:v>
      </x:c>
      <x:c r="K572" s="1"/>
      <x:c r="L572" s="1" t="str">
        <x:v>https://blog.skyairline.com/glaciar-san-rafael/</x:v>
      </x:c>
      <x:c r="M572" s="1" t="n">
        <x:v>2</x:v>
      </x:c>
    </x:row>
    <x:row r="573" ht="18.75" customHeight="1">
      <x:c r="A573" s="1" t="str">
        <x:v>https://blog.skyairline.com/equipaje-de-bodega/</x:v>
      </x:c>
      <x:c r="B573" s="1" t="str">
        <x:v>sky equipajes</x:v>
      </x:c>
      <x:c r="C573" s="1" t="str">
        <x:v>chl</x:v>
      </x:c>
      <x:c r="D573" s="1" t="str">
        <x:v>Marca</x:v>
      </x:c>
      <x:c r="E573" s="35" t="n">
        <x:v>3</x:v>
      </x:c>
      <x:c r="F573" s="36" t="n">
        <x:v>1.49</x:v>
      </x:c>
      <x:c r="G573" s="36" t="n">
        <x:f>IF(ISNUMBER(F573),E573*F573,"")</x:f>
        <x:v>4.47</x:v>
      </x:c>
      <x:c r="H573" s="37" t="d">
        <x:v>2026-10-15T00:00:00.000Z</x:v>
      </x:c>
      <x:c r="I573" s="37" t="d">
        <x:v>2026-09-15T17:32:42.000Z</x:v>
      </x:c>
      <x:c r="J573" s="1" t="n">
        <x:f>IF(ISNUMBER(F573),E573,0)</x:f>
        <x:v>3</x:v>
      </x:c>
      <x:c r="K573" s="1"/>
      <x:c r="L573" s="1" t="str">
        <x:v>https://blog.skyairline.com/ilhabela/</x:v>
      </x:c>
      <x:c r="M573" s="1" t="n">
        <x:v>2</x:v>
      </x:c>
    </x:row>
    <x:row r="574" ht="18.75" customHeight="1">
      <x:c r="A574" s="1" t="str">
        <x:v>https://blog.skyairline.com/equipaje-de-bodega/</x:v>
      </x:c>
      <x:c r="B574" s="1" t="str">
        <x:v>sky equipajes</x:v>
      </x:c>
      <x:c r="C574" s="1" t="str">
        <x:v>ury</x:v>
      </x:c>
      <x:c r="D574" s="1" t="str">
        <x:v>Marca</x:v>
      </x:c>
      <x:c r="E574" s="35" t="n">
        <x:v>3</x:v>
      </x:c>
      <x:c r="F574" s="36"/>
      <x:c r="G574" s="36" t="str">
        <x:f>IF(ISNUMBER(F574),E574*F574,"")</x:f>
      </x:c>
      <x:c r="H574" s="37"/>
      <x:c r="I574" s="37"/>
      <x:c r="J574" s="1" t="n">
        <x:f>IF(ISNUMBER(F574),E574,0)</x:f>
        <x:v>0</x:v>
      </x:c>
      <x:c r="K574" s="1"/>
      <x:c r="L574" s="1" t="str">
        <x:v>https://blog.skyairline.com/innovacion-y-cercania-con-el-cliente-los-principales-avances-presentados-por-sky/</x:v>
      </x:c>
      <x:c r="M574" s="1" t="n">
        <x:v>2</x:v>
      </x:c>
    </x:row>
    <x:row r="575" ht="18.75" customHeight="1">
      <x:c r="A575" s="1" t="str">
        <x:v>https://blog.skyairline.com/equipaje-de-bodega/</x:v>
      </x:c>
      <x:c r="B575" s="1" t="str">
        <x:v>sky maleta de mano</x:v>
      </x:c>
      <x:c r="C575" s="1" t="str">
        <x:v>chl</x:v>
      </x:c>
      <x:c r="D575" s="1" t="str">
        <x:v>Marca</x:v>
      </x:c>
      <x:c r="E575" s="35" t="n">
        <x:v>3</x:v>
      </x:c>
      <x:c r="F575" s="36" t="n">
        <x:v>0.09</x:v>
      </x:c>
      <x:c r="G575" s="36" t="n">
        <x:f>IF(ISNUMBER(F575),E575*F575,"")</x:f>
        <x:v>0.27</x:v>
      </x:c>
      <x:c r="H575" s="37" t="d">
        <x:v>2026-10-15T00:00:00.000Z</x:v>
      </x:c>
      <x:c r="I575" s="37" t="d">
        <x:v>2026-09-12T23:04:58.999Z</x:v>
      </x:c>
      <x:c r="J575" s="1" t="n">
        <x:f>IF(ISNUMBER(F575),E575,0)</x:f>
        <x:v>3</x:v>
      </x:c>
      <x:c r="K575" s="1"/>
      <x:c r="L575" s="1" t="str">
        <x:v>https://blog.skyairline.com/invierno-en-latinoamerica/</x:v>
      </x:c>
      <x:c r="M575" s="1" t="n">
        <x:v>2</x:v>
      </x:c>
    </x:row>
    <x:row r="576" ht="18.75" customHeight="1">
      <x:c r="A576" s="1" t="str">
        <x:v>https://blog.skyairline.com/equipaje-de-bodega/</x:v>
      </x:c>
      <x:c r="B576" s="1" t="str">
        <x:v>sky medida bolso de mano</x:v>
      </x:c>
      <x:c r="C576" s="1" t="str">
        <x:v>chl</x:v>
      </x:c>
      <x:c r="D576" s="1" t="str">
        <x:v>Marca</x:v>
      </x:c>
      <x:c r="E576" s="35" t="n">
        <x:v>3</x:v>
      </x:c>
      <x:c r="F576" s="36"/>
      <x:c r="G576" s="36" t="str">
        <x:f>IF(ISNUMBER(F576),E576*F576,"")</x:f>
      </x:c>
      <x:c r="H576" s="37"/>
      <x:c r="I576" s="37"/>
      <x:c r="J576" s="1" t="n">
        <x:f>IF(ISNUMBER(F576),E576,0)</x:f>
        <x:v>0</x:v>
      </x:c>
      <x:c r="K576" s="1"/>
      <x:c r="L576" s="1" t="str">
        <x:v>https://blog.skyairline.com/isla-blanca/</x:v>
      </x:c>
      <x:c r="M576" s="1" t="n">
        <x:v>2</x:v>
      </x:c>
    </x:row>
    <x:row r="577" ht="18.75" customHeight="1">
      <x:c r="A577" s="1" t="str">
        <x:v>https://blog.skyairline.com/equipaje-de-bodega/</x:v>
      </x:c>
      <x:c r="B577" s="1" t="str">
        <x:v>sky medidas de equipaje</x:v>
      </x:c>
      <x:c r="C577" s="1" t="str">
        <x:v>ecu</x:v>
      </x:c>
      <x:c r="D577" s="1" t="str">
        <x:v>Marca</x:v>
      </x:c>
      <x:c r="E577" s="35" t="n">
        <x:v>3</x:v>
      </x:c>
      <x:c r="F577" s="36"/>
      <x:c r="G577" s="36" t="str">
        <x:f>IF(ISNUMBER(F577),E577*F577,"")</x:f>
      </x:c>
      <x:c r="H577" s="37"/>
      <x:c r="I577" s="37"/>
      <x:c r="J577" s="1" t="n">
        <x:f>IF(ISNUMBER(F577),E577,0)</x:f>
        <x:v>0</x:v>
      </x:c>
      <x:c r="K577" s="1"/>
      <x:c r="L577" s="1" t="str">
        <x:v>https://blog.skyairline.com/isla-grande-de-chiloe/</x:v>
      </x:c>
      <x:c r="M577" s="1" t="n">
        <x:v>2</x:v>
      </x:c>
    </x:row>
    <x:row r="578" ht="18.75" customHeight="1">
      <x:c r="A578" s="1" t="str">
        <x:v>https://blog.skyairline.com/equipaje-de-bodega/</x:v>
      </x:c>
      <x:c r="B578" s="1" t="str">
        <x:v>sky medidas de equipaje</x:v>
      </x:c>
      <x:c r="C578" s="1" t="str">
        <x:v>esp</x:v>
      </x:c>
      <x:c r="D578" s="1" t="str">
        <x:v>Marca</x:v>
      </x:c>
      <x:c r="E578" s="35" t="n">
        <x:v>3</x:v>
      </x:c>
      <x:c r="F578" s="36"/>
      <x:c r="G578" s="36" t="str">
        <x:f>IF(ISNUMBER(F578),E578*F578,"")</x:f>
      </x:c>
      <x:c r="H578" s="37"/>
      <x:c r="I578" s="37"/>
      <x:c r="J578" s="1" t="n">
        <x:f>IF(ISNUMBER(F578),E578,0)</x:f>
        <x:v>0</x:v>
      </x:c>
      <x:c r="K578" s="1"/>
      <x:c r="L578" s="1" t="str">
        <x:v>https://blog.skyairline.com/isla-navarino/</x:v>
      </x:c>
      <x:c r="M578" s="1" t="n">
        <x:v>2</x:v>
      </x:c>
    </x:row>
    <x:row r="579" ht="18.75" customHeight="1">
      <x:c r="A579" s="1" t="str">
        <x:v>https://blog.skyairline.com/equipaje-de-bodega/</x:v>
      </x:c>
      <x:c r="B579" s="1" t="str">
        <x:v>sky medidas mochila</x:v>
      </x:c>
      <x:c r="C579" s="1" t="str">
        <x:v>per</x:v>
      </x:c>
      <x:c r="D579" s="1" t="str">
        <x:v>Marca</x:v>
      </x:c>
      <x:c r="E579" s="35" t="n">
        <x:v>3</x:v>
      </x:c>
      <x:c r="F579" s="36"/>
      <x:c r="G579" s="36" t="str">
        <x:f>IF(ISNUMBER(F579),E579*F579,"")</x:f>
      </x:c>
      <x:c r="H579" s="37"/>
      <x:c r="I579" s="37"/>
      <x:c r="J579" s="1" t="n">
        <x:f>IF(ISNUMBER(F579),E579,0)</x:f>
        <x:v>0</x:v>
      </x:c>
      <x:c r="K579" s="1"/>
      <x:c r="L579" s="1" t="str">
        <x:v>https://blog.skyairline.com/jose-ignacio-dougnac-lider-destacado-en-la-industria-area-mundial-2023/</x:v>
      </x:c>
      <x:c r="M579" s="1" t="n">
        <x:v>2</x:v>
      </x:c>
    </x:row>
    <x:row r="580" ht="18.75" customHeight="1">
      <x:c r="A580" s="1" t="str">
        <x:v>https://blog.skyairline.com/equipaje-de-bodega/</x:v>
      </x:c>
      <x:c r="B580" s="1" t="str">
        <x:v>sky mochila de mano</x:v>
      </x:c>
      <x:c r="C580" s="1" t="str">
        <x:v>chl</x:v>
      </x:c>
      <x:c r="D580" s="1" t="str">
        <x:v>Marca</x:v>
      </x:c>
      <x:c r="E580" s="35" t="n">
        <x:v>3</x:v>
      </x:c>
      <x:c r="F580" s="36"/>
      <x:c r="G580" s="36" t="str">
        <x:f>IF(ISNUMBER(F580),E580*F580,"")</x:f>
      </x:c>
      <x:c r="H580" s="37"/>
      <x:c r="I580" s="37"/>
      <x:c r="J580" s="1" t="n">
        <x:f>IF(ISNUMBER(F580),E580,0)</x:f>
        <x:v>0</x:v>
      </x:c>
      <x:c r="K580" s="1"/>
      <x:c r="L580" s="1" t="str">
        <x:v>https://blog.skyairline.com/la-ia-al-servicio-de-la-sostenibilidad/</x:v>
      </x:c>
      <x:c r="M580" s="1" t="n">
        <x:v>2</x:v>
      </x:c>
    </x:row>
    <x:row r="581" ht="18.75" customHeight="1">
      <x:c r="A581" s="1" t="str">
        <x:v>https://blog.skyairline.com/equipaje-de-bodega/</x:v>
      </x:c>
      <x:c r="B581" s="1" t="str">
        <x:v>sky mochila de mano medidas</x:v>
      </x:c>
      <x:c r="C581" s="1" t="str">
        <x:v>chl</x:v>
      </x:c>
      <x:c r="D581" s="1" t="str">
        <x:v>Marca</x:v>
      </x:c>
      <x:c r="E581" s="35" t="n">
        <x:v>3</x:v>
      </x:c>
      <x:c r="F581" s="36"/>
      <x:c r="G581" s="36" t="str">
        <x:f>IF(ISNUMBER(F581),E581*F581,"")</x:f>
      </x:c>
      <x:c r="H581" s="37"/>
      <x:c r="I581" s="37"/>
      <x:c r="J581" s="1" t="n">
        <x:f>IF(ISNUMBER(F581),E581,0)</x:f>
        <x:v>0</x:v>
      </x:c>
      <x:c r="K581" s="1"/>
      <x:c r="L581" s="1" t="str">
        <x:v>https://blog.skyairline.com/labicolor-anuncia-a-sky-airline-como-su-nuevo-patrocinador/</x:v>
      </x:c>
      <x:c r="M581" s="1" t="n">
        <x:v>2</x:v>
      </x:c>
    </x:row>
    <x:row r="582" ht="18.75" customHeight="1">
      <x:c r="A582" s="1" t="str">
        <x:v>https://blog.skyairline.com/equipaje-de-bodega/</x:v>
      </x:c>
      <x:c r="B582" s="1" t="str">
        <x:v>sky tamaño equipaje</x:v>
      </x:c>
      <x:c r="C582" s="1" t="str">
        <x:v>chl</x:v>
      </x:c>
      <x:c r="D582" s="1" t="str">
        <x:v>Marca</x:v>
      </x:c>
      <x:c r="E582" s="35" t="n">
        <x:v>3</x:v>
      </x:c>
      <x:c r="F582" s="36"/>
      <x:c r="G582" s="36" t="str">
        <x:f>IF(ISNUMBER(F582),E582*F582,"")</x:f>
      </x:c>
      <x:c r="H582" s="37" t="d">
        <x:v>2026-10-15T00:00:00.000Z</x:v>
      </x:c>
      <x:c r="I582" s="37" t="d">
        <x:v>2026-09-13T13:16:38.000Z</x:v>
      </x:c>
      <x:c r="J582" s="1" t="n">
        <x:f>IF(ISNUMBER(F582),E582,0)</x:f>
        <x:v>0</x:v>
      </x:c>
      <x:c r="K582" s="1"/>
      <x:c r="L582" s="1" t="str">
        <x:v>https://blog.skyairline.com/lagos-del-sur-de-chile/</x:v>
      </x:c>
      <x:c r="M582" s="1" t="n">
        <x:v>2</x:v>
      </x:c>
    </x:row>
    <x:row r="583" ht="18.75" customHeight="1">
      <x:c r="A583" s="1" t="str">
        <x:v>https://blog.skyairline.com/equipaje-de-bodega/</x:v>
      </x:c>
      <x:c r="B583" s="1" t="str">
        <x:v>tamaño equipaje de mano sky</x:v>
      </x:c>
      <x:c r="C583" s="1" t="str">
        <x:v>chl</x:v>
      </x:c>
      <x:c r="D583" s="1" t="str">
        <x:v>Marca</x:v>
      </x:c>
      <x:c r="E583" s="35" t="n">
        <x:v>3</x:v>
      </x:c>
      <x:c r="F583" s="36"/>
      <x:c r="G583" s="36" t="str">
        <x:f>IF(ISNUMBER(F583),E583*F583,"")</x:f>
      </x:c>
      <x:c r="H583" s="37" t="d">
        <x:v>2026-10-15T00:00:00.000Z</x:v>
      </x:c>
      <x:c r="I583" s="37" t="d">
        <x:v>2026-10-15T03:03:29.000Z</x:v>
      </x:c>
      <x:c r="J583" s="1" t="n">
        <x:f>IF(ISNUMBER(F583),E583,0)</x:f>
        <x:v>0</x:v>
      </x:c>
      <x:c r="K583" s="1"/>
      <x:c r="L583" s="1" t="str">
        <x:v>https://blog.skyairline.com/laguna-69/</x:v>
      </x:c>
      <x:c r="M583" s="1" t="n">
        <x:v>2</x:v>
      </x:c>
    </x:row>
    <x:row r="584" ht="18.75" customHeight="1">
      <x:c r="A584" s="1" t="str">
        <x:v>https://blog.skyairline.com/equipaje-de-cabina/</x:v>
      </x:c>
      <x:c r="B584" s="1" t="str">
        <x:v>1 bolso de mano sky</x:v>
      </x:c>
      <x:c r="C584" s="1" t="str">
        <x:v>chl</x:v>
      </x:c>
      <x:c r="D584" s="1" t="str">
        <x:v>Marca</x:v>
      </x:c>
      <x:c r="E584" s="35" t="n">
        <x:v>3</x:v>
      </x:c>
      <x:c r="F584" s="36"/>
      <x:c r="G584" s="36" t="str">
        <x:f>IF(ISNUMBER(F584),E584*F584,"")</x:f>
      </x:c>
      <x:c r="H584" s="37"/>
      <x:c r="I584" s="37"/>
      <x:c r="J584" s="1" t="n">
        <x:f>IF(ISNUMBER(F584),E584,0)</x:f>
        <x:v>0</x:v>
      </x:c>
      <x:c r="K584" s="1"/>
      <x:c r="L584" s="1" t="str">
        <x:v>https://blog.skyairline.com/libros-cortos/</x:v>
      </x:c>
      <x:c r="M584" s="1" t="n">
        <x:v>2</x:v>
      </x:c>
    </x:row>
    <x:row r="585" ht="18.75" customHeight="1">
      <x:c r="A585" s="1" t="str">
        <x:v>https://blog.skyairline.com/equipaje-de-cabina/</x:v>
      </x:c>
      <x:c r="B585" s="1" t="str">
        <x:v>articulo personal sky airlines</x:v>
      </x:c>
      <x:c r="C585" s="1" t="str">
        <x:v>per</x:v>
      </x:c>
      <x:c r="D585" s="1" t="str">
        <x:v>Marca</x:v>
      </x:c>
      <x:c r="E585" s="35" t="n">
        <x:v>3</x:v>
      </x:c>
      <x:c r="F585" s="36"/>
      <x:c r="G585" s="36" t="str">
        <x:f>IF(ISNUMBER(F585),E585*F585,"")</x:f>
      </x:c>
      <x:c r="H585" s="37"/>
      <x:c r="I585" s="37"/>
      <x:c r="J585" s="1" t="n">
        <x:f>IF(ISNUMBER(F585),E585,0)</x:f>
        <x:v>0</x:v>
      </x:c>
      <x:c r="K585" s="1"/>
      <x:c r="L585" s="1" t="str">
        <x:v>https://blog.skyairline.com/lugares-para-comer-en-rio-de-janeiro/</x:v>
      </x:c>
      <x:c r="M585" s="1" t="n">
        <x:v>2</x:v>
      </x:c>
    </x:row>
    <x:row r="586" ht="18.75" customHeight="1">
      <x:c r="A586" s="1" t="str">
        <x:v>https://blog.skyairline.com/equipaje-de-cabina/</x:v>
      </x:c>
      <x:c r="B586" s="1" t="str">
        <x:v>artículo personal sky</x:v>
      </x:c>
      <x:c r="C586" s="1" t="str">
        <x:v>per</x:v>
      </x:c>
      <x:c r="D586" s="1" t="str">
        <x:v>Marca</x:v>
      </x:c>
      <x:c r="E586" s="35" t="n">
        <x:v>3</x:v>
      </x:c>
      <x:c r="F586" s="36"/>
      <x:c r="G586" s="36" t="str">
        <x:f>IF(ISNUMBER(F586),E586*F586,"")</x:f>
      </x:c>
      <x:c r="H586" s="37" t="d">
        <x:v>2026-10-15T00:00:00.000Z</x:v>
      </x:c>
      <x:c r="I586" s="37" t="d">
        <x:v>2026-09-17T05:10:37.999Z</x:v>
      </x:c>
      <x:c r="J586" s="1" t="n">
        <x:f>IF(ISNUMBER(F586),E586,0)</x:f>
        <x:v>0</x:v>
      </x:c>
      <x:c r="K586" s="1"/>
      <x:c r="L586" s="1" t="str">
        <x:v>https://blog.skyairline.com/lugares-para-visitar-en-buenos-aires/</x:v>
      </x:c>
      <x:c r="M586" s="1" t="n">
        <x:v>2</x:v>
      </x:c>
    </x:row>
    <x:row r="587" ht="18.75" customHeight="1">
      <x:c r="A587" s="1" t="str">
        <x:v>https://blog.skyairline.com/equipaje-de-cabina/</x:v>
      </x:c>
      <x:c r="B587" s="1" t="str">
        <x:v>bolso de mano sky airlines</x:v>
      </x:c>
      <x:c r="C587" s="1" t="str">
        <x:v>arg</x:v>
      </x:c>
      <x:c r="D587" s="1" t="str">
        <x:v>Marca</x:v>
      </x:c>
      <x:c r="E587" s="35" t="n">
        <x:v>3</x:v>
      </x:c>
      <x:c r="F587" s="36"/>
      <x:c r="G587" s="36" t="str">
        <x:f>IF(ISNUMBER(F587),E587*F587,"")</x:f>
      </x:c>
      <x:c r="H587" s="37"/>
      <x:c r="I587" s="37"/>
      <x:c r="J587" s="1" t="n">
        <x:f>IF(ISNUMBER(F587),E587,0)</x:f>
        <x:v>0</x:v>
      </x:c>
      <x:c r="K587" s="1"/>
      <x:c r="L587" s="1" t="str">
        <x:v>https://blog.skyairline.com/lugares-para-visitar-en-puerto-montt/</x:v>
      </x:c>
      <x:c r="M587" s="1" t="n">
        <x:v>2</x:v>
      </x:c>
    </x:row>
    <x:row r="588" ht="18.75" customHeight="1">
      <x:c r="A588" s="1" t="str">
        <x:v>https://blog.skyairline.com/equipaje-de-cabina/</x:v>
      </x:c>
      <x:c r="B588" s="1" t="str">
        <x:v>cual es el bolso de mano en sky</x:v>
      </x:c>
      <x:c r="C588" s="1" t="str">
        <x:v>chl</x:v>
      </x:c>
      <x:c r="D588" s="1" t="str">
        <x:v>Marca</x:v>
      </x:c>
      <x:c r="E588" s="35" t="n">
        <x:v>3</x:v>
      </x:c>
      <x:c r="F588" s="36"/>
      <x:c r="G588" s="36" t="str">
        <x:f>IF(ISNUMBER(F588),E588*F588,"")</x:f>
      </x:c>
      <x:c r="H588" s="37" t="d">
        <x:v>2026-10-15T00:00:00.000Z</x:v>
      </x:c>
      <x:c r="I588" s="37" t="d">
        <x:v>2026-09-13T23:11:38.000Z</x:v>
      </x:c>
      <x:c r="J588" s="1" t="n">
        <x:f>IF(ISNUMBER(F588),E588,0)</x:f>
        <x:v>0</x:v>
      </x:c>
      <x:c r="K588" s="1"/>
      <x:c r="L588" s="1" t="str">
        <x:v>https://blog.skyairline.com/lugares-turisticos-chile/</x:v>
      </x:c>
      <x:c r="M588" s="1" t="n">
        <x:v>2</x:v>
      </x:c>
    </x:row>
    <x:row r="589" ht="18.75" customHeight="1">
      <x:c r="A589" s="1" t="str">
        <x:v>https://blog.skyairline.com/equipaje-de-cabina/</x:v>
      </x:c>
      <x:c r="B589" s="1" t="str">
        <x:v>dimensiones equipaje de mano sky</x:v>
      </x:c>
      <x:c r="C589" s="1" t="str">
        <x:v>chl</x:v>
      </x:c>
      <x:c r="D589" s="1" t="str">
        <x:v>Marca</x:v>
      </x:c>
      <x:c r="E589" s="35" t="n">
        <x:v>3</x:v>
      </x:c>
      <x:c r="F589" s="36"/>
      <x:c r="G589" s="36" t="str">
        <x:f>IF(ISNUMBER(F589),E589*F589,"")</x:f>
      </x:c>
      <x:c r="H589" s="37"/>
      <x:c r="I589" s="37"/>
      <x:c r="J589" s="1" t="n">
        <x:f>IF(ISNUMBER(F589),E589,0)</x:f>
        <x:v>0</x:v>
      </x:c>
      <x:c r="K589" s="1"/>
      <x:c r="L589" s="1" t="str">
        <x:v>https://blog.skyairline.com/lugares-turisticos-en-pucallpa/</x:v>
      </x:c>
      <x:c r="M589" s="1" t="n">
        <x:v>2</x:v>
      </x:c>
    </x:row>
    <x:row r="590" ht="18.75" customHeight="1">
      <x:c r="A590" s="1" t="str">
        <x:v>https://blog.skyairline.com/equipaje-de-cabina/</x:v>
      </x:c>
      <x:c r="B590" s="1" t="str">
        <x:v>en sky</x:v>
      </x:c>
      <x:c r="C590" s="1" t="str">
        <x:v>per</x:v>
      </x:c>
      <x:c r="D590" s="1" t="str">
        <x:v>Marca</x:v>
      </x:c>
      <x:c r="E590" s="35" t="n">
        <x:v>3</x:v>
      </x:c>
      <x:c r="F590" s="36"/>
      <x:c r="G590" s="36" t="str">
        <x:f>IF(ISNUMBER(F590),E590*F590,"")</x:f>
      </x:c>
      <x:c r="H590" s="37"/>
      <x:c r="I590" s="37"/>
      <x:c r="J590" s="1" t="n">
        <x:f>IF(ISNUMBER(F590),E590,0)</x:f>
        <x:v>0</x:v>
      </x:c>
      <x:c r="K590" s="1"/>
      <x:c r="L590" s="1" t="str">
        <x:v>https://blog.skyairline.com/maraton-de-santiago/</x:v>
      </x:c>
      <x:c r="M590" s="1" t="n">
        <x:v>2</x:v>
      </x:c>
    </x:row>
    <x:row r="591" ht="18.75" customHeight="1">
      <x:c r="A591" s="1" t="str">
        <x:v>https://blog.skyairline.com/equipaje-de-cabina/</x:v>
      </x:c>
      <x:c r="B591" s="1" t="str">
        <x:v>equipaje de cabina</x:v>
      </x:c>
      <x:c r="C591" s="1" t="str">
        <x:v>per</x:v>
      </x:c>
      <x:c r="D591" s="1" t="str">
        <x:v>Sin marca</x:v>
      </x:c>
      <x:c r="E591" s="35" t="n">
        <x:v>3</x:v>
      </x:c>
      <x:c r="F591" s="36" t="n">
        <x:v>0.23</x:v>
      </x:c>
      <x:c r="G591" s="36" t="n">
        <x:f>IF(ISNUMBER(F591),E591*F591,"")</x:f>
        <x:v>0.6900000000000001</x:v>
      </x:c>
      <x:c r="H591" s="37" t="d">
        <x:v>2026-10-15T00:00:00.000Z</x:v>
      </x:c>
      <x:c r="I591" s="37" t="d">
        <x:v>2026-09-15T08:38:06.000Z</x:v>
      </x:c>
      <x:c r="J591" s="1" t="n">
        <x:f>IF(ISNUMBER(F591),E591,0)</x:f>
        <x:v>3</x:v>
      </x:c>
      <x:c r="K591" s="1"/>
      <x:c r="L591" s="1" t="str">
        <x:v>https://blog.skyairline.com/medidas-de-seguridad-en-aeropuertos/</x:v>
      </x:c>
      <x:c r="M591" s="1" t="n">
        <x:v>2</x:v>
      </x:c>
    </x:row>
    <x:row r="592" ht="18.75" customHeight="1">
      <x:c r="A592" s="1" t="str">
        <x:v>https://blog.skyairline.com/equipaje-de-cabina/</x:v>
      </x:c>
      <x:c r="B592" s="1" t="str">
        <x:v>equipaje de mano sky airlines</x:v>
      </x:c>
      <x:c r="C592" s="1" t="str">
        <x:v>esp</x:v>
      </x:c>
      <x:c r="D592" s="1" t="str">
        <x:v>Marca</x:v>
      </x:c>
      <x:c r="E592" s="35" t="n">
        <x:v>3</x:v>
      </x:c>
      <x:c r="F592" s="36"/>
      <x:c r="G592" s="36" t="str">
        <x:f>IF(ISNUMBER(F592),E592*F592,"")</x:f>
      </x:c>
      <x:c r="H592" s="37"/>
      <x:c r="I592" s="37"/>
      <x:c r="J592" s="1" t="n">
        <x:f>IF(ISNUMBER(F592),E592,0)</x:f>
        <x:v>0</x:v>
      </x:c>
      <x:c r="K592" s="1"/>
      <x:c r="L592" s="1" t="str">
        <x:v>https://blog.skyairline.com/mejor-fecha-para-ir-a-torres-del-paine-clima-y-recomendaciones/</x:v>
      </x:c>
      <x:c r="M592" s="1" t="n">
        <x:v>2</x:v>
      </x:c>
    </x:row>
    <x:row r="593" ht="18.75" customHeight="1">
      <x:c r="A593" s="1" t="str">
        <x:v>https://blog.skyairline.com/equipaje-de-cabina/</x:v>
      </x:c>
      <x:c r="B593" s="1" t="str">
        <x:v>equipaje de mano sky airlines</x:v>
      </x:c>
      <x:c r="C593" s="1" t="str">
        <x:v>ury</x:v>
      </x:c>
      <x:c r="D593" s="1" t="str">
        <x:v>Marca</x:v>
      </x:c>
      <x:c r="E593" s="35" t="n">
        <x:v>3</x:v>
      </x:c>
      <x:c r="F593" s="36"/>
      <x:c r="G593" s="36" t="str">
        <x:f>IF(ISNUMBER(F593),E593*F593,"")</x:f>
      </x:c>
      <x:c r="H593" s="37"/>
      <x:c r="I593" s="37"/>
      <x:c r="J593" s="1" t="n">
        <x:f>IF(ISNUMBER(F593),E593,0)</x:f>
        <x:v>0</x:v>
      </x:c>
      <x:c r="K593" s="1"/>
      <x:c r="L593" s="1" t="str">
        <x:v>https://blog.skyairline.com/miedo-a-volar/</x:v>
      </x:c>
      <x:c r="M593" s="1" t="n">
        <x:v>2</x:v>
      </x:c>
    </x:row>
    <x:row r="594" ht="18.75" customHeight="1">
      <x:c r="A594" s="1" t="str">
        <x:v>https://blog.skyairline.com/equipaje-de-cabina/</x:v>
      </x:c>
      <x:c r="B594" s="1" t="str">
        <x:v>equipaje sky</x:v>
      </x:c>
      <x:c r="C594" s="1" t="str">
        <x:v>per</x:v>
      </x:c>
      <x:c r="D594" s="1" t="str">
        <x:v>Marca</x:v>
      </x:c>
      <x:c r="E594" s="35" t="n">
        <x:v>3</x:v>
      </x:c>
      <x:c r="F594" s="36" t="n">
        <x:v>0.63</x:v>
      </x:c>
      <x:c r="G594" s="36" t="n">
        <x:f>IF(ISNUMBER(F594),E594*F594,"")</x:f>
        <x:v>1.8900000000000001</x:v>
      </x:c>
      <x:c r="H594" s="37" t="d">
        <x:v>2026-10-15T00:00:00.000Z</x:v>
      </x:c>
      <x:c r="I594" s="37" t="d">
        <x:v>2026-09-16T15:18:05.000Z</x:v>
      </x:c>
      <x:c r="J594" s="1" t="n">
        <x:f>IF(ISNUMBER(F594),E594,0)</x:f>
        <x:v>3</x:v>
      </x:c>
      <x:c r="K594" s="1"/>
      <x:c r="L594" s="1" t="str">
        <x:v>https://blog.skyairline.com/millennials-lideran-los-cielos-el-grupo-etario-de-26-a-40-anos-es-el-que-mas-viaja-con-sky/</x:v>
      </x:c>
      <x:c r="M594" s="1" t="n">
        <x:v>2</x:v>
      </x:c>
    </x:row>
    <x:row r="595" ht="18.75" customHeight="1">
      <x:c r="A595" s="1" t="str">
        <x:v>https://blog.skyairline.com/equipaje-de-cabina/</x:v>
      </x:c>
      <x:c r="B595" s="1" t="str">
        <x:v>equipaje sky medidas</x:v>
      </x:c>
      <x:c r="C595" s="1" t="str">
        <x:v>chl</x:v>
      </x:c>
      <x:c r="D595" s="1" t="str">
        <x:v>Marca</x:v>
      </x:c>
      <x:c r="E595" s="35" t="n">
        <x:v>3</x:v>
      </x:c>
      <x:c r="F595" s="36"/>
      <x:c r="G595" s="36" t="str">
        <x:f>IF(ISNUMBER(F595),E595*F595,"")</x:f>
      </x:c>
      <x:c r="H595" s="37" t="d">
        <x:v>2026-10-15T00:00:00.000Z</x:v>
      </x:c>
      <x:c r="I595" s="37" t="d">
        <x:v>2026-09-17T01:51:18.999Z</x:v>
      </x:c>
      <x:c r="J595" s="1" t="n">
        <x:f>IF(ISNUMBER(F595),E595,0)</x:f>
        <x:v>0</x:v>
      </x:c>
      <x:c r="K595" s="1"/>
      <x:c r="L595" s="1" t="str">
        <x:v>https://blog.skyairline.com/museo-de-sal/</x:v>
      </x:c>
      <x:c r="M595" s="1" t="n">
        <x:v>2</x:v>
      </x:c>
    </x:row>
    <x:row r="596" ht="18.75" customHeight="1">
      <x:c r="A596" s="1" t="str">
        <x:v>https://blog.skyairline.com/equipaje-de-cabina/</x:v>
      </x:c>
      <x:c r="B596" s="1" t="str">
        <x:v>medidas bolso de mano sky</x:v>
      </x:c>
      <x:c r="C596" s="1" t="str">
        <x:v>per</x:v>
      </x:c>
      <x:c r="D596" s="1" t="str">
        <x:v>Marca</x:v>
      </x:c>
      <x:c r="E596" s="35" t="n">
        <x:v>3</x:v>
      </x:c>
      <x:c r="F596" s="36"/>
      <x:c r="G596" s="36" t="str">
        <x:f>IF(ISNUMBER(F596),E596*F596,"")</x:f>
      </x:c>
      <x:c r="H596" s="37" t="d">
        <x:v>2026-10-15T00:00:00.000Z</x:v>
      </x:c>
      <x:c r="I596" s="37" t="d">
        <x:v>2026-09-17T18:34:19.000Z</x:v>
      </x:c>
      <x:c r="J596" s="1" t="n">
        <x:f>IF(ISNUMBER(F596),E596,0)</x:f>
        <x:v>0</x:v>
      </x:c>
      <x:c r="K596" s="1"/>
      <x:c r="L596" s="1" t="str">
        <x:v>https://blog.skyairline.com/no-perder-el-vuelo/</x:v>
      </x:c>
      <x:c r="M596" s="1" t="n">
        <x:v>2</x:v>
      </x:c>
    </x:row>
    <x:row r="597" ht="18.75" customHeight="1">
      <x:c r="A597" s="1" t="str">
        <x:v>https://blog.skyairline.com/equipaje-de-cabina/</x:v>
      </x:c>
      <x:c r="B597" s="1" t="str">
        <x:v>medidas de bolso de mano sky</x:v>
      </x:c>
      <x:c r="C597" s="1" t="str">
        <x:v>chl</x:v>
      </x:c>
      <x:c r="D597" s="1" t="str">
        <x:v>Marca</x:v>
      </x:c>
      <x:c r="E597" s="35" t="n">
        <x:v>3</x:v>
      </x:c>
      <x:c r="F597" s="36"/>
      <x:c r="G597" s="36" t="str">
        <x:f>IF(ISNUMBER(F597),E597*F597,"")</x:f>
      </x:c>
      <x:c r="H597" s="37"/>
      <x:c r="I597" s="37"/>
      <x:c r="J597" s="1" t="n">
        <x:f>IF(ISNUMBER(F597),E597,0)</x:f>
        <x:v>0</x:v>
      </x:c>
      <x:c r="K597" s="1"/>
      <x:c r="L597" s="1" t="str">
        <x:v>https://blog.skyairline.com/noroeste-argentino/</x:v>
      </x:c>
      <x:c r="M597" s="1" t="n">
        <x:v>2</x:v>
      </x:c>
    </x:row>
    <x:row r="598" ht="18.75" customHeight="1">
      <x:c r="A598" s="1" t="str">
        <x:v>https://blog.skyairline.com/equipaje-de-cabina/</x:v>
      </x:c>
      <x:c r="B598" s="1" t="str">
        <x:v>medidas de maleta de cabina sky</x:v>
      </x:c>
      <x:c r="C598" s="1" t="str">
        <x:v>chl</x:v>
      </x:c>
      <x:c r="D598" s="1" t="str">
        <x:v>Marca</x:v>
      </x:c>
      <x:c r="E598" s="35" t="n">
        <x:v>3</x:v>
      </x:c>
      <x:c r="F598" s="36" t="n">
        <x:v>0.09</x:v>
      </x:c>
      <x:c r="G598" s="36" t="n">
        <x:f>IF(ISNUMBER(F598),E598*F598,"")</x:f>
        <x:v>0.27</x:v>
      </x:c>
      <x:c r="H598" s="37" t="d">
        <x:v>2026-10-15T00:00:00.000Z</x:v>
      </x:c>
      <x:c r="I598" s="37" t="d">
        <x:v>2026-09-14T01:20:49.000Z</x:v>
      </x:c>
      <x:c r="J598" s="1" t="n">
        <x:f>IF(ISNUMBER(F598),E598,0)</x:f>
        <x:v>3</x:v>
      </x:c>
      <x:c r="K598" s="1"/>
      <x:c r="L598" s="1" t="str">
        <x:v>https://blog.skyairline.com/oasis-de-huacachina/</x:v>
      </x:c>
      <x:c r="M598" s="1" t="n">
        <x:v>2</x:v>
      </x:c>
    </x:row>
    <x:row r="599" ht="18.75" customHeight="1">
      <x:c r="A599" s="1" t="str">
        <x:v>https://blog.skyairline.com/equipaje-de-cabina/</x:v>
      </x:c>
      <x:c r="B599" s="1" t="str">
        <x:v>medidas de maleta de mano sky</x:v>
      </x:c>
      <x:c r="C599" s="1" t="str">
        <x:v>per</x:v>
      </x:c>
      <x:c r="D599" s="1" t="str">
        <x:v>Marca</x:v>
      </x:c>
      <x:c r="E599" s="35" t="n">
        <x:v>3</x:v>
      </x:c>
      <x:c r="F599" s="36"/>
      <x:c r="G599" s="36" t="str">
        <x:f>IF(ISNUMBER(F599),E599*F599,"")</x:f>
      </x:c>
      <x:c r="H599" s="37" t="d">
        <x:v>2026-10-15T00:00:00.000Z</x:v>
      </x:c>
      <x:c r="I599" s="37" t="d">
        <x:v>2026-09-13T14:36:02.000Z</x:v>
      </x:c>
      <x:c r="J599" s="1" t="n">
        <x:f>IF(ISNUMBER(F599),E599,0)</x:f>
        <x:v>0</x:v>
      </x:c>
      <x:c r="K599" s="1"/>
      <x:c r="L599" s="1" t="str">
        <x:v>https://blog.skyairline.com/oscar-del-turismo/</x:v>
      </x:c>
      <x:c r="M599" s="1" t="n">
        <x:v>2</x:v>
      </x:c>
    </x:row>
    <x:row r="600" ht="18.75" customHeight="1">
      <x:c r="A600" s="1" t="str">
        <x:v>https://blog.skyairline.com/equipaje-de-cabina/</x:v>
      </x:c>
      <x:c r="B600" s="1" t="str">
        <x:v>medidas de mochila sky</x:v>
      </x:c>
      <x:c r="C600" s="1" t="str">
        <x:v>chl</x:v>
      </x:c>
      <x:c r="D600" s="1" t="str">
        <x:v>Marca</x:v>
      </x:c>
      <x:c r="E600" s="35" t="n">
        <x:v>3</x:v>
      </x:c>
      <x:c r="F600" s="36"/>
      <x:c r="G600" s="36" t="str">
        <x:f>IF(ISNUMBER(F600),E600*F600,"")</x:f>
      </x:c>
      <x:c r="H600" s="37"/>
      <x:c r="I600" s="37"/>
      <x:c r="J600" s="1" t="n">
        <x:f>IF(ISNUMBER(F600),E600,0)</x:f>
        <x:v>0</x:v>
      </x:c>
      <x:c r="K600" s="1"/>
      <x:c r="L600" s="1" t="str">
        <x:v>https://blog.skyairline.com/parque-nacional-alerce-andino/</x:v>
      </x:c>
      <x:c r="M600" s="1" t="n">
        <x:v>2</x:v>
      </x:c>
    </x:row>
    <x:row r="601" ht="18.75" customHeight="1">
      <x:c r="A601" s="1" t="str">
        <x:v>https://blog.skyairline.com/equipaje-de-cabina/</x:v>
      </x:c>
      <x:c r="B601" s="1" t="str">
        <x:v>medidas del bolso de mano sky</x:v>
      </x:c>
      <x:c r="C601" s="1" t="str">
        <x:v>per</x:v>
      </x:c>
      <x:c r="D601" s="1" t="str">
        <x:v>Marca</x:v>
      </x:c>
      <x:c r="E601" s="35" t="n">
        <x:v>3</x:v>
      </x:c>
      <x:c r="F601" s="36"/>
      <x:c r="G601" s="36" t="str">
        <x:f>IF(ISNUMBER(F601),E601*F601,"")</x:f>
      </x:c>
      <x:c r="H601" s="37"/>
      <x:c r="I601" s="37"/>
      <x:c r="J601" s="1" t="n">
        <x:f>IF(ISNUMBER(F601),E601,0)</x:f>
        <x:v>0</x:v>
      </x:c>
      <x:c r="K601" s="1"/>
      <x:c r="L601" s="1" t="str">
        <x:v>https://blog.skyairline.com/pasajes-a-mexico-2/</x:v>
      </x:c>
      <x:c r="M601" s="1" t="n">
        <x:v>2</x:v>
      </x:c>
    </x:row>
    <x:row r="602" ht="18.75" customHeight="1">
      <x:c r="A602" s="1" t="str">
        <x:v>https://blog.skyairline.com/equipaje-de-cabina/</x:v>
      </x:c>
      <x:c r="B602" s="1" t="str">
        <x:v>medidas equipaje de mano sky</x:v>
      </x:c>
      <x:c r="C602" s="1" t="str">
        <x:v>per</x:v>
      </x:c>
      <x:c r="D602" s="1" t="str">
        <x:v>Marca</x:v>
      </x:c>
      <x:c r="E602" s="35" t="n">
        <x:v>3</x:v>
      </x:c>
      <x:c r="F602" s="36" t="n">
        <x:v>1.14</x:v>
      </x:c>
      <x:c r="G602" s="36" t="n">
        <x:f>IF(ISNUMBER(F602),E602*F602,"")</x:f>
        <x:v>3.42</x:v>
      </x:c>
      <x:c r="H602" s="37" t="d">
        <x:v>2026-10-15T00:00:00.000Z</x:v>
      </x:c>
      <x:c r="I602" s="37" t="d">
        <x:v>2026-09-17T02:25:50.000Z</x:v>
      </x:c>
      <x:c r="J602" s="1" t="n">
        <x:f>IF(ISNUMBER(F602),E602,0)</x:f>
        <x:v>3</x:v>
      </x:c>
      <x:c r="K602" s="1"/>
      <x:c r="L602" s="1" t="str">
        <x:v>https://blog.skyairline.com/paseo-del-mar-de-antofagasta/</x:v>
      </x:c>
      <x:c r="M602" s="1" t="n">
        <x:v>2</x:v>
      </x:c>
    </x:row>
    <x:row r="603" ht="18.75" customHeight="1">
      <x:c r="A603" s="1" t="str">
        <x:v>https://blog.skyairline.com/equipaje-de-cabina/</x:v>
      </x:c>
      <x:c r="B603" s="1" t="str">
        <x:v>medidas maleta de cabina sky chile</x:v>
      </x:c>
      <x:c r="C603" s="1" t="str">
        <x:v>chl</x:v>
      </x:c>
      <x:c r="D603" s="1" t="str">
        <x:v>Marca</x:v>
      </x:c>
      <x:c r="E603" s="35" t="n">
        <x:v>3</x:v>
      </x:c>
      <x:c r="F603" s="36"/>
      <x:c r="G603" s="36" t="str">
        <x:f>IF(ISNUMBER(F603),E603*F603,"")</x:f>
      </x:c>
      <x:c r="H603" s="37" t="d">
        <x:v>2026-10-15T00:00:00.000Z</x:v>
      </x:c>
      <x:c r="I603" s="37" t="d">
        <x:v>2026-09-13T18:23:26.000Z</x:v>
      </x:c>
      <x:c r="J603" s="1" t="n">
        <x:f>IF(ISNUMBER(F603),E603,0)</x:f>
        <x:v>0</x:v>
      </x:c>
      <x:c r="K603" s="1"/>
      <x:c r="L603" s="1" t="str">
        <x:v>https://blog.skyairline.com/paseo-por-el-lago-guaiba/</x:v>
      </x:c>
      <x:c r="M603" s="1" t="n">
        <x:v>2</x:v>
      </x:c>
    </x:row>
    <x:row r="604" ht="18.75" customHeight="1">
      <x:c r="A604" s="1" t="str">
        <x:v>https://blog.skyairline.com/equipaje-de-cabina/</x:v>
      </x:c>
      <x:c r="B604" s="1" t="str">
        <x:v>mochila de mano sky medidas</x:v>
      </x:c>
      <x:c r="C604" s="1" t="str">
        <x:v>chl</x:v>
      </x:c>
      <x:c r="D604" s="1" t="str">
        <x:v>Marca</x:v>
      </x:c>
      <x:c r="E604" s="35" t="n">
        <x:v>3</x:v>
      </x:c>
      <x:c r="F604" s="36"/>
      <x:c r="G604" s="36" t="str">
        <x:f>IF(ISNUMBER(F604),E604*F604,"")</x:f>
      </x:c>
      <x:c r="H604" s="37"/>
      <x:c r="I604" s="37"/>
      <x:c r="J604" s="1" t="n">
        <x:f>IF(ISNUMBER(F604),E604,0)</x:f>
        <x:v>0</x:v>
      </x:c>
      <x:c r="K604" s="1"/>
      <x:c r="L604" s="1" t="str">
        <x:v>https://blog.skyairline.com/patagonia-chilena/</x:v>
      </x:c>
      <x:c r="M604" s="1" t="n">
        <x:v>2</x:v>
      </x:c>
    </x:row>
    <x:row r="605" ht="18.75" customHeight="1">
      <x:c r="A605" s="1" t="str">
        <x:v>https://blog.skyairline.com/equipaje-de-cabina/</x:v>
      </x:c>
      <x:c r="B605" s="1" t="str">
        <x:v>mochila de viaje sky medidas</x:v>
      </x:c>
      <x:c r="C605" s="1" t="str">
        <x:v>chl</x:v>
      </x:c>
      <x:c r="D605" s="1" t="str">
        <x:v>Marca</x:v>
      </x:c>
      <x:c r="E605" s="35" t="n">
        <x:v>3</x:v>
      </x:c>
      <x:c r="F605" s="36"/>
      <x:c r="G605" s="36" t="str">
        <x:f>IF(ISNUMBER(F605),E605*F605,"")</x:f>
      </x:c>
      <x:c r="H605" s="37"/>
      <x:c r="I605" s="37"/>
      <x:c r="J605" s="1" t="n">
        <x:f>IF(ISNUMBER(F605),E605,0)</x:f>
        <x:v>0</x:v>
      </x:c>
      <x:c r="K605" s="1"/>
      <x:c r="L605" s="1" t="str">
        <x:v>https://blog.skyairline.com/peninsula-de-yucatan/</x:v>
      </x:c>
      <x:c r="M605" s="1" t="n">
        <x:v>2</x:v>
      </x:c>
    </x:row>
    <x:row r="606" ht="18.75" customHeight="1">
      <x:c r="A606" s="1" t="str">
        <x:v>https://blog.skyairline.com/equipaje-de-cabina/</x:v>
      </x:c>
      <x:c r="B606" s="1" t="str">
        <x:v>mochila sky airlines</x:v>
      </x:c>
      <x:c r="C606" s="1" t="str">
        <x:v>chl</x:v>
      </x:c>
      <x:c r="D606" s="1" t="str">
        <x:v>Marca</x:v>
      </x:c>
      <x:c r="E606" s="35" t="n">
        <x:v>3</x:v>
      </x:c>
      <x:c r="F606" s="36"/>
      <x:c r="G606" s="36" t="str">
        <x:f>IF(ISNUMBER(F606),E606*F606,"")</x:f>
      </x:c>
      <x:c r="H606" s="37" t="d">
        <x:v>2026-10-15T00:00:00.000Z</x:v>
      </x:c>
      <x:c r="I606" s="37" t="d">
        <x:v>2026-09-14T10:59:28.000Z</x:v>
      </x:c>
      <x:c r="J606" s="1" t="n">
        <x:f>IF(ISNUMBER(F606),E606,0)</x:f>
        <x:v>0</x:v>
      </x:c>
      <x:c r="K606" s="1"/>
      <x:c r="L606" s="1" t="str">
        <x:v>https://blog.skyairline.com/petropolis/</x:v>
      </x:c>
      <x:c r="M606" s="1" t="n">
        <x:v>2</x:v>
      </x:c>
    </x:row>
    <x:row r="607" ht="18.75" customHeight="1">
      <x:c r="A607" s="1" t="str">
        <x:v>https://blog.skyairline.com/equipaje-de-cabina/</x:v>
      </x:c>
      <x:c r="B607" s="1" t="str">
        <x:v>que no se puede llevar en el equipaje de mano sky</x:v>
      </x:c>
      <x:c r="C607" s="1" t="str">
        <x:v>chl</x:v>
      </x:c>
      <x:c r="D607" s="1" t="str">
        <x:v>Marca</x:v>
      </x:c>
      <x:c r="E607" s="35" t="n">
        <x:v>3</x:v>
      </x:c>
      <x:c r="F607" s="36"/>
      <x:c r="G607" s="36" t="str">
        <x:f>IF(ISNUMBER(F607),E607*F607,"")</x:f>
      </x:c>
      <x:c r="H607" s="37"/>
      <x:c r="I607" s="37"/>
      <x:c r="J607" s="1" t="n">
        <x:f>IF(ISNUMBER(F607),E607,0)</x:f>
        <x:v>0</x:v>
      </x:c>
      <x:c r="K607" s="1"/>
      <x:c r="L607" s="1" t="str">
        <x:v>https://blog.skyairline.com/playa-copacabana/</x:v>
      </x:c>
      <x:c r="M607" s="1" t="n">
        <x:v>2</x:v>
      </x:c>
    </x:row>
    <x:row r="608" ht="18.75" customHeight="1">
      <x:c r="A608" s="1" t="str">
        <x:v>https://blog.skyairline.com/equipaje-de-cabina/</x:v>
      </x:c>
      <x:c r="B608" s="1" t="str">
        <x:v>sky airline equipaje de mano</x:v>
      </x:c>
      <x:c r="C608" s="1" t="str">
        <x:v>chl</x:v>
      </x:c>
      <x:c r="D608" s="1" t="str">
        <x:v>Marca</x:v>
      </x:c>
      <x:c r="E608" s="35" t="n">
        <x:v>3</x:v>
      </x:c>
      <x:c r="F608" s="36" t="n">
        <x:v>1.82</x:v>
      </x:c>
      <x:c r="G608" s="36" t="n">
        <x:f>IF(ISNUMBER(F608),E608*F608,"")</x:f>
        <x:v>5.46</x:v>
      </x:c>
      <x:c r="H608" s="37" t="d">
        <x:v>2026-10-15T00:00:00.000Z</x:v>
      </x:c>
      <x:c r="I608" s="37" t="d">
        <x:v>2026-09-14T08:16:34.000Z</x:v>
      </x:c>
      <x:c r="J608" s="1" t="n">
        <x:f>IF(ISNUMBER(F608),E608,0)</x:f>
        <x:v>3</x:v>
      </x:c>
      <x:c r="K608" s="1"/>
      <x:c r="L608" s="1" t="str">
        <x:v>https://blog.skyairline.com/playa-la-virgen-de-la-region-atacama/</x:v>
      </x:c>
      <x:c r="M608" s="1" t="n">
        <x:v>2</x:v>
      </x:c>
    </x:row>
    <x:row r="609" ht="18.75" customHeight="1">
      <x:c r="A609" s="1" t="str">
        <x:v>https://blog.skyairline.com/equipaje-de-cabina/</x:v>
      </x:c>
      <x:c r="B609" s="1" t="str">
        <x:v>sky airline equipaje de mano</x:v>
      </x:c>
      <x:c r="C609" s="1" t="str">
        <x:v>per</x:v>
      </x:c>
      <x:c r="D609" s="1" t="str">
        <x:v>Marca</x:v>
      </x:c>
      <x:c r="E609" s="35" t="n">
        <x:v>3</x:v>
      </x:c>
      <x:c r="F609" s="36"/>
      <x:c r="G609" s="36" t="str">
        <x:f>IF(ISNUMBER(F609),E609*F609,"")</x:f>
      </x:c>
      <x:c r="H609" s="37" t="d">
        <x:v>2026-10-15T00:00:00.000Z</x:v>
      </x:c>
      <x:c r="I609" s="37" t="d">
        <x:v>2026-09-16T19:29:58.000Z</x:v>
      </x:c>
      <x:c r="J609" s="1" t="n">
        <x:f>IF(ISNUMBER(F609),E609,0)</x:f>
        <x:v>0</x:v>
      </x:c>
      <x:c r="K609" s="1"/>
      <x:c r="L609" s="1" t="str">
        <x:v>https://blog.skyairline.com/playas-al-norte-de-chile/</x:v>
      </x:c>
      <x:c r="M609" s="1" t="n">
        <x:v>2</x:v>
      </x:c>
    </x:row>
    <x:row r="610" ht="18.75" customHeight="1">
      <x:c r="A610" s="1" t="str">
        <x:v>https://blog.skyairline.com/equipaje-de-cabina/</x:v>
      </x:c>
      <x:c r="B610" s="1" t="str">
        <x:v>sky airlines bolso de mano medidas</x:v>
      </x:c>
      <x:c r="C610" s="1" t="str">
        <x:v>per</x:v>
      </x:c>
      <x:c r="D610" s="1" t="str">
        <x:v>Marca</x:v>
      </x:c>
      <x:c r="E610" s="35" t="n">
        <x:v>3</x:v>
      </x:c>
      <x:c r="F610" s="36"/>
      <x:c r="G610" s="36" t="str">
        <x:f>IF(ISNUMBER(F610),E610*F610,"")</x:f>
      </x:c>
      <x:c r="H610" s="37"/>
      <x:c r="I610" s="37"/>
      <x:c r="J610" s="1" t="n">
        <x:f>IF(ISNUMBER(F610),E610,0)</x:f>
        <x:v>0</x:v>
      </x:c>
      <x:c r="K610" s="1"/>
      <x:c r="L610" s="1" t="str">
        <x:v>https://blog.skyairline.com/playas-de-lima-2/</x:v>
      </x:c>
      <x:c r="M610" s="1" t="n">
        <x:v>2</x:v>
      </x:c>
    </x:row>
    <x:row r="611" ht="18.75" customHeight="1">
      <x:c r="A611" s="1" t="str">
        <x:v>https://blog.skyairline.com/equipaje-de-cabina/</x:v>
      </x:c>
      <x:c r="B611" s="1" t="str">
        <x:v>sky airlines equipaje permitido</x:v>
      </x:c>
      <x:c r="C611" s="1" t="str">
        <x:v>arg</x:v>
      </x:c>
      <x:c r="D611" s="1" t="str">
        <x:v>Marca</x:v>
      </x:c>
      <x:c r="E611" s="35" t="n">
        <x:v>3</x:v>
      </x:c>
      <x:c r="F611" s="36"/>
      <x:c r="G611" s="36" t="str">
        <x:f>IF(ISNUMBER(F611),E611*F611,"")</x:f>
      </x:c>
      <x:c r="H611" s="37"/>
      <x:c r="I611" s="37"/>
      <x:c r="J611" s="1" t="n">
        <x:f>IF(ISNUMBER(F611),E611,0)</x:f>
        <x:v>0</x:v>
      </x:c>
      <x:c r="K611" s="1"/>
      <x:c r="L611" s="1" t="str">
        <x:v>https://blog.skyairline.com/playas-salvador-bahia-2/</x:v>
      </x:c>
      <x:c r="M611" s="1" t="n">
        <x:v>2</x:v>
      </x:c>
    </x:row>
    <x:row r="612" ht="18.75" customHeight="1">
      <x:c r="A612" s="1" t="str">
        <x:v>https://blog.skyairline.com/equipaje-de-cabina/</x:v>
      </x:c>
      <x:c r="B612" s="1" t="str">
        <x:v>sky bolso de mano medidas</x:v>
      </x:c>
      <x:c r="C612" s="1" t="str">
        <x:v>per</x:v>
      </x:c>
      <x:c r="D612" s="1" t="str">
        <x:v>Marca</x:v>
      </x:c>
      <x:c r="E612" s="35" t="n">
        <x:v>3</x:v>
      </x:c>
      <x:c r="F612" s="36"/>
      <x:c r="G612" s="36" t="str">
        <x:f>IF(ISNUMBER(F612),E612*F612,"")</x:f>
      </x:c>
      <x:c r="H612" s="37"/>
      <x:c r="I612" s="37"/>
      <x:c r="J612" s="1" t="n">
        <x:f>IF(ISNUMBER(F612),E612,0)</x:f>
        <x:v>0</x:v>
      </x:c>
      <x:c r="K612" s="1"/>
      <x:c r="L612" s="1" t="str">
        <x:v>https://blog.skyairline.com/playas-uruguay/</x:v>
      </x:c>
      <x:c r="M612" s="1" t="n">
        <x:v>2</x:v>
      </x:c>
    </x:row>
    <x:row r="613" ht="18.75" customHeight="1">
      <x:c r="A613" s="1" t="str">
        <x:v>https://blog.skyairline.com/equipaje-de-cabina/</x:v>
      </x:c>
      <x:c r="B613" s="1" t="str">
        <x:v>sky carry on</x:v>
      </x:c>
      <x:c r="C613" s="1" t="str">
        <x:v>per</x:v>
      </x:c>
      <x:c r="D613" s="1" t="str">
        <x:v>Marca</x:v>
      </x:c>
      <x:c r="E613" s="35" t="n">
        <x:v>3</x:v>
      </x:c>
      <x:c r="F613" s="36"/>
      <x:c r="G613" s="36" t="str">
        <x:f>IF(ISNUMBER(F613),E613*F613,"")</x:f>
      </x:c>
      <x:c r="H613" s="37"/>
      <x:c r="I613" s="37"/>
      <x:c r="J613" s="1" t="n">
        <x:f>IF(ISNUMBER(F613),E613,0)</x:f>
        <x:v>0</x:v>
      </x:c>
      <x:c r="K613" s="1"/>
      <x:c r="L613" s="1" t="str">
        <x:v>https://blog.skyairline.com/porto-seguro/</x:v>
      </x:c>
      <x:c r="M613" s="1" t="n">
        <x:v>2</x:v>
      </x:c>
    </x:row>
    <x:row r="614" ht="18.75" customHeight="1">
      <x:c r="A614" s="1" t="str">
        <x:v>https://blog.skyairline.com/equipaje-de-cabina/</x:v>
      </x:c>
      <x:c r="B614" s="1" t="str">
        <x:v>sky carry on medidas</x:v>
      </x:c>
      <x:c r="C614" s="1" t="str">
        <x:v>per</x:v>
      </x:c>
      <x:c r="D614" s="1" t="str">
        <x:v>Marca</x:v>
      </x:c>
      <x:c r="E614" s="35" t="n">
        <x:v>3</x:v>
      </x:c>
      <x:c r="F614" s="36"/>
      <x:c r="G614" s="36" t="str">
        <x:f>IF(ISNUMBER(F614),E614*F614,"")</x:f>
      </x:c>
      <x:c r="H614" s="37"/>
      <x:c r="I614" s="37"/>
      <x:c r="J614" s="1" t="n">
        <x:f>IF(ISNUMBER(F614),E614,0)</x:f>
        <x:v>0</x:v>
      </x:c>
      <x:c r="K614" s="1"/>
      <x:c r="L614" s="1" t="str">
        <x:v>https://blog.skyairline.com/praia-do-rosa/</x:v>
      </x:c>
      <x:c r="M614" s="1" t="n">
        <x:v>2</x:v>
      </x:c>
    </x:row>
    <x:row r="615" ht="18.75" customHeight="1">
      <x:c r="A615" s="1" t="str">
        <x:v>https://blog.skyairline.com/equipaje-de-cabina/</x:v>
      </x:c>
      <x:c r="B615" s="1" t="str">
        <x:v>sky maletas</x:v>
      </x:c>
      <x:c r="C615" s="1" t="str">
        <x:v>per</x:v>
      </x:c>
      <x:c r="D615" s="1" t="str">
        <x:v>Marca</x:v>
      </x:c>
      <x:c r="E615" s="35" t="n">
        <x:v>3</x:v>
      </x:c>
      <x:c r="F615" s="36" t="n">
        <x:v>0.3</x:v>
      </x:c>
      <x:c r="G615" s="36" t="n">
        <x:f>IF(ISNUMBER(F615),E615*F615,"")</x:f>
        <x:v>0.8999999999999999</x:v>
      </x:c>
      <x:c r="H615" s="37" t="d">
        <x:v>2026-10-15T00:00:00.000Z</x:v>
      </x:c>
      <x:c r="I615" s="37" t="d">
        <x:v>2026-09-13T09:30:32.999Z</x:v>
      </x:c>
      <x:c r="J615" s="1" t="n">
        <x:f>IF(ISNUMBER(F615),E615,0)</x:f>
        <x:v>3</x:v>
      </x:c>
      <x:c r="K615" s="1"/>
      <x:c r="L615" s="1" t="str">
        <x:v>https://blog.skyairline.com/presencia-en-brasil-sky/</x:v>
      </x:c>
      <x:c r="M615" s="1" t="n">
        <x:v>2</x:v>
      </x:c>
    </x:row>
    <x:row r="616" ht="18.75" customHeight="1">
      <x:c r="A616" s="1" t="str">
        <x:v>https://blog.skyairline.com/equipaje-de-cabina/</x:v>
      </x:c>
      <x:c r="B616" s="1" t="str">
        <x:v>sky maletas medidas</x:v>
      </x:c>
      <x:c r="C616" s="1" t="str">
        <x:v>per</x:v>
      </x:c>
      <x:c r="D616" s="1" t="str">
        <x:v>Marca</x:v>
      </x:c>
      <x:c r="E616" s="35" t="n">
        <x:v>3</x:v>
      </x:c>
      <x:c r="F616" s="36"/>
      <x:c r="G616" s="36" t="str">
        <x:f>IF(ISNUMBER(F616),E616*F616,"")</x:f>
      </x:c>
      <x:c r="H616" s="37"/>
      <x:c r="I616" s="37"/>
      <x:c r="J616" s="1" t="n">
        <x:f>IF(ISNUMBER(F616),E616,0)</x:f>
        <x:v>0</x:v>
      </x:c>
      <x:c r="K616" s="1"/>
      <x:c r="L616" s="1" t="str">
        <x:v>https://blog.skyairline.com/pucallpa/</x:v>
      </x:c>
      <x:c r="M616" s="1" t="n">
        <x:v>2</x:v>
      </x:c>
    </x:row>
    <x:row r="617" ht="18.75" customHeight="1">
      <x:c r="A617" s="1" t="str">
        <x:v>https://blog.skyairline.com/equipaje-de-cabina/</x:v>
      </x:c>
      <x:c r="B617" s="1" t="str">
        <x:v>sky medidas equipaje</x:v>
      </x:c>
      <x:c r="C617" s="1" t="str">
        <x:v>chl</x:v>
      </x:c>
      <x:c r="D617" s="1" t="str">
        <x:v>Marca</x:v>
      </x:c>
      <x:c r="E617" s="35" t="n">
        <x:v>3</x:v>
      </x:c>
      <x:c r="F617" s="36"/>
      <x:c r="G617" s="36" t="str">
        <x:f>IF(ISNUMBER(F617),E617*F617,"")</x:f>
      </x:c>
      <x:c r="H617" s="37" t="d">
        <x:v>2026-10-15T00:00:00.000Z</x:v>
      </x:c>
      <x:c r="I617" s="37" t="d">
        <x:v>2026-09-14T10:28:42.000Z</x:v>
      </x:c>
      <x:c r="J617" s="1" t="n">
        <x:f>IF(ISNUMBER(F617),E617,0)</x:f>
        <x:v>0</x:v>
      </x:c>
      <x:c r="K617" s="1"/>
      <x:c r="L617" s="1" t="str">
        <x:v>https://blog.skyairline.com/puerto-maldonado/</x:v>
      </x:c>
      <x:c r="M617" s="1" t="n">
        <x:v>2</x:v>
      </x:c>
    </x:row>
    <x:row r="618" ht="18.75" customHeight="1">
      <x:c r="A618" s="1" t="str">
        <x:v>https://blog.skyairline.com/equipaje-de-cabina/</x:v>
      </x:c>
      <x:c r="B618" s="1" t="str">
        <x:v>sky medidas equipaje de mano</x:v>
      </x:c>
      <x:c r="C618" s="1" t="str">
        <x:v>ury</x:v>
      </x:c>
      <x:c r="D618" s="1" t="str">
        <x:v>Marca</x:v>
      </x:c>
      <x:c r="E618" s="35" t="n">
        <x:v>3</x:v>
      </x:c>
      <x:c r="F618" s="36"/>
      <x:c r="G618" s="36" t="str">
        <x:f>IF(ISNUMBER(F618),E618*F618,"")</x:f>
      </x:c>
      <x:c r="H618" s="37"/>
      <x:c r="I618" s="37"/>
      <x:c r="J618" s="1" t="n">
        <x:f>IF(ISNUMBER(F618),E618,0)</x:f>
        <x:v>0</x:v>
      </x:c>
      <x:c r="K618" s="1"/>
      <x:c r="L618" s="1" t="str">
        <x:v>https://blog.skyairline.com/puerto-natales-2/</x:v>
      </x:c>
      <x:c r="M618" s="1" t="n">
        <x:v>2</x:v>
      </x:c>
    </x:row>
    <x:row r="619" ht="18.75" customHeight="1">
      <x:c r="A619" s="1" t="str">
        <x:v>https://blog.skyairline.com/equipaje-de-cabina/</x:v>
      </x:c>
      <x:c r="B619" s="1" t="str">
        <x:v>sky mochila de mano</x:v>
      </x:c>
      <x:c r="C619" s="1" t="str">
        <x:v>arg</x:v>
      </x:c>
      <x:c r="D619" s="1" t="str">
        <x:v>Marca</x:v>
      </x:c>
      <x:c r="E619" s="35" t="n">
        <x:v>3</x:v>
      </x:c>
      <x:c r="F619" s="36"/>
      <x:c r="G619" s="36" t="str">
        <x:f>IF(ISNUMBER(F619),E619*F619,"")</x:f>
      </x:c>
      <x:c r="H619" s="37"/>
      <x:c r="I619" s="37"/>
      <x:c r="J619" s="1" t="n">
        <x:f>IF(ISNUMBER(F619),E619,0)</x:f>
        <x:v>0</x:v>
      </x:c>
      <x:c r="K619" s="1"/>
      <x:c r="L619" s="1" t="str">
        <x:v>https://blog.skyairline.com/punta-del-este-playas/</x:v>
      </x:c>
      <x:c r="M619" s="1" t="n">
        <x:v>2</x:v>
      </x:c>
    </x:row>
    <x:row r="620" ht="18.75" customHeight="1">
      <x:c r="A620" s="1" t="str">
        <x:v>https://blog.skyairline.com/equipaje-de-mano-permitido/</x:v>
      </x:c>
      <x:c r="B620" s="1" t="str">
        <x:v>que no se puede llevar en el equipaje de mano</x:v>
      </x:c>
      <x:c r="C620" s="1" t="str">
        <x:v>chl</x:v>
      </x:c>
      <x:c r="D620" s="1" t="str">
        <x:v>Sin marca</x:v>
      </x:c>
      <x:c r="E620" s="35" t="n">
        <x:v>3</x:v>
      </x:c>
      <x:c r="F620" s="36" t="n">
        <x:v>0.07</x:v>
      </x:c>
      <x:c r="G620" s="36" t="n">
        <x:f>IF(ISNUMBER(F620),E620*F620,"")</x:f>
        <x:v>0.21000000000000002</x:v>
      </x:c>
      <x:c r="H620" s="37" t="d">
        <x:v>2026-10-15T00:00:00.000Z</x:v>
      </x:c>
      <x:c r="I620" s="37" t="d">
        <x:v>2026-10-15T10:16:26.000Z</x:v>
      </x:c>
      <x:c r="J620" s="1" t="n">
        <x:f>IF(ISNUMBER(F620),E620,0)</x:f>
        <x:v>3</x:v>
      </x:c>
      <x:c r="K620" s="1"/>
      <x:c r="L620" s="1" t="str">
        <x:v>https://blog.skyairline.com/que-hacer-en-lima/</x:v>
      </x:c>
      <x:c r="M620" s="1" t="n">
        <x:v>2</x:v>
      </x:c>
    </x:row>
    <x:row r="621" ht="18.75" customHeight="1">
      <x:c r="A621" s="1" t="str">
        <x:v>https://blog.skyairline.com/equipaje-de-mano-permitido/</x:v>
      </x:c>
      <x:c r="B621" s="1" t="str">
        <x:v>sky equipaje de mano</x:v>
      </x:c>
      <x:c r="C621" s="1" t="str">
        <x:v>chl</x:v>
      </x:c>
      <x:c r="D621" s="1" t="str">
        <x:v>Marca</x:v>
      </x:c>
      <x:c r="E621" s="35" t="n">
        <x:v>3</x:v>
      </x:c>
      <x:c r="F621" s="36" t="n">
        <x:v>1.31</x:v>
      </x:c>
      <x:c r="G621" s="36" t="n">
        <x:f>IF(ISNUMBER(F621),E621*F621,"")</x:f>
        <x:v>3.93</x:v>
      </x:c>
      <x:c r="H621" s="37" t="d">
        <x:v>2026-10-15T00:00:00.000Z</x:v>
      </x:c>
      <x:c r="I621" s="37" t="d">
        <x:v>2026-09-17T08:53:51.000Z</x:v>
      </x:c>
      <x:c r="J621" s="1" t="n">
        <x:f>IF(ISNUMBER(F621),E621,0)</x:f>
        <x:v>3</x:v>
      </x:c>
      <x:c r="K621" s="1"/>
      <x:c r="L621" s="1" t="str">
        <x:v>https://blog.skyairline.com/que-hacer-en-mendoza-2/</x:v>
      </x:c>
      <x:c r="M621" s="1" t="n">
        <x:v>2</x:v>
      </x:c>
    </x:row>
    <x:row r="622" ht="18.75" customHeight="1">
      <x:c r="A622" s="1" t="str">
        <x:v>https://blog.skyairline.com/escapada-romantica-fin-de-semana/</x:v>
      </x:c>
      <x:c r="B622" s="1" t="str">
        <x:v>escapada de fin de semana en pareja</x:v>
      </x:c>
      <x:c r="C622" s="1" t="str">
        <x:v>chl</x:v>
      </x:c>
      <x:c r="D622" s="1" t="str">
        <x:v>Sin marca</x:v>
      </x:c>
      <x:c r="E622" s="35" t="n">
        <x:v>3</x:v>
      </x:c>
      <x:c r="F622" s="36" t="n">
        <x:v>0.74</x:v>
      </x:c>
      <x:c r="G622" s="36" t="n">
        <x:f>IF(ISNUMBER(F622),E622*F622,"")</x:f>
        <x:v>2.2199999999999998</x:v>
      </x:c>
      <x:c r="H622" s="37" t="d">
        <x:v>2026-10-15T00:00:00.000Z</x:v>
      </x:c>
      <x:c r="I622" s="37" t="d">
        <x:v>2026-09-16T02:53:38.000Z</x:v>
      </x:c>
      <x:c r="J622" s="1" t="n">
        <x:f>IF(ISNUMBER(F622),E622,0)</x:f>
        <x:v>3</x:v>
      </x:c>
      <x:c r="K622" s="1"/>
      <x:c r="L622" s="1" t="str">
        <x:v>https://blog.skyairline.com/que-hacer-vina-del-mar/</x:v>
      </x:c>
      <x:c r="M622" s="1" t="n">
        <x:v>2</x:v>
      </x:c>
    </x:row>
    <x:row r="623" ht="18.75" customHeight="1">
      <x:c r="A623" s="1" t="str">
        <x:v>https://blog.skyairline.com/escapada-romantica-fin-de-semana/</x:v>
      </x:c>
      <x:c r="B623" s="1" t="str">
        <x:v>escapadas romanticas de fin de semana</x:v>
      </x:c>
      <x:c r="C623" s="1" t="str">
        <x:v>chl</x:v>
      </x:c>
      <x:c r="D623" s="1" t="str">
        <x:v>Sin marca</x:v>
      </x:c>
      <x:c r="E623" s="35" t="n">
        <x:v>3</x:v>
      </x:c>
      <x:c r="F623" s="36"/>
      <x:c r="G623" s="36" t="str">
        <x:f>IF(ISNUMBER(F623),E623*F623,"")</x:f>
      </x:c>
      <x:c r="H623" s="37"/>
      <x:c r="I623" s="37"/>
      <x:c r="J623" s="1" t="n">
        <x:f>IF(ISNUMBER(F623),E623,0)</x:f>
        <x:v>0</x:v>
      </x:c>
      <x:c r="K623" s="1"/>
      <x:c r="L623" s="1" t="str">
        <x:v>https://blog.skyairline.com/quemchi/</x:v>
      </x:c>
      <x:c r="M623" s="1" t="n">
        <x:v>2</x:v>
      </x:c>
    </x:row>
    <x:row r="624" ht="18.75" customHeight="1">
      <x:c r="A624" s="1" t="str">
        <x:v>https://blog.skyairline.com/escoger-una-maleta/</x:v>
      </x:c>
      <x:c r="B624" s="1" t="str">
        <x:v>medidas maleta de cabina sky</x:v>
      </x:c>
      <x:c r="C624" s="1" t="str">
        <x:v>chl</x:v>
      </x:c>
      <x:c r="D624" s="1" t="str">
        <x:v>Marca</x:v>
      </x:c>
      <x:c r="E624" s="35" t="n">
        <x:v>3</x:v>
      </x:c>
      <x:c r="F624" s="36"/>
      <x:c r="G624" s="36" t="str">
        <x:f>IF(ISNUMBER(F624),E624*F624,"")</x:f>
      </x:c>
      <x:c r="H624" s="37" t="d">
        <x:v>2026-10-15T00:00:00.000Z</x:v>
      </x:c>
      <x:c r="I624" s="37" t="d">
        <x:v>2026-09-14T04:11:03.999Z</x:v>
      </x:c>
      <x:c r="J624" s="1" t="n">
        <x:f>IF(ISNUMBER(F624),E624,0)</x:f>
        <x:v>0</x:v>
      </x:c>
      <x:c r="K624" s="1"/>
      <x:c r="L624" s="1" t="str">
        <x:v>https://blog.skyairline.com/recife/</x:v>
      </x:c>
      <x:c r="M624" s="1" t="n">
        <x:v>2</x:v>
      </x:c>
    </x:row>
    <x:row r="625" ht="18.75" customHeight="1">
      <x:c r="A625" s="1" t="str">
        <x:v>https://blog.skyairline.com/estaciones-en-chile/</x:v>
      </x:c>
      <x:c r="B625" s="1" t="str">
        <x:v>cuando empieza el verano en chile</x:v>
      </x:c>
      <x:c r="C625" s="1" t="str">
        <x:v>chl</x:v>
      </x:c>
      <x:c r="D625" s="1" t="str">
        <x:v>Sin marca</x:v>
      </x:c>
      <x:c r="E625" s="35" t="n">
        <x:v>3</x:v>
      </x:c>
      <x:c r="F625" s="36"/>
      <x:c r="G625" s="36" t="str">
        <x:f>IF(ISNUMBER(F625),E625*F625,"")</x:f>
      </x:c>
      <x:c r="H625" s="37" t="d">
        <x:v>2026-10-15T00:00:00.000Z</x:v>
      </x:c>
      <x:c r="I625" s="37" t="d">
        <x:v>2026-09-17T20:40:10.000Z</x:v>
      </x:c>
      <x:c r="J625" s="1" t="n">
        <x:f>IF(ISNUMBER(F625),E625,0)</x:f>
        <x:v>0</x:v>
      </x:c>
      <x:c r="K625" s="1"/>
      <x:c r="L625" s="1" t="str">
        <x:v>https://blog.skyairline.com/region-de-la-araucania-2/</x:v>
      </x:c>
      <x:c r="M625" s="1" t="n">
        <x:v>2</x:v>
      </x:c>
    </x:row>
    <x:row r="626" ht="18.75" customHeight="1">
      <x:c r="A626" s="1" t="str">
        <x:v>https://blog.skyairline.com/estaciones-en-chile/</x:v>
      </x:c>
      <x:c r="B626" s="1" t="str">
        <x:v>que estacion del año es en chile</x:v>
      </x:c>
      <x:c r="C626" s="1" t="str">
        <x:v>chl</x:v>
      </x:c>
      <x:c r="D626" s="1" t="str">
        <x:v>Sin marca</x:v>
      </x:c>
      <x:c r="E626" s="35" t="n">
        <x:v>3</x:v>
      </x:c>
      <x:c r="F626" s="36"/>
      <x:c r="G626" s="36" t="str">
        <x:f>IF(ISNUMBER(F626),E626*F626,"")</x:f>
      </x:c>
      <x:c r="H626" s="37" t="d">
        <x:v>2026-10-15T00:00:00.000Z</x:v>
      </x:c>
      <x:c r="I626" s="37" t="d">
        <x:v>2026-09-13T13:11:23.000Z</x:v>
      </x:c>
      <x:c r="J626" s="1" t="n">
        <x:f>IF(ISNUMBER(F626),E626,0)</x:f>
        <x:v>0</x:v>
      </x:c>
      <x:c r="K626" s="1"/>
      <x:c r="L626" s="1" t="str">
        <x:v>https://blog.skyairline.com/restaurantes-en-sao-paulo/</x:v>
      </x:c>
      <x:c r="M626" s="1" t="n">
        <x:v>2</x:v>
      </x:c>
    </x:row>
    <x:row r="627" ht="18.75" customHeight="1">
      <x:c r="A627" s="1" t="str">
        <x:v>https://blog.skyairline.com/estado-de-vuelo/</x:v>
      </x:c>
      <x:c r="B627" s="1" t="str">
        <x:v>sky estado de vuelo</x:v>
      </x:c>
      <x:c r="C627" s="1" t="str">
        <x:v>chl</x:v>
      </x:c>
      <x:c r="D627" s="1" t="str">
        <x:v>Marca</x:v>
      </x:c>
      <x:c r="E627" s="35" t="n">
        <x:v>3</x:v>
      </x:c>
      <x:c r="F627" s="36" t="n">
        <x:v>0.02</x:v>
      </x:c>
      <x:c r="G627" s="36" t="n">
        <x:f>IF(ISNUMBER(F627),E627*F627,"")</x:f>
        <x:v>0.06</x:v>
      </x:c>
      <x:c r="H627" s="37" t="d">
        <x:v>2026-10-15T00:00:00.000Z</x:v>
      </x:c>
      <x:c r="I627" s="37" t="d">
        <x:v>2026-10-15T17:13:39.000Z</x:v>
      </x:c>
      <x:c r="J627" s="1" t="n">
        <x:f>IF(ISNUMBER(F627),E627,0)</x:f>
        <x:v>3</x:v>
      </x:c>
      <x:c r="K627" s="1"/>
      <x:c r="L627" s="1" t="str">
        <x:v>https://blog.skyairline.com/restaurantes-pet-friendly/</x:v>
      </x:c>
      <x:c r="M627" s="1" t="n">
        <x:v>2</x:v>
      </x:c>
    </x:row>
    <x:row r="628" ht="18.75" customHeight="1">
      <x:c r="A628" s="1" t="str">
        <x:v>https://blog.skyairline.com/florianopolis-a-rio-de-janeiro/</x:v>
      </x:c>
      <x:c r="B628" s="1" t="str">
        <x:v>florianopolis a rio de janeiro</x:v>
      </x:c>
      <x:c r="C628" s="1" t="str">
        <x:v>chl</x:v>
      </x:c>
      <x:c r="D628" s="1" t="str">
        <x:v>Sin marca</x:v>
      </x:c>
      <x:c r="E628" s="35" t="n">
        <x:v>3</x:v>
      </x:c>
      <x:c r="F628" s="36"/>
      <x:c r="G628" s="36" t="str">
        <x:f>IF(ISNUMBER(F628),E628*F628,"")</x:f>
      </x:c>
      <x:c r="H628" s="37"/>
      <x:c r="I628" s="37"/>
      <x:c r="J628" s="1" t="n">
        <x:f>IF(ISNUMBER(F628),E628,0)</x:f>
        <x:v>0</x:v>
      </x:c>
      <x:c r="K628" s="1"/>
      <x:c r="L628" s="1" t="str">
        <x:v>https://blog.skyairline.com/rosario-argentina/</x:v>
      </x:c>
      <x:c r="M628" s="1" t="n">
        <x:v>2</x:v>
      </x:c>
    </x:row>
    <x:row r="629" ht="18.75" customHeight="1">
      <x:c r="A629" s="1" t="str">
        <x:v>https://blog.skyairline.com/ilha-do-campeche/</x:v>
      </x:c>
      <x:c r="B629" s="1" t="str">
        <x:v>ilha do campeche</x:v>
      </x:c>
      <x:c r="C629" s="1" t="str">
        <x:v>chl</x:v>
      </x:c>
      <x:c r="D629" s="1" t="str">
        <x:v>Sin marca</x:v>
      </x:c>
      <x:c r="E629" s="35" t="n">
        <x:v>3</x:v>
      </x:c>
      <x:c r="F629" s="36" t="n">
        <x:v>0.86</x:v>
      </x:c>
      <x:c r="G629" s="36" t="n">
        <x:f>IF(ISNUMBER(F629),E629*F629,"")</x:f>
        <x:v>2.58</x:v>
      </x:c>
      <x:c r="H629" s="37" t="d">
        <x:v>2026-10-15T00:00:00.000Z</x:v>
      </x:c>
      <x:c r="I629" s="37" t="d">
        <x:v>2026-09-16T17:41:21.000Z</x:v>
      </x:c>
      <x:c r="J629" s="1" t="n">
        <x:f>IF(ISNUMBER(F629),E629,0)</x:f>
        <x:v>3</x:v>
      </x:c>
      <x:c r="K629" s="1"/>
      <x:c r="L629" s="1" t="str">
        <x:v>https://blog.skyairline.com/rupac/</x:v>
      </x:c>
      <x:c r="M629" s="1" t="n">
        <x:v>2</x:v>
      </x:c>
    </x:row>
    <x:row r="630" ht="18.75" customHeight="1">
      <x:c r="A630" s="1" t="str">
        <x:v>https://blog.skyairline.com/liquidos-en-avion/</x:v>
      </x:c>
      <x:c r="B630" s="1" t="str">
        <x:v>cuantos ml puedo llevar en equipaje de mano</x:v>
      </x:c>
      <x:c r="C630" s="1" t="str">
        <x:v>chl</x:v>
      </x:c>
      <x:c r="D630" s="1" t="str">
        <x:v>Sin marca</x:v>
      </x:c>
      <x:c r="E630" s="35" t="n">
        <x:v>3</x:v>
      </x:c>
      <x:c r="F630" s="36"/>
      <x:c r="G630" s="36" t="str">
        <x:f>IF(ISNUMBER(F630),E630*F630,"")</x:f>
      </x:c>
      <x:c r="H630" s="37"/>
      <x:c r="I630" s="37"/>
      <x:c r="J630" s="1" t="n">
        <x:f>IF(ISNUMBER(F630),E630,0)</x:f>
        <x:v>0</x:v>
      </x:c>
      <x:c r="K630" s="1"/>
      <x:c r="L630" s="1" t="str">
        <x:v>https://blog.skyairline.com/rutas-del-vino/</x:v>
      </x:c>
      <x:c r="M630" s="1" t="n">
        <x:v>2</x:v>
      </x:c>
    </x:row>
    <x:row r="631" ht="18.75" customHeight="1">
      <x:c r="A631" s="1" t="str">
        <x:v>https://blog.skyairline.com/liquidos-en-avion/</x:v>
      </x:c>
      <x:c r="B631" s="1" t="str">
        <x:v>cuantos perfumes puedo llevar en el avion</x:v>
      </x:c>
      <x:c r="C631" s="1" t="str">
        <x:v>per</x:v>
      </x:c>
      <x:c r="D631" s="1" t="str">
        <x:v>Sin marca</x:v>
      </x:c>
      <x:c r="E631" s="35" t="n">
        <x:v>3</x:v>
      </x:c>
      <x:c r="F631" s="36"/>
      <x:c r="G631" s="36" t="str">
        <x:f>IF(ISNUMBER(F631),E631*F631,"")</x:f>
      </x:c>
      <x:c r="H631" s="37"/>
      <x:c r="I631" s="37"/>
      <x:c r="J631" s="1" t="n">
        <x:f>IF(ISNUMBER(F631),E631,0)</x:f>
        <x:v>0</x:v>
      </x:c>
      <x:c r="K631" s="1"/>
      <x:c r="L631" s="1" t="str">
        <x:v>https://blog.skyairline.com/salar-atacama/</x:v>
      </x:c>
      <x:c r="M631" s="1" t="n">
        <x:v>2</x:v>
      </x:c>
    </x:row>
    <x:row r="632" ht="18.75" customHeight="1">
      <x:c r="A632" s="1" t="str">
        <x:v>https://blog.skyairline.com/liquidos-en-avion/</x:v>
      </x:c>
      <x:c r="B632" s="1" t="str">
        <x:v>hasta cuantos ml se pueden llevar en el avion</x:v>
      </x:c>
      <x:c r="C632" s="1" t="str">
        <x:v>chl</x:v>
      </x:c>
      <x:c r="D632" s="1" t="str">
        <x:v>Sin marca</x:v>
      </x:c>
      <x:c r="E632" s="35" t="n">
        <x:v>3</x:v>
      </x:c>
      <x:c r="F632" s="36"/>
      <x:c r="G632" s="36" t="str">
        <x:f>IF(ISNUMBER(F632),E632*F632,"")</x:f>
      </x:c>
      <x:c r="H632" s="37"/>
      <x:c r="I632" s="37"/>
      <x:c r="J632" s="1" t="n">
        <x:f>IF(ISNUMBER(F632),E632,0)</x:f>
        <x:v>0</x:v>
      </x:c>
      <x:c r="K632" s="1"/>
      <x:c r="L632" s="1" t="str">
        <x:v>https://blog.skyairline.com/sigue-creciendo-la-flota-de-sky-dos-nuevos-aviones-se-suman-a-sus-filas-2/</x:v>
      </x:c>
      <x:c r="M632" s="1" t="n">
        <x:v>2</x:v>
      </x:c>
    </x:row>
    <x:row r="633" ht="18.75" customHeight="1">
      <x:c r="A633" s="1" t="str">
        <x:v>https://blog.skyairline.com/liquidos-en-avion/</x:v>
      </x:c>
      <x:c r="B633" s="1" t="str">
        <x:v>puedo llevar perfumes en equipaje de mano</x:v>
      </x:c>
      <x:c r="C633" s="1" t="str">
        <x:v>chl</x:v>
      </x:c>
      <x:c r="D633" s="1" t="str">
        <x:v>Sin marca</x:v>
      </x:c>
      <x:c r="E633" s="35" t="n">
        <x:v>3</x:v>
      </x:c>
      <x:c r="F633" s="36" t="n">
        <x:v>0.25</x:v>
      </x:c>
      <x:c r="G633" s="36" t="n">
        <x:f>IF(ISNUMBER(F633),E633*F633,"")</x:f>
        <x:v>0.75</x:v>
      </x:c>
      <x:c r="H633" s="37" t="d">
        <x:v>2026-10-15T00:00:00.000Z</x:v>
      </x:c>
      <x:c r="I633" s="37" t="d">
        <x:v>2026-09-13T14:37:31.000Z</x:v>
      </x:c>
      <x:c r="J633" s="1" t="n">
        <x:f>IF(ISNUMBER(F633),E633,0)</x:f>
        <x:v>3</x:v>
      </x:c>
      <x:c r="K633" s="1"/>
      <x:c r="L633" s="1" t="str">
        <x:v>https://blog.skyairline.com/sigue-creciendo-la-flota-de-sky-dos-nuevos-aviones-se-suman-a-sus-filas/</x:v>
      </x:c>
      <x:c r="M633" s="1" t="n">
        <x:v>2</x:v>
      </x:c>
    </x:row>
    <x:row r="634" ht="18.75" customHeight="1">
      <x:c r="A634" s="1" t="str">
        <x:v>https://blog.skyairline.com/liquidos-en-avion/</x:v>
      </x:c>
      <x:c r="B634" s="1" t="str">
        <x:v>se puede llevar perfumes en el avion</x:v>
      </x:c>
      <x:c r="C634" s="1" t="str">
        <x:v>per</x:v>
      </x:c>
      <x:c r="D634" s="1" t="str">
        <x:v>Sin marca</x:v>
      </x:c>
      <x:c r="E634" s="35" t="n">
        <x:v>3</x:v>
      </x:c>
      <x:c r="F634" s="36"/>
      <x:c r="G634" s="36" t="str">
        <x:f>IF(ISNUMBER(F634),E634*F634,"")</x:f>
      </x:c>
      <x:c r="H634" s="37"/>
      <x:c r="I634" s="37"/>
      <x:c r="J634" s="1" t="n">
        <x:f>IF(ISNUMBER(F634),E634,0)</x:f>
        <x:v>0</x:v>
      </x:c>
      <x:c r="K634" s="1"/>
      <x:c r="L634" s="1" t="str">
        <x:v>https://blog.skyairline.com/sky-airline-4/</x:v>
      </x:c>
      <x:c r="M634" s="1" t="n">
        <x:v>2</x:v>
      </x:c>
    </x:row>
    <x:row r="635" ht="18.75" customHeight="1">
      <x:c r="A635" s="1" t="str">
        <x:v>https://blog.skyairline.com/lugares-nieve-chile/</x:v>
      </x:c>
      <x:c r="B635" s="1" t="str">
        <x:v>zona de nieve en chile</x:v>
      </x:c>
      <x:c r="C635" s="1" t="str">
        <x:v>per</x:v>
      </x:c>
      <x:c r="D635" s="1" t="str">
        <x:v>Sin marca</x:v>
      </x:c>
      <x:c r="E635" s="35" t="n">
        <x:v>3</x:v>
      </x:c>
      <x:c r="F635" s="36" t="n">
        <x:v>0.27</x:v>
      </x:c>
      <x:c r="G635" s="36" t="n">
        <x:f>IF(ISNUMBER(F635),E635*F635,"")</x:f>
        <x:v>0.81</x:v>
      </x:c>
      <x:c r="H635" s="37" t="d">
        <x:v>2026-10-15T00:00:00.000Z</x:v>
      </x:c>
      <x:c r="I635" s="37" t="d">
        <x:v>2026-09-15T06:30:40.000Z</x:v>
      </x:c>
      <x:c r="J635" s="1" t="n">
        <x:f>IF(ISNUMBER(F635),E635,0)</x:f>
        <x:v>3</x:v>
      </x:c>
      <x:c r="K635" s="1"/>
      <x:c r="L635" s="1" t="str">
        <x:v>https://blog.skyairline.com/sky-airline-5/</x:v>
      </x:c>
      <x:c r="M635" s="1" t="n">
        <x:v>2</x:v>
      </x:c>
    </x:row>
    <x:row r="636" ht="18.75" customHeight="1">
      <x:c r="A636" s="1" t="str">
        <x:v>https://blog.skyairline.com/lugares-polanco/</x:v>
      </x:c>
      <x:c r="B636" s="1" t="str">
        <x:v>que hacer en san gregorio de polanco</x:v>
      </x:c>
      <x:c r="C636" s="1" t="str">
        <x:v>ury</x:v>
      </x:c>
      <x:c r="D636" s="1" t="str">
        <x:v>Sin marca</x:v>
      </x:c>
      <x:c r="E636" s="35" t="n">
        <x:v>3</x:v>
      </x:c>
      <x:c r="F636" s="36"/>
      <x:c r="G636" s="36" t="str">
        <x:f>IF(ISNUMBER(F636),E636*F636,"")</x:f>
      </x:c>
      <x:c r="H636" s="37"/>
      <x:c r="I636" s="37"/>
      <x:c r="J636" s="1" t="n">
        <x:f>IF(ISNUMBER(F636),E636,0)</x:f>
        <x:v>0</x:v>
      </x:c>
      <x:c r="K636" s="1"/>
      <x:c r="L636" s="1" t="str">
        <x:v>https://blog.skyairline.com/sky-airline/</x:v>
      </x:c>
      <x:c r="M636" s="1" t="n">
        <x:v>2</x:v>
      </x:c>
    </x:row>
    <x:row r="637" ht="18.75" customHeight="1">
      <x:c r="A637" s="1" t="str">
        <x:v>https://blog.skyairline.com/maquillaje-en-avion/</x:v>
      </x:c>
      <x:c r="B637" s="1" t="str">
        <x:v>puedo llevar maquillaje en el equipaje de mano</x:v>
      </x:c>
      <x:c r="C637" s="1" t="str">
        <x:v>per</x:v>
      </x:c>
      <x:c r="D637" s="1" t="str">
        <x:v>Sin marca</x:v>
      </x:c>
      <x:c r="E637" s="35" t="n">
        <x:v>3</x:v>
      </x:c>
      <x:c r="F637" s="36"/>
      <x:c r="G637" s="36" t="str">
        <x:f>IF(ISNUMBER(F637),E637*F637,"")</x:f>
      </x:c>
      <x:c r="H637" s="37" t="d">
        <x:v>2026-10-15T00:00:00.000Z</x:v>
      </x:c>
      <x:c r="I637" s="37" t="d">
        <x:v>2026-09-14T19:27:19.999Z</x:v>
      </x:c>
      <x:c r="J637" s="1" t="n">
        <x:f>IF(ISNUMBER(F637),E637,0)</x:f>
        <x:v>0</x:v>
      </x:c>
      <x:c r="K637" s="1"/>
      <x:c r="L637" s="1" t="str">
        <x:v>https://blog.skyairline.com/sky-aumenta-la-presencia-de-mujeres-piloto-superando-el-promedio-mundial-2/</x:v>
      </x:c>
      <x:c r="M637" s="1" t="n">
        <x:v>2</x:v>
      </x:c>
    </x:row>
    <x:row r="638" ht="18.75" customHeight="1">
      <x:c r="A638" s="1" t="str">
        <x:v>https://blog.skyairline.com/mascotas-en-cabina/</x:v>
      </x:c>
      <x:c r="B638" s="1" t="str">
        <x:v>mascota en cabina sky</x:v>
      </x:c>
      <x:c r="C638" s="1" t="str">
        <x:v>per</x:v>
      </x:c>
      <x:c r="D638" s="1" t="str">
        <x:v>Marca</x:v>
      </x:c>
      <x:c r="E638" s="35" t="n">
        <x:v>3</x:v>
      </x:c>
      <x:c r="F638" s="36"/>
      <x:c r="G638" s="36" t="str">
        <x:f>IF(ISNUMBER(F638),E638*F638,"")</x:f>
      </x:c>
      <x:c r="H638" s="37" t="d">
        <x:v>2026-10-15T00:00:00.000Z</x:v>
      </x:c>
      <x:c r="I638" s="37" t="d">
        <x:v>2026-09-13T09:24:41.000Z</x:v>
      </x:c>
      <x:c r="J638" s="1" t="n">
        <x:f>IF(ISNUMBER(F638),E638,0)</x:f>
        <x:v>0</x:v>
      </x:c>
      <x:c r="K638" s="1"/>
      <x:c r="L638" s="1" t="str">
        <x:v>https://blog.skyairline.com/sky-aumentara-vuelos-entre-lima-y-miami/</x:v>
      </x:c>
      <x:c r="M638" s="1" t="n">
        <x:v>2</x:v>
      </x:c>
    </x:row>
    <x:row r="639" ht="18.75" customHeight="1">
      <x:c r="A639" s="1" t="str">
        <x:v>https://blog.skyairline.com/mascotas-en-cabina/</x:v>
      </x:c>
      <x:c r="B639" s="1" t="str">
        <x:v>sky airlines mascotas en cabina</x:v>
      </x:c>
      <x:c r="C639" s="1" t="str">
        <x:v>chl</x:v>
      </x:c>
      <x:c r="D639" s="1" t="str">
        <x:v>Marca</x:v>
      </x:c>
      <x:c r="E639" s="35" t="n">
        <x:v>3</x:v>
      </x:c>
      <x:c r="F639" s="36"/>
      <x:c r="G639" s="36" t="str">
        <x:f>IF(ISNUMBER(F639),E639*F639,"")</x:f>
      </x:c>
      <x:c r="H639" s="37" t="d">
        <x:v>2026-10-15T00:00:00.000Z</x:v>
      </x:c>
      <x:c r="I639" s="37" t="d">
        <x:v>2026-09-13T03:43:37.999Z</x:v>
      </x:c>
      <x:c r="J639" s="1" t="n">
        <x:f>IF(ISNUMBER(F639),E639,0)</x:f>
        <x:v>0</x:v>
      </x:c>
      <x:c r="K639" s="1"/>
      <x:c r="L639" s="1" t="str">
        <x:v>https://blog.skyairline.com/sky-comienza-la-venta-de-su-nueva-ruta-directa-santiago-el-calafate/</x:v>
      </x:c>
      <x:c r="M639" s="1" t="n">
        <x:v>2</x:v>
      </x:c>
    </x:row>
    <x:row r="640" ht="18.75" customHeight="1">
      <x:c r="A640" s="1" t="str">
        <x:v>https://blog.skyairline.com/mascotas-en-cabina/</x:v>
      </x:c>
      <x:c r="B640" s="1" t="str">
        <x:v>sky mascotas precio</x:v>
      </x:c>
      <x:c r="C640" s="1" t="str">
        <x:v>chl</x:v>
      </x:c>
      <x:c r="D640" s="1" t="str">
        <x:v>Marca</x:v>
      </x:c>
      <x:c r="E640" s="35" t="n">
        <x:v>3</x:v>
      </x:c>
      <x:c r="F640" s="36"/>
      <x:c r="G640" s="36" t="str">
        <x:f>IF(ISNUMBER(F640),E640*F640,"")</x:f>
      </x:c>
      <x:c r="H640" s="37" t="d">
        <x:v>2026-10-15T00:00:00.000Z</x:v>
      </x:c>
      <x:c r="I640" s="37" t="d">
        <x:v>2026-09-16T12:30:29.000Z</x:v>
      </x:c>
      <x:c r="J640" s="1" t="n">
        <x:f>IF(ISNUMBER(F640),E640,0)</x:f>
        <x:v>0</x:v>
      </x:c>
      <x:c r="K640" s="1"/>
      <x:c r="L640" s="1" t="str">
        <x:v>https://blog.skyairline.com/sky-es-la-nueva-linea-aerea-oficial-de-la-seleccion-chilena-de-futbol/</x:v>
      </x:c>
      <x:c r="M640" s="1" t="n">
        <x:v>2</x:v>
      </x:c>
    </x:row>
    <x:row r="641" ht="18.75" customHeight="1">
      <x:c r="A641" s="1" t="str">
        <x:v>https://blog.skyairline.com/mascotas-en-cabina/</x:v>
      </x:c>
      <x:c r="B641" s="1" t="str">
        <x:v>sky mascotas precio</x:v>
      </x:c>
      <x:c r="C641" s="1" t="str">
        <x:v>per</x:v>
      </x:c>
      <x:c r="D641" s="1" t="str">
        <x:v>Marca</x:v>
      </x:c>
      <x:c r="E641" s="35" t="n">
        <x:v>3</x:v>
      </x:c>
      <x:c r="F641" s="36"/>
      <x:c r="G641" s="36" t="str">
        <x:f>IF(ISNUMBER(F641),E641*F641,"")</x:f>
      </x:c>
      <x:c r="H641" s="37" t="d">
        <x:v>2026-10-15T00:00:00.000Z</x:v>
      </x:c>
      <x:c r="I641" s="37" t="d">
        <x:v>2026-09-17T18:39:19.000Z</x:v>
      </x:c>
      <x:c r="J641" s="1" t="n">
        <x:f>IF(ISNUMBER(F641),E641,0)</x:f>
        <x:v>0</x:v>
      </x:c>
      <x:c r="K641" s="1"/>
      <x:c r="L641" s="1" t="str">
        <x:v>https://blog.skyairline.com/sky-incorpora-en-toda-su-flota-una-guia-de-informacion-en-braille-para-pasajeros-con-discapacidad-visual/</x:v>
      </x:c>
      <x:c r="M641" s="1" t="n">
        <x:v>2</x:v>
      </x:c>
    </x:row>
    <x:row r="642" ht="18.75" customHeight="1">
      <x:c r="A642" s="1" t="str">
        <x:v>https://blog.skyairline.com/mascotas-en-cabina/</x:v>
      </x:c>
      <x:c r="B642" s="1" t="str">
        <x:v>sky viajar con mascota</x:v>
      </x:c>
      <x:c r="C642" s="1" t="str">
        <x:v>per</x:v>
      </x:c>
      <x:c r="D642" s="1" t="str">
        <x:v>Marca</x:v>
      </x:c>
      <x:c r="E642" s="35" t="n">
        <x:v>3</x:v>
      </x:c>
      <x:c r="F642" s="36"/>
      <x:c r="G642" s="36" t="str">
        <x:f>IF(ISNUMBER(F642),E642*F642,"")</x:f>
      </x:c>
      <x:c r="H642" s="37" t="d">
        <x:v>2026-10-15T00:00:00.000Z</x:v>
      </x:c>
      <x:c r="I642" s="37" t="d">
        <x:v>2026-09-15T18:30:13.000Z</x:v>
      </x:c>
      <x:c r="J642" s="1" t="n">
        <x:f>IF(ISNUMBER(F642),E642,0)</x:f>
        <x:v>0</x:v>
      </x:c>
      <x:c r="K642" s="1"/>
      <x:c r="L642" s="1" t="str">
        <x:v>https://blog.skyairline.com/sky-inicia-vuelos-a-chiclayo-y-apuesta-por-el-norte-peruano/</x:v>
      </x:c>
      <x:c r="M642" s="1" t="n">
        <x:v>2</x:v>
      </x:c>
    </x:row>
    <x:row r="643" ht="18.75" customHeight="1">
      <x:c r="A643" s="1" t="str">
        <x:v>https://blog.skyairline.com/mascotas-en-cabina/</x:v>
      </x:c>
      <x:c r="B643" s="1" t="str">
        <x:v>sky viaje con mascotas</x:v>
      </x:c>
      <x:c r="C643" s="1" t="str">
        <x:v>per</x:v>
      </x:c>
      <x:c r="D643" s="1" t="str">
        <x:v>Marca</x:v>
      </x:c>
      <x:c r="E643" s="35" t="n">
        <x:v>3</x:v>
      </x:c>
      <x:c r="F643" s="36"/>
      <x:c r="G643" s="36" t="str">
        <x:f>IF(ISNUMBER(F643),E643*F643,"")</x:f>
      </x:c>
      <x:c r="H643" s="37" t="d">
        <x:v>2026-10-15T00:00:00.000Z</x:v>
      </x:c>
      <x:c r="I643" s="37" t="d">
        <x:v>2026-09-13T17:19:20.000Z</x:v>
      </x:c>
      <x:c r="J643" s="1" t="n">
        <x:f>IF(ISNUMBER(F643),E643,0)</x:f>
        <x:v>0</x:v>
      </x:c>
      <x:c r="K643" s="1"/>
      <x:c r="L643" s="1" t="str">
        <x:v>https://blog.skyairline.com/sky-pone-el-cielo-al-alcance-de-quienes-necesitan/</x:v>
      </x:c>
      <x:c r="M643" s="1" t="n">
        <x:v>2</x:v>
      </x:c>
    </x:row>
    <x:row r="644" ht="18.75" customHeight="1">
      <x:c r="A644" s="1" t="str">
        <x:v>https://blog.skyairline.com/nuevo-programa-de-fidelizacion-exclusivo-para-clientes-corporativos-sky-plus-empresas-2/</x:v>
      </x:c>
      <x:c r="B644" s="1" t="str">
        <x:v>sky empresas</x:v>
      </x:c>
      <x:c r="C644" s="1" t="str">
        <x:v>chl</x:v>
      </x:c>
      <x:c r="D644" s="1" t="str">
        <x:v>Marca</x:v>
      </x:c>
      <x:c r="E644" s="35" t="n">
        <x:v>3</x:v>
      </x:c>
      <x:c r="F644" s="36" t="n">
        <x:v>8.89</x:v>
      </x:c>
      <x:c r="G644" s="36" t="n">
        <x:f>IF(ISNUMBER(F644),E644*F644,"")</x:f>
        <x:v>26.67</x:v>
      </x:c>
      <x:c r="H644" s="37" t="d">
        <x:v>2026-10-15T00:00:00.000Z</x:v>
      </x:c>
      <x:c r="I644" s="37" t="d">
        <x:v>2026-09-15T16:52:05.000Z</x:v>
      </x:c>
      <x:c r="J644" s="1" t="n">
        <x:f>IF(ISNUMBER(F644),E644,0)</x:f>
        <x:v>3</x:v>
      </x:c>
      <x:c r="K644" s="1"/>
      <x:c r="L644" s="1" t="str">
        <x:v>https://blog.skyairline.com/sky-presenta-nuevas-rutas-nacionales-para-impulsar-la-conectividad-de-peru/</x:v>
      </x:c>
      <x:c r="M644" s="1" t="n">
        <x:v>2</x:v>
      </x:c>
    </x:row>
    <x:row r="645" ht="18.75" customHeight="1">
      <x:c r="A645" s="1" t="str">
        <x:v>https://blog.skyairline.com/paises-baratos-para-viajar-desde-chile-con-sky/</x:v>
      </x:c>
      <x:c r="B645" s="1" t="str">
        <x:v>destinos economicos para viajar desde chile</x:v>
      </x:c>
      <x:c r="C645" s="1" t="str">
        <x:v>chl</x:v>
      </x:c>
      <x:c r="D645" s="1" t="str">
        <x:v>Sin marca</x:v>
      </x:c>
      <x:c r="E645" s="35" t="n">
        <x:v>3</x:v>
      </x:c>
      <x:c r="F645" s="36" t="n">
        <x:v>1.59</x:v>
      </x:c>
      <x:c r="G645" s="36" t="n">
        <x:f>IF(ISNUMBER(F645),E645*F645,"")</x:f>
        <x:v>4.7700000000000005</x:v>
      </x:c>
      <x:c r="H645" s="37" t="d">
        <x:v>2026-10-15T00:00:00.000Z</x:v>
      </x:c>
      <x:c r="I645" s="37" t="d">
        <x:v>2026-10-15T10:07:38.000Z</x:v>
      </x:c>
      <x:c r="J645" s="1" t="n">
        <x:f>IF(ISNUMBER(F645),E645,0)</x:f>
        <x:v>3</x:v>
      </x:c>
      <x:c r="K645" s="1"/>
      <x:c r="L645" s="1" t="str">
        <x:v>https://blog.skyairline.com/somos-categoria-oro-en-seguridad-operacional/</x:v>
      </x:c>
      <x:c r="M645" s="1" t="n">
        <x:v>2</x:v>
      </x:c>
    </x:row>
    <x:row r="646" ht="18.75" customHeight="1">
      <x:c r="A646" s="1" t="str">
        <x:v>https://blog.skyairline.com/paises-baratos-para-viajar-desde-chile-con-sky/</x:v>
      </x:c>
      <x:c r="B646" s="1" t="str">
        <x:v>países baratos para viajar desde chile</x:v>
      </x:c>
      <x:c r="C646" s="1" t="str">
        <x:v>chl</x:v>
      </x:c>
      <x:c r="D646" s="1" t="str">
        <x:v>Sin marca</x:v>
      </x:c>
      <x:c r="E646" s="35" t="n">
        <x:v>3</x:v>
      </x:c>
      <x:c r="F646" s="36" t="n">
        <x:v>0.47</x:v>
      </x:c>
      <x:c r="G646" s="36" t="n">
        <x:f>IF(ISNUMBER(F646),E646*F646,"")</x:f>
        <x:v>1.41</x:v>
      </x:c>
      <x:c r="H646" s="37" t="d">
        <x:v>2026-10-15T00:00:00.000Z</x:v>
      </x:c>
      <x:c r="I646" s="37" t="d">
        <x:v>2026-09-16T04:32:31.999Z</x:v>
      </x:c>
      <x:c r="J646" s="1" t="n">
        <x:f>IF(ISNUMBER(F646),E646,0)</x:f>
        <x:v>3</x:v>
      </x:c>
      <x:c r="K646" s="1"/>
      <x:c r="L646" s="1" t="str">
        <x:v>https://blog.skyairline.com/teatro-del-lago/</x:v>
      </x:c>
      <x:c r="M646" s="1" t="n">
        <x:v>2</x:v>
      </x:c>
    </x:row>
    <x:row r="647" ht="18.75" customHeight="1">
      <x:c r="A647" s="1" t="str">
        <x:v>https://blog.skyairline.com/panoramas-para-ninos-en-santiago/</x:v>
      </x:c>
      <x:c r="B647" s="1" t="str">
        <x:v>panorama para niños en santiago</x:v>
      </x:c>
      <x:c r="C647" s="1" t="str">
        <x:v>chl</x:v>
      </x:c>
      <x:c r="D647" s="1" t="str">
        <x:v>Sin marca</x:v>
      </x:c>
      <x:c r="E647" s="35" t="n">
        <x:v>3</x:v>
      </x:c>
      <x:c r="F647" s="36"/>
      <x:c r="G647" s="36" t="str">
        <x:f>IF(ISNUMBER(F647),E647*F647,"")</x:f>
      </x:c>
      <x:c r="H647" s="37"/>
      <x:c r="I647" s="37"/>
      <x:c r="J647" s="1" t="n">
        <x:f>IF(ISNUMBER(F647),E647,0)</x:f>
        <x:v>0</x:v>
      </x:c>
      <x:c r="K647" s="1"/>
      <x:c r="L647" s="1" t="str">
        <x:v>https://blog.skyairline.com/termas-en-el-sur-de-chile/</x:v>
      </x:c>
      <x:c r="M647" s="1" t="n">
        <x:v>2</x:v>
      </x:c>
    </x:row>
    <x:row r="648" ht="18.75" customHeight="1">
      <x:c r="A648" s="1" t="str">
        <x:v>https://blog.skyairline.com/panoramas-para-ninos-en-santiago/</x:v>
      </x:c>
      <x:c r="B648" s="1" t="str">
        <x:v>panoramas para niños de 4 años en santiago</x:v>
      </x:c>
      <x:c r="C648" s="1" t="str">
        <x:v>chl</x:v>
      </x:c>
      <x:c r="D648" s="1" t="str">
        <x:v>Sin marca</x:v>
      </x:c>
      <x:c r="E648" s="35" t="n">
        <x:v>3</x:v>
      </x:c>
      <x:c r="F648" s="36"/>
      <x:c r="G648" s="36" t="str">
        <x:f>IF(ISNUMBER(F648),E648*F648,"")</x:f>
      </x:c>
      <x:c r="H648" s="37"/>
      <x:c r="I648" s="37"/>
      <x:c r="J648" s="1" t="n">
        <x:f>IF(ISNUMBER(F648),E648,0)</x:f>
        <x:v>0</x:v>
      </x:c>
      <x:c r="K648" s="1"/>
      <x:c r="L648" s="1" t="str">
        <x:v>https://blog.skyairline.com/terminal-sur-de-santiago/</x:v>
      </x:c>
      <x:c r="M648" s="1" t="n">
        <x:v>2</x:v>
      </x:c>
    </x:row>
    <x:row r="649" ht="18.75" customHeight="1">
      <x:c r="A649" s="1" t="str">
        <x:v>https://blog.skyairline.com/panoramas-para-ninos-en-santiago/</x:v>
      </x:c>
      <x:c r="B649" s="1" t="str">
        <x:v>panoramas para niños en santiago este fin de semana</x:v>
      </x:c>
      <x:c r="C649" s="1" t="str">
        <x:v>chl</x:v>
      </x:c>
      <x:c r="D649" s="1" t="str">
        <x:v>Sin marca</x:v>
      </x:c>
      <x:c r="E649" s="35" t="n">
        <x:v>3</x:v>
      </x:c>
      <x:c r="F649" s="36"/>
      <x:c r="G649" s="36" t="str">
        <x:f>IF(ISNUMBER(F649),E649*F649,"")</x:f>
      </x:c>
      <x:c r="H649" s="37" t="d">
        <x:v>2026-10-15T00:00:00.000Z</x:v>
      </x:c>
      <x:c r="I649" s="37" t="d">
        <x:v>2026-08-31T18:33:11.000Z</x:v>
      </x:c>
      <x:c r="J649" s="1" t="n">
        <x:f>IF(ISNUMBER(F649),E649,0)</x:f>
        <x:v>0</x:v>
      </x:c>
      <x:c r="K649" s="1"/>
      <x:c r="L649" s="1" t="str">
        <x:v>https://blog.skyairline.com/transporte-en-chile/</x:v>
      </x:c>
      <x:c r="M649" s="1" t="n">
        <x:v>2</x:v>
      </x:c>
    </x:row>
    <x:row r="650" ht="18.75" customHeight="1">
      <x:c r="A650" s="1" t="str">
        <x:v>https://blog.skyairline.com/paquete-de-viaje-en-sky/</x:v>
      </x:c>
      <x:c r="B650" s="1" t="str">
        <x:v>sky paquetes</x:v>
      </x:c>
      <x:c r="C650" s="1" t="str">
        <x:v>chl</x:v>
      </x:c>
      <x:c r="D650" s="1" t="str">
        <x:v>Marca</x:v>
      </x:c>
      <x:c r="E650" s="35" t="n">
        <x:v>3</x:v>
      </x:c>
      <x:c r="F650" s="36" t="n">
        <x:v>0.42</x:v>
      </x:c>
      <x:c r="G650" s="36" t="n">
        <x:f>IF(ISNUMBER(F650),E650*F650,"")</x:f>
        <x:v>1.26</x:v>
      </x:c>
      <x:c r="H650" s="37" t="d">
        <x:v>2026-10-15T00:00:00.000Z</x:v>
      </x:c>
      <x:c r="I650" s="37" t="d">
        <x:v>2026-09-15T14:23:37.000Z</x:v>
      </x:c>
      <x:c r="J650" s="1" t="n">
        <x:f>IF(ISNUMBER(F650),E650,0)</x:f>
        <x:v>3</x:v>
      </x:c>
      <x:c r="K650" s="1"/>
      <x:c r="L650" s="1" t="str">
        <x:v>https://blog.skyairline.com/turismo-virtual/</x:v>
      </x:c>
      <x:c r="M650" s="1" t="n">
        <x:v>2</x:v>
      </x:c>
    </x:row>
    <x:row r="651" ht="18.75" customHeight="1">
      <x:c r="A651" s="1" t="str">
        <x:v>https://blog.skyairline.com/platos-tipicos-de-lima/</x:v>
      </x:c>
      <x:c r="B651" s="1" t="str">
        <x:v>comida tipica de lima</x:v>
      </x:c>
      <x:c r="C651" s="1" t="str">
        <x:v>per</x:v>
      </x:c>
      <x:c r="D651" s="1" t="str">
        <x:v>Sin marca</x:v>
      </x:c>
      <x:c r="E651" s="35" t="n">
        <x:v>3</x:v>
      </x:c>
      <x:c r="F651" s="36" t="n">
        <x:v>0.1</x:v>
      </x:c>
      <x:c r="G651" s="36" t="n">
        <x:f>IF(ISNUMBER(F651),E651*F651,"")</x:f>
        <x:v>0.30000000000000004</x:v>
      </x:c>
      <x:c r="H651" s="37" t="d">
        <x:v>2026-10-15T00:00:00.000Z</x:v>
      </x:c>
      <x:c r="I651" s="37" t="d">
        <x:v>2026-09-13T17:09:40.000Z</x:v>
      </x:c>
      <x:c r="J651" s="1" t="n">
        <x:f>IF(ISNUMBER(F651),E651,0)</x:f>
        <x:v>3</x:v>
      </x:c>
      <x:c r="K651" s="1"/>
      <x:c r="L651" s="1" t="str">
        <x:v>https://blog.skyairline.com/vacaciones-nav-idenas-latinoamerica/</x:v>
      </x:c>
      <x:c r="M651" s="1" t="n">
        <x:v>2</x:v>
      </x:c>
    </x:row>
    <x:row r="652" ht="18.75" customHeight="1">
      <x:c r="A652" s="1" t="str">
        <x:v>https://blog.skyairline.com/platos-tipicos-de-lima/</x:v>
      </x:c>
      <x:c r="B652" s="1" t="str">
        <x:v>comidas limeñas</x:v>
      </x:c>
      <x:c r="C652" s="1" t="str">
        <x:v>per</x:v>
      </x:c>
      <x:c r="D652" s="1" t="str">
        <x:v>Sin marca</x:v>
      </x:c>
      <x:c r="E652" s="35" t="n">
        <x:v>3</x:v>
      </x:c>
      <x:c r="F652" s="36"/>
      <x:c r="G652" s="36" t="str">
        <x:f>IF(ISNUMBER(F652),E652*F652,"")</x:f>
      </x:c>
      <x:c r="H652" s="37" t="d">
        <x:v>2026-10-15T00:00:00.000Z</x:v>
      </x:c>
      <x:c r="I652" s="37" t="d">
        <x:v>2026-10-15T17:15:02.000Z</x:v>
      </x:c>
      <x:c r="J652" s="1" t="n">
        <x:f>IF(ISNUMBER(F652),E652,0)</x:f>
        <x:v>0</x:v>
      </x:c>
      <x:c r="K652" s="1"/>
      <x:c r="L652" s="1" t="str">
        <x:v>https://blog.skyairline.com/valle-nevado/</x:v>
      </x:c>
      <x:c r="M652" s="1" t="n">
        <x:v>2</x:v>
      </x:c>
    </x:row>
    <x:row r="653" ht="18.75" customHeight="1">
      <x:c r="A653" s="1" t="str">
        <x:v>https://blog.skyairline.com/pozos-azules-uruguay/</x:v>
      </x:c>
      <x:c r="B653" s="1" t="str">
        <x:v>pozos azules</x:v>
      </x:c>
      <x:c r="C653" s="1" t="str">
        <x:v>ury</x:v>
      </x:c>
      <x:c r="D653" s="1" t="str">
        <x:v>Sin marca</x:v>
      </x:c>
      <x:c r="E653" s="35" t="n">
        <x:v>3</x:v>
      </x:c>
      <x:c r="F653" s="36"/>
      <x:c r="G653" s="36" t="str">
        <x:f>IF(ISNUMBER(F653),E653*F653,"")</x:f>
      </x:c>
      <x:c r="H653" s="37"/>
      <x:c r="I653" s="37"/>
      <x:c r="J653" s="1" t="n">
        <x:f>IF(ISNUMBER(F653),E653,0)</x:f>
        <x:v>0</x:v>
      </x:c>
      <x:c r="K653" s="1"/>
      <x:c r="L653" s="1" t="str">
        <x:v>https://blog.skyairline.com/ventajas-y-desventajas/</x:v>
      </x:c>
      <x:c r="M653" s="1" t="n">
        <x:v>2</x:v>
      </x:c>
    </x:row>
    <x:row r="654" ht="18.75" customHeight="1">
      <x:c r="A654" s="1" t="str">
        <x:v>https://blog.skyairline.com/punta-del-este-montevideo/</x:v>
      </x:c>
      <x:c r="B654" s="1" t="str">
        <x:v>distancia de montevideo a punta del este</x:v>
      </x:c>
      <x:c r="C654" s="1" t="str">
        <x:v>chl</x:v>
      </x:c>
      <x:c r="D654" s="1" t="str">
        <x:v>Sin marca</x:v>
      </x:c>
      <x:c r="E654" s="35" t="n">
        <x:v>3</x:v>
      </x:c>
      <x:c r="F654" s="36" t="n">
        <x:v>0.85</x:v>
      </x:c>
      <x:c r="G654" s="36" t="n">
        <x:f>IF(ISNUMBER(F654),E654*F654,"")</x:f>
        <x:v>2.55</x:v>
      </x:c>
      <x:c r="H654" s="37" t="d">
        <x:v>2026-10-15T00:00:00.000Z</x:v>
      </x:c>
      <x:c r="I654" s="37" t="d">
        <x:v>2026-09-13T09:45:34.000Z</x:v>
      </x:c>
      <x:c r="J654" s="1" t="n">
        <x:f>IF(ISNUMBER(F654),E654,0)</x:f>
        <x:v>3</x:v>
      </x:c>
      <x:c r="K654" s="1"/>
      <x:c r="L654" s="1" t="str">
        <x:v>https://blog.skyairline.com/verano-en-chile-3/</x:v>
      </x:c>
      <x:c r="M654" s="1" t="n">
        <x:v>2</x:v>
      </x:c>
    </x:row>
    <x:row r="655" ht="18.75" customHeight="1">
      <x:c r="A655" s="1" t="str">
        <x:v>https://blog.skyairline.com/punta-del-este-montevideo/</x:v>
      </x:c>
      <x:c r="B655" s="1" t="str">
        <x:v>montevideo a punta del este</x:v>
      </x:c>
      <x:c r="C655" s="1" t="str">
        <x:v>chl</x:v>
      </x:c>
      <x:c r="D655" s="1" t="str">
        <x:v>Sin marca</x:v>
      </x:c>
      <x:c r="E655" s="35" t="n">
        <x:v>3</x:v>
      </x:c>
      <x:c r="F655" s="36" t="n">
        <x:v>1.55</x:v>
      </x:c>
      <x:c r="G655" s="36" t="n">
        <x:f>IF(ISNUMBER(F655),E655*F655,"")</x:f>
        <x:v>4.65</x:v>
      </x:c>
      <x:c r="H655" s="37" t="d">
        <x:v>2026-10-15T00:00:00.000Z</x:v>
      </x:c>
      <x:c r="I655" s="37" t="d">
        <x:v>2026-09-16T05:09:10.000Z</x:v>
      </x:c>
      <x:c r="J655" s="1" t="n">
        <x:f>IF(ISNUMBER(F655),E655,0)</x:f>
        <x:v>3</x:v>
      </x:c>
      <x:c r="K655" s="1"/>
      <x:c r="L655" s="1" t="str">
        <x:v>https://blog.skyairline.com/viajar-al-extranjero-2/</x:v>
      </x:c>
      <x:c r="M655" s="1" t="n">
        <x:v>2</x:v>
      </x:c>
    </x:row>
    <x:row r="656" ht="18.75" customHeight="1">
      <x:c r="A656" s="1" t="str">
        <x:v>https://blog.skyairline.com/punta-sal/</x:v>
      </x:c>
      <x:c r="B656" s="1" t="str">
        <x:v>como llegar a punta sal</x:v>
      </x:c>
      <x:c r="C656" s="1" t="str">
        <x:v>per</x:v>
      </x:c>
      <x:c r="D656" s="1" t="str">
        <x:v>Sin marca</x:v>
      </x:c>
      <x:c r="E656" s="35" t="n">
        <x:v>3</x:v>
      </x:c>
      <x:c r="F656" s="36" t="n">
        <x:v>2.15</x:v>
      </x:c>
      <x:c r="G656" s="36" t="n">
        <x:f>IF(ISNUMBER(F656),E656*F656,"")</x:f>
        <x:v>6.449999999999999</x:v>
      </x:c>
      <x:c r="H656" s="37" t="d">
        <x:v>2026-10-15T00:00:00.000Z</x:v>
      </x:c>
      <x:c r="I656" s="37" t="d">
        <x:v>2026-09-15T11:28:34.000Z</x:v>
      </x:c>
      <x:c r="J656" s="1" t="n">
        <x:f>IF(ISNUMBER(F656),E656,0)</x:f>
        <x:v>3</x:v>
      </x:c>
      <x:c r="K656" s="1"/>
      <x:c r="L656" s="1" t="str">
        <x:v>https://blog.skyairline.com/viajar-solo-primera-vez/</x:v>
      </x:c>
      <x:c r="M656" s="1" t="n">
        <x:v>2</x:v>
      </x:c>
    </x:row>
    <x:row r="657" ht="18.75" customHeight="1">
      <x:c r="A657" s="1" t="str">
        <x:v>https://blog.skyairline.com/punta-sal/</x:v>
      </x:c>
      <x:c r="B657" s="1" t="str">
        <x:v>donde queda punta sal</x:v>
      </x:c>
      <x:c r="C657" s="1" t="str">
        <x:v>per</x:v>
      </x:c>
      <x:c r="D657" s="1" t="str">
        <x:v>Sin marca</x:v>
      </x:c>
      <x:c r="E657" s="35" t="n">
        <x:v>3</x:v>
      </x:c>
      <x:c r="F657" s="36" t="n">
        <x:v>2.58</x:v>
      </x:c>
      <x:c r="G657" s="36" t="n">
        <x:f>IF(ISNUMBER(F657),E657*F657,"")</x:f>
        <x:v>7.74</x:v>
      </x:c>
      <x:c r="H657" s="37" t="d">
        <x:v>2026-10-15T00:00:00.000Z</x:v>
      </x:c>
      <x:c r="I657" s="37" t="d">
        <x:v>2026-09-15T23:31:44.000Z</x:v>
      </x:c>
      <x:c r="J657" s="1" t="n">
        <x:f>IF(ISNUMBER(F657),E657,0)</x:f>
        <x:v>3</x:v>
      </x:c>
      <x:c r="K657" s="1"/>
      <x:c r="L657" s="1" t="str">
        <x:v>https://blog.skyairline.com/viaje-a-juliaca/</x:v>
      </x:c>
      <x:c r="M657" s="1" t="n">
        <x:v>2</x:v>
      </x:c>
    </x:row>
    <x:row r="658" ht="18.75" customHeight="1">
      <x:c r="A658" s="1" t="str">
        <x:v>https://blog.skyairline.com/que-es-el-check-in/</x:v>
      </x:c>
      <x:c r="B658" s="1" t="str">
        <x:v>check in</x:v>
      </x:c>
      <x:c r="C658" s="1" t="str">
        <x:v>chl</x:v>
      </x:c>
      <x:c r="D658" s="1" t="str">
        <x:v>Sin marca</x:v>
      </x:c>
      <x:c r="E658" s="35" t="n">
        <x:v>3</x:v>
      </x:c>
      <x:c r="F658" s="36" t="n">
        <x:v>1.14</x:v>
      </x:c>
      <x:c r="G658" s="36" t="n">
        <x:f>IF(ISNUMBER(F658),E658*F658,"")</x:f>
        <x:v>3.42</x:v>
      </x:c>
      <x:c r="H658" s="37" t="d">
        <x:v>2026-10-15T00:00:00.000Z</x:v>
      </x:c>
      <x:c r="I658" s="37" t="d">
        <x:v>2026-09-14T08:47:00.000Z</x:v>
      </x:c>
      <x:c r="J658" s="1" t="n">
        <x:f>IF(ISNUMBER(F658),E658,0)</x:f>
        <x:v>3</x:v>
      </x:c>
      <x:c r="K658" s="1"/>
      <x:c r="L658" s="1" t="str">
        <x:v>https://blog.skyairline.com/viaje-a-sao-paulo/</x:v>
      </x:c>
      <x:c r="M658" s="1" t="n">
        <x:v>2</x:v>
      </x:c>
    </x:row>
    <x:row r="659" ht="18.75" customHeight="1">
      <x:c r="A659" s="1" t="str">
        <x:v>https://blog.skyairline.com/que-es-el-check-in/</x:v>
      </x:c>
      <x:c r="B659" s="1" t="str">
        <x:v>que es el check in de un vuelo</x:v>
      </x:c>
      <x:c r="C659" s="1" t="str">
        <x:v>per</x:v>
      </x:c>
      <x:c r="D659" s="1" t="str">
        <x:v>Sin marca</x:v>
      </x:c>
      <x:c r="E659" s="35" t="n">
        <x:v>3</x:v>
      </x:c>
      <x:c r="F659" s="36"/>
      <x:c r="G659" s="36" t="str">
        <x:f>IF(ISNUMBER(F659),E659*F659,"")</x:f>
      </x:c>
      <x:c r="H659" s="37" t="d">
        <x:v>2026-10-15T00:00:00.000Z</x:v>
      </x:c>
      <x:c r="I659" s="37" t="d">
        <x:v>2026-09-13T04:18:35.000Z</x:v>
      </x:c>
      <x:c r="J659" s="1" t="n">
        <x:f>IF(ISNUMBER(F659),E659,0)</x:f>
        <x:v>0</x:v>
      </x:c>
      <x:c r="K659" s="1"/>
      <x:c r="L659" s="1" t="str">
        <x:v>https://blog.skyairline.com/viajes-a-valparaiso/</x:v>
      </x:c>
      <x:c r="M659" s="1" t="n">
        <x:v>2</x:v>
      </x:c>
    </x:row>
    <x:row r="660" ht="18.75" customHeight="1">
      <x:c r="A660" s="1" t="str">
        <x:v>https://blog.skyairline.com/que-estudia-tripulante-cabina/</x:v>
      </x:c>
      <x:c r="B660" s="1" t="str">
        <x:v>azafata</x:v>
      </x:c>
      <x:c r="C660" s="1" t="str">
        <x:v>chl</x:v>
      </x:c>
      <x:c r="D660" s="1" t="str">
        <x:v>Sin marca</x:v>
      </x:c>
      <x:c r="E660" s="35" t="n">
        <x:v>3</x:v>
      </x:c>
      <x:c r="F660" s="36"/>
      <x:c r="G660" s="36" t="str">
        <x:f>IF(ISNUMBER(F660),E660*F660,"")</x:f>
      </x:c>
      <x:c r="H660" s="37" t="d">
        <x:v>2026-10-15T00:00:00.000Z</x:v>
      </x:c>
      <x:c r="I660" s="37" t="d">
        <x:v>2026-06-16T21:09:56.000Z</x:v>
      </x:c>
      <x:c r="J660" s="1" t="n">
        <x:f>IF(ISNUMBER(F660),E660,0)</x:f>
        <x:v>0</x:v>
      </x:c>
      <x:c r="K660" s="1"/>
      <x:c r="L660" s="1" t="str">
        <x:v>https://blog.skyairline.com/viajes-cusco/</x:v>
      </x:c>
      <x:c r="M660" s="1" t="n">
        <x:v>2</x:v>
      </x:c>
    </x:row>
    <x:row r="661" ht="18.75" customHeight="1">
      <x:c r="A661" s="1" t="str">
        <x:v>https://blog.skyairline.com/retiros-espirituales/</x:v>
      </x:c>
      <x:c r="B661" s="1" t="str">
        <x:v>retiro espiritual chile</x:v>
      </x:c>
      <x:c r="C661" s="1" t="str">
        <x:v>chl</x:v>
      </x:c>
      <x:c r="D661" s="1" t="str">
        <x:v>Sin marca</x:v>
      </x:c>
      <x:c r="E661" s="35" t="n">
        <x:v>3</x:v>
      </x:c>
      <x:c r="F661" s="36" t="n">
        <x:v>0.13</x:v>
      </x:c>
      <x:c r="G661" s="36" t="n">
        <x:f>IF(ISNUMBER(F661),E661*F661,"")</x:f>
        <x:v>0.39</x:v>
      </x:c>
      <x:c r="H661" s="37" t="d">
        <x:v>2026-10-15T00:00:00.000Z</x:v>
      </x:c>
      <x:c r="I661" s="37" t="d">
        <x:v>2026-09-14T07:31:17.000Z</x:v>
      </x:c>
      <x:c r="J661" s="1" t="n">
        <x:f>IF(ISNUMBER(F661),E661,0)</x:f>
        <x:v>3</x:v>
      </x:c>
      <x:c r="K661" s="1"/>
      <x:c r="L661" s="1" t="str">
        <x:v>https://blog.skyairline.com/vida-nocturna-en-sao-paulo/</x:v>
      </x:c>
      <x:c r="M661" s="1" t="n">
        <x:v>2</x:v>
      </x:c>
    </x:row>
    <x:row r="662" ht="18.75" customHeight="1">
      <x:c r="A662" s="1" t="str">
        <x:v>https://blog.skyairline.com/retiros-espirituales/</x:v>
      </x:c>
      <x:c r="B662" s="1" t="str">
        <x:v>retiros espirituales</x:v>
      </x:c>
      <x:c r="C662" s="1" t="str">
        <x:v>chl</x:v>
      </x:c>
      <x:c r="D662" s="1" t="str">
        <x:v>Sin marca</x:v>
      </x:c>
      <x:c r="E662" s="35" t="n">
        <x:v>3</x:v>
      </x:c>
      <x:c r="F662" s="36" t="n">
        <x:v>0.51</x:v>
      </x:c>
      <x:c r="G662" s="36" t="n">
        <x:f>IF(ISNUMBER(F662),E662*F662,"")</x:f>
        <x:v>1.53</x:v>
      </x:c>
      <x:c r="H662" s="37" t="d">
        <x:v>2026-10-15T00:00:00.000Z</x:v>
      </x:c>
      <x:c r="I662" s="37" t="d">
        <x:v>2026-09-16T13:56:42.000Z</x:v>
      </x:c>
      <x:c r="J662" s="1" t="n">
        <x:f>IF(ISNUMBER(F662),E662,0)</x:f>
        <x:v>3</x:v>
      </x:c>
      <x:c r="K662" s="1"/>
      <x:c r="L662" s="1" t="str">
        <x:v>https://blog.skyairline.com/voluntariados/</x:v>
      </x:c>
      <x:c r="M662" s="1" t="n">
        <x:v>2</x:v>
      </x:c>
    </x:row>
    <x:row r="663" ht="18.75" customHeight="1">
      <x:c r="A663" s="1" t="str">
        <x:v>https://blog.skyairline.com/salvador-de-bahia/</x:v>
      </x:c>
      <x:c r="B663" s="1" t="str">
        <x:v>salvador de bahía es peligroso</x:v>
      </x:c>
      <x:c r="C663" s="1" t="str">
        <x:v>arg</x:v>
      </x:c>
      <x:c r="D663" s="1" t="str">
        <x:v>Sin marca</x:v>
      </x:c>
      <x:c r="E663" s="35" t="n">
        <x:v>3</x:v>
      </x:c>
      <x:c r="F663" s="36"/>
      <x:c r="G663" s="36" t="str">
        <x:f>IF(ISNUMBER(F663),E663*F663,"")</x:f>
      </x:c>
      <x:c r="H663" s="37"/>
      <x:c r="I663" s="37"/>
      <x:c r="J663" s="1" t="n">
        <x:f>IF(ISNUMBER(F663),E663,0)</x:f>
        <x:v>0</x:v>
      </x:c>
      <x:c r="K663" s="1"/>
      <x:c r="L663" s="1" t="str">
        <x:v>https://blog.skyairline.com/zona-norte-de-chile-principales-regiones-imperdibles/</x:v>
      </x:c>
      <x:c r="M663" s="1" t="n">
        <x:v>2</x:v>
      </x:c>
    </x:row>
    <x:row r="664" ht="18.75" customHeight="1">
      <x:c r="A664" s="1" t="str">
        <x:v>https://blog.skyairline.com/salvador-de-bahia/</x:v>
      </x:c>
      <x:c r="B664" s="1" t="str">
        <x:v>salvador de bahía es peligroso</x:v>
      </x:c>
      <x:c r="C664" s="1" t="str">
        <x:v>bra</x:v>
      </x:c>
      <x:c r="D664" s="1" t="str">
        <x:v>Sin marca</x:v>
      </x:c>
      <x:c r="E664" s="35" t="n">
        <x:v>3</x:v>
      </x:c>
      <x:c r="F664" s="36"/>
      <x:c r="G664" s="36" t="str">
        <x:f>IF(ISNUMBER(F664),E664*F664,"")</x:f>
      </x:c>
      <x:c r="H664" s="37"/>
      <x:c r="I664" s="37"/>
      <x:c r="J664" s="1" t="n">
        <x:f>IF(ISNUMBER(F664),E664,0)</x:f>
        <x:v>0</x:v>
      </x:c>
      <x:c r="K664" s="1"/>
      <x:c r="L664" s="1" t="str">
        <x:v>https://blog.skyairline.com/zona-norte-de-chile/</x:v>
      </x:c>
      <x:c r="M664" s="1" t="n">
        <x:v>2</x:v>
      </x:c>
    </x:row>
    <x:row r="665" ht="18.75" customHeight="1">
      <x:c r="A665" s="1" t="str">
        <x:v>https://blog.skyairline.com/santa-catarina/</x:v>
      </x:c>
      <x:c r="B665" s="1" t="str">
        <x:v>playas de brasil santa catarina</x:v>
      </x:c>
      <x:c r="C665" s="1" t="str">
        <x:v>ury</x:v>
      </x:c>
      <x:c r="D665" s="1" t="str">
        <x:v>Sin marca</x:v>
      </x:c>
      <x:c r="E665" s="35" t="n">
        <x:v>3</x:v>
      </x:c>
      <x:c r="F665" s="36"/>
      <x:c r="G665" s="36" t="str">
        <x:f>IF(ISNUMBER(F665),E665*F665,"")</x:f>
      </x:c>
      <x:c r="H665" s="37"/>
      <x:c r="I665" s="37"/>
      <x:c r="J665" s="1" t="n">
        <x:f>IF(ISNUMBER(F665),E665,0)</x:f>
        <x:v>0</x:v>
      </x:c>
      <x:c r="K665" s="1"/>
      <x:c r="L665" s="1" t="str">
        <x:v>https://blog.skyairline.com/5-botecos-que-puedes-visitar-en-porto-alegre/</x:v>
      </x:c>
      <x:c r="M665" s="1" t="n">
        <x:v>1</x:v>
      </x:c>
    </x:row>
    <x:row r="666" ht="18.75" customHeight="1">
      <x:c r="A666" s="1" t="str">
        <x:v>https://blog.skyairline.com/se-puede-llegar-en-avion-a-pucon/</x:v>
      </x:c>
      <x:c r="B666" s="1" t="str">
        <x:v>aerodromo pucon</x:v>
      </x:c>
      <x:c r="C666" s="1" t="str">
        <x:v>chl</x:v>
      </x:c>
      <x:c r="D666" s="1" t="str">
        <x:v>Sin marca</x:v>
      </x:c>
      <x:c r="E666" s="35" t="n">
        <x:v>3</x:v>
      </x:c>
      <x:c r="F666" s="36"/>
      <x:c r="G666" s="36" t="str">
        <x:f>IF(ISNUMBER(F666),E666*F666,"")</x:f>
      </x:c>
      <x:c r="H666" s="37" t="d">
        <x:v>2026-10-15T00:00:00.000Z</x:v>
      </x:c>
      <x:c r="I666" s="37" t="d">
        <x:v>2026-09-15T23:56:58.000Z</x:v>
      </x:c>
      <x:c r="J666" s="1" t="n">
        <x:f>IF(ISNUMBER(F666),E666,0)</x:f>
        <x:v>0</x:v>
      </x:c>
      <x:c r="K666" s="1"/>
      <x:c r="L666" s="1" t="str">
        <x:v>https://blog.skyairline.com/actividades-culturales-en-lima/</x:v>
      </x:c>
      <x:c r="M666" s="1" t="n">
        <x:v>1</x:v>
      </x:c>
    </x:row>
    <x:row r="667" ht="18.75" customHeight="1">
      <x:c r="A667" s="1" t="str">
        <x:v>https://blog.skyairline.com/se-puede-llegar-en-avion-a-pucon/</x:v>
      </x:c>
      <x:c r="B667" s="1" t="str">
        <x:v>aeropuerto de pucon</x:v>
      </x:c>
      <x:c r="C667" s="1" t="str">
        <x:v>chl</x:v>
      </x:c>
      <x:c r="D667" s="1" t="str">
        <x:v>Sin marca</x:v>
      </x:c>
      <x:c r="E667" s="35" t="n">
        <x:v>3</x:v>
      </x:c>
      <x:c r="F667" s="36" t="n">
        <x:v>0.31</x:v>
      </x:c>
      <x:c r="G667" s="36" t="n">
        <x:f>IF(ISNUMBER(F667),E667*F667,"")</x:f>
        <x:v>0.9299999999999999</x:v>
      </x:c>
      <x:c r="H667" s="37" t="d">
        <x:v>2026-10-15T00:00:00.000Z</x:v>
      </x:c>
      <x:c r="I667" s="37" t="d">
        <x:v>2026-09-17T00:51:56.000Z</x:v>
      </x:c>
      <x:c r="J667" s="1" t="n">
        <x:f>IF(ISNUMBER(F667),E667,0)</x:f>
        <x:v>3</x:v>
      </x:c>
      <x:c r="K667" s="1"/>
      <x:c r="L667" s="1" t="str">
        <x:v>https://blog.skyairline.com/aerolineas-mas-puntuales-del-mundo/</x:v>
      </x:c>
      <x:c r="M667" s="1" t="n">
        <x:v>1</x:v>
      </x:c>
    </x:row>
    <x:row r="668" ht="18.75" customHeight="1">
      <x:c r="A668" s="1" t="str">
        <x:v>https://blog.skyairline.com/se-puede-llegar-en-avion-a-pucon/</x:v>
      </x:c>
      <x:c r="B668" s="1" t="str">
        <x:v>aeropuerto mas cercano a pucon</x:v>
      </x:c>
      <x:c r="C668" s="1" t="str">
        <x:v>chl</x:v>
      </x:c>
      <x:c r="D668" s="1" t="str">
        <x:v>Sin marca</x:v>
      </x:c>
      <x:c r="E668" s="35" t="n">
        <x:v>3</x:v>
      </x:c>
      <x:c r="F668" s="36" t="n">
        <x:v>0.45</x:v>
      </x:c>
      <x:c r="G668" s="36" t="n">
        <x:f>IF(ISNUMBER(F668),E668*F668,"")</x:f>
        <x:v>1.35</x:v>
      </x:c>
      <x:c r="H668" s="37" t="d">
        <x:v>2026-10-15T00:00:00.000Z</x:v>
      </x:c>
      <x:c r="I668" s="37" t="d">
        <x:v>2026-09-14T17:54:41.000Z</x:v>
      </x:c>
      <x:c r="J668" s="1" t="n">
        <x:f>IF(ISNUMBER(F668),E668,0)</x:f>
        <x:v>3</x:v>
      </x:c>
      <x:c r="K668" s="1"/>
      <x:c r="L668" s="1" t="str">
        <x:v>https://blog.skyairline.com/aeropuerto-balmaceda/</x:v>
      </x:c>
      <x:c r="M668" s="1" t="n">
        <x:v>1</x:v>
      </x:c>
    </x:row>
    <x:row r="669" ht="18.75" customHeight="1">
      <x:c r="A669" s="1" t="str">
        <x:v>https://blog.skyairline.com/se-puede-llegar-en-avion-a-pucon/</x:v>
      </x:c>
      <x:c r="B669" s="1" t="str">
        <x:v>hay aeropuerto en pucon</x:v>
      </x:c>
      <x:c r="C669" s="1" t="str">
        <x:v>chl</x:v>
      </x:c>
      <x:c r="D669" s="1" t="str">
        <x:v>Sin marca</x:v>
      </x:c>
      <x:c r="E669" s="35" t="n">
        <x:v>3</x:v>
      </x:c>
      <x:c r="F669" s="36" t="n">
        <x:v>0.61</x:v>
      </x:c>
      <x:c r="G669" s="36" t="n">
        <x:f>IF(ISNUMBER(F669),E669*F669,"")</x:f>
        <x:v>1.83</x:v>
      </x:c>
      <x:c r="H669" s="37" t="d">
        <x:v>2026-10-15T00:00:00.000Z</x:v>
      </x:c>
      <x:c r="I669" s="37" t="d">
        <x:v>2026-09-17T20:29:56.999Z</x:v>
      </x:c>
      <x:c r="J669" s="1" t="n">
        <x:f>IF(ISNUMBER(F669),E669,0)</x:f>
        <x:v>3</x:v>
      </x:c>
      <x:c r="K669" s="1"/>
      <x:c r="L669" s="1" t="str">
        <x:v>https://blog.skyairline.com/ahorrar-en-comida/</x:v>
      </x:c>
      <x:c r="M669" s="1" t="n">
        <x:v>1</x:v>
      </x:c>
    </x:row>
    <x:row r="670" ht="18.75" customHeight="1">
      <x:c r="A670" s="1" t="str">
        <x:v>https://blog.skyairline.com/seguro-de-viaje/</x:v>
      </x:c>
      <x:c r="B670" s="1" t="str">
        <x:v>seguro de viaje sky</x:v>
      </x:c>
      <x:c r="C670" s="1" t="str">
        <x:v>per</x:v>
      </x:c>
      <x:c r="D670" s="1" t="str">
        <x:v>Marca</x:v>
      </x:c>
      <x:c r="E670" s="35" t="n">
        <x:v>3</x:v>
      </x:c>
      <x:c r="F670" s="36" t="n">
        <x:v>3.07</x:v>
      </x:c>
      <x:c r="G670" s="36" t="n">
        <x:f>IF(ISNUMBER(F670),E670*F670,"")</x:f>
        <x:v>9.209999999999999</x:v>
      </x:c>
      <x:c r="H670" s="37" t="d">
        <x:v>2026-10-15T00:00:00.000Z</x:v>
      </x:c>
      <x:c r="I670" s="37" t="d">
        <x:v>2026-09-13T04:10:27.000Z</x:v>
      </x:c>
      <x:c r="J670" s="1" t="n">
        <x:f>IF(ISNUMBER(F670),E670,0)</x:f>
        <x:v>3</x:v>
      </x:c>
      <x:c r="K670" s="1"/>
      <x:c r="L670" s="1" t="str">
        <x:v>https://blog.skyairline.com/akumal/</x:v>
      </x:c>
      <x:c r="M670" s="1" t="n">
        <x:v>1</x:v>
      </x:c>
    </x:row>
    <x:row r="671" ht="18.75" customHeight="1">
      <x:c r="A671" s="1" t="str">
        <x:v>https://blog.skyairline.com/sky-airline-2/</x:v>
      </x:c>
      <x:c r="B671" s="1" t="str">
        <x:v>billetera sky chile</x:v>
      </x:c>
      <x:c r="C671" s="1" t="str">
        <x:v>chl</x:v>
      </x:c>
      <x:c r="D671" s="1" t="str">
        <x:v>Marca</x:v>
      </x:c>
      <x:c r="E671" s="35" t="n">
        <x:v>3</x:v>
      </x:c>
      <x:c r="F671" s="36" t="n">
        <x:v>0.21</x:v>
      </x:c>
      <x:c r="G671" s="36" t="n">
        <x:f>IF(ISNUMBER(F671),E671*F671,"")</x:f>
        <x:v>0.63</x:v>
      </x:c>
      <x:c r="H671" s="37" t="d">
        <x:v>2026-10-15T00:00:00.000Z</x:v>
      </x:c>
      <x:c r="I671" s="37" t="d">
        <x:v>2026-09-14T23:32:18.000Z</x:v>
      </x:c>
      <x:c r="J671" s="1" t="n">
        <x:f>IF(ISNUMBER(F671),E671,0)</x:f>
        <x:v>3</x:v>
      </x:c>
      <x:c r="K671" s="1"/>
      <x:c r="L671" s="1" t="str">
        <x:v>https://blog.skyairline.com/altino-arantes-building/</x:v>
      </x:c>
      <x:c r="M671" s="1" t="n">
        <x:v>1</x:v>
      </x:c>
    </x:row>
    <x:row r="672" ht="18.75" customHeight="1">
      <x:c r="A672" s="1" t="str">
        <x:v>https://blog.skyairline.com/sky-airline-2/</x:v>
      </x:c>
      <x:c r="B672" s="1" t="str">
        <x:v>sky billetera digital</x:v>
      </x:c>
      <x:c r="C672" s="1" t="str">
        <x:v>chl</x:v>
      </x:c>
      <x:c r="D672" s="1" t="str">
        <x:v>Marca</x:v>
      </x:c>
      <x:c r="E672" s="35" t="n">
        <x:v>3</x:v>
      </x:c>
      <x:c r="F672" s="36"/>
      <x:c r="G672" s="36" t="str">
        <x:f>IF(ISNUMBER(F672),E672*F672,"")</x:f>
      </x:c>
      <x:c r="H672" s="37"/>
      <x:c r="I672" s="37"/>
      <x:c r="J672" s="1" t="n">
        <x:f>IF(ISNUMBER(F672),E672,0)</x:f>
        <x:v>0</x:v>
      </x:c>
      <x:c r="K672" s="1"/>
      <x:c r="L672" s="1" t="str">
        <x:v>https://blog.skyairline.com/altura-machu-picchu/</x:v>
      </x:c>
      <x:c r="M672" s="1" t="n">
        <x:v>1</x:v>
      </x:c>
    </x:row>
    <x:row r="673" ht="18.75" customHeight="1">
      <x:c r="A673" s="1" t="str">
        <x:v>https://blog.skyairline.com/sky-aviones/</x:v>
      </x:c>
      <x:c r="B673" s="1" t="str">
        <x:v>flota de sky airlines</x:v>
      </x:c>
      <x:c r="C673" s="1" t="str">
        <x:v>per</x:v>
      </x:c>
      <x:c r="D673" s="1" t="str">
        <x:v>Marca</x:v>
      </x:c>
      <x:c r="E673" s="35" t="n">
        <x:v>3</x:v>
      </x:c>
      <x:c r="F673" s="36"/>
      <x:c r="G673" s="36" t="str">
        <x:f>IF(ISNUMBER(F673),E673*F673,"")</x:f>
      </x:c>
      <x:c r="H673" s="37"/>
      <x:c r="I673" s="37"/>
      <x:c r="J673" s="1" t="n">
        <x:f>IF(ISNUMBER(F673),E673,0)</x:f>
        <x:v>0</x:v>
      </x:c>
      <x:c r="K673" s="1"/>
      <x:c r="L673" s="1" t="str">
        <x:v>https://blog.skyairline.com/amigos/</x:v>
      </x:c>
      <x:c r="M673" s="1" t="n">
        <x:v>1</x:v>
      </x:c>
    </x:row>
    <x:row r="674" ht="18.75" customHeight="1">
      <x:c r="A674" s="1" t="str">
        <x:v>https://blog.skyairline.com/sky-aviones/</x:v>
      </x:c>
      <x:c r="B674" s="1" t="str">
        <x:v>sky airline flota</x:v>
      </x:c>
      <x:c r="C674" s="1" t="str">
        <x:v>chl</x:v>
      </x:c>
      <x:c r="D674" s="1" t="str">
        <x:v>Marca</x:v>
      </x:c>
      <x:c r="E674" s="35" t="n">
        <x:v>3</x:v>
      </x:c>
      <x:c r="F674" s="36"/>
      <x:c r="G674" s="36" t="str">
        <x:f>IF(ISNUMBER(F674),E674*F674,"")</x:f>
      </x:c>
      <x:c r="H674" s="37" t="d">
        <x:v>2026-10-15T00:00:00.000Z</x:v>
      </x:c>
      <x:c r="I674" s="37" t="d">
        <x:v>2026-09-13T14:14:14.000Z</x:v>
      </x:c>
      <x:c r="J674" s="1" t="n">
        <x:f>IF(ISNUMBER(F674),E674,0)</x:f>
        <x:v>0</x:v>
      </x:c>
      <x:c r="K674" s="1"/>
      <x:c r="L674" s="1" t="str">
        <x:v>https://blog.skyairline.com/ano-nuevo-en-chile/</x:v>
      </x:c>
      <x:c r="M674" s="1" t="n">
        <x:v>1</x:v>
      </x:c>
    </x:row>
    <x:row r="675" ht="18.75" customHeight="1">
      <x:c r="A675" s="1" t="str">
        <x:v>https://blog.skyairline.com/sky-fortalece-su-propuesta-de-valor-para-sus-pasajeros-con-economy-premier/</x:v>
      </x:c>
      <x:c r="B675" s="1" t="str">
        <x:v>economy premier</x:v>
      </x:c>
      <x:c r="C675" s="1" t="str">
        <x:v>per</x:v>
      </x:c>
      <x:c r="D675" s="1" t="str">
        <x:v>Sin marca</x:v>
      </x:c>
      <x:c r="E675" s="35" t="n">
        <x:v>3</x:v>
      </x:c>
      <x:c r="F675" s="36"/>
      <x:c r="G675" s="36" t="str">
        <x:f>IF(ISNUMBER(F675),E675*F675,"")</x:f>
      </x:c>
      <x:c r="H675" s="37"/>
      <x:c r="I675" s="37"/>
      <x:c r="J675" s="1" t="n">
        <x:f>IF(ISNUMBER(F675),E675,0)</x:f>
        <x:v>0</x:v>
      </x:c>
      <x:c r="K675" s="1"/>
      <x:c r="L675" s="1" t="str">
        <x:v>https://blog.skyairline.com/ano-nuevo-en-vina-del-mar/</x:v>
      </x:c>
      <x:c r="M675" s="1" t="n">
        <x:v>1</x:v>
      </x:c>
    </x:row>
    <x:row r="676" ht="18.75" customHeight="1">
      <x:c r="A676" s="1" t="str">
        <x:v>https://blog.skyairline.com/sky-fortalece-su-propuesta-de-valor-para-sus-pasajeros-con-economy-premier/</x:v>
      </x:c>
      <x:c r="B676" s="1" t="str">
        <x:v>premium economy sky</x:v>
      </x:c>
      <x:c r="C676" s="1" t="str">
        <x:v>per</x:v>
      </x:c>
      <x:c r="D676" s="1" t="str">
        <x:v>Marca</x:v>
      </x:c>
      <x:c r="E676" s="35" t="n">
        <x:v>3</x:v>
      </x:c>
      <x:c r="F676" s="36"/>
      <x:c r="G676" s="36" t="str">
        <x:f>IF(ISNUMBER(F676),E676*F676,"")</x:f>
      </x:c>
      <x:c r="H676" s="37"/>
      <x:c r="I676" s="37"/>
      <x:c r="J676" s="1" t="n">
        <x:f>IF(ISNUMBER(F676),E676,0)</x:f>
        <x:v>0</x:v>
      </x:c>
      <x:c r="K676" s="1"/>
      <x:c r="L676" s="1" t="str">
        <x:v>https://blog.skyairline.com/ano-viejo/</x:v>
      </x:c>
      <x:c r="M676" s="1" t="n">
        <x:v>1</x:v>
      </x:c>
    </x:row>
    <x:row r="677" ht="18.75" customHeight="1">
      <x:c r="A677" s="1" t="str">
        <x:v>https://blog.skyairline.com/sky-fortalece-su-propuesta-de-valor-para-sus-pasajeros-con-economy-premier/</x:v>
      </x:c>
      <x:c r="B677" s="1" t="str">
        <x:v>sky airlines premium economy</x:v>
      </x:c>
      <x:c r="C677" s="1" t="str">
        <x:v>chl</x:v>
      </x:c>
      <x:c r="D677" s="1" t="str">
        <x:v>Marca</x:v>
      </x:c>
      <x:c r="E677" s="35" t="n">
        <x:v>3</x:v>
      </x:c>
      <x:c r="F677" s="36"/>
      <x:c r="G677" s="36" t="str">
        <x:f>IF(ISNUMBER(F677),E677*F677,"")</x:f>
      </x:c>
      <x:c r="H677" s="37"/>
      <x:c r="I677" s="37"/>
      <x:c r="J677" s="1" t="n">
        <x:f>IF(ISNUMBER(F677),E677,0)</x:f>
        <x:v>0</x:v>
      </x:c>
      <x:c r="K677" s="1"/>
      <x:c r="L677" s="1" t="str">
        <x:v>https://blog.skyairline.com/antillanca/</x:v>
      </x:c>
      <x:c r="M677" s="1" t="n">
        <x:v>1</x:v>
      </x:c>
    </x:row>
    <x:row r="678" ht="18.75" customHeight="1">
      <x:c r="A678" s="1" t="str">
        <x:v>https://blog.skyairline.com/sky-fortalece-su-propuesta-de-valor-para-sus-pasajeros-con-economy-premier/</x:v>
      </x:c>
      <x:c r="B678" s="1" t="str">
        <x:v>sky premium economy</x:v>
      </x:c>
      <x:c r="C678" s="1" t="str">
        <x:v>chl</x:v>
      </x:c>
      <x:c r="D678" s="1" t="str">
        <x:v>Marca</x:v>
      </x:c>
      <x:c r="E678" s="35" t="n">
        <x:v>3</x:v>
      </x:c>
      <x:c r="F678" s="36"/>
      <x:c r="G678" s="36" t="str">
        <x:f>IF(ISNUMBER(F678),E678*F678,"")</x:f>
      </x:c>
      <x:c r="H678" s="37"/>
      <x:c r="I678" s="37"/>
      <x:c r="J678" s="1" t="n">
        <x:f>IF(ISNUMBER(F678),E678,0)</x:f>
        <x:v>0</x:v>
      </x:c>
      <x:c r="K678" s="1"/>
      <x:c r="L678" s="1" t="str">
        <x:v>https://blog.skyairline.com/aplicaciones-para-viajar/</x:v>
      </x:c>
      <x:c r="M678" s="1" t="n">
        <x:v>1</x:v>
      </x:c>
    </x:row>
    <x:row r="679" ht="18.75" customHeight="1">
      <x:c r="A679" s="1" t="str">
        <x:v>https://blog.skyairline.com/sky-plus/</x:v>
      </x:c>
      <x:c r="B679" s="1" t="str">
        <x:v>beneficios sky plus</x:v>
      </x:c>
      <x:c r="C679" s="1" t="str">
        <x:v>chl</x:v>
      </x:c>
      <x:c r="D679" s="1" t="str">
        <x:v>Marca</x:v>
      </x:c>
      <x:c r="E679" s="35" t="n">
        <x:v>3</x:v>
      </x:c>
      <x:c r="F679" s="36" t="n">
        <x:v>0.98</x:v>
      </x:c>
      <x:c r="G679" s="36" t="n">
        <x:f>IF(ISNUMBER(F679),E679*F679,"")</x:f>
        <x:v>2.94</x:v>
      </x:c>
      <x:c r="H679" s="37" t="d">
        <x:v>2026-10-15T00:00:00.000Z</x:v>
      </x:c>
      <x:c r="I679" s="37" t="d">
        <x:v>2026-09-15T03:14:16.000Z</x:v>
      </x:c>
      <x:c r="J679" s="1" t="n">
        <x:f>IF(ISNUMBER(F679),E679,0)</x:f>
        <x:v>3</x:v>
      </x:c>
      <x:c r="K679" s="1"/>
      <x:c r="L679" s="1" t="str">
        <x:v>https://blog.skyairline.com/app-sky-beneficios/</x:v>
      </x:c>
      <x:c r="M679" s="1" t="n">
        <x:v>1</x:v>
      </x:c>
    </x:row>
    <x:row r="680" ht="18.75" customHeight="1">
      <x:c r="A680" s="1" t="str">
        <x:v>https://blog.skyairline.com/sky-plus/</x:v>
      </x:c>
      <x:c r="B680" s="1" t="str">
        <x:v>pasajero frecuente sky</x:v>
      </x:c>
      <x:c r="C680" s="1" t="str">
        <x:v>chl</x:v>
      </x:c>
      <x:c r="D680" s="1" t="str">
        <x:v>Marca</x:v>
      </x:c>
      <x:c r="E680" s="35" t="n">
        <x:v>3</x:v>
      </x:c>
      <x:c r="F680" s="36"/>
      <x:c r="G680" s="36" t="str">
        <x:f>IF(ISNUMBER(F680),E680*F680,"")</x:f>
      </x:c>
      <x:c r="H680" s="37"/>
      <x:c r="I680" s="37"/>
      <x:c r="J680" s="1" t="n">
        <x:f>IF(ISNUMBER(F680),E680,0)</x:f>
        <x:v>0</x:v>
      </x:c>
      <x:c r="K680" s="1"/>
      <x:c r="L680" s="1" t="str">
        <x:v>https://blog.skyairline.com/arraial-do-cabo-playas/</x:v>
      </x:c>
      <x:c r="M680" s="1" t="n">
        <x:v>1</x:v>
      </x:c>
    </x:row>
    <x:row r="681" ht="18.75" customHeight="1">
      <x:c r="A681" s="1" t="str">
        <x:v>https://blog.skyairline.com/sky-plus/</x:v>
      </x:c>
      <x:c r="B681" s="1" t="str">
        <x:v>programa de beneficios sky plus</x:v>
      </x:c>
      <x:c r="C681" s="1" t="str">
        <x:v>per</x:v>
      </x:c>
      <x:c r="D681" s="1" t="str">
        <x:v>Marca</x:v>
      </x:c>
      <x:c r="E681" s="35" t="n">
        <x:v>3</x:v>
      </x:c>
      <x:c r="F681" s="36"/>
      <x:c r="G681" s="36" t="str">
        <x:f>IF(ISNUMBER(F681),E681*F681,"")</x:f>
      </x:c>
      <x:c r="H681" s="37"/>
      <x:c r="I681" s="37"/>
      <x:c r="J681" s="1" t="n">
        <x:f>IF(ISNUMBER(F681),E681,0)</x:f>
        <x:v>0</x:v>
      </x:c>
      <x:c r="K681" s="1"/>
      <x:c r="L681" s="1" t="str">
        <x:v>https://blog.skyairline.com/arraial-do-cabo/</x:v>
      </x:c>
      <x:c r="M681" s="1" t="n">
        <x:v>1</x:v>
      </x:c>
    </x:row>
    <x:row r="682" ht="18.75" customHeight="1">
      <x:c r="A682" s="1" t="str">
        <x:v>https://blog.skyairline.com/sky-plus/</x:v>
      </x:c>
      <x:c r="B682" s="1" t="str">
        <x:v>sky pasajero frecuente</x:v>
      </x:c>
      <x:c r="C682" s="1" t="str">
        <x:v>chl</x:v>
      </x:c>
      <x:c r="D682" s="1" t="str">
        <x:v>Marca</x:v>
      </x:c>
      <x:c r="E682" s="35" t="n">
        <x:v>3</x:v>
      </x:c>
      <x:c r="F682" s="36"/>
      <x:c r="G682" s="36" t="str">
        <x:f>IF(ISNUMBER(F682),E682*F682,"")</x:f>
      </x:c>
      <x:c r="H682" s="37"/>
      <x:c r="I682" s="37"/>
      <x:c r="J682" s="1" t="n">
        <x:f>IF(ISNUMBER(F682),E682,0)</x:f>
        <x:v>0</x:v>
      </x:c>
      <x:c r="K682" s="1"/>
      <x:c r="L682" s="1" t="str">
        <x:v>https://blog.skyairline.com/atracciones-destacadas-en-osorno/</x:v>
      </x:c>
      <x:c r="M682" s="1" t="n">
        <x:v>1</x:v>
      </x:c>
    </x:row>
    <x:row r="683" ht="18.75" customHeight="1">
      <x:c r="A683" s="1" t="str">
        <x:v>https://blog.skyairline.com/sky-plus/</x:v>
      </x:c>
      <x:c r="B683" s="1" t="str">
        <x:v>sky plus chile</x:v>
      </x:c>
      <x:c r="C683" s="1" t="str">
        <x:v>chl</x:v>
      </x:c>
      <x:c r="D683" s="1" t="str">
        <x:v>Marca</x:v>
      </x:c>
      <x:c r="E683" s="35" t="n">
        <x:v>3</x:v>
      </x:c>
      <x:c r="F683" s="36" t="n">
        <x:v>0.39</x:v>
      </x:c>
      <x:c r="G683" s="36" t="n">
        <x:f>IF(ISNUMBER(F683),E683*F683,"")</x:f>
        <x:v>1.17</x:v>
      </x:c>
      <x:c r="H683" s="37" t="d">
        <x:v>2026-10-15T00:00:00.000Z</x:v>
      </x:c>
      <x:c r="I683" s="37" t="d">
        <x:v>2026-09-17T18:15:50.000Z</x:v>
      </x:c>
      <x:c r="J683" s="1" t="n">
        <x:f>IF(ISNUMBER(F683),E683,0)</x:f>
        <x:v>3</x:v>
      </x:c>
      <x:c r="K683" s="1"/>
      <x:c r="L683" s="1" t="str">
        <x:v>https://blog.skyairline.com/auto-automatico/</x:v>
      </x:c>
      <x:c r="M683" s="1" t="n">
        <x:v>1</x:v>
      </x:c>
    </x:row>
    <x:row r="684" ht="18.75" customHeight="1">
      <x:c r="A684" s="1" t="str">
        <x:v>https://blog.skyairline.com/sky-plus/</x:v>
      </x:c>
      <x:c r="B684" s="1" t="str">
        <x:v>skyplus</x:v>
      </x:c>
      <x:c r="C684" s="1" t="str">
        <x:v>per</x:v>
      </x:c>
      <x:c r="D684" s="1" t="str">
        <x:v>Sin marca</x:v>
      </x:c>
      <x:c r="E684" s="35" t="n">
        <x:v>3</x:v>
      </x:c>
      <x:c r="F684" s="36"/>
      <x:c r="G684" s="36" t="str">
        <x:f>IF(ISNUMBER(F684),E684*F684,"")</x:f>
      </x:c>
      <x:c r="H684" s="37"/>
      <x:c r="I684" s="37"/>
      <x:c r="J684" s="1" t="n">
        <x:f>IF(ISNUMBER(F684),E684,0)</x:f>
        <x:v>0</x:v>
      </x:c>
      <x:c r="K684" s="1"/>
      <x:c r="L684" s="1" t="str">
        <x:v>https://blog.skyairline.com/barcazas/</x:v>
      </x:c>
      <x:c r="M684" s="1" t="n">
        <x:v>1</x:v>
      </x:c>
    </x:row>
    <x:row r="685" ht="18.75" customHeight="1">
      <x:c r="A685" s="1" t="str">
        <x:v>https://blog.skyairline.com/sur-argentino/</x:v>
      </x:c>
      <x:c r="B685" s="1" t="str">
        <x:v>lugares en el sur de argentina</x:v>
      </x:c>
      <x:c r="C685" s="1" t="str">
        <x:v>arg</x:v>
      </x:c>
      <x:c r="D685" s="1" t="str">
        <x:v>Sin marca</x:v>
      </x:c>
      <x:c r="E685" s="35" t="n">
        <x:v>3</x:v>
      </x:c>
      <x:c r="F685" s="36"/>
      <x:c r="G685" s="36" t="str">
        <x:f>IF(ISNUMBER(F685),E685*F685,"")</x:f>
      </x:c>
      <x:c r="H685" s="37"/>
      <x:c r="I685" s="37"/>
      <x:c r="J685" s="1" t="n">
        <x:f>IF(ISNUMBER(F685),E685,0)</x:f>
        <x:v>0</x:v>
      </x:c>
      <x:c r="K685" s="1"/>
      <x:c r="L685" s="1" t="str">
        <x:v>https://blog.skyairline.com/bariloche-en-auto/</x:v>
      </x:c>
      <x:c r="M685" s="1" t="n">
        <x:v>1</x:v>
      </x:c>
    </x:row>
    <x:row r="686" ht="18.75" customHeight="1">
      <x:c r="A686" s="1" t="str">
        <x:v>https://blog.skyairline.com/sur-argentino/</x:v>
      </x:c>
      <x:c r="B686" s="1" t="str">
        <x:v>sur argentino en verano</x:v>
      </x:c>
      <x:c r="C686" s="1" t="str">
        <x:v>ury</x:v>
      </x:c>
      <x:c r="D686" s="1" t="str">
        <x:v>Sin marca</x:v>
      </x:c>
      <x:c r="E686" s="35" t="n">
        <x:v>3</x:v>
      </x:c>
      <x:c r="F686" s="36"/>
      <x:c r="G686" s="36" t="str">
        <x:f>IF(ISNUMBER(F686),E686*F686,"")</x:f>
      </x:c>
      <x:c r="H686" s="37"/>
      <x:c r="I686" s="37"/>
      <x:c r="J686" s="1" t="n">
        <x:f>IF(ISNUMBER(F686),E686,0)</x:f>
        <x:v>0</x:v>
      </x:c>
      <x:c r="K686" s="1"/>
      <x:c r="L686" s="1" t="str">
        <x:v>https://blog.skyairline.com/blog.skyairline.com/playas-de-piura/</x:v>
      </x:c>
      <x:c r="M686" s="1" t="n">
        <x:v>1</x:v>
      </x:c>
    </x:row>
    <x:row r="687" ht="18.75" customHeight="1">
      <x:c r="A687" s="1" t="str">
        <x:v>https://blog.skyairline.com/terminal-sur-santiago/</x:v>
      </x:c>
      <x:c r="B687" s="1" t="str">
        <x:v>terminal sur como llegar</x:v>
      </x:c>
      <x:c r="C687" s="1" t="str">
        <x:v>chl</x:v>
      </x:c>
      <x:c r="D687" s="1" t="str">
        <x:v>Sin marca</x:v>
      </x:c>
      <x:c r="E687" s="35" t="n">
        <x:v>3</x:v>
      </x:c>
      <x:c r="F687" s="36" t="n">
        <x:v>1.37</x:v>
      </x:c>
      <x:c r="G687" s="36" t="n">
        <x:f>IF(ISNUMBER(F687),E687*F687,"")</x:f>
        <x:v>4.11</x:v>
      </x:c>
      <x:c r="H687" s="37" t="d">
        <x:v>2026-10-15T00:00:00.000Z</x:v>
      </x:c>
      <x:c r="I687" s="37" t="d">
        <x:v>2026-09-15T14:34:47.000Z</x:v>
      </x:c>
      <x:c r="J687" s="1" t="n">
        <x:f>IF(ISNUMBER(F687),E687,0)</x:f>
        <x:v>3</x:v>
      </x:c>
      <x:c r="K687" s="1"/>
      <x:c r="L687" s="1" t="str">
        <x:v>https://blog.skyairline.com/blogger-de-viajes/</x:v>
      </x:c>
      <x:c r="M687" s="1" t="n">
        <x:v>1</x:v>
      </x:c>
    </x:row>
    <x:row r="688" ht="18.75" customHeight="1">
      <x:c r="A688" s="1" t="str">
        <x:v>https://blog.skyairline.com/tiempo-de-chile-a-brasil/</x:v>
      </x:c>
      <x:c r="B688" s="1" t="str">
        <x:v>cuantas horas son de chile a brasil</x:v>
      </x:c>
      <x:c r="C688" s="1" t="str">
        <x:v>chl</x:v>
      </x:c>
      <x:c r="D688" s="1" t="str">
        <x:v>Sin marca</x:v>
      </x:c>
      <x:c r="E688" s="35" t="n">
        <x:v>3</x:v>
      </x:c>
      <x:c r="F688" s="36"/>
      <x:c r="G688" s="36" t="str">
        <x:f>IF(ISNUMBER(F688),E688*F688,"")</x:f>
      </x:c>
      <x:c r="H688" s="37" t="d">
        <x:v>2026-10-15T00:00:00.000Z</x:v>
      </x:c>
      <x:c r="I688" s="37" t="d">
        <x:v>2026-09-15T00:03:25.999Z</x:v>
      </x:c>
      <x:c r="J688" s="1" t="n">
        <x:f>IF(ISNUMBER(F688),E688,0)</x:f>
        <x:v>0</x:v>
      </x:c>
      <x:c r="K688" s="1"/>
      <x:c r="L688" s="1" t="str">
        <x:v>https://blog.skyairline.com/brasil-canasvieiras/</x:v>
      </x:c>
      <x:c r="M688" s="1" t="n">
        <x:v>1</x:v>
      </x:c>
    </x:row>
    <x:row r="689" ht="18.75" customHeight="1">
      <x:c r="A689" s="1" t="str">
        <x:v>https://blog.skyairline.com/tiempo-de-chile-a-brasil/</x:v>
      </x:c>
      <x:c r="B689" s="1" t="str">
        <x:v>horas de viaje de chile a brasil</x:v>
      </x:c>
      <x:c r="C689" s="1" t="str">
        <x:v>chl</x:v>
      </x:c>
      <x:c r="D689" s="1" t="str">
        <x:v>Sin marca</x:v>
      </x:c>
      <x:c r="E689" s="35" t="n">
        <x:v>3</x:v>
      </x:c>
      <x:c r="F689" s="36"/>
      <x:c r="G689" s="36" t="str">
        <x:f>IF(ISNUMBER(F689),E689*F689,"")</x:f>
      </x:c>
      <x:c r="H689" s="37"/>
      <x:c r="I689" s="37"/>
      <x:c r="J689" s="1" t="n">
        <x:f>IF(ISNUMBER(F689),E689,0)</x:f>
        <x:v>0</x:v>
      </x:c>
      <x:c r="K689" s="1"/>
      <x:c r="L689" s="1" t="str">
        <x:v>https://blog.skyairline.com/brasil-playas/</x:v>
      </x:c>
      <x:c r="M689" s="1" t="n">
        <x:v>1</x:v>
      </x:c>
    </x:row>
    <x:row r="690" ht="18.75" customHeight="1">
      <x:c r="A690" s="1" t="str">
        <x:v>https://blog.skyairline.com/tipos-de-equipaje/</x:v>
      </x:c>
      <x:c r="B690" s="1" t="str">
        <x:v>agregar maleta sky</x:v>
      </x:c>
      <x:c r="C690" s="1" t="str">
        <x:v>chl</x:v>
      </x:c>
      <x:c r="D690" s="1" t="str">
        <x:v>Marca</x:v>
      </x:c>
      <x:c r="E690" s="35" t="n">
        <x:v>3</x:v>
      </x:c>
      <x:c r="F690" s="36" t="n">
        <x:v>0.77</x:v>
      </x:c>
      <x:c r="G690" s="36" t="n">
        <x:f>IF(ISNUMBER(F690),E690*F690,"")</x:f>
        <x:v>2.31</x:v>
      </x:c>
      <x:c r="H690" s="37" t="d">
        <x:v>2026-10-15T00:00:00.000Z</x:v>
      </x:c>
      <x:c r="I690" s="37" t="d">
        <x:v>2026-09-16T22:23:26.000Z</x:v>
      </x:c>
      <x:c r="J690" s="1" t="n">
        <x:f>IF(ISNUMBER(F690),E690,0)</x:f>
        <x:v>3</x:v>
      </x:c>
      <x:c r="K690" s="1"/>
      <x:c r="L690" s="1" t="str">
        <x:v>https://blog.skyairline.com/brasilia-que-hacer/</x:v>
      </x:c>
      <x:c r="M690" s="1" t="n">
        <x:v>1</x:v>
      </x:c>
    </x:row>
    <x:row r="691" ht="18.75" customHeight="1">
      <x:c r="A691" s="1" t="str">
        <x:v>https://blog.skyairline.com/tipos-de-equipaje/</x:v>
      </x:c>
      <x:c r="B691" s="1" t="str">
        <x:v>bolso de mano sky</x:v>
      </x:c>
      <x:c r="C691" s="1" t="str">
        <x:v>per</x:v>
      </x:c>
      <x:c r="D691" s="1" t="str">
        <x:v>Marca</x:v>
      </x:c>
      <x:c r="E691" s="35" t="n">
        <x:v>3</x:v>
      </x:c>
      <x:c r="F691" s="36" t="n">
        <x:v>0.7</x:v>
      </x:c>
      <x:c r="G691" s="36" t="n">
        <x:f>IF(ISNUMBER(F691),E691*F691,"")</x:f>
        <x:v>2.0999999999999996</x:v>
      </x:c>
      <x:c r="H691" s="37" t="d">
        <x:v>2026-10-15T00:00:00.000Z</x:v>
      </x:c>
      <x:c r="I691" s="37" t="d">
        <x:v>2026-09-13T22:11:51.000Z</x:v>
      </x:c>
      <x:c r="J691" s="1" t="n">
        <x:f>IF(ISNUMBER(F691),E691,0)</x:f>
        <x:v>3</x:v>
      </x:c>
      <x:c r="K691" s="1"/>
      <x:c r="L691" s="1" t="str">
        <x:v>https://blog.skyairline.com/brunch/</x:v>
      </x:c>
      <x:c r="M691" s="1" t="n">
        <x:v>1</x:v>
      </x:c>
    </x:row>
    <x:row r="692" ht="18.75" customHeight="1">
      <x:c r="A692" s="1" t="str">
        <x:v>https://blog.skyairline.com/tipos-de-equipaje/</x:v>
      </x:c>
      <x:c r="B692" s="1" t="str">
        <x:v>comprar maleta sky</x:v>
      </x:c>
      <x:c r="C692" s="1" t="str">
        <x:v>chl</x:v>
      </x:c>
      <x:c r="D692" s="1" t="str">
        <x:v>Marca</x:v>
      </x:c>
      <x:c r="E692" s="35" t="n">
        <x:v>3</x:v>
      </x:c>
      <x:c r="F692" s="36" t="n">
        <x:v>0.27</x:v>
      </x:c>
      <x:c r="G692" s="36" t="n">
        <x:f>IF(ISNUMBER(F692),E692*F692,"")</x:f>
        <x:v>0.81</x:v>
      </x:c>
      <x:c r="H692" s="37" t="d">
        <x:v>2026-10-15T00:00:00.000Z</x:v>
      </x:c>
      <x:c r="I692" s="37" t="d">
        <x:v>2026-09-15T05:21:07.000Z</x:v>
      </x:c>
      <x:c r="J692" s="1" t="n">
        <x:f>IF(ISNUMBER(F692),E692,0)</x:f>
        <x:v>3</x:v>
      </x:c>
      <x:c r="K692" s="1"/>
      <x:c r="L692" s="1" t="str">
        <x:v>https://blog.skyairline.com/bucket-list/</x:v>
      </x:c>
      <x:c r="M692" s="1" t="n">
        <x:v>1</x:v>
      </x:c>
    </x:row>
    <x:row r="693" ht="18.75" customHeight="1">
      <x:c r="A693" s="1" t="str">
        <x:v>https://blog.skyairline.com/tipos-de-equipaje/</x:v>
      </x:c>
      <x:c r="B693" s="1" t="str">
        <x:v>cuanto sale agregar una maleta en sky</x:v>
      </x:c>
      <x:c r="C693" s="1" t="str">
        <x:v>chl</x:v>
      </x:c>
      <x:c r="D693" s="1" t="str">
        <x:v>Marca</x:v>
      </x:c>
      <x:c r="E693" s="35" t="n">
        <x:v>3</x:v>
      </x:c>
      <x:c r="F693" s="36"/>
      <x:c r="G693" s="36" t="str">
        <x:f>IF(ISNUMBER(F693),E693*F693,"")</x:f>
      </x:c>
      <x:c r="H693" s="37"/>
      <x:c r="I693" s="37"/>
      <x:c r="J693" s="1" t="n">
        <x:f>IF(ISNUMBER(F693),E693,0)</x:f>
        <x:v>0</x:v>
      </x:c>
      <x:c r="K693" s="1"/>
      <x:c r="L693" s="1" t="str">
        <x:v>https://blog.skyairline.com/cajon-del-maipo/</x:v>
      </x:c>
      <x:c r="M693" s="1" t="n">
        <x:v>1</x:v>
      </x:c>
    </x:row>
    <x:row r="694" ht="18.75" customHeight="1">
      <x:c r="A694" s="1" t="str">
        <x:v>https://blog.skyairline.com/tipos-de-equipaje/</x:v>
      </x:c>
      <x:c r="B694" s="1" t="str">
        <x:v>equipaje de cabina sky</x:v>
      </x:c>
      <x:c r="C694" s="1" t="str">
        <x:v>chl</x:v>
      </x:c>
      <x:c r="D694" s="1" t="str">
        <x:v>Marca</x:v>
      </x:c>
      <x:c r="E694" s="35" t="n">
        <x:v>3</x:v>
      </x:c>
      <x:c r="F694" s="36" t="n">
        <x:v>0.37</x:v>
      </x:c>
      <x:c r="G694" s="36" t="n">
        <x:f>IF(ISNUMBER(F694),E694*F694,"")</x:f>
        <x:v>1.1099999999999999</x:v>
      </x:c>
      <x:c r="H694" s="37" t="d">
        <x:v>2026-10-15T00:00:00.000Z</x:v>
      </x:c>
      <x:c r="I694" s="37" t="d">
        <x:v>2026-09-13T01:26:20.000Z</x:v>
      </x:c>
      <x:c r="J694" s="1" t="n">
        <x:f>IF(ISNUMBER(F694),E694,0)</x:f>
        <x:v>3</x:v>
      </x:c>
      <x:c r="K694" s="1"/>
      <x:c r="L694" s="1" t="str">
        <x:v>https://blog.skyairline.com/caleta-condor-2/</x:v>
      </x:c>
      <x:c r="M694" s="1" t="n">
        <x:v>1</x:v>
      </x:c>
    </x:row>
    <x:row r="695" ht="18.75" customHeight="1">
      <x:c r="A695" s="1" t="str">
        <x:v>https://blog.skyairline.com/tipos-de-equipaje/</x:v>
      </x:c>
      <x:c r="B695" s="1" t="str">
        <x:v>equipaje en sky airlines</x:v>
      </x:c>
      <x:c r="C695" s="1" t="str">
        <x:v>usa</x:v>
      </x:c>
      <x:c r="D695" s="1" t="str">
        <x:v>Marca</x:v>
      </x:c>
      <x:c r="E695" s="35" t="n">
        <x:v>3</x:v>
      </x:c>
      <x:c r="F695" s="36"/>
      <x:c r="G695" s="36" t="str">
        <x:f>IF(ISNUMBER(F695),E695*F695,"")</x:f>
      </x:c>
      <x:c r="H695" s="37"/>
      <x:c r="I695" s="37"/>
      <x:c r="J695" s="1" t="n">
        <x:f>IF(ISNUMBER(F695),E695,0)</x:f>
        <x:v>0</x:v>
      </x:c>
      <x:c r="K695" s="1"/>
      <x:c r="L695" s="1" t="str">
        <x:v>https://blog.skyairline.com/caminhos-de-porto-alegre/</x:v>
      </x:c>
      <x:c r="M695" s="1" t="n">
        <x:v>1</x:v>
      </x:c>
    </x:row>
    <x:row r="696" ht="18.75" customHeight="1">
      <x:c r="A696" s="1" t="str">
        <x:v>https://blog.skyairline.com/tipos-de-equipaje/</x:v>
      </x:c>
      <x:c r="B696" s="1" t="str">
        <x:v>equipaje sky</x:v>
      </x:c>
      <x:c r="C696" s="1" t="str">
        <x:v>esp</x:v>
      </x:c>
      <x:c r="D696" s="1" t="str">
        <x:v>Marca</x:v>
      </x:c>
      <x:c r="E696" s="35" t="n">
        <x:v>3</x:v>
      </x:c>
      <x:c r="F696" s="36"/>
      <x:c r="G696" s="36" t="str">
        <x:f>IF(ISNUMBER(F696),E696*F696,"")</x:f>
      </x:c>
      <x:c r="H696" s="37"/>
      <x:c r="I696" s="37"/>
      <x:c r="J696" s="1" t="n">
        <x:f>IF(ISNUMBER(F696),E696,0)</x:f>
        <x:v>0</x:v>
      </x:c>
      <x:c r="K696" s="1"/>
      <x:c r="L696" s="1" t="str">
        <x:v>https://blog.skyairline.com/caribe-islas/</x:v>
      </x:c>
      <x:c r="M696" s="1" t="n">
        <x:v>1</x:v>
      </x:c>
    </x:row>
    <x:row r="697" ht="18.75" customHeight="1">
      <x:c r="A697" s="1" t="str">
        <x:v>https://blog.skyairline.com/tipos-de-equipaje/</x:v>
      </x:c>
      <x:c r="B697" s="1" t="str">
        <x:v>maletas en sky</x:v>
      </x:c>
      <x:c r="C697" s="1" t="str">
        <x:v>chl</x:v>
      </x:c>
      <x:c r="D697" s="1" t="str">
        <x:v>Marca</x:v>
      </x:c>
      <x:c r="E697" s="35" t="n">
        <x:v>3</x:v>
      </x:c>
      <x:c r="F697" s="36"/>
      <x:c r="G697" s="36" t="str">
        <x:f>IF(ISNUMBER(F697),E697*F697,"")</x:f>
      </x:c>
      <x:c r="H697" s="37" t="d">
        <x:v>2026-10-15T00:00:00.000Z</x:v>
      </x:c>
      <x:c r="I697" s="37" t="d">
        <x:v>2026-09-12T23:27:44.000Z</x:v>
      </x:c>
      <x:c r="J697" s="1" t="n">
        <x:f>IF(ISNUMBER(F697),E697,0)</x:f>
        <x:v>0</x:v>
      </x:c>
      <x:c r="K697" s="1"/>
      <x:c r="L697" s="1" t="str">
        <x:v>https://blog.skyairline.com/carnavales-de-rio-de-janeiro-2/</x:v>
      </x:c>
      <x:c r="M697" s="1" t="n">
        <x:v>1</x:v>
      </x:c>
    </x:row>
    <x:row r="698" ht="18.75" customHeight="1">
      <x:c r="A698" s="1" t="str">
        <x:v>https://blog.skyairline.com/tipos-de-equipaje/</x:v>
      </x:c>
      <x:c r="B698" s="1" t="str">
        <x:v>medidas maleta sky</x:v>
      </x:c>
      <x:c r="C698" s="1" t="str">
        <x:v>chl</x:v>
      </x:c>
      <x:c r="D698" s="1" t="str">
        <x:v>Marca</x:v>
      </x:c>
      <x:c r="E698" s="35" t="n">
        <x:v>3</x:v>
      </x:c>
      <x:c r="F698" s="36" t="n">
        <x:v>0.02</x:v>
      </x:c>
      <x:c r="G698" s="36" t="n">
        <x:f>IF(ISNUMBER(F698),E698*F698,"")</x:f>
        <x:v>0.06</x:v>
      </x:c>
      <x:c r="H698" s="37" t="d">
        <x:v>2026-10-15T00:00:00.000Z</x:v>
      </x:c>
      <x:c r="I698" s="37" t="d">
        <x:v>2026-09-13T21:46:38.000Z</x:v>
      </x:c>
      <x:c r="J698" s="1" t="n">
        <x:f>IF(ISNUMBER(F698),E698,0)</x:f>
        <x:v>3</x:v>
      </x:c>
      <x:c r="K698" s="1"/>
      <x:c r="L698" s="1" t="str">
        <x:v>https://blog.skyairline.com/catedral-metropolitana-de-buenos-aires/</x:v>
      </x:c>
      <x:c r="M698" s="1" t="n">
        <x:v>1</x:v>
      </x:c>
    </x:row>
    <x:row r="699" ht="18.75" customHeight="1">
      <x:c r="A699" s="1" t="str">
        <x:v>https://blog.skyairline.com/tipos-de-equipaje/</x:v>
      </x:c>
      <x:c r="B699" s="1" t="str">
        <x:v>medidas maletas sky</x:v>
      </x:c>
      <x:c r="C699" s="1" t="str">
        <x:v>per</x:v>
      </x:c>
      <x:c r="D699" s="1" t="str">
        <x:v>Marca</x:v>
      </x:c>
      <x:c r="E699" s="35" t="n">
        <x:v>3</x:v>
      </x:c>
      <x:c r="F699" s="36"/>
      <x:c r="G699" s="36" t="str">
        <x:f>IF(ISNUMBER(F699),E699*F699,"")</x:f>
      </x:c>
      <x:c r="H699" s="37"/>
      <x:c r="I699" s="37"/>
      <x:c r="J699" s="1" t="n">
        <x:f>IF(ISNUMBER(F699),E699,0)</x:f>
        <x:v>0</x:v>
      </x:c>
      <x:c r="K699" s="1"/>
      <x:c r="L699" s="1" t="str">
        <x:v>https://blog.skyairline.com/categoria/compromiso-sky/</x:v>
      </x:c>
      <x:c r="M699" s="1" t="n">
        <x:v>1</x:v>
      </x:c>
    </x:row>
    <x:row r="700" ht="18.75" customHeight="1">
      <x:c r="A700" s="1" t="str">
        <x:v>https://blog.skyairline.com/tipos-de-equipaje/</x:v>
      </x:c>
      <x:c r="B700" s="1" t="str">
        <x:v>sky airline equipaje</x:v>
      </x:c>
      <x:c r="C700" s="1" t="str">
        <x:v>ury</x:v>
      </x:c>
      <x:c r="D700" s="1" t="str">
        <x:v>Marca</x:v>
      </x:c>
      <x:c r="E700" s="35" t="n">
        <x:v>3</x:v>
      </x:c>
      <x:c r="F700" s="36"/>
      <x:c r="G700" s="36" t="str">
        <x:f>IF(ISNUMBER(F700),E700*F700,"")</x:f>
      </x:c>
      <x:c r="H700" s="37"/>
      <x:c r="I700" s="37"/>
      <x:c r="J700" s="1" t="n">
        <x:f>IF(ISNUMBER(F700),E700,0)</x:f>
        <x:v>0</x:v>
      </x:c>
      <x:c r="K700" s="1"/>
      <x:c r="L700" s="1" t="str">
        <x:v>https://blog.skyairline.com/celebraciones-de-otros-paises/</x:v>
      </x:c>
      <x:c r="M700" s="1" t="n">
        <x:v>1</x:v>
      </x:c>
    </x:row>
    <x:row r="701" ht="18.75" customHeight="1">
      <x:c r="A701" s="1" t="str">
        <x:v>https://blog.skyairline.com/tipos-de-equipaje/</x:v>
      </x:c>
      <x:c r="B701" s="1" t="str">
        <x:v>sky airlines equipaje</x:v>
      </x:c>
      <x:c r="C701" s="1" t="str">
        <x:v>per</x:v>
      </x:c>
      <x:c r="D701" s="1" t="str">
        <x:v>Marca</x:v>
      </x:c>
      <x:c r="E701" s="35" t="n">
        <x:v>3</x:v>
      </x:c>
      <x:c r="F701" s="36"/>
      <x:c r="G701" s="36" t="str">
        <x:f>IF(ISNUMBER(F701),E701*F701,"")</x:f>
      </x:c>
      <x:c r="H701" s="37" t="d">
        <x:v>2026-10-15T00:00:00.000Z</x:v>
      </x:c>
      <x:c r="I701" s="37" t="d">
        <x:v>2026-09-13T16:59:38.999Z</x:v>
      </x:c>
      <x:c r="J701" s="1" t="n">
        <x:f>IF(ISNUMBER(F701),E701,0)</x:f>
        <x:v>0</x:v>
      </x:c>
      <x:c r="K701" s="1"/>
      <x:c r="L701" s="1" t="str">
        <x:v>https://blog.skyairline.com/celebramos-25-anos-con-emotivo-homenaje-creado-con-inteligencia-artificial/</x:v>
      </x:c>
      <x:c r="M701" s="1" t="n">
        <x:v>1</x:v>
      </x:c>
    </x:row>
    <x:row r="702" ht="18.75" customHeight="1">
      <x:c r="A702" s="1" t="str">
        <x:v>https://blog.skyairline.com/tipos-de-equipaje/</x:v>
      </x:c>
      <x:c r="B702" s="1" t="str">
        <x:v>sky airlines equipaje precio</x:v>
      </x:c>
      <x:c r="C702" s="1" t="str">
        <x:v>per</x:v>
      </x:c>
      <x:c r="D702" s="1" t="str">
        <x:v>Marca</x:v>
      </x:c>
      <x:c r="E702" s="35" t="n">
        <x:v>3</x:v>
      </x:c>
      <x:c r="F702" s="36" t="n">
        <x:v>0.01</x:v>
      </x:c>
      <x:c r="G702" s="36" t="n">
        <x:f>IF(ISNUMBER(F702),E702*F702,"")</x:f>
        <x:v>0.03</x:v>
      </x:c>
      <x:c r="H702" s="37" t="d">
        <x:v>2026-10-15T00:00:00.000Z</x:v>
      </x:c>
      <x:c r="I702" s="37" t="d">
        <x:v>2026-09-14T12:46:38.000Z</x:v>
      </x:c>
      <x:c r="J702" s="1" t="n">
        <x:f>IF(ISNUMBER(F702),E702,0)</x:f>
        <x:v>3</x:v>
      </x:c>
      <x:c r="K702" s="1"/>
      <x:c r="L702" s="1" t="str">
        <x:v>https://blog.skyairline.com/cementerio-de-punta-arenas/</x:v>
      </x:c>
      <x:c r="M702" s="1" t="n">
        <x:v>1</x:v>
      </x:c>
    </x:row>
    <x:row r="703" ht="18.75" customHeight="1">
      <x:c r="A703" s="1" t="str">
        <x:v>https://blog.skyairline.com/tipos-de-equipaje/</x:v>
      </x:c>
      <x:c r="B703" s="1" t="str">
        <x:v>sky comprar maleta</x:v>
      </x:c>
      <x:c r="C703" s="1" t="str">
        <x:v>chl</x:v>
      </x:c>
      <x:c r="D703" s="1" t="str">
        <x:v>Marca</x:v>
      </x:c>
      <x:c r="E703" s="35" t="n">
        <x:v>3</x:v>
      </x:c>
      <x:c r="F703" s="36" t="n">
        <x:v>0.63</x:v>
      </x:c>
      <x:c r="G703" s="36" t="n">
        <x:f>IF(ISNUMBER(F703),E703*F703,"")</x:f>
        <x:v>1.8900000000000001</x:v>
      </x:c>
      <x:c r="H703" s="37" t="d">
        <x:v>2026-10-15T00:00:00.000Z</x:v>
      </x:c>
      <x:c r="I703" s="37" t="d">
        <x:v>2026-09-16T18:34:32.000Z</x:v>
      </x:c>
      <x:c r="J703" s="1" t="n">
        <x:f>IF(ISNUMBER(F703),E703,0)</x:f>
        <x:v>3</x:v>
      </x:c>
      <x:c r="K703" s="1"/>
      <x:c r="L703" s="1" t="str">
        <x:v>https://blog.skyairline.com/cenotes-en-cancun/</x:v>
      </x:c>
      <x:c r="M703" s="1" t="n">
        <x:v>1</x:v>
      </x:c>
    </x:row>
    <x:row r="704" ht="18.75" customHeight="1">
      <x:c r="A704" s="1" t="str">
        <x:v>https://blog.skyairline.com/tipos-de-equipaje/</x:v>
      </x:c>
      <x:c r="B704" s="1" t="str">
        <x:v>sky maletas medidas</x:v>
      </x:c>
      <x:c r="C704" s="1" t="str">
        <x:v>chl</x:v>
      </x:c>
      <x:c r="D704" s="1" t="str">
        <x:v>Marca</x:v>
      </x:c>
      <x:c r="E704" s="35" t="n">
        <x:v>3</x:v>
      </x:c>
      <x:c r="F704" s="36"/>
      <x:c r="G704" s="36" t="str">
        <x:f>IF(ISNUMBER(F704),E704*F704,"")</x:f>
      </x:c>
      <x:c r="H704" s="37"/>
      <x:c r="I704" s="37"/>
      <x:c r="J704" s="1" t="n">
        <x:f>IF(ISNUMBER(F704),E704,0)</x:f>
        <x:v>0</x:v>
      </x:c>
      <x:c r="K704" s="1"/>
      <x:c r="L704" s="1" t="str">
        <x:v>https://blog.skyairline.com/centros-comerciales-en-porto-alegre/</x:v>
      </x:c>
      <x:c r="M704" s="1" t="n">
        <x:v>1</x:v>
      </x:c>
    </x:row>
    <x:row r="705" ht="18.75" customHeight="1">
      <x:c r="A705" s="1" t="str">
        <x:v>https://blog.skyairline.com/tipos-de-equipaje/</x:v>
      </x:c>
      <x:c r="B705" s="1" t="str">
        <x:v>sky tamaño equipaje</x:v>
      </x:c>
      <x:c r="C705" s="1" t="str">
        <x:v>per</x:v>
      </x:c>
      <x:c r="D705" s="1" t="str">
        <x:v>Marca</x:v>
      </x:c>
      <x:c r="E705" s="35" t="n">
        <x:v>3</x:v>
      </x:c>
      <x:c r="F705" s="36"/>
      <x:c r="G705" s="36" t="str">
        <x:f>IF(ISNUMBER(F705),E705*F705,"")</x:f>
      </x:c>
      <x:c r="H705" s="37"/>
      <x:c r="I705" s="37"/>
      <x:c r="J705" s="1" t="n">
        <x:f>IF(ISNUMBER(F705),E705,0)</x:f>
        <x:v>0</x:v>
      </x:c>
      <x:c r="K705" s="1"/>
      <x:c r="L705" s="1" t="str">
        <x:v>https://blog.skyairline.com/cerramos-2023-con-30-aviones-en-nuestra-flota/</x:v>
      </x:c>
      <x:c r="M705" s="1" t="n">
        <x:v>1</x:v>
      </x:c>
    </x:row>
    <x:row r="706" ht="18.75" customHeight="1">
      <x:c r="A706" s="1" t="str">
        <x:v>https://blog.skyairline.com/vacunas-brasil/</x:v>
      </x:c>
      <x:c r="B706" s="1" t="str">
        <x:v>es necesario vacunarse para ir a brasil</x:v>
      </x:c>
      <x:c r="C706" s="1" t="str">
        <x:v>chl</x:v>
      </x:c>
      <x:c r="D706" s="1" t="str">
        <x:v>Sin marca</x:v>
      </x:c>
      <x:c r="E706" s="35" t="n">
        <x:v>3</x:v>
      </x:c>
      <x:c r="F706" s="36" t="n">
        <x:v>0.05</x:v>
      </x:c>
      <x:c r="G706" s="36" t="n">
        <x:f>IF(ISNUMBER(F706),E706*F706,"")</x:f>
        <x:v>0.15000000000000002</x:v>
      </x:c>
      <x:c r="H706" s="37" t="d">
        <x:v>2026-10-15T00:00:00.000Z</x:v>
      </x:c>
      <x:c r="I706" s="37" t="d">
        <x:v>2026-09-15T23:30:44.000Z</x:v>
      </x:c>
      <x:c r="J706" s="1" t="n">
        <x:f>IF(ISNUMBER(F706),E706,0)</x:f>
        <x:v>3</x:v>
      </x:c>
      <x:c r="K706" s="1"/>
      <x:c r="L706" s="1" t="str">
        <x:v>https://blog.skyairline.com/cerro-catedral-bariloche/</x:v>
      </x:c>
      <x:c r="M706" s="1" t="n">
        <x:v>1</x:v>
      </x:c>
    </x:row>
    <x:row r="707" ht="18.75" customHeight="1">
      <x:c r="A707" s="1" t="str">
        <x:v>https://blog.skyairline.com/vacunas-brasil/</x:v>
      </x:c>
      <x:c r="B707" s="1" t="str">
        <x:v>hay que vacunarse para ir a brasil</x:v>
      </x:c>
      <x:c r="C707" s="1" t="str">
        <x:v>chl</x:v>
      </x:c>
      <x:c r="D707" s="1" t="str">
        <x:v>Sin marca</x:v>
      </x:c>
      <x:c r="E707" s="35" t="n">
        <x:v>3</x:v>
      </x:c>
      <x:c r="F707" s="36" t="n">
        <x:v>0.33</x:v>
      </x:c>
      <x:c r="G707" s="36" t="n">
        <x:f>IF(ISNUMBER(F707),E707*F707,"")</x:f>
        <x:v>0.99</x:v>
      </x:c>
      <x:c r="H707" s="37" t="d">
        <x:v>2026-10-15T00:00:00.000Z</x:v>
      </x:c>
      <x:c r="I707" s="37" t="d">
        <x:v>2026-09-17T00:05:40.000Z</x:v>
      </x:c>
      <x:c r="J707" s="1" t="n">
        <x:f>IF(ISNUMBER(F707),E707,0)</x:f>
        <x:v>3</x:v>
      </x:c>
      <x:c r="K707" s="1"/>
      <x:c r="L707" s="1" t="str">
        <x:v>https://blog.skyairline.com/cerro-otto-de-bariloche/</x:v>
      </x:c>
      <x:c r="M707" s="1" t="n">
        <x:v>1</x:v>
      </x:c>
    </x:row>
    <x:row r="708" ht="18.75" customHeight="1">
      <x:c r="A708" s="1" t="str">
        <x:v>https://blog.skyairline.com/vacunas-brasil/</x:v>
      </x:c>
      <x:c r="B708" s="1" t="str">
        <x:v>vacunas para ir a brasil</x:v>
      </x:c>
      <x:c r="C708" s="1" t="str">
        <x:v>chl</x:v>
      </x:c>
      <x:c r="D708" s="1" t="str">
        <x:v>Sin marca</x:v>
      </x:c>
      <x:c r="E708" s="35" t="n">
        <x:v>3</x:v>
      </x:c>
      <x:c r="F708" s="36" t="n">
        <x:v>0.24</x:v>
      </x:c>
      <x:c r="G708" s="36" t="n">
        <x:f>IF(ISNUMBER(F708),E708*F708,"")</x:f>
        <x:v>0.72</x:v>
      </x:c>
      <x:c r="H708" s="37" t="d">
        <x:v>2026-10-15T00:00:00.000Z</x:v>
      </x:c>
      <x:c r="I708" s="37" t="d">
        <x:v>2026-09-15T17:15:55.000Z</x:v>
      </x:c>
      <x:c r="J708" s="1" t="n">
        <x:f>IF(ISNUMBER(F708),E708,0)</x:f>
        <x:v>3</x:v>
      </x:c>
      <x:c r="K708" s="1"/>
      <x:c r="L708" s="1" t="str">
        <x:v>https://blog.skyairline.com/chile-argentina/</x:v>
      </x:c>
      <x:c r="M708" s="1" t="n">
        <x:v>1</x:v>
      </x:c>
    </x:row>
    <x:row r="709" ht="18.75" customHeight="1">
      <x:c r="A709" s="1" t="str">
        <x:v>https://blog.skyairline.com/viajar-con-bebes/</x:v>
      </x:c>
      <x:c r="B709" s="1" t="str">
        <x:v>a partir de que edad pagan pasaje los niños en avion</x:v>
      </x:c>
      <x:c r="C709" s="1" t="str">
        <x:v>per</x:v>
      </x:c>
      <x:c r="D709" s="1" t="str">
        <x:v>Sin marca</x:v>
      </x:c>
      <x:c r="E709" s="35" t="n">
        <x:v>3</x:v>
      </x:c>
      <x:c r="F709" s="36"/>
      <x:c r="G709" s="36" t="str">
        <x:f>IF(ISNUMBER(F709),E709*F709,"")</x:f>
      </x:c>
      <x:c r="H709" s="37"/>
      <x:c r="I709" s="37"/>
      <x:c r="J709" s="1" t="n">
        <x:f>IF(ISNUMBER(F709),E709,0)</x:f>
        <x:v>0</x:v>
      </x:c>
      <x:c r="K709" s="1"/>
      <x:c r="L709" s="1" t="str">
        <x:v>https://blog.skyairline.com/chuquicamata/</x:v>
      </x:c>
      <x:c r="M709" s="1" t="n">
        <x:v>1</x:v>
      </x:c>
    </x:row>
    <x:row r="710" ht="18.75" customHeight="1">
      <x:c r="A710" s="1" t="str">
        <x:v>https://blog.skyairline.com/viajar-con-bebes/</x:v>
      </x:c>
      <x:c r="B710" s="1" t="str">
        <x:v>apartir de que edad pagan boleto de avion los niños</x:v>
      </x:c>
      <x:c r="C710" s="1" t="str">
        <x:v>per</x:v>
      </x:c>
      <x:c r="D710" s="1" t="str">
        <x:v>Sin marca</x:v>
      </x:c>
      <x:c r="E710" s="35" t="n">
        <x:v>3</x:v>
      </x:c>
      <x:c r="F710" s="36"/>
      <x:c r="G710" s="36" t="str">
        <x:f>IF(ISNUMBER(F710),E710*F710,"")</x:f>
      </x:c>
      <x:c r="H710" s="37"/>
      <x:c r="I710" s="37"/>
      <x:c r="J710" s="1" t="n">
        <x:f>IF(ISNUMBER(F710),E710,0)</x:f>
        <x:v>0</x:v>
      </x:c>
      <x:c r="K710" s="1"/>
      <x:c r="L710" s="1" t="str">
        <x:v>https://blog.skyairline.com/ciudad-vieja-montevideo/</x:v>
      </x:c>
      <x:c r="M710" s="1" t="n">
        <x:v>1</x:v>
      </x:c>
    </x:row>
    <x:row r="711" ht="18.75" customHeight="1">
      <x:c r="A711" s="1" t="str">
        <x:v>https://blog.skyairline.com/viajar-con-bebes/</x:v>
      </x:c>
      <x:c r="B711" s="1" t="str">
        <x:v>un niño de 2 años paga pasaje en avión</x:v>
      </x:c>
      <x:c r="C711" s="1" t="str">
        <x:v>chl</x:v>
      </x:c>
      <x:c r="D711" s="1" t="str">
        <x:v>Sin marca</x:v>
      </x:c>
      <x:c r="E711" s="35" t="n">
        <x:v>3</x:v>
      </x:c>
      <x:c r="F711" s="36"/>
      <x:c r="G711" s="36" t="str">
        <x:f>IF(ISNUMBER(F711),E711*F711,"")</x:f>
      </x:c>
      <x:c r="H711" s="37"/>
      <x:c r="I711" s="37"/>
      <x:c r="J711" s="1" t="n">
        <x:f>IF(ISNUMBER(F711),E711,0)</x:f>
        <x:v>0</x:v>
      </x:c>
      <x:c r="K711" s="1"/>
      <x:c r="L711" s="1" t="str">
        <x:v>https://blog.skyairline.com/ciudades-cercanas-rio-de-janeiro</x:v>
      </x:c>
      <x:c r="M711" s="1" t="n">
        <x:v>1</x:v>
      </x:c>
    </x:row>
    <x:row r="712" ht="18.75" customHeight="1">
      <x:c r="A712" s="1" t="str">
        <x:v>https://blog.skyairline.com/viajar-con-perros/</x:v>
      </x:c>
      <x:c r="B712" s="1" t="str">
        <x:v>mascota en cabina sky</x:v>
      </x:c>
      <x:c r="C712" s="1" t="str">
        <x:v>per</x:v>
      </x:c>
      <x:c r="D712" s="1" t="str">
        <x:v>Marca</x:v>
      </x:c>
      <x:c r="E712" s="35" t="n">
        <x:v>3</x:v>
      </x:c>
      <x:c r="F712" s="36"/>
      <x:c r="G712" s="36" t="str">
        <x:f>IF(ISNUMBER(F712),E712*F712,"")</x:f>
      </x:c>
      <x:c r="H712" s="37" t="d">
        <x:v>2026-10-15T00:00:00.000Z</x:v>
      </x:c>
      <x:c r="I712" s="37" t="d">
        <x:v>2026-09-13T09:24:41.000Z</x:v>
      </x:c>
      <x:c r="J712" s="1" t="n">
        <x:f>IF(ISNUMBER(F712),E712,0)</x:f>
        <x:v>0</x:v>
      </x:c>
      <x:c r="K712" s="1"/>
      <x:c r="L712" s="1" t="str">
        <x:v>https://blog.skyairline.com/claves-para-comprar-pasajes-4-tips-para-encontrar-precios-convenientes/</x:v>
      </x:c>
      <x:c r="M712" s="1" t="n">
        <x:v>1</x:v>
      </x:c>
    </x:row>
    <x:row r="713" ht="18.75" customHeight="1">
      <x:c r="A713" s="1" t="str">
        <x:v>https://blog.skyairline.com/viajar-con-perros/</x:v>
      </x:c>
      <x:c r="B713" s="1" t="str">
        <x:v>sky airline mascotas</x:v>
      </x:c>
      <x:c r="C713" s="1" t="str">
        <x:v>chl</x:v>
      </x:c>
      <x:c r="D713" s="1" t="str">
        <x:v>Marca</x:v>
      </x:c>
      <x:c r="E713" s="35" t="n">
        <x:v>3</x:v>
      </x:c>
      <x:c r="F713" s="36"/>
      <x:c r="G713" s="36" t="str">
        <x:f>IF(ISNUMBER(F713),E713*F713,"")</x:f>
      </x:c>
      <x:c r="H713" s="37"/>
      <x:c r="I713" s="37"/>
      <x:c r="J713" s="1" t="n">
        <x:f>IF(ISNUMBER(F713),E713,0)</x:f>
        <x:v>0</x:v>
      </x:c>
      <x:c r="K713" s="1"/>
      <x:c r="L713" s="1" t="str">
        <x:v>https://blog.skyairline.com/clima-de-la-zona-norte-de-chile-temperaturas-estaciones/</x:v>
      </x:c>
      <x:c r="M713" s="1" t="n">
        <x:v>1</x:v>
      </x:c>
    </x:row>
    <x:row r="714" ht="18.75" customHeight="1">
      <x:c r="A714" s="1" t="str">
        <x:v>https://blog.skyairline.com/viajar-con-perros/</x:v>
      </x:c>
      <x:c r="B714" s="1" t="str">
        <x:v>sky airlines mascotas</x:v>
      </x:c>
      <x:c r="C714" s="1" t="str">
        <x:v>arg</x:v>
      </x:c>
      <x:c r="D714" s="1" t="str">
        <x:v>Marca</x:v>
      </x:c>
      <x:c r="E714" s="35" t="n">
        <x:v>3</x:v>
      </x:c>
      <x:c r="F714" s="36"/>
      <x:c r="G714" s="36" t="str">
        <x:f>IF(ISNUMBER(F714),E714*F714,"")</x:f>
      </x:c>
      <x:c r="H714" s="37"/>
      <x:c r="I714" s="37"/>
      <x:c r="J714" s="1" t="n">
        <x:f>IF(ISNUMBER(F714),E714,0)</x:f>
        <x:v>0</x:v>
      </x:c>
      <x:c r="K714" s="1"/>
      <x:c r="L714" s="1" t="str">
        <x:v>https://blog.skyairline.com/cochamo/</x:v>
      </x:c>
      <x:c r="M714" s="1" t="n">
        <x:v>1</x:v>
      </x:c>
    </x:row>
    <x:row r="715" ht="18.75" customHeight="1">
      <x:c r="A715" s="1" t="str">
        <x:v>https://blog.skyairline.com/viajar-con-perros/</x:v>
      </x:c>
      <x:c r="B715" s="1" t="str">
        <x:v>sky airlines mascotas en cabina</x:v>
      </x:c>
      <x:c r="C715" s="1" t="str">
        <x:v>chl</x:v>
      </x:c>
      <x:c r="D715" s="1" t="str">
        <x:v>Marca</x:v>
      </x:c>
      <x:c r="E715" s="35" t="n">
        <x:v>3</x:v>
      </x:c>
      <x:c r="F715" s="36"/>
      <x:c r="G715" s="36" t="str">
        <x:f>IF(ISNUMBER(F715),E715*F715,"")</x:f>
      </x:c>
      <x:c r="H715" s="37" t="d">
        <x:v>2026-10-15T00:00:00.000Z</x:v>
      </x:c>
      <x:c r="I715" s="37" t="d">
        <x:v>2026-09-13T03:43:37.999Z</x:v>
      </x:c>
      <x:c r="J715" s="1" t="n">
        <x:f>IF(ISNUMBER(F715),E715,0)</x:f>
        <x:v>0</x:v>
      </x:c>
      <x:c r="K715" s="1"/>
      <x:c r="L715" s="1" t="str">
        <x:v>https://blog.skyairline.com/comida-selva-peruana/</x:v>
      </x:c>
      <x:c r="M715" s="1" t="n">
        <x:v>1</x:v>
      </x:c>
    </x:row>
    <x:row r="716" ht="18.75" customHeight="1">
      <x:c r="A716" s="1" t="str">
        <x:v>https://blog.skyairline.com/viajar-con-perros/</x:v>
      </x:c>
      <x:c r="B716" s="1" t="str">
        <x:v>sky mascota</x:v>
      </x:c>
      <x:c r="C716" s="1" t="str">
        <x:v>chl</x:v>
      </x:c>
      <x:c r="D716" s="1" t="str">
        <x:v>Marca</x:v>
      </x:c>
      <x:c r="E716" s="35" t="n">
        <x:v>3</x:v>
      </x:c>
      <x:c r="F716" s="36"/>
      <x:c r="G716" s="36" t="str">
        <x:f>IF(ISNUMBER(F716),E716*F716,"")</x:f>
      </x:c>
      <x:c r="H716" s="37"/>
      <x:c r="I716" s="37"/>
      <x:c r="J716" s="1" t="n">
        <x:f>IF(ISNUMBER(F716),E716,0)</x:f>
        <x:v>0</x:v>
      </x:c>
      <x:c r="K716" s="1"/>
      <x:c r="L716" s="1" t="str">
        <x:v>https://blog.skyairline.com/como-llegar-a-bacalar/</x:v>
      </x:c>
      <x:c r="M716" s="1" t="n">
        <x:v>1</x:v>
      </x:c>
    </x:row>
    <x:row r="717" ht="18.75" customHeight="1">
      <x:c r="A717" s="1" t="str">
        <x:v>https://blog.skyairline.com/viajar-con-perros/</x:v>
      </x:c>
      <x:c r="B717" s="1" t="str">
        <x:v>sky mascota en cabina</x:v>
      </x:c>
      <x:c r="C717" s="1" t="str">
        <x:v>per</x:v>
      </x:c>
      <x:c r="D717" s="1" t="str">
        <x:v>Marca</x:v>
      </x:c>
      <x:c r="E717" s="35" t="n">
        <x:v>3</x:v>
      </x:c>
      <x:c r="F717" s="36"/>
      <x:c r="G717" s="36" t="str">
        <x:f>IF(ISNUMBER(F717),E717*F717,"")</x:f>
      </x:c>
      <x:c r="H717" s="37"/>
      <x:c r="I717" s="37"/>
      <x:c r="J717" s="1" t="n">
        <x:f>IF(ISNUMBER(F717),E717,0)</x:f>
        <x:v>0</x:v>
      </x:c>
      <x:c r="K717" s="1"/>
      <x:c r="L717" s="1" t="str">
        <x:v>https://blog.skyairline.com/conciertos-argentina/</x:v>
      </x:c>
      <x:c r="M717" s="1" t="n">
        <x:v>1</x:v>
      </x:c>
    </x:row>
    <x:row r="718" ht="18.75" customHeight="1">
      <x:c r="A718" s="1" t="str">
        <x:v>https://blog.skyairline.com/viaje-a-brasil-3/</x:v>
      </x:c>
      <x:c r="B718" s="1" t="str">
        <x:v>requisitos para viajar a brasil desde perú</x:v>
      </x:c>
      <x:c r="C718" s="1" t="str">
        <x:v>per</x:v>
      </x:c>
      <x:c r="D718" s="1" t="str">
        <x:v>Sin marca</x:v>
      </x:c>
      <x:c r="E718" s="35" t="n">
        <x:v>3</x:v>
      </x:c>
      <x:c r="F718" s="36" t="n">
        <x:v>1.04</x:v>
      </x:c>
      <x:c r="G718" s="36" t="n">
        <x:f>IF(ISNUMBER(F718),E718*F718,"")</x:f>
        <x:v>3.12</x:v>
      </x:c>
      <x:c r="H718" s="37" t="d">
        <x:v>2026-10-15T00:00:00.000Z</x:v>
      </x:c>
      <x:c r="I718" s="37" t="d">
        <x:v>2026-09-15T17:45:47.000Z</x:v>
      </x:c>
      <x:c r="J718" s="1" t="n">
        <x:f>IF(ISNUMBER(F718),E718,0)</x:f>
        <x:v>3</x:v>
      </x:c>
      <x:c r="K718" s="1"/>
      <x:c r="L718" s="1" t="str">
        <x:v>https://blog.skyairline.com/contacto-con-la-naturaleza/</x:v>
      </x:c>
      <x:c r="M718" s="1" t="n">
        <x:v>1</x:v>
      </x:c>
    </x:row>
    <x:row r="719" ht="18.75" customHeight="1">
      <x:c r="A719" s="1" t="str">
        <x:v>https://blog.skyairline.com/viaje-a-brasil-3/</x:v>
      </x:c>
      <x:c r="B719" s="1" t="str">
        <x:v>se necesita pasaporte para viajar a brasil</x:v>
      </x:c>
      <x:c r="C719" s="1" t="str">
        <x:v>chl</x:v>
      </x:c>
      <x:c r="D719" s="1" t="str">
        <x:v>Sin marca</x:v>
      </x:c>
      <x:c r="E719" s="35" t="n">
        <x:v>3</x:v>
      </x:c>
      <x:c r="F719" s="36" t="n">
        <x:v>0.33</x:v>
      </x:c>
      <x:c r="G719" s="36" t="n">
        <x:f>IF(ISNUMBER(F719),E719*F719,"")</x:f>
        <x:v>0.99</x:v>
      </x:c>
      <x:c r="H719" s="37" t="d">
        <x:v>2026-10-15T00:00:00.000Z</x:v>
      </x:c>
      <x:c r="I719" s="37" t="d">
        <x:v>2026-09-15T11:47:19.000Z</x:v>
      </x:c>
      <x:c r="J719" s="1" t="n">
        <x:f>IF(ISNUMBER(F719),E719,0)</x:f>
        <x:v>3</x:v>
      </x:c>
      <x:c r="K719" s="1"/>
      <x:c r="L719" s="1" t="str">
        <x:v>https://blog.skyairline.com/cosas-que-hacer-en-cancun/</x:v>
      </x:c>
      <x:c r="M719" s="1" t="n">
        <x:v>1</x:v>
      </x:c>
    </x:row>
    <x:row r="720" ht="18.75" customHeight="1">
      <x:c r="A720" s="1" t="str">
        <x:v>https://blog.skyairline.com/viajes-avion/</x:v>
      </x:c>
      <x:c r="B720" s="1" t="str">
        <x:v>sky mascotas requisitos bodega</x:v>
      </x:c>
      <x:c r="C720" s="1" t="str">
        <x:v>chl</x:v>
      </x:c>
      <x:c r="D720" s="1" t="str">
        <x:v>Marca</x:v>
      </x:c>
      <x:c r="E720" s="35" t="n">
        <x:v>3</x:v>
      </x:c>
      <x:c r="F720" s="36"/>
      <x:c r="G720" s="36" t="str">
        <x:f>IF(ISNUMBER(F720),E720*F720,"")</x:f>
      </x:c>
      <x:c r="H720" s="37" t="d">
        <x:v>2026-10-15T00:00:00.000Z</x:v>
      </x:c>
      <x:c r="I720" s="37" t="d">
        <x:v>2026-09-16T16:50:05.000Z</x:v>
      </x:c>
      <x:c r="J720" s="1" t="n">
        <x:f>IF(ISNUMBER(F720),E720,0)</x:f>
        <x:v>0</x:v>
      </x:c>
      <x:c r="K720" s="1"/>
      <x:c r="L720" s="1" t="str">
        <x:v>https://blog.skyairline.com/cosas-que-llevar-a-la-playa/</x:v>
      </x:c>
      <x:c r="M720" s="1" t="n">
        <x:v>1</x:v>
      </x:c>
    </x:row>
    <x:row r="721" ht="18.75" customHeight="1">
      <x:c r="A721" s="1" t="str">
        <x:v>https://blog.skyairline.com/volcanes-en-puerto-montt-cuales-visitar-y-como-llegar/</x:v>
      </x:c>
      <x:c r="B721" s="1" t="str">
        <x:v>volcanes en puerto montt</x:v>
      </x:c>
      <x:c r="C721" s="1" t="str">
        <x:v>chl</x:v>
      </x:c>
      <x:c r="D721" s="1" t="str">
        <x:v>Sin marca</x:v>
      </x:c>
      <x:c r="E721" s="35" t="n">
        <x:v>3</x:v>
      </x:c>
      <x:c r="F721" s="36"/>
      <x:c r="G721" s="36" t="str">
        <x:f>IF(ISNUMBER(F721),E721*F721,"")</x:f>
      </x:c>
      <x:c r="H721" s="37" t="d">
        <x:v>2026-10-15T00:00:00.000Z</x:v>
      </x:c>
      <x:c r="I721" s="37" t="d">
        <x:v>2026-09-14T06:25:44.000Z</x:v>
      </x:c>
      <x:c r="J721" s="1" t="n">
        <x:f>IF(ISNUMBER(F721),E721,0)</x:f>
        <x:v>0</x:v>
      </x:c>
      <x:c r="K721" s="1"/>
      <x:c r="L721" s="1" t="str">
        <x:v>https://blog.skyairline.com/costanera-puerto-natales/</x:v>
      </x:c>
      <x:c r="M721" s="1" t="n">
        <x:v>1</x:v>
      </x:c>
    </x:row>
    <x:row r="722" ht="18.75" customHeight="1">
      <x:c r="A722" s="1" t="str">
        <x:v>https://blog.skyairline.com/vuelos-multidestino/</x:v>
      </x:c>
      <x:c r="B722" s="1" t="str">
        <x:v>sky multidestino</x:v>
      </x:c>
      <x:c r="C722" s="1" t="str">
        <x:v>per</x:v>
      </x:c>
      <x:c r="D722" s="1" t="str">
        <x:v>Marca</x:v>
      </x:c>
      <x:c r="E722" s="35" t="n">
        <x:v>3</x:v>
      </x:c>
      <x:c r="F722" s="36" t="n">
        <x:v>0.84</x:v>
      </x:c>
      <x:c r="G722" s="36" t="n">
        <x:f>IF(ISNUMBER(F722),E722*F722,"")</x:f>
        <x:v>2.52</x:v>
      </x:c>
      <x:c r="H722" s="37" t="d">
        <x:v>2026-10-15T00:00:00.000Z</x:v>
      </x:c>
      <x:c r="I722" s="37" t="d">
        <x:v>2026-10-15T11:39:17.000Z</x:v>
      </x:c>
      <x:c r="J722" s="1" t="n">
        <x:f>IF(ISNUMBER(F722),E722,0)</x:f>
        <x:v>3</x:v>
      </x:c>
      <x:c r="K722" s="1"/>
      <x:c r="L722" s="1" t="str">
        <x:v>https://blog.skyairline.com/cristo-de-tatanazo/</x:v>
      </x:c>
      <x:c r="M722" s="1" t="n">
        <x:v>1</x:v>
      </x:c>
    </x:row>
    <x:row r="723" ht="18.75" customHeight="1">
      <x:c r="A723" s="1" t="str">
        <x:v>https://blog.skyairline.com/10-cosas-que-hacer-en-caminito/</x:v>
      </x:c>
      <x:c r="B723" s="1" t="str">
        <x:v>caminito</x:v>
      </x:c>
      <x:c r="C723" s="1" t="str">
        <x:v>arg</x:v>
      </x:c>
      <x:c r="D723" s="1" t="str">
        <x:v>Sin marca</x:v>
      </x:c>
      <x:c r="E723" s="35" t="n">
        <x:v>2</x:v>
      </x:c>
      <x:c r="F723" s="36"/>
      <x:c r="G723" s="36" t="str">
        <x:f>IF(ISNUMBER(F723),E723*F723,"")</x:f>
      </x:c>
      <x:c r="H723" s="37"/>
      <x:c r="I723" s="37"/>
      <x:c r="J723" s="1" t="n">
        <x:f>IF(ISNUMBER(F723),E723,0)</x:f>
        <x:v>0</x:v>
      </x:c>
      <x:c r="K723" s="1"/>
      <x:c r="L723" s="1" t="str">
        <x:v>https://blog.skyairline.com/cristo-redentor-historia-y-curiosidades-sobre-este-icono-de-rio-de-janeiro/</x:v>
      </x:c>
      <x:c r="M723" s="1" t="n">
        <x:v>1</x:v>
      </x:c>
    </x:row>
    <x:row r="724" ht="18.75" customHeight="1">
      <x:c r="A724" s="1" t="str">
        <x:v>https://blog.skyairline.com/10-cosas-que-hacer-en-caminito/</x:v>
      </x:c>
      <x:c r="B724" s="1" t="str">
        <x:v>caminito</x:v>
      </x:c>
      <x:c r="C724" s="1" t="str">
        <x:v>chl</x:v>
      </x:c>
      <x:c r="D724" s="1" t="str">
        <x:v>Sin marca</x:v>
      </x:c>
      <x:c r="E724" s="35" t="n">
        <x:v>2</x:v>
      </x:c>
      <x:c r="F724" s="36"/>
      <x:c r="G724" s="36" t="str">
        <x:f>IF(ISNUMBER(F724),E724*F724,"")</x:f>
      </x:c>
      <x:c r="H724" s="37"/>
      <x:c r="I724" s="37"/>
      <x:c r="J724" s="1" t="n">
        <x:f>IF(ISNUMBER(F724),E724,0)</x:f>
        <x:v>0</x:v>
      </x:c>
      <x:c r="K724" s="1"/>
      <x:c r="L724" s="1" t="str">
        <x:v>https://blog.skyairline.com/cuando-son-las-vacaciones-de-invierno-en-chile/</x:v>
      </x:c>
      <x:c r="M724" s="1" t="n">
        <x:v>1</x:v>
      </x:c>
    </x:row>
    <x:row r="725" ht="18.75" customHeight="1">
      <x:c r="A725" s="1" t="str">
        <x:v>https://blog.skyairline.com/10-cosas-que-hacer-en-caminito/</x:v>
      </x:c>
      <x:c r="B725" s="1" t="str">
        <x:v>que ver en caminito la boca</x:v>
      </x:c>
      <x:c r="C725" s="1" t="str">
        <x:v>arg</x:v>
      </x:c>
      <x:c r="D725" s="1" t="str">
        <x:v>Sin marca</x:v>
      </x:c>
      <x:c r="E725" s="35" t="n">
        <x:v>2</x:v>
      </x:c>
      <x:c r="F725" s="36"/>
      <x:c r="G725" s="36" t="str">
        <x:f>IF(ISNUMBER(F725),E725*F725,"")</x:f>
      </x:c>
      <x:c r="H725" s="37"/>
      <x:c r="I725" s="37"/>
      <x:c r="J725" s="1" t="n">
        <x:f>IF(ISNUMBER(F725),E725,0)</x:f>
        <x:v>0</x:v>
      </x:c>
      <x:c r="K725" s="1"/>
      <x:c r="L725" s="1" t="str">
        <x:v>https://blog.skyairline.com/cultura-lambayeque/</x:v>
      </x:c>
      <x:c r="M725" s="1" t="n">
        <x:v>1</x:v>
      </x:c>
    </x:row>
    <x:row r="726" ht="18.75" customHeight="1">
      <x:c r="A726" s="1" t="str">
        <x:v>https://blog.skyairline.com/a-que-paises-puedo-viajar-sin-pasaporte-desde-chile/</x:v>
      </x:c>
      <x:c r="B726" s="1" t="str">
        <x:v>paises para viajar sin pasaporte desde chile</x:v>
      </x:c>
      <x:c r="C726" s="1" t="str">
        <x:v>chl</x:v>
      </x:c>
      <x:c r="D726" s="1" t="str">
        <x:v>Sin marca</x:v>
      </x:c>
      <x:c r="E726" s="35" t="n">
        <x:v>2</x:v>
      </x:c>
      <x:c r="F726" s="36" t="n">
        <x:v>2.19</x:v>
      </x:c>
      <x:c r="G726" s="36" t="n">
        <x:f>IF(ISNUMBER(F726),E726*F726,"")</x:f>
        <x:v>4.38</x:v>
      </x:c>
      <x:c r="H726" s="37" t="d">
        <x:v>2026-10-15T00:00:00.000Z</x:v>
      </x:c>
      <x:c r="I726" s="37" t="d">
        <x:v>2026-10-15T05:06:16.000Z</x:v>
      </x:c>
      <x:c r="J726" s="1" t="n">
        <x:f>IF(ISNUMBER(F726),E726,0)</x:f>
        <x:v>2</x:v>
      </x:c>
      <x:c r="K726" s="1"/>
      <x:c r="L726" s="1" t="str">
        <x:v>https://blog.skyairline.com/curiosidades-de-chile/</x:v>
      </x:c>
      <x:c r="M726" s="1" t="n">
        <x:v>1</x:v>
      </x:c>
    </x:row>
    <x:row r="727" ht="18.75" customHeight="1">
      <x:c r="A727" s="1" t="str">
        <x:v>https://blog.skyairline.com/administra-tu-vuelo-sky/</x:v>
      </x:c>
      <x:c r="B727" s="1" t="str">
        <x:v>comprar maleta en sky</x:v>
      </x:c>
      <x:c r="C727" s="1" t="str">
        <x:v>chl</x:v>
      </x:c>
      <x:c r="D727" s="1" t="str">
        <x:v>Marca</x:v>
      </x:c>
      <x:c r="E727" s="35" t="n">
        <x:v>2</x:v>
      </x:c>
      <x:c r="F727" s="36"/>
      <x:c r="G727" s="36" t="str">
        <x:f>IF(ISNUMBER(F727),E727*F727,"")</x:f>
      </x:c>
      <x:c r="H727" s="37"/>
      <x:c r="I727" s="37"/>
      <x:c r="J727" s="1" t="n">
        <x:f>IF(ISNUMBER(F727),E727,0)</x:f>
        <x:v>0</x:v>
      </x:c>
      <x:c r="K727" s="1"/>
      <x:c r="L727" s="1" t="str">
        <x:v>https://blog.skyairline.com/de-santiago-a-antofagasta-que-hacer-en-este-destino/</x:v>
      </x:c>
      <x:c r="M727" s="1" t="n">
        <x:v>1</x:v>
      </x:c>
    </x:row>
    <x:row r="728" ht="18.75" customHeight="1">
      <x:c r="A728" s="1" t="str">
        <x:v>https://blog.skyairline.com/administra-tu-vuelo-sky/</x:v>
      </x:c>
      <x:c r="B728" s="1" t="str">
        <x:v>sky administra tu vuelo</x:v>
      </x:c>
      <x:c r="C728" s="1" t="str">
        <x:v>chl</x:v>
      </x:c>
      <x:c r="D728" s="1" t="str">
        <x:v>Marca</x:v>
      </x:c>
      <x:c r="E728" s="35" t="n">
        <x:v>2</x:v>
      </x:c>
      <x:c r="F728" s="36" t="n">
        <x:v>0.75</x:v>
      </x:c>
      <x:c r="G728" s="36" t="n">
        <x:f>IF(ISNUMBER(F728),E728*F728,"")</x:f>
        <x:v>1.5</x:v>
      </x:c>
      <x:c r="H728" s="37" t="d">
        <x:v>2026-10-15T00:00:00.000Z</x:v>
      </x:c>
      <x:c r="I728" s="37" t="d">
        <x:v>2026-09-15T21:24:30.000Z</x:v>
      </x:c>
      <x:c r="J728" s="1" t="n">
        <x:f>IF(ISNUMBER(F728),E728,0)</x:f>
        <x:v>2</x:v>
      </x:c>
      <x:c r="K728" s="1"/>
      <x:c r="L728" s="1" t="str">
        <x:v>https://blog.skyairline.com/deportes-en-el-agua/</x:v>
      </x:c>
      <x:c r="M728" s="1" t="n">
        <x:v>1</x:v>
      </x:c>
    </x:row>
    <x:row r="729" ht="18.75" customHeight="1">
      <x:c r="A729" s="1" t="str">
        <x:v>https://blog.skyairline.com/administra-tu-vuelo-sky/</x:v>
      </x:c>
      <x:c r="B729" s="1" t="str">
        <x:v>sky comprar maleta</x:v>
      </x:c>
      <x:c r="C729" s="1" t="str">
        <x:v>chl</x:v>
      </x:c>
      <x:c r="D729" s="1" t="str">
        <x:v>Marca</x:v>
      </x:c>
      <x:c r="E729" s="35" t="n">
        <x:v>2</x:v>
      </x:c>
      <x:c r="F729" s="36" t="n">
        <x:v>0.63</x:v>
      </x:c>
      <x:c r="G729" s="36" t="n">
        <x:f>IF(ISNUMBER(F729),E729*F729,"")</x:f>
        <x:v>1.26</x:v>
      </x:c>
      <x:c r="H729" s="37" t="d">
        <x:v>2026-10-15T00:00:00.000Z</x:v>
      </x:c>
      <x:c r="I729" s="37" t="d">
        <x:v>2026-09-16T18:34:32.000Z</x:v>
      </x:c>
      <x:c r="J729" s="1" t="n">
        <x:f>IF(ISNUMBER(F729),E729,0)</x:f>
        <x:v>2</x:v>
      </x:c>
      <x:c r="K729" s="1"/>
      <x:c r="L729" s="1" t="str">
        <x:v>https://blog.skyairline.com/desarrollo-de-tecnologia-eficiencia-operacional-y-acceso-a-saf-se-perfilan-como-los-mayores-desafios-medioambientales-de-la-industria-aeronautica/</x:v>
      </x:c>
      <x:c r="M729" s="1" t="n">
        <x:v>1</x:v>
      </x:c>
    </x:row>
    <x:row r="730" ht="18.75" customHeight="1">
      <x:c r="A730" s="1" t="str">
        <x:v>https://blog.skyairline.com/aerolinea-moderna-y-flexible/</x:v>
      </x:c>
      <x:c r="B730" s="1" t="str">
        <x:v>sky</x:v>
      </x:c>
      <x:c r="C730" s="1" t="str">
        <x:v>per</x:v>
      </x:c>
      <x:c r="D730" s="1" t="str">
        <x:v>Marca</x:v>
      </x:c>
      <x:c r="E730" s="35" t="n">
        <x:v>2</x:v>
      </x:c>
      <x:c r="F730" s="36" t="n">
        <x:v>0.16</x:v>
      </x:c>
      <x:c r="G730" s="36" t="n">
        <x:f>IF(ISNUMBER(F730),E730*F730,"")</x:f>
        <x:v>0.32</x:v>
      </x:c>
      <x:c r="H730" s="37" t="d">
        <x:v>2026-10-15T00:00:00.000Z</x:v>
      </x:c>
      <x:c r="I730" s="37" t="d">
        <x:v>2026-09-15T03:38:50.000Z</x:v>
      </x:c>
      <x:c r="J730" s="1" t="n">
        <x:f>IF(ISNUMBER(F730),E730,0)</x:f>
        <x:v>2</x:v>
      </x:c>
      <x:c r="K730" s="1"/>
      <x:c r="L730" s="1" t="str">
        <x:v>https://blog.skyairline.com/descubre-economy-proven-mas-comodo/</x:v>
      </x:c>
      <x:c r="M730" s="1" t="n">
        <x:v>1</x:v>
      </x:c>
    </x:row>
    <x:row r="731" ht="18.75" customHeight="1">
      <x:c r="A731" s="1" t="str">
        <x:v>https://blog.skyairline.com/aeroparque-de-buenos-aires/</x:v>
      </x:c>
      <x:c r="B731" s="1" t="str">
        <x:v>aeropuerto aep buenos aires</x:v>
      </x:c>
      <x:c r="C731" s="1" t="str">
        <x:v>chl</x:v>
      </x:c>
      <x:c r="D731" s="1" t="str">
        <x:v>Sin marca</x:v>
      </x:c>
      <x:c r="E731" s="35" t="n">
        <x:v>2</x:v>
      </x:c>
      <x:c r="F731" s="36"/>
      <x:c r="G731" s="36" t="str">
        <x:f>IF(ISNUMBER(F731),E731*F731,"")</x:f>
      </x:c>
      <x:c r="H731" s="37"/>
      <x:c r="I731" s="37"/>
      <x:c r="J731" s="1" t="n">
        <x:f>IF(ISNUMBER(F731),E731,0)</x:f>
        <x:v>0</x:v>
      </x:c>
      <x:c r="K731" s="1"/>
      <x:c r="L731" s="1" t="str">
        <x:v>https://blog.skyairline.com/descubre-la-magia-del-bosque-sumergido-en-villa-traful/</x:v>
      </x:c>
      <x:c r="M731" s="1" t="n">
        <x:v>1</x:v>
      </x:c>
    </x:row>
    <x:row r="732" ht="18.75" customHeight="1">
      <x:c r="A732" s="1" t="str">
        <x:v>https://blog.skyairline.com/aeropuerto-chiloe/</x:v>
      </x:c>
      <x:c r="B732" s="1" t="str">
        <x:v>aeropuerto castro</x:v>
      </x:c>
      <x:c r="C732" s="1" t="str">
        <x:v>chl</x:v>
      </x:c>
      <x:c r="D732" s="1" t="str">
        <x:v>Sin marca</x:v>
      </x:c>
      <x:c r="E732" s="35" t="n">
        <x:v>2</x:v>
      </x:c>
      <x:c r="F732" s="36" t="n">
        <x:v>2.21</x:v>
      </x:c>
      <x:c r="G732" s="36" t="n">
        <x:f>IF(ISNUMBER(F732),E732*F732,"")</x:f>
        <x:v>4.42</x:v>
      </x:c>
      <x:c r="H732" s="37" t="d">
        <x:v>2026-10-15T00:00:00.000Z</x:v>
      </x:c>
      <x:c r="I732" s="37" t="d">
        <x:v>2026-09-17T08:36:05.000Z</x:v>
      </x:c>
      <x:c r="J732" s="1" t="n">
        <x:f>IF(ISNUMBER(F732),E732,0)</x:f>
        <x:v>2</x:v>
      </x:c>
      <x:c r="K732" s="1"/>
      <x:c r="L732" s="1" t="str">
        <x:v>https://blog.skyairline.com/desierto-ica/</x:v>
      </x:c>
      <x:c r="M732" s="1" t="n">
        <x:v>1</x:v>
      </x:c>
    </x:row>
    <x:row r="733" ht="18.75" customHeight="1">
      <x:c r="A733" s="1" t="str">
        <x:v>https://blog.skyairline.com/aeropuerto-chiloe/</x:v>
      </x:c>
      <x:c r="B733" s="1" t="str">
        <x:v>aeropuerto de chiloe</x:v>
      </x:c>
      <x:c r="C733" s="1" t="str">
        <x:v>chl</x:v>
      </x:c>
      <x:c r="D733" s="1" t="str">
        <x:v>Sin marca</x:v>
      </x:c>
      <x:c r="E733" s="35" t="n">
        <x:v>2</x:v>
      </x:c>
      <x:c r="F733" s="36" t="n">
        <x:v>2.25</x:v>
      </x:c>
      <x:c r="G733" s="36" t="n">
        <x:f>IF(ISNUMBER(F733),E733*F733,"")</x:f>
        <x:v>4.5</x:v>
      </x:c>
      <x:c r="H733" s="37" t="d">
        <x:v>2026-10-15T00:00:00.000Z</x:v>
      </x:c>
      <x:c r="I733" s="37" t="d">
        <x:v>2026-09-16T05:47:21.000Z</x:v>
      </x:c>
      <x:c r="J733" s="1" t="n">
        <x:f>IF(ISNUMBER(F733),E733,0)</x:f>
        <x:v>2</x:v>
      </x:c>
      <x:c r="K733" s="1"/>
      <x:c r="L733" s="1" t="str">
        <x:v>https://blog.skyairline.com/destinos-de-playa-para-navidad/</x:v>
      </x:c>
      <x:c r="M733" s="1" t="n">
        <x:v>1</x:v>
      </x:c>
    </x:row>
    <x:row r="734" ht="18.75" customHeight="1">
      <x:c r="A734" s="1" t="str">
        <x:v>https://blog.skyairline.com/aeropuerto-temuco/</x:v>
      </x:c>
      <x:c r="B734" s="1" t="str">
        <x:v>aeropuerto de temuco</x:v>
      </x:c>
      <x:c r="C734" s="1" t="str">
        <x:v>chl</x:v>
      </x:c>
      <x:c r="D734" s="1" t="str">
        <x:v>Sin marca</x:v>
      </x:c>
      <x:c r="E734" s="35" t="n">
        <x:v>2</x:v>
      </x:c>
      <x:c r="F734" s="36" t="n">
        <x:v>1.25</x:v>
      </x:c>
      <x:c r="G734" s="36" t="n">
        <x:f>IF(ISNUMBER(F734),E734*F734,"")</x:f>
        <x:v>2.5</x:v>
      </x:c>
      <x:c r="H734" s="37" t="d">
        <x:v>2026-10-15T00:00:00.000Z</x:v>
      </x:c>
      <x:c r="I734" s="37" t="d">
        <x:v>2026-09-17T07:34:51.000Z</x:v>
      </x:c>
      <x:c r="J734" s="1" t="n">
        <x:f>IF(ISNUMBER(F734),E734,0)</x:f>
        <x:v>2</x:v>
      </x:c>
      <x:c r="K734" s="1"/>
      <x:c r="L734" s="1" t="str">
        <x:v>https://blog.skyairline.com/dia-de-la-aviacion-nacional-en-peru/</x:v>
      </x:c>
      <x:c r="M734" s="1" t="n">
        <x:v>1</x:v>
      </x:c>
    </x:row>
    <x:row r="735" ht="18.75" customHeight="1">
      <x:c r="A735" s="1" t="str">
        <x:v>https://blog.skyairline.com/aeropuerto-temuco/</x:v>
      </x:c>
      <x:c r="B735" s="1" t="str">
        <x:v>aeropuerto temuco como se llama</x:v>
      </x:c>
      <x:c r="C735" s="1" t="str">
        <x:v>chl</x:v>
      </x:c>
      <x:c r="D735" s="1" t="str">
        <x:v>Sin marca</x:v>
      </x:c>
      <x:c r="E735" s="35" t="n">
        <x:v>2</x:v>
      </x:c>
      <x:c r="F735" s="36" t="n">
        <x:v>1.08</x:v>
      </x:c>
      <x:c r="G735" s="36" t="n">
        <x:f>IF(ISNUMBER(F735),E735*F735,"")</x:f>
        <x:v>2.16</x:v>
      </x:c>
      <x:c r="H735" s="37" t="d">
        <x:v>2026-10-15T00:00:00.000Z</x:v>
      </x:c>
      <x:c r="I735" s="37" t="d">
        <x:v>2026-10-15T08:54:42.000Z</x:v>
      </x:c>
      <x:c r="J735" s="1" t="n">
        <x:f>IF(ISNUMBER(F735),E735,0)</x:f>
        <x:v>2</x:v>
      </x:c>
      <x:c r="K735" s="1"/>
      <x:c r="L735" s="1" t="str">
        <x:v>https://blog.skyairline.com/dia-del-piloto/</x:v>
      </x:c>
      <x:c r="M735" s="1" t="n">
        <x:v>1</x:v>
      </x:c>
    </x:row>
    <x:row r="736" ht="18.75" customHeight="1">
      <x:c r="A736" s="1" t="str">
        <x:v>https://blog.skyairline.com/aeropuertos-en-buenos-aires/</x:v>
      </x:c>
      <x:c r="B736" s="1" t="str">
        <x:v>aeropuerto buenos aires</x:v>
      </x:c>
      <x:c r="C736" s="1" t="str">
        <x:v>chl</x:v>
      </x:c>
      <x:c r="D736" s="1" t="str">
        <x:v>Sin marca</x:v>
      </x:c>
      <x:c r="E736" s="35" t="n">
        <x:v>2</x:v>
      </x:c>
      <x:c r="F736" s="36" t="n">
        <x:v>0.57</x:v>
      </x:c>
      <x:c r="G736" s="36" t="n">
        <x:f>IF(ISNUMBER(F736),E736*F736,"")</x:f>
        <x:v>1.14</x:v>
      </x:c>
      <x:c r="H736" s="37" t="d">
        <x:v>2026-10-15T00:00:00.000Z</x:v>
      </x:c>
      <x:c r="I736" s="37" t="d">
        <x:v>2026-09-17T14:30:50.000Z</x:v>
      </x:c>
      <x:c r="J736" s="1" t="n">
        <x:f>IF(ISNUMBER(F736),E736,0)</x:f>
        <x:v>2</x:v>
      </x:c>
      <x:c r="K736" s="1"/>
      <x:c r="L736" s="1" t="str">
        <x:v>https://blog.skyairline.com/diario-de-viaje/</x:v>
      </x:c>
      <x:c r="M736" s="1" t="n">
        <x:v>1</x:v>
      </x:c>
    </x:row>
    <x:row r="737" ht="18.75" customHeight="1">
      <x:c r="A737" s="1" t="str">
        <x:v>https://blog.skyairline.com/aeropuertos-en-buenos-aires/</x:v>
      </x:c>
      <x:c r="B737" s="1" t="str">
        <x:v>aeropuertos en buenos aires</x:v>
      </x:c>
      <x:c r="C737" s="1" t="str">
        <x:v>per</x:v>
      </x:c>
      <x:c r="D737" s="1" t="str">
        <x:v>Sin marca</x:v>
      </x:c>
      <x:c r="E737" s="35" t="n">
        <x:v>2</x:v>
      </x:c>
      <x:c r="F737" s="36" t="n">
        <x:v>0.58</x:v>
      </x:c>
      <x:c r="G737" s="36" t="n">
        <x:f>IF(ISNUMBER(F737),E737*F737,"")</x:f>
        <x:v>1.16</x:v>
      </x:c>
      <x:c r="H737" s="37" t="d">
        <x:v>2026-10-15T00:00:00.000Z</x:v>
      </x:c>
      <x:c r="I737" s="37" t="d">
        <x:v>2026-09-17T15:49:40.000Z</x:v>
      </x:c>
      <x:c r="J737" s="1" t="n">
        <x:f>IF(ISNUMBER(F737),E737,0)</x:f>
        <x:v>2</x:v>
      </x:c>
      <x:c r="K737" s="1"/>
      <x:c r="L737" s="1" t="str">
        <x:v>https://blog.skyairline.com/diciembre-en-chile/</x:v>
      </x:c>
      <x:c r="M737" s="1" t="n">
        <x:v>1</x:v>
      </x:c>
    </x:row>
    <x:row r="738" ht="18.75" customHeight="1">
      <x:c r="A738" s="1" t="str">
        <x:v>https://blog.skyairline.com/aeropuertos-en-buenos-aires/</x:v>
      </x:c>
      <x:c r="B738" s="1" t="str">
        <x:v>cuantos aeropuertos hay en buenos aires argentina</x:v>
      </x:c>
      <x:c r="C738" s="1" t="str">
        <x:v>mex</x:v>
      </x:c>
      <x:c r="D738" s="1" t="str">
        <x:v>Sin marca</x:v>
      </x:c>
      <x:c r="E738" s="35" t="n">
        <x:v>2</x:v>
      </x:c>
      <x:c r="F738" s="36"/>
      <x:c r="G738" s="36" t="str">
        <x:f>IF(ISNUMBER(F738),E738*F738,"")</x:f>
      </x:c>
      <x:c r="H738" s="37"/>
      <x:c r="I738" s="37"/>
      <x:c r="J738" s="1" t="n">
        <x:f>IF(ISNUMBER(F738),E738,0)</x:f>
        <x:v>0</x:v>
      </x:c>
      <x:c r="K738" s="1"/>
      <x:c r="L738" s="1" t="str">
        <x:v>https://blog.skyairline.com/diversion-en-familia/</x:v>
      </x:c>
      <x:c r="M738" s="1" t="n">
        <x:v>1</x:v>
      </x:c>
    </x:row>
    <x:row r="739" ht="18.75" customHeight="1">
      <x:c r="A739" s="1" t="str">
        <x:v>https://blog.skyairline.com/aeropuertos-en-buenos-aires/</x:v>
      </x:c>
      <x:c r="B739" s="1" t="str">
        <x:v>cuantos aeropuertos tiene buenos aires</x:v>
      </x:c>
      <x:c r="C739" s="1" t="str">
        <x:v>per</x:v>
      </x:c>
      <x:c r="D739" s="1" t="str">
        <x:v>Sin marca</x:v>
      </x:c>
      <x:c r="E739" s="35" t="n">
        <x:v>2</x:v>
      </x:c>
      <x:c r="F739" s="36"/>
      <x:c r="G739" s="36" t="str">
        <x:f>IF(ISNUMBER(F739),E739*F739,"")</x:f>
      </x:c>
      <x:c r="H739" s="37"/>
      <x:c r="I739" s="37"/>
      <x:c r="J739" s="1" t="n">
        <x:f>IF(ISNUMBER(F739),E739,0)</x:f>
        <x:v>0</x:v>
      </x:c>
      <x:c r="K739" s="1"/>
      <x:c r="L739" s="1" t="str">
        <x:v>https://blog.skyairline.com/dormir-bien-durante-un-viaje/</x:v>
      </x:c>
      <x:c r="M739" s="1" t="n">
        <x:v>1</x:v>
      </x:c>
    </x:row>
    <x:row r="740" ht="18.75" customHeight="1">
      <x:c r="A740" s="1" t="str">
        <x:v>https://blog.skyairline.com/aeropuertos-en-el-sur-de-chile/</x:v>
      </x:c>
      <x:c r="B740" s="1" t="str">
        <x:v>aeropuertos en el sur de chile</x:v>
      </x:c>
      <x:c r="C740" s="1" t="str">
        <x:v>chl</x:v>
      </x:c>
      <x:c r="D740" s="1" t="str">
        <x:v>Sin marca</x:v>
      </x:c>
      <x:c r="E740" s="35" t="n">
        <x:v>2</x:v>
      </x:c>
      <x:c r="F740" s="36" t="n">
        <x:v>1.36</x:v>
      </x:c>
      <x:c r="G740" s="36" t="n">
        <x:f>IF(ISNUMBER(F740),E740*F740,"")</x:f>
        <x:v>2.72</x:v>
      </x:c>
      <x:c r="H740" s="37" t="d">
        <x:v>2026-10-15T00:00:00.000Z</x:v>
      </x:c>
      <x:c r="I740" s="37" t="d">
        <x:v>2026-09-16T19:38:59.000Z</x:v>
      </x:c>
      <x:c r="J740" s="1" t="n">
        <x:f>IF(ISNUMBER(F740),E740,0)</x:f>
        <x:v>2</x:v>
      </x:c>
      <x:c r="K740" s="1"/>
      <x:c r="L740" s="1" t="str">
        <x:v>https://blog.skyairline.com/downtown-miami/</x:v>
      </x:c>
      <x:c r="M740" s="1" t="n">
        <x:v>1</x:v>
      </x:c>
    </x:row>
    <x:row r="741" ht="18.75" customHeight="1">
      <x:c r="A741" s="1" t="str">
        <x:v>https://blog.skyairline.com/airbus-a320/</x:v>
      </x:c>
      <x:c r="B741" s="1" t="str">
        <x:v>a320 neo sky</x:v>
      </x:c>
      <x:c r="C741" s="1" t="str">
        <x:v>chl</x:v>
      </x:c>
      <x:c r="D741" s="1" t="str">
        <x:v>Marca</x:v>
      </x:c>
      <x:c r="E741" s="35" t="n">
        <x:v>2</x:v>
      </x:c>
      <x:c r="F741" s="36"/>
      <x:c r="G741" s="36" t="str">
        <x:f>IF(ISNUMBER(F741),E741*F741,"")</x:f>
      </x:c>
      <x:c r="H741" s="37" t="d">
        <x:v>2026-10-15T00:00:00.000Z</x:v>
      </x:c>
      <x:c r="I741" s="37" t="d">
        <x:v>2026-10-15T16:04:17.999Z</x:v>
      </x:c>
      <x:c r="J741" s="1" t="n">
        <x:f>IF(ISNUMBER(F741),E741,0)</x:f>
        <x:v>0</x:v>
      </x:c>
      <x:c r="K741" s="1"/>
      <x:c r="L741" s="1" t="str">
        <x:v>https://blog.skyairline.com/eje-cafetero/</x:v>
      </x:c>
      <x:c r="M741" s="1" t="n">
        <x:v>1</x:v>
      </x:c>
    </x:row>
    <x:row r="742" ht="18.75" customHeight="1">
      <x:c r="A742" s="1" t="str">
        <x:v>https://blog.skyairline.com/airbus-a320/</x:v>
      </x:c>
      <x:c r="B742" s="1" t="str">
        <x:v>a320neo sky</x:v>
      </x:c>
      <x:c r="C742" s="1" t="str">
        <x:v>per</x:v>
      </x:c>
      <x:c r="D742" s="1" t="str">
        <x:v>Marca</x:v>
      </x:c>
      <x:c r="E742" s="35" t="n">
        <x:v>2</x:v>
      </x:c>
      <x:c r="F742" s="36"/>
      <x:c r="G742" s="36" t="str">
        <x:f>IF(ISNUMBER(F742),E742*F742,"")</x:f>
      </x:c>
      <x:c r="H742" s="37" t="d">
        <x:v>2026-10-15T00:00:00.000Z</x:v>
      </x:c>
      <x:c r="I742" s="37" t="d">
        <x:v>2026-09-14T23:23:47.000Z</x:v>
      </x:c>
      <x:c r="J742" s="1" t="n">
        <x:f>IF(ISNUMBER(F742),E742,0)</x:f>
        <x:v>0</x:v>
      </x:c>
      <x:c r="K742" s="1"/>
      <x:c r="L742" s="1" t="str">
        <x:v>https://blog.skyairline.com/el-calafate/</x:v>
      </x:c>
      <x:c r="M742" s="1" t="n">
        <x:v>1</x:v>
      </x:c>
    </x:row>
    <x:row r="743" ht="18.75" customHeight="1">
      <x:c r="A743" s="1" t="str">
        <x:v>https://blog.skyairline.com/airbus-a320/</x:v>
      </x:c>
      <x:c r="B743" s="1" t="str">
        <x:v>airbus a320 neo sky</x:v>
      </x:c>
      <x:c r="C743" s="1" t="str">
        <x:v>per</x:v>
      </x:c>
      <x:c r="D743" s="1" t="str">
        <x:v>Marca</x:v>
      </x:c>
      <x:c r="E743" s="35" t="n">
        <x:v>2</x:v>
      </x:c>
      <x:c r="F743" s="36"/>
      <x:c r="G743" s="36" t="str">
        <x:f>IF(ISNUMBER(F743),E743*F743,"")</x:f>
      </x:c>
      <x:c r="H743" s="37" t="d">
        <x:v>2026-10-15T00:00:00.000Z</x:v>
      </x:c>
      <x:c r="I743" s="37" t="d">
        <x:v>2026-09-15T08:48:22.000Z</x:v>
      </x:c>
      <x:c r="J743" s="1" t="n">
        <x:f>IF(ISNUMBER(F743),E743,0)</x:f>
        <x:v>0</x:v>
      </x:c>
      <x:c r="K743" s="1"/>
      <x:c r="L743" s="1" t="str">
        <x:v>https://blog.skyairline.com/el-doral/</x:v>
      </x:c>
      <x:c r="M743" s="1" t="n">
        <x:v>1</x:v>
      </x:c>
    </x:row>
    <x:row r="744" ht="18.75" customHeight="1">
      <x:c r="A744" s="1" t="str">
        <x:v>https://blog.skyairline.com/angra-dos-reis/</x:v>
      </x:c>
      <x:c r="B744" s="1" t="str">
        <x:v>angra dos reis</x:v>
      </x:c>
      <x:c r="C744" s="1" t="str">
        <x:v>arg</x:v>
      </x:c>
      <x:c r="D744" s="1" t="str">
        <x:v>Sin marca</x:v>
      </x:c>
      <x:c r="E744" s="35" t="n">
        <x:v>2</x:v>
      </x:c>
      <x:c r="F744" s="36"/>
      <x:c r="G744" s="36" t="str">
        <x:f>IF(ISNUMBER(F744),E744*F744,"")</x:f>
      </x:c>
      <x:c r="H744" s="37"/>
      <x:c r="I744" s="37"/>
      <x:c r="J744" s="1" t="n">
        <x:f>IF(ISNUMBER(F744),E744,0)</x:f>
        <x:v>0</x:v>
      </x:c>
      <x:c r="K744" s="1"/>
      <x:c r="L744" s="1" t="str">
        <x:v>https://blog.skyairline.com/el-rio-itata/</x:v>
      </x:c>
      <x:c r="M744" s="1" t="n">
        <x:v>1</x:v>
      </x:c>
    </x:row>
    <x:row r="745" ht="18.75" customHeight="1">
      <x:c r="A745" s="1" t="str">
        <x:v>https://blog.skyairline.com/auroras-australes-en-chile-cuando-y-donde-verlas/</x:v>
      </x:c>
      <x:c r="B745" s="1" t="str">
        <x:v>aurora austral</x:v>
      </x:c>
      <x:c r="C745" s="1" t="str">
        <x:v>chl</x:v>
      </x:c>
      <x:c r="D745" s="1" t="str">
        <x:v>Sin marca</x:v>
      </x:c>
      <x:c r="E745" s="35" t="n">
        <x:v>2</x:v>
      </x:c>
      <x:c r="F745" s="36"/>
      <x:c r="G745" s="36" t="str">
        <x:f>IF(ISNUMBER(F745),E745*F745,"")</x:f>
      </x:c>
      <x:c r="H745" s="37" t="d">
        <x:v>2026-10-15T00:00:00.000Z</x:v>
      </x:c>
      <x:c r="I745" s="37" t="d">
        <x:v>2026-09-16T00:32:00.000Z</x:v>
      </x:c>
      <x:c r="J745" s="1" t="n">
        <x:f>IF(ISNUMBER(F745),E745,0)</x:f>
        <x:v>0</x:v>
      </x:c>
      <x:c r="K745" s="1"/>
      <x:c r="L745" s="1" t="str">
        <x:v>https://blog.skyairline.com/el-tiempo-en-puerto-maldonado/</x:v>
      </x:c>
      <x:c r="M745" s="1" t="n">
        <x:v>1</x:v>
      </x:c>
    </x:row>
    <x:row r="746" ht="18.75" customHeight="1">
      <x:c r="A746" s="1" t="str">
        <x:v>https://blog.skyairline.com/auroras-australes-en-chile-cuando-y-donde-verlas/</x:v>
      </x:c>
      <x:c r="B746" s="1" t="str">
        <x:v>auroras australes chile</x:v>
      </x:c>
      <x:c r="C746" s="1" t="str">
        <x:v>esp</x:v>
      </x:c>
      <x:c r="D746" s="1" t="str">
        <x:v>Sin marca</x:v>
      </x:c>
      <x:c r="E746" s="35" t="n">
        <x:v>2</x:v>
      </x:c>
      <x:c r="F746" s="36"/>
      <x:c r="G746" s="36" t="str">
        <x:f>IF(ISNUMBER(F746),E746*F746,"")</x:f>
      </x:c>
      <x:c r="H746" s="37"/>
      <x:c r="I746" s="37"/>
      <x:c r="J746" s="1" t="n">
        <x:f>IF(ISNUMBER(F746),E746,0)</x:f>
        <x:v>0</x:v>
      </x:c>
      <x:c r="K746" s="1"/>
      <x:c r="L746" s="1" t="str">
        <x:v>https://blog.skyairline.com/emision-de-c02/</x:v>
      </x:c>
      <x:c r="M746" s="1" t="n">
        <x:v>1</x:v>
      </x:c>
    </x:row>
    <x:row r="747" ht="18.75" customHeight="1">
      <x:c r="A747" s="1" t="str">
        <x:v>https://blog.skyairline.com/auroras-australes-en-chile-cuando-y-donde-verlas/</x:v>
      </x:c>
      <x:c r="B747" s="1" t="str">
        <x:v>auroras boreales</x:v>
      </x:c>
      <x:c r="C747" s="1" t="str">
        <x:v>chl</x:v>
      </x:c>
      <x:c r="D747" s="1" t="str">
        <x:v>Sin marca</x:v>
      </x:c>
      <x:c r="E747" s="35" t="n">
        <x:v>2</x:v>
      </x:c>
      <x:c r="F747" s="36" t="n">
        <x:v>0.66</x:v>
      </x:c>
      <x:c r="G747" s="36" t="n">
        <x:f>IF(ISNUMBER(F747),E747*F747,"")</x:f>
        <x:v>1.32</x:v>
      </x:c>
      <x:c r="H747" s="37" t="d">
        <x:v>2026-10-15T00:00:00.000Z</x:v>
      </x:c>
      <x:c r="I747" s="37" t="d">
        <x:v>2026-09-14T09:31:15.999Z</x:v>
      </x:c>
      <x:c r="J747" s="1" t="n">
        <x:f>IF(ISNUMBER(F747),E747,0)</x:f>
        <x:v>2</x:v>
      </x:c>
      <x:c r="K747" s="1"/>
      <x:c r="L747" s="1" t="str">
        <x:v>https://blog.skyairline.com/emprendedores-alzan-vuelo-hacia-etmday-2025-con-sky/</x:v>
      </x:c>
      <x:c r="M747" s="1" t="n">
        <x:v>1</x:v>
      </x:c>
    </x:row>
    <x:row r="748" ht="18.75" customHeight="1">
      <x:c r="A748" s="1" t="str">
        <x:v>https://blog.skyairline.com/bahia-inglesa-2/</x:v>
      </x:c>
      <x:c r="B748" s="1" t="str">
        <x:v>bahia inglesa</x:v>
      </x:c>
      <x:c r="C748" s="1" t="str">
        <x:v>chl</x:v>
      </x:c>
      <x:c r="D748" s="1" t="str">
        <x:v>Sin marca</x:v>
      </x:c>
      <x:c r="E748" s="35" t="n">
        <x:v>2</x:v>
      </x:c>
      <x:c r="F748" s="36" t="n">
        <x:v>0.57</x:v>
      </x:c>
      <x:c r="G748" s="36" t="n">
        <x:f>IF(ISNUMBER(F748),E748*F748,"")</x:f>
        <x:v>1.14</x:v>
      </x:c>
      <x:c r="H748" s="37" t="d">
        <x:v>2026-10-15T00:00:00.000Z</x:v>
      </x:c>
      <x:c r="I748" s="37" t="d">
        <x:v>2026-09-16T23:52:51.000Z</x:v>
      </x:c>
      <x:c r="J748" s="1" t="n">
        <x:f>IF(ISNUMBER(F748),E748,0)</x:f>
        <x:v>2</x:v>
      </x:c>
      <x:c r="K748" s="1"/>
      <x:c r="L748" s="1" t="str">
        <x:v>https://blog.skyairline.com/en-que-region-esta-villarrica/</x:v>
      </x:c>
      <x:c r="M748" s="1" t="n">
        <x:v>1</x:v>
      </x:c>
    </x:row>
    <x:row r="749" ht="18.75" customHeight="1">
      <x:c r="A749" s="1" t="str">
        <x:v>https://blog.skyairline.com/bailes-tipicos-de-chile/</x:v>
      </x:c>
      <x:c r="B749" s="1" t="str">
        <x:v>bailes de chile</x:v>
      </x:c>
      <x:c r="C749" s="1" t="str">
        <x:v>chl</x:v>
      </x:c>
      <x:c r="D749" s="1" t="str">
        <x:v>Sin marca</x:v>
      </x:c>
      <x:c r="E749" s="35" t="n">
        <x:v>2</x:v>
      </x:c>
      <x:c r="F749" s="36"/>
      <x:c r="G749" s="36" t="str">
        <x:f>IF(ISNUMBER(F749),E749*F749,"")</x:f>
      </x:c>
      <x:c r="H749" s="37" t="d">
        <x:v>2026-10-15T00:00:00.000Z</x:v>
      </x:c>
      <x:c r="I749" s="37" t="d">
        <x:v>2026-09-13T17:32:21.000Z</x:v>
      </x:c>
      <x:c r="J749" s="1" t="n">
        <x:f>IF(ISNUMBER(F749),E749,0)</x:f>
        <x:v>0</x:v>
      </x:c>
      <x:c r="K749" s="1"/>
      <x:c r="L749" s="1" t="str">
        <x:v>https://blog.skyairline.com/entrada-pan-de-azucar/</x:v>
      </x:c>
      <x:c r="M749" s="1" t="n">
        <x:v>1</x:v>
      </x:c>
    </x:row>
    <x:row r="750" ht="18.75" customHeight="1">
      <x:c r="A750" s="1" t="str">
        <x:v>https://blog.skyairline.com/bailes-tipicos-de-chile/</x:v>
      </x:c>
      <x:c r="B750" s="1" t="str">
        <x:v>bailes tipicos</x:v>
      </x:c>
      <x:c r="C750" s="1" t="str">
        <x:v>chl</x:v>
      </x:c>
      <x:c r="D750" s="1" t="str">
        <x:v>Sin marca</x:v>
      </x:c>
      <x:c r="E750" s="35" t="n">
        <x:v>2</x:v>
      </x:c>
      <x:c r="F750" s="36"/>
      <x:c r="G750" s="36" t="str">
        <x:f>IF(ISNUMBER(F750),E750*F750,"")</x:f>
      </x:c>
      <x:c r="H750" s="37" t="d">
        <x:v>2026-10-15T00:00:00.000Z</x:v>
      </x:c>
      <x:c r="I750" s="37" t="d">
        <x:v>2026-09-17T18:13:58.000Z</x:v>
      </x:c>
      <x:c r="J750" s="1" t="n">
        <x:f>IF(ISNUMBER(F750),E750,0)</x:f>
        <x:v>0</x:v>
      </x:c>
      <x:c r="K750" s="1"/>
      <x:c r="L750" s="1" t="str">
        <x:v>https://blog.skyairline.com/equipaje-de-mano/</x:v>
      </x:c>
      <x:c r="M750" s="1" t="n">
        <x:v>1</x:v>
      </x:c>
    </x:row>
    <x:row r="751" ht="18.75" customHeight="1">
      <x:c r="A751" s="1" t="str">
        <x:v>https://blog.skyairline.com/bailes-tipicos-de-chile/</x:v>
      </x:c>
      <x:c r="B751" s="1" t="str">
        <x:v>bailes típicos de chile</x:v>
      </x:c>
      <x:c r="C751" s="1" t="str">
        <x:v>chl</x:v>
      </x:c>
      <x:c r="D751" s="1" t="str">
        <x:v>Sin marca</x:v>
      </x:c>
      <x:c r="E751" s="35" t="n">
        <x:v>2</x:v>
      </x:c>
      <x:c r="F751" s="36"/>
      <x:c r="G751" s="36" t="str">
        <x:f>IF(ISNUMBER(F751),E751*F751,"")</x:f>
      </x:c>
      <x:c r="H751" s="37" t="d">
        <x:v>2026-10-15T00:00:00.000Z</x:v>
      </x:c>
      <x:c r="I751" s="37" t="d">
        <x:v>2026-09-17T02:25:45.000Z</x:v>
      </x:c>
      <x:c r="J751" s="1" t="n">
        <x:f>IF(ISNUMBER(F751),E751,0)</x:f>
        <x:v>0</x:v>
      </x:c>
      <x:c r="K751" s="1"/>
      <x:c r="L751" s="1" t="str">
        <x:v>https://blog.skyairline.com/escalas-largas/</x:v>
      </x:c>
      <x:c r="M751" s="1" t="n">
        <x:v>1</x:v>
      </x:c>
    </x:row>
    <x:row r="752" ht="18.75" customHeight="1">
      <x:c r="A752" s="1" t="str">
        <x:v>https://blog.skyairline.com/bailes-tipicos-de-chile/</x:v>
      </x:c>
      <x:c r="B752" s="1" t="str">
        <x:v>bailes típicos de chile por zona</x:v>
      </x:c>
      <x:c r="C752" s="1" t="str">
        <x:v>chl</x:v>
      </x:c>
      <x:c r="D752" s="1" t="str">
        <x:v>Sin marca</x:v>
      </x:c>
      <x:c r="E752" s="35" t="n">
        <x:v>2</x:v>
      </x:c>
      <x:c r="F752" s="36"/>
      <x:c r="G752" s="36" t="str">
        <x:f>IF(ISNUMBER(F752),E752*F752,"")</x:f>
      </x:c>
      <x:c r="H752" s="37" t="d">
        <x:v>2026-10-15T00:00:00.000Z</x:v>
      </x:c>
      <x:c r="I752" s="37" t="d">
        <x:v>2026-06-12T04:50:40.000Z</x:v>
      </x:c>
      <x:c r="J752" s="1" t="n">
        <x:f>IF(ISNUMBER(F752),E752,0)</x:f>
        <x:v>0</x:v>
      </x:c>
      <x:c r="K752" s="1"/>
      <x:c r="L752" s="1" t="str">
        <x:v>https://blog.skyairline.com/estadio-centenario-ciudad-de-quilmes/</x:v>
      </x:c>
      <x:c r="M752" s="1" t="n">
        <x:v>1</x:v>
      </x:c>
    </x:row>
    <x:row r="753" ht="18.75" customHeight="1">
      <x:c r="A753" s="1" t="str">
        <x:v>https://blog.skyairline.com/bailes-tipicos-del-peru/</x:v>
      </x:c>
      <x:c r="B753" s="1" t="str">
        <x:v>baile tipico de peru</x:v>
      </x:c>
      <x:c r="C753" s="1" t="str">
        <x:v>chl</x:v>
      </x:c>
      <x:c r="D753" s="1" t="str">
        <x:v>Sin marca</x:v>
      </x:c>
      <x:c r="E753" s="35" t="n">
        <x:v>2</x:v>
      </x:c>
      <x:c r="F753" s="36"/>
      <x:c r="G753" s="36" t="str">
        <x:f>IF(ISNUMBER(F753),E753*F753,"")</x:f>
      </x:c>
      <x:c r="H753" s="37" t="d">
        <x:v>2026-10-15T00:00:00.000Z</x:v>
      </x:c>
      <x:c r="I753" s="37" t="d">
        <x:v>2026-09-17T22:03:58.000Z</x:v>
      </x:c>
      <x:c r="J753" s="1" t="n">
        <x:f>IF(ISNUMBER(F753),E753,0)</x:f>
        <x:v>0</x:v>
      </x:c>
      <x:c r="K753" s="1"/>
      <x:c r="L753" s="1" t="str">
        <x:v>https://blog.skyairline.com/estadios-argentina/</x:v>
      </x:c>
      <x:c r="M753" s="1" t="n">
        <x:v>1</x:v>
      </x:c>
    </x:row>
    <x:row r="754" ht="18.75" customHeight="1">
      <x:c r="A754" s="1" t="str">
        <x:v>https://blog.skyairline.com/barra-da-tijuca/</x:v>
      </x:c>
      <x:c r="B754" s="1" t="str">
        <x:v>barra de tijuca</x:v>
      </x:c>
      <x:c r="C754" s="1" t="str">
        <x:v>chl</x:v>
      </x:c>
      <x:c r="D754" s="1" t="str">
        <x:v>Sin marca</x:v>
      </x:c>
      <x:c r="E754" s="35" t="n">
        <x:v>2</x:v>
      </x:c>
      <x:c r="F754" s="36" t="n">
        <x:v>1.47</x:v>
      </x:c>
      <x:c r="G754" s="36" t="n">
        <x:f>IF(ISNUMBER(F754),E754*F754,"")</x:f>
        <x:v>2.94</x:v>
      </x:c>
      <x:c r="H754" s="37" t="d">
        <x:v>2026-10-15T00:00:00.000Z</x:v>
      </x:c>
      <x:c r="I754" s="37" t="d">
        <x:v>2026-09-17T05:43:22.000Z</x:v>
      </x:c>
      <x:c r="J754" s="1" t="n">
        <x:f>IF(ISNUMBER(F754),E754,0)</x:f>
        <x:v>2</x:v>
      </x:c>
      <x:c r="K754" s="1"/>
      <x:c r="L754" s="1" t="str">
        <x:v>https://blog.skyairline.com/estadios-chile/</x:v>
      </x:c>
      <x:c r="M754" s="1" t="n">
        <x:v>1</x:v>
      </x:c>
    </x:row>
    <x:row r="755" ht="18.75" customHeight="1">
      <x:c r="A755" s="1" t="str">
        <x:v>https://blog.skyairline.com/bebes/</x:v>
      </x:c>
      <x:c r="B755" s="1" t="str">
        <x:v>se puede llevar coche de bebé en el avión sky</x:v>
      </x:c>
      <x:c r="C755" s="1" t="str">
        <x:v>per</x:v>
      </x:c>
      <x:c r="D755" s="1" t="str">
        <x:v>Marca</x:v>
      </x:c>
      <x:c r="E755" s="35" t="n">
        <x:v>2</x:v>
      </x:c>
      <x:c r="F755" s="36"/>
      <x:c r="G755" s="36" t="str">
        <x:f>IF(ISNUMBER(F755),E755*F755,"")</x:f>
      </x:c>
      <x:c r="H755" s="37"/>
      <x:c r="I755" s="37"/>
      <x:c r="J755" s="1" t="n">
        <x:f>IF(ISNUMBER(F755),E755,0)</x:f>
        <x:v>0</x:v>
      </x:c>
      <x:c r="K755" s="1"/>
      <x:c r="L755" s="1" t="str">
        <x:v>https://blog.skyairline.com/estamos-dentro-de-las-30-empresas-mas-atractivas-para-estudiantes-universitarios-en-chile/</x:v>
      </x:c>
      <x:c r="M755" s="1" t="n">
        <x:v>1</x:v>
      </x:c>
    </x:row>
    <x:row r="756" ht="18.75" customHeight="1">
      <x:c r="A756" s="1" t="str">
        <x:v>https://blog.skyairline.com/beto-carrero/</x:v>
      </x:c>
      <x:c r="B756" s="1" t="str">
        <x:v>beto carrero brasil donde queda</x:v>
      </x:c>
      <x:c r="C756" s="1" t="str">
        <x:v>chl</x:v>
      </x:c>
      <x:c r="D756" s="1" t="str">
        <x:v>Sin marca</x:v>
      </x:c>
      <x:c r="E756" s="35" t="n">
        <x:v>2</x:v>
      </x:c>
      <x:c r="F756" s="36"/>
      <x:c r="G756" s="36" t="str">
        <x:f>IF(ISNUMBER(F756),E756*F756,"")</x:f>
      </x:c>
      <x:c r="H756" s="37" t="d">
        <x:v>2026-10-15T00:00:00.000Z</x:v>
      </x:c>
      <x:c r="I756" s="37" t="d">
        <x:v>2026-09-13T17:15:06.999Z</x:v>
      </x:c>
      <x:c r="J756" s="1" t="n">
        <x:f>IF(ISNUMBER(F756),E756,0)</x:f>
        <x:v>0</x:v>
      </x:c>
      <x:c r="K756" s="1"/>
      <x:c r="L756" s="1" t="str">
        <x:v>https://blog.skyairline.com/estrellas-de-los-hoteles/</x:v>
      </x:c>
      <x:c r="M756" s="1" t="n">
        <x:v>1</x:v>
      </x:c>
    </x:row>
    <x:row r="757" ht="18.75" customHeight="1">
      <x:c r="A757" s="1" t="str">
        <x:v>https://blog.skyairline.com/bicicleta-en-avion/</x:v>
      </x:c>
      <x:c r="B757" s="1" t="str">
        <x:v>como llevar una bicicleta en avion</x:v>
      </x:c>
      <x:c r="C757" s="1" t="str">
        <x:v>chl</x:v>
      </x:c>
      <x:c r="D757" s="1" t="str">
        <x:v>Sin marca</x:v>
      </x:c>
      <x:c r="E757" s="35" t="n">
        <x:v>2</x:v>
      </x:c>
      <x:c r="F757" s="36"/>
      <x:c r="G757" s="36" t="str">
        <x:f>IF(ISNUMBER(F757),E757*F757,"")</x:f>
      </x:c>
      <x:c r="H757" s="37"/>
      <x:c r="I757" s="37"/>
      <x:c r="J757" s="1" t="n">
        <x:f>IF(ISNUMBER(F757),E757,0)</x:f>
        <x:v>0</x:v>
      </x:c>
      <x:c r="K757" s="1"/>
      <x:c r="L757" s="1" t="str">
        <x:v>https://blog.skyairline.com/euros-a-pesos-chilenos/</x:v>
      </x:c>
      <x:c r="M757" s="1" t="n">
        <x:v>1</x:v>
      </x:c>
    </x:row>
    <x:row r="758" ht="18.75" customHeight="1">
      <x:c r="A758" s="1" t="str">
        <x:v>https://blog.skyairline.com/bicicleta-en-avion/</x:v>
      </x:c>
      <x:c r="B758" s="1" t="str">
        <x:v>como transportar una bicicleta en avion</x:v>
      </x:c>
      <x:c r="C758" s="1" t="str">
        <x:v>chl</x:v>
      </x:c>
      <x:c r="D758" s="1" t="str">
        <x:v>Sin marca</x:v>
      </x:c>
      <x:c r="E758" s="35" t="n">
        <x:v>2</x:v>
      </x:c>
      <x:c r="F758" s="36"/>
      <x:c r="G758" s="36" t="str">
        <x:f>IF(ISNUMBER(F758),E758*F758,"")</x:f>
      </x:c>
      <x:c r="H758" s="37"/>
      <x:c r="I758" s="37"/>
      <x:c r="J758" s="1" t="n">
        <x:f>IF(ISNUMBER(F758),E758,0)</x:f>
        <x:v>0</x:v>
      </x:c>
      <x:c r="K758" s="1"/>
      <x:c r="L758" s="1" t="str">
        <x:v>https://blog.skyairline.com/eventos-deportivos-en-latinoamerica/</x:v>
      </x:c>
      <x:c r="M758" s="1" t="n">
        <x:v>1</x:v>
      </x:c>
    </x:row>
    <x:row r="759" ht="18.75" customHeight="1">
      <x:c r="A759" s="1" t="str">
        <x:v>https://blog.skyairline.com/botanical-garden-de-florianopolis/</x:v>
      </x:c>
      <x:c r="B759" s="1" t="str">
        <x:v>jardin botanico florianopolis</x:v>
      </x:c>
      <x:c r="C759" s="1" t="str">
        <x:v>chl</x:v>
      </x:c>
      <x:c r="D759" s="1" t="str">
        <x:v>Sin marca</x:v>
      </x:c>
      <x:c r="E759" s="35" t="n">
        <x:v>2</x:v>
      </x:c>
      <x:c r="F759" s="36" t="n">
        <x:v>0.74</x:v>
      </x:c>
      <x:c r="G759" s="36" t="n">
        <x:f>IF(ISNUMBER(F759),E759*F759,"")</x:f>
        <x:v>1.48</x:v>
      </x:c>
      <x:c r="H759" s="37" t="d">
        <x:v>2026-10-15T00:00:00.000Z</x:v>
      </x:c>
      <x:c r="I759" s="37" t="d">
        <x:v>2026-10-15T09:32:51.000Z</x:v>
      </x:c>
      <x:c r="J759" s="1" t="n">
        <x:f>IF(ISNUMBER(F759),E759,0)</x:f>
        <x:v>2</x:v>
      </x:c>
      <x:c r="K759" s="1"/>
      <x:c r="L759" s="1" t="str">
        <x:v>https://blog.skyairline.com/festivales-musicales/</x:v>
      </x:c>
      <x:c r="M759" s="1" t="n">
        <x:v>1</x:v>
      </x:c>
    </x:row>
    <x:row r="760" ht="18.75" customHeight="1">
      <x:c r="A760" s="1" t="str">
        <x:v>https://blog.skyairline.com/botiquin-basico-de-viaje/</x:v>
      </x:c>
      <x:c r="B760" s="1" t="str">
        <x:v>se pueden llevar remedios en el avion</x:v>
      </x:c>
      <x:c r="C760" s="1" t="str">
        <x:v>chl</x:v>
      </x:c>
      <x:c r="D760" s="1" t="str">
        <x:v>Sin marca</x:v>
      </x:c>
      <x:c r="E760" s="35" t="n">
        <x:v>2</x:v>
      </x:c>
      <x:c r="F760" s="36"/>
      <x:c r="G760" s="36" t="str">
        <x:f>IF(ISNUMBER(F760),E760*F760,"")</x:f>
      </x:c>
      <x:c r="H760" s="37"/>
      <x:c r="I760" s="37"/>
      <x:c r="J760" s="1" t="n">
        <x:f>IF(ISNUMBER(F760),E760,0)</x:f>
        <x:v>0</x:v>
      </x:c>
      <x:c r="K760" s="1"/>
      <x:c r="L760" s="1" t="str">
        <x:v>https://blog.skyairline.com/fiestas-patrias-en-concepcion/</x:v>
      </x:c>
      <x:c r="M760" s="1" t="n">
        <x:v>1</x:v>
      </x:c>
    </x:row>
    <x:row r="761" ht="18.75" customHeight="1">
      <x:c r="A761" s="1" t="str">
        <x:v>https://blog.skyairline.com/bungee-jumping/</x:v>
      </x:c>
      <x:c r="B761" s="1" t="str">
        <x:v>bungee jumping</x:v>
      </x:c>
      <x:c r="C761" s="1" t="str">
        <x:v>chl</x:v>
      </x:c>
      <x:c r="D761" s="1" t="str">
        <x:v>Sin marca</x:v>
      </x:c>
      <x:c r="E761" s="35" t="n">
        <x:v>2</x:v>
      </x:c>
      <x:c r="F761" s="36" t="n">
        <x:v>0.12</x:v>
      </x:c>
      <x:c r="G761" s="36" t="n">
        <x:f>IF(ISNUMBER(F761),E761*F761,"")</x:f>
        <x:v>0.24</x:v>
      </x:c>
      <x:c r="H761" s="37" t="d">
        <x:v>2026-10-15T00:00:00.000Z</x:v>
      </x:c>
      <x:c r="I761" s="37" t="d">
        <x:v>2026-10-15T12:05:34.000Z</x:v>
      </x:c>
      <x:c r="J761" s="1" t="n">
        <x:f>IF(ISNUMBER(F761),E761,0)</x:f>
        <x:v>2</x:v>
      </x:c>
      <x:c r="K761" s="1"/>
      <x:c r="L761" s="1" t="str">
        <x:v>https://blog.skyairline.com/fin-de-ano-argentina/</x:v>
      </x:c>
      <x:c r="M761" s="1" t="n">
        <x:v>1</x:v>
      </x:c>
    </x:row>
    <x:row r="762" ht="18.75" customHeight="1">
      <x:c r="A762" s="1" t="str">
        <x:v>https://blog.skyairline.com/buzios-es-peligroso/</x:v>
      </x:c>
      <x:c r="B762" s="1" t="str">
        <x:v>búzios es peligroso</x:v>
      </x:c>
      <x:c r="C762" s="1" t="str">
        <x:v>chl</x:v>
      </x:c>
      <x:c r="D762" s="1" t="str">
        <x:v>Sin marca</x:v>
      </x:c>
      <x:c r="E762" s="35" t="n">
        <x:v>2</x:v>
      </x:c>
      <x:c r="F762" s="36"/>
      <x:c r="G762" s="36" t="str">
        <x:f>IF(ISNUMBER(F762),E762*F762,"")</x:f>
      </x:c>
      <x:c r="H762" s="37" t="d">
        <x:v>2026-10-15T00:00:00.000Z</x:v>
      </x:c>
      <x:c r="I762" s="37" t="d">
        <x:v>2026-09-16T19:45:30.000Z</x:v>
      </x:c>
      <x:c r="J762" s="1" t="n">
        <x:f>IF(ISNUMBER(F762),E762,0)</x:f>
        <x:v>0</x:v>
      </x:c>
      <x:c r="K762" s="1"/>
      <x:c r="L762" s="1" t="str">
        <x:v>https://blog.skyairline.com/geyser-del-tatio/</x:v>
      </x:c>
      <x:c r="M762" s="1" t="n">
        <x:v>1</x:v>
      </x:c>
    </x:row>
    <x:row r="763" ht="18.75" customHeight="1">
      <x:c r="A763" s="1" t="str">
        <x:v>https://blog.skyairline.com/cabo-frio/</x:v>
      </x:c>
      <x:c r="B763" s="1" t="str">
        <x:v>cabo frio brasil</x:v>
      </x:c>
      <x:c r="C763" s="1" t="str">
        <x:v>chl</x:v>
      </x:c>
      <x:c r="D763" s="1" t="str">
        <x:v>Sin marca</x:v>
      </x:c>
      <x:c r="E763" s="35" t="n">
        <x:v>2</x:v>
      </x:c>
      <x:c r="F763" s="36" t="n">
        <x:v>0.78</x:v>
      </x:c>
      <x:c r="G763" s="36" t="n">
        <x:f>IF(ISNUMBER(F763),E763*F763,"")</x:f>
        <x:v>1.56</x:v>
      </x:c>
      <x:c r="H763" s="37" t="d">
        <x:v>2026-10-15T00:00:00.000Z</x:v>
      </x:c>
      <x:c r="I763" s="37" t="d">
        <x:v>2026-09-16T20:38:49.000Z</x:v>
      </x:c>
      <x:c r="J763" s="1" t="n">
        <x:f>IF(ISNUMBER(F763),E763,0)</x:f>
        <x:v>2</x:v>
      </x:c>
      <x:c r="K763" s="1"/>
      <x:c r="L763" s="1" t="str">
        <x:v>https://blog.skyairline.com/guias-turisticas/</x:v>
      </x:c>
      <x:c r="M763" s="1" t="n">
        <x:v>1</x:v>
      </x:c>
    </x:row>
    <x:row r="764" ht="18.75" customHeight="1">
      <x:c r="A764" s="1" t="str">
        <x:v>https://blog.skyairline.com/cambiar-vuelo-sky/</x:v>
      </x:c>
      <x:c r="B764" s="1" t="str">
        <x:v>adelantar vuelo sky</x:v>
      </x:c>
      <x:c r="C764" s="1" t="str">
        <x:v>per</x:v>
      </x:c>
      <x:c r="D764" s="1" t="str">
        <x:v>Marca</x:v>
      </x:c>
      <x:c r="E764" s="35" t="n">
        <x:v>2</x:v>
      </x:c>
      <x:c r="F764" s="36"/>
      <x:c r="G764" s="36" t="str">
        <x:f>IF(ISNUMBER(F764),E764*F764,"")</x:f>
      </x:c>
      <x:c r="H764" s="37"/>
      <x:c r="I764" s="37"/>
      <x:c r="J764" s="1" t="n">
        <x:f>IF(ISNUMBER(F764),E764,0)</x:f>
        <x:v>0</x:v>
      </x:c>
      <x:c r="K764" s="1"/>
      <x:c r="L764" s="1" t="str">
        <x:v>https://blog.skyairline.com/hacer-maleta/</x:v>
      </x:c>
      <x:c r="M764" s="1" t="n">
        <x:v>1</x:v>
      </x:c>
    </x:row>
    <x:row r="765" ht="18.75" customHeight="1">
      <x:c r="A765" s="1" t="str">
        <x:v>https://blog.skyairline.com/cambiar-vuelo-sky/</x:v>
      </x:c>
      <x:c r="B765" s="1" t="str">
        <x:v>cambiar fecha de vuelo sky peru</x:v>
      </x:c>
      <x:c r="C765" s="1" t="str">
        <x:v>per</x:v>
      </x:c>
      <x:c r="D765" s="1" t="str">
        <x:v>Marca</x:v>
      </x:c>
      <x:c r="E765" s="35" t="n">
        <x:v>2</x:v>
      </x:c>
      <x:c r="F765" s="36"/>
      <x:c r="G765" s="36" t="str">
        <x:f>IF(ISNUMBER(F765),E765*F765,"")</x:f>
      </x:c>
      <x:c r="H765" s="37" t="d">
        <x:v>2026-10-15T00:00:00.000Z</x:v>
      </x:c>
      <x:c r="I765" s="37" t="d">
        <x:v>2026-10-15T13:53:37.000Z</x:v>
      </x:c>
      <x:c r="J765" s="1" t="n">
        <x:f>IF(ISNUMBER(F765),E765,0)</x:f>
        <x:v>0</x:v>
      </x:c>
      <x:c r="K765" s="1"/>
      <x:c r="L765" s="1" t="str">
        <x:v>https://blog.skyairline.com/hornopiren-que-hacer-en-este-destino-natural-de-chile/</x:v>
      </x:c>
      <x:c r="M765" s="1" t="n">
        <x:v>1</x:v>
      </x:c>
    </x:row>
    <x:row r="766" ht="18.75" customHeight="1">
      <x:c r="A766" s="1" t="str">
        <x:v>https://blog.skyairline.com/cambiar-vuelo-sky/</x:v>
      </x:c>
      <x:c r="B766" s="1" t="str">
        <x:v>cambiar vuelo en sky</x:v>
      </x:c>
      <x:c r="C766" s="1" t="str">
        <x:v>chl</x:v>
      </x:c>
      <x:c r="D766" s="1" t="str">
        <x:v>Marca</x:v>
      </x:c>
      <x:c r="E766" s="35" t="n">
        <x:v>2</x:v>
      </x:c>
      <x:c r="F766" s="36"/>
      <x:c r="G766" s="36" t="str">
        <x:f>IF(ISNUMBER(F766),E766*F766,"")</x:f>
      </x:c>
      <x:c r="H766" s="37"/>
      <x:c r="I766" s="37"/>
      <x:c r="J766" s="1" t="n">
        <x:f>IF(ISNUMBER(F766),E766,0)</x:f>
        <x:v>0</x:v>
      </x:c>
      <x:c r="K766" s="1"/>
      <x:c r="L766" s="1" t="str">
        <x:v>https://blog.skyairline.com/hospedaje-santiago/</x:v>
      </x:c>
      <x:c r="M766" s="1" t="n">
        <x:v>1</x:v>
      </x:c>
    </x:row>
    <x:row r="767" ht="18.75" customHeight="1">
      <x:c r="A767" s="1" t="str">
        <x:v>https://blog.skyairline.com/cambiar-vuelo-sky/</x:v>
      </x:c>
      <x:c r="B767" s="1" t="str">
        <x:v>cambio de fecha de vuelo sky</x:v>
      </x:c>
      <x:c r="C767" s="1" t="str">
        <x:v>chl</x:v>
      </x:c>
      <x:c r="D767" s="1" t="str">
        <x:v>Marca</x:v>
      </x:c>
      <x:c r="E767" s="35" t="n">
        <x:v>2</x:v>
      </x:c>
      <x:c r="F767" s="36"/>
      <x:c r="G767" s="36" t="str">
        <x:f>IF(ISNUMBER(F767),E767*F767,"")</x:f>
      </x:c>
      <x:c r="H767" s="37" t="d">
        <x:v>2026-10-15T00:00:00.000Z</x:v>
      </x:c>
      <x:c r="I767" s="37" t="d">
        <x:v>2026-09-16T07:33:04.000Z</x:v>
      </x:c>
      <x:c r="J767" s="1" t="n">
        <x:f>IF(ISNUMBER(F767),E767,0)</x:f>
        <x:v>0</x:v>
      </x:c>
      <x:c r="K767" s="1"/>
      <x:c r="L767" s="1" t="str">
        <x:v>https://blog.skyairline.com/hoteles-de-cuarentena/</x:v>
      </x:c>
      <x:c r="M767" s="1" t="n">
        <x:v>1</x:v>
      </x:c>
    </x:row>
    <x:row r="768" ht="18.75" customHeight="1">
      <x:c r="A768" s="1" t="str">
        <x:v>https://blog.skyairline.com/cambiar-vuelo-sky/</x:v>
      </x:c>
      <x:c r="B768" s="1" t="str">
        <x:v>cambio de fecha de vuelo sky</x:v>
      </x:c>
      <x:c r="C768" s="1" t="str">
        <x:v>per</x:v>
      </x:c>
      <x:c r="D768" s="1" t="str">
        <x:v>Marca</x:v>
      </x:c>
      <x:c r="E768" s="35" t="n">
        <x:v>2</x:v>
      </x:c>
      <x:c r="F768" s="36" t="n">
        <x:v>0.11</x:v>
      </x:c>
      <x:c r="G768" s="36" t="n">
        <x:f>IF(ISNUMBER(F768),E768*F768,"")</x:f>
        <x:v>0.22</x:v>
      </x:c>
      <x:c r="H768" s="37" t="d">
        <x:v>2026-10-15T00:00:00.000Z</x:v>
      </x:c>
      <x:c r="I768" s="37" t="d">
        <x:v>2026-09-17T21:21:28.000Z</x:v>
      </x:c>
      <x:c r="J768" s="1" t="n">
        <x:f>IF(ISNUMBER(F768),E768,0)</x:f>
        <x:v>2</x:v>
      </x:c>
      <x:c r="K768" s="1"/>
      <x:c r="L768" s="1" t="str">
        <x:v>https://blog.skyairline.com/hoteles-en-cancun/</x:v>
      </x:c>
      <x:c r="M768" s="1" t="n">
        <x:v>1</x:v>
      </x:c>
    </x:row>
    <x:row r="769" ht="18.75" customHeight="1">
      <x:c r="A769" s="1" t="str">
        <x:v>https://blog.skyairline.com/cambiar-vuelo-sky/</x:v>
      </x:c>
      <x:c r="B769" s="1" t="str">
        <x:v>cambio de pasajes sky</x:v>
      </x:c>
      <x:c r="C769" s="1" t="str">
        <x:v>per</x:v>
      </x:c>
      <x:c r="D769" s="1" t="str">
        <x:v>Marca</x:v>
      </x:c>
      <x:c r="E769" s="35" t="n">
        <x:v>2</x:v>
      </x:c>
      <x:c r="F769" s="36"/>
      <x:c r="G769" s="36" t="str">
        <x:f>IF(ISNUMBER(F769),E769*F769,"")</x:f>
      </x:c>
      <x:c r="H769" s="37"/>
      <x:c r="I769" s="37"/>
      <x:c r="J769" s="1" t="n">
        <x:f>IF(ISNUMBER(F769),E769,0)</x:f>
        <x:v>0</x:v>
      </x:c>
      <x:c r="K769" s="1"/>
      <x:c r="L769" s="1" t="str">
        <x:v>https://blog.skyairline.com/hoteles-mas-famosos-de-chile/</x:v>
      </x:c>
      <x:c r="M769" s="1" t="n">
        <x:v>1</x:v>
      </x:c>
    </x:row>
    <x:row r="770" ht="18.75" customHeight="1">
      <x:c r="A770" s="1" t="str">
        <x:v>https://blog.skyairline.com/cambiar-vuelo-sky/</x:v>
      </x:c>
      <x:c r="B770" s="1" t="str">
        <x:v>cambio de vuelo en sky</x:v>
      </x:c>
      <x:c r="C770" s="1" t="str">
        <x:v>chl</x:v>
      </x:c>
      <x:c r="D770" s="1" t="str">
        <x:v>Marca</x:v>
      </x:c>
      <x:c r="E770" s="35" t="n">
        <x:v>2</x:v>
      </x:c>
      <x:c r="F770" s="36"/>
      <x:c r="G770" s="36" t="str">
        <x:f>IF(ISNUMBER(F770),E770*F770,"")</x:f>
      </x:c>
      <x:c r="H770" s="37" t="d">
        <x:v>2026-10-15T00:00:00.000Z</x:v>
      </x:c>
      <x:c r="I770" s="37" t="d">
        <x:v>2026-09-15T12:47:58.999Z</x:v>
      </x:c>
      <x:c r="J770" s="1" t="n">
        <x:f>IF(ISNUMBER(F770),E770,0)</x:f>
        <x:v>0</x:v>
      </x:c>
      <x:c r="K770" s="1"/>
      <x:c r="L770" s="1" t="str">
        <x:v>https://blog.skyairline.com/huacachina/</x:v>
      </x:c>
      <x:c r="M770" s="1" t="n">
        <x:v>1</x:v>
      </x:c>
    </x:row>
    <x:row r="771" ht="18.75" customHeight="1">
      <x:c r="A771" s="1" t="str">
        <x:v>https://blog.skyairline.com/cambiar-vuelo-sky/</x:v>
      </x:c>
      <x:c r="B771" s="1" t="str">
        <x:v>cambio de vuelo sky peru</x:v>
      </x:c>
      <x:c r="C771" s="1" t="str">
        <x:v>per</x:v>
      </x:c>
      <x:c r="D771" s="1" t="str">
        <x:v>Marca</x:v>
      </x:c>
      <x:c r="E771" s="35" t="n">
        <x:v>2</x:v>
      </x:c>
      <x:c r="F771" s="36" t="n">
        <x:v>0.89</x:v>
      </x:c>
      <x:c r="G771" s="36" t="n">
        <x:f>IF(ISNUMBER(F771),E771*F771,"")</x:f>
        <x:v>1.78</x:v>
      </x:c>
      <x:c r="H771" s="37" t="d">
        <x:v>2026-10-15T00:00:00.000Z</x:v>
      </x:c>
      <x:c r="I771" s="37" t="d">
        <x:v>2026-09-16T06:57:57.000Z</x:v>
      </x:c>
      <x:c r="J771" s="1" t="n">
        <x:f>IF(ISNUMBER(F771),E771,0)</x:f>
        <x:v>2</x:v>
      </x:c>
      <x:c r="K771" s="1"/>
      <x:c r="L771" s="1" t="str">
        <x:v>https://blog.skyairline.com/inhotim/</x:v>
      </x:c>
      <x:c r="M771" s="1" t="n">
        <x:v>1</x:v>
      </x:c>
    </x:row>
    <x:row r="772" ht="18.75" customHeight="1">
      <x:c r="A772" s="1" t="str">
        <x:v>https://blog.skyairline.com/cambiar-vuelo-sky/</x:v>
      </x:c>
      <x:c r="B772" s="1" t="str">
        <x:v>como cambiar fecha de vuelo en sky</x:v>
      </x:c>
      <x:c r="C772" s="1" t="str">
        <x:v>chl</x:v>
      </x:c>
      <x:c r="D772" s="1" t="str">
        <x:v>Marca</x:v>
      </x:c>
      <x:c r="E772" s="35" t="n">
        <x:v>2</x:v>
      </x:c>
      <x:c r="F772" s="36"/>
      <x:c r="G772" s="36" t="str">
        <x:f>IF(ISNUMBER(F772),E772*F772,"")</x:f>
      </x:c>
      <x:c r="H772" s="37"/>
      <x:c r="I772" s="37"/>
      <x:c r="J772" s="1" t="n">
        <x:f>IF(ISNUMBER(F772),E772,0)</x:f>
        <x:v>0</x:v>
      </x:c>
      <x:c r="K772" s="1"/>
      <x:c r="L772" s="1" t="str">
        <x:v>https://blog.skyairline.com/intercambio-cultural/</x:v>
      </x:c>
      <x:c r="M772" s="1" t="n">
        <x:v>1</x:v>
      </x:c>
    </x:row>
    <x:row r="773" ht="18.75" customHeight="1">
      <x:c r="A773" s="1" t="str">
        <x:v>https://blog.skyairline.com/cambiar-vuelo-sky/</x:v>
      </x:c>
      <x:c r="B773" s="1" t="str">
        <x:v>como cambiar fecha de vuelo en sky</x:v>
      </x:c>
      <x:c r="C773" s="1" t="str">
        <x:v>per</x:v>
      </x:c>
      <x:c r="D773" s="1" t="str">
        <x:v>Marca</x:v>
      </x:c>
      <x:c r="E773" s="35" t="n">
        <x:v>2</x:v>
      </x:c>
      <x:c r="F773" s="36"/>
      <x:c r="G773" s="36" t="str">
        <x:f>IF(ISNUMBER(F773),E773*F773,"")</x:f>
      </x:c>
      <x:c r="H773" s="37"/>
      <x:c r="I773" s="37"/>
      <x:c r="J773" s="1" t="n">
        <x:f>IF(ISNUMBER(F773),E773,0)</x:f>
        <x:v>0</x:v>
      </x:c>
      <x:c r="K773" s="1"/>
      <x:c r="L773" s="1" t="str">
        <x:v>https://blog.skyairline.com/islas-de-colombia/</x:v>
      </x:c>
      <x:c r="M773" s="1" t="n">
        <x:v>1</x:v>
      </x:c>
    </x:row>
    <x:row r="774" ht="18.75" customHeight="1">
      <x:c r="A774" s="1" t="str">
        <x:v>https://blog.skyairline.com/cambiar-vuelo-sky/</x:v>
      </x:c>
      <x:c r="B774" s="1" t="str">
        <x:v>como cambiar vuelo en sky</x:v>
      </x:c>
      <x:c r="C774" s="1" t="str">
        <x:v>chl</x:v>
      </x:c>
      <x:c r="D774" s="1" t="str">
        <x:v>Marca</x:v>
      </x:c>
      <x:c r="E774" s="35" t="n">
        <x:v>2</x:v>
      </x:c>
      <x:c r="F774" s="36"/>
      <x:c r="G774" s="36" t="str">
        <x:f>IF(ISNUMBER(F774),E774*F774,"")</x:f>
      </x:c>
      <x:c r="H774" s="37" t="d">
        <x:v>2026-10-15T00:00:00.000Z</x:v>
      </x:c>
      <x:c r="I774" s="37" t="d">
        <x:v>2026-09-13T12:12:24.000Z</x:v>
      </x:c>
      <x:c r="J774" s="1" t="n">
        <x:f>IF(ISNUMBER(F774),E774,0)</x:f>
        <x:v>0</x:v>
      </x:c>
      <x:c r="K774" s="1"/>
      <x:c r="L774" s="1" t="str">
        <x:v>https://blog.skyairline.com/key-biscayne/</x:v>
      </x:c>
      <x:c r="M774" s="1" t="n">
        <x:v>1</x:v>
      </x:c>
    </x:row>
    <x:row r="775" ht="18.75" customHeight="1">
      <x:c r="A775" s="1" t="str">
        <x:v>https://blog.skyairline.com/cambiar-vuelo-sky/</x:v>
      </x:c>
      <x:c r="B775" s="1" t="str">
        <x:v>como reprogramar un vuelo en sky</x:v>
      </x:c>
      <x:c r="C775" s="1" t="str">
        <x:v>per</x:v>
      </x:c>
      <x:c r="D775" s="1" t="str">
        <x:v>Marca</x:v>
      </x:c>
      <x:c r="E775" s="35" t="n">
        <x:v>2</x:v>
      </x:c>
      <x:c r="F775" s="36" t="n">
        <x:v>0.19</x:v>
      </x:c>
      <x:c r="G775" s="36" t="n">
        <x:f>IF(ISNUMBER(F775),E775*F775,"")</x:f>
        <x:v>0.38</x:v>
      </x:c>
      <x:c r="H775" s="37" t="d">
        <x:v>2026-10-15T00:00:00.000Z</x:v>
      </x:c>
      <x:c r="I775" s="37" t="d">
        <x:v>2026-09-16T07:19:58.000Z</x:v>
      </x:c>
      <x:c r="J775" s="1" t="n">
        <x:f>IF(ISNUMBER(F775),E775,0)</x:f>
        <x:v>2</x:v>
      </x:c>
      <x:c r="K775" s="1"/>
      <x:c r="L775" s="1" t="str">
        <x:v>https://blog.skyairline.com/kunstmann-valdivia/</x:v>
      </x:c>
      <x:c r="M775" s="1" t="n">
        <x:v>1</x:v>
      </x:c>
    </x:row>
    <x:row r="776" ht="18.75" customHeight="1">
      <x:c r="A776" s="1" t="str">
        <x:v>https://blog.skyairline.com/cambiar-vuelo-sky/</x:v>
      </x:c>
      <x:c r="B776" s="1" t="str">
        <x:v>puedo cambiar mi vuelo en sky</x:v>
      </x:c>
      <x:c r="C776" s="1" t="str">
        <x:v>per</x:v>
      </x:c>
      <x:c r="D776" s="1" t="str">
        <x:v>Marca</x:v>
      </x:c>
      <x:c r="E776" s="35" t="n">
        <x:v>2</x:v>
      </x:c>
      <x:c r="F776" s="36"/>
      <x:c r="G776" s="36" t="str">
        <x:f>IF(ISNUMBER(F776),E776*F776,"")</x:f>
      </x:c>
      <x:c r="H776" s="37"/>
      <x:c r="I776" s="37"/>
      <x:c r="J776" s="1" t="n">
        <x:f>IF(ISNUMBER(F776),E776,0)</x:f>
        <x:v>0</x:v>
      </x:c>
      <x:c r="K776" s="1"/>
      <x:c r="L776" s="1" t="str">
        <x:v>https://blog.skyairline.com/la-roja-y-sky-compensaran-las-emisiones-de-los-vuelos-de-la-seleccion-chilena/</x:v>
      </x:c>
      <x:c r="M776" s="1" t="n">
        <x:v>1</x:v>
      </x:c>
    </x:row>
    <x:row r="777" ht="18.75" customHeight="1">
      <x:c r="A777" s="1" t="str">
        <x:v>https://blog.skyairline.com/cambiar-vuelo-sky/</x:v>
      </x:c>
      <x:c r="B777" s="1" t="str">
        <x:v>quiero cambiar la fecha de mi vuelo</x:v>
      </x:c>
      <x:c r="C777" s="1" t="str">
        <x:v>per</x:v>
      </x:c>
      <x:c r="D777" s="1" t="str">
        <x:v>Sin marca</x:v>
      </x:c>
      <x:c r="E777" s="35" t="n">
        <x:v>2</x:v>
      </x:c>
      <x:c r="F777" s="36"/>
      <x:c r="G777" s="36" t="str">
        <x:f>IF(ISNUMBER(F777),E777*F777,"")</x:f>
      </x:c>
      <x:c r="H777" s="37"/>
      <x:c r="I777" s="37"/>
      <x:c r="J777" s="1" t="n">
        <x:f>IF(ISNUMBER(F777),E777,0)</x:f>
        <x:v>0</x:v>
      </x:c>
      <x:c r="K777" s="1"/>
      <x:c r="L777" s="1" t="str">
        <x:v>https://blog.skyairline.com/laguna-piquecocha-descubre-esta-maravilla-color-esmeralda</x:v>
      </x:c>
      <x:c r="M777" s="1" t="n">
        <x:v>1</x:v>
      </x:c>
    </x:row>
    <x:row r="778" ht="18.75" customHeight="1">
      <x:c r="A778" s="1" t="str">
        <x:v>https://blog.skyairline.com/cambiar-vuelo-sky/</x:v>
      </x:c>
      <x:c r="B778" s="1" t="str">
        <x:v>reprogramacion de vuelo sky</x:v>
      </x:c>
      <x:c r="C778" s="1" t="str">
        <x:v>per</x:v>
      </x:c>
      <x:c r="D778" s="1" t="str">
        <x:v>Marca</x:v>
      </x:c>
      <x:c r="E778" s="35" t="n">
        <x:v>2</x:v>
      </x:c>
      <x:c r="F778" s="36"/>
      <x:c r="G778" s="36" t="str">
        <x:f>IF(ISNUMBER(F778),E778*F778,"")</x:f>
      </x:c>
      <x:c r="H778" s="37"/>
      <x:c r="I778" s="37"/>
      <x:c r="J778" s="1" t="n">
        <x:f>IF(ISNUMBER(F778),E778,0)</x:f>
        <x:v>0</x:v>
      </x:c>
      <x:c r="K778" s="1"/>
      <x:c r="L778" s="1" t="str">
        <x:v>https://blog.skyairline.com/lagunillas-en-el-cajon-del-maipo/</x:v>
      </x:c>
      <x:c r="M778" s="1" t="n">
        <x:v>1</x:v>
      </x:c>
    </x:row>
    <x:row r="779" ht="18.75" customHeight="1">
      <x:c r="A779" s="1" t="str">
        <x:v>https://blog.skyairline.com/cambiar-vuelo-sky/</x:v>
      </x:c>
      <x:c r="B779" s="1" t="str">
        <x:v>reprogramar vuelo sky</x:v>
      </x:c>
      <x:c r="C779" s="1" t="str">
        <x:v>per</x:v>
      </x:c>
      <x:c r="D779" s="1" t="str">
        <x:v>Marca</x:v>
      </x:c>
      <x:c r="E779" s="35" t="n">
        <x:v>2</x:v>
      </x:c>
      <x:c r="F779" s="36" t="n">
        <x:v>0.29</x:v>
      </x:c>
      <x:c r="G779" s="36" t="n">
        <x:f>IF(ISNUMBER(F779),E779*F779,"")</x:f>
        <x:v>0.58</x:v>
      </x:c>
      <x:c r="H779" s="37" t="d">
        <x:v>2026-10-15T00:00:00.000Z</x:v>
      </x:c>
      <x:c r="I779" s="37" t="d">
        <x:v>2026-09-15T01:05:43.999Z</x:v>
      </x:c>
      <x:c r="J779" s="1" t="n">
        <x:f>IF(ISNUMBER(F779),E779,0)</x:f>
        <x:v>2</x:v>
      </x:c>
      <x:c r="K779" s="1"/>
      <x:c r="L779" s="1" t="str">
        <x:v>https://blog.skyairline.com/lideres-de-la-sostenibilidad-en-la-industria-aerea-de-chile/</x:v>
      </x:c>
      <x:c r="M779" s="1" t="n">
        <x:v>1</x:v>
      </x:c>
    </x:row>
    <x:row r="780" ht="18.75" customHeight="1">
      <x:c r="A780" s="1" t="str">
        <x:v>https://blog.skyairline.com/cambiar-vuelo-sky/</x:v>
      </x:c>
      <x:c r="B780" s="1" t="str">
        <x:v>sky airline cambiar fecha de vuelo</x:v>
      </x:c>
      <x:c r="C780" s="1" t="str">
        <x:v>per</x:v>
      </x:c>
      <x:c r="D780" s="1" t="str">
        <x:v>Marca</x:v>
      </x:c>
      <x:c r="E780" s="35" t="n">
        <x:v>2</x:v>
      </x:c>
      <x:c r="F780" s="36"/>
      <x:c r="G780" s="36" t="str">
        <x:f>IF(ISNUMBER(F780),E780*F780,"")</x:f>
      </x:c>
      <x:c r="H780" s="37"/>
      <x:c r="I780" s="37"/>
      <x:c r="J780" s="1" t="n">
        <x:f>IF(ISNUMBER(F780),E780,0)</x:f>
        <x:v>0</x:v>
      </x:c>
      <x:c r="K780" s="1"/>
      <x:c r="L780" s="1" t="str">
        <x:v>https://blog.skyairline.com/lota/</x:v>
      </x:c>
      <x:c r="M780" s="1" t="n">
        <x:v>1</x:v>
      </x:c>
    </x:row>
    <x:row r="781" ht="18.75" customHeight="1">
      <x:c r="A781" s="1" t="str">
        <x:v>https://blog.skyairline.com/cambiar-vuelo-sky/</x:v>
      </x:c>
      <x:c r="B781" s="1" t="str">
        <x:v>sky airline cambiar vuelo</x:v>
      </x:c>
      <x:c r="C781" s="1" t="str">
        <x:v>chl</x:v>
      </x:c>
      <x:c r="D781" s="1" t="str">
        <x:v>Marca</x:v>
      </x:c>
      <x:c r="E781" s="35" t="n">
        <x:v>2</x:v>
      </x:c>
      <x:c r="F781" s="36"/>
      <x:c r="G781" s="36" t="str">
        <x:f>IF(ISNUMBER(F781),E781*F781,"")</x:f>
      </x:c>
      <x:c r="H781" s="37"/>
      <x:c r="I781" s="37"/>
      <x:c r="J781" s="1" t="n">
        <x:f>IF(ISNUMBER(F781),E781,0)</x:f>
        <x:v>0</x:v>
      </x:c>
      <x:c r="K781" s="1"/>
      <x:c r="L781" s="1" t="str">
        <x:v>https://blog.skyairline.com/lugares-cerca-de-lima-para-viajar-en-auto/</x:v>
      </x:c>
      <x:c r="M781" s="1" t="n">
        <x:v>1</x:v>
      </x:c>
    </x:row>
    <x:row r="782" ht="18.75" customHeight="1">
      <x:c r="A782" s="1" t="str">
        <x:v>https://blog.skyairline.com/cambiar-vuelo-sky/</x:v>
      </x:c>
      <x:c r="B782" s="1" t="str">
        <x:v>sky airline cambio de vuelo</x:v>
      </x:c>
      <x:c r="C782" s="1" t="str">
        <x:v>per</x:v>
      </x:c>
      <x:c r="D782" s="1" t="str">
        <x:v>Marca</x:v>
      </x:c>
      <x:c r="E782" s="35" t="n">
        <x:v>2</x:v>
      </x:c>
      <x:c r="F782" s="36"/>
      <x:c r="G782" s="36" t="str">
        <x:f>IF(ISNUMBER(F782),E782*F782,"")</x:f>
      </x:c>
      <x:c r="H782" s="37"/>
      <x:c r="I782" s="37"/>
      <x:c r="J782" s="1" t="n">
        <x:f>IF(ISNUMBER(F782),E782,0)</x:f>
        <x:v>0</x:v>
      </x:c>
      <x:c r="K782" s="1"/>
      <x:c r="L782" s="1" t="str">
        <x:v>https://blog.skyairline.com/lugares-gratuitos-en-florianopolis/</x:v>
      </x:c>
      <x:c r="M782" s="1" t="n">
        <x:v>1</x:v>
      </x:c>
    </x:row>
    <x:row r="783" ht="18.75" customHeight="1">
      <x:c r="A783" s="1" t="str">
        <x:v>https://blog.skyairline.com/cambiar-vuelo-sky/</x:v>
      </x:c>
      <x:c r="B783" s="1" t="str">
        <x:v>sky cambiar vuelo</x:v>
      </x:c>
      <x:c r="C783" s="1" t="str">
        <x:v>chl</x:v>
      </x:c>
      <x:c r="D783" s="1" t="str">
        <x:v>Marca</x:v>
      </x:c>
      <x:c r="E783" s="35" t="n">
        <x:v>2</x:v>
      </x:c>
      <x:c r="F783" s="36"/>
      <x:c r="G783" s="36" t="str">
        <x:f>IF(ISNUMBER(F783),E783*F783,"")</x:f>
      </x:c>
      <x:c r="H783" s="37"/>
      <x:c r="I783" s="37"/>
      <x:c r="J783" s="1" t="n">
        <x:f>IF(ISNUMBER(F783),E783,0)</x:f>
        <x:v>0</x:v>
      </x:c>
      <x:c r="K783" s="1"/>
      <x:c r="L783" s="1" t="str">
        <x:v>https://blog.skyairline.com/lugares-nieve-chile-conocer-sky/</x:v>
      </x:c>
      <x:c r="M783" s="1" t="n">
        <x:v>1</x:v>
      </x:c>
    </x:row>
    <x:row r="784" ht="18.75" customHeight="1">
      <x:c r="A784" s="1" t="str">
        <x:v>https://blog.skyairline.com/cambiar-vuelo-sky/</x:v>
      </x:c>
      <x:c r="B784" s="1" t="str">
        <x:v>sky cambiar vuelo</x:v>
      </x:c>
      <x:c r="C784" s="1" t="str">
        <x:v>per</x:v>
      </x:c>
      <x:c r="D784" s="1" t="str">
        <x:v>Marca</x:v>
      </x:c>
      <x:c r="E784" s="35" t="n">
        <x:v>2</x:v>
      </x:c>
      <x:c r="F784" s="36"/>
      <x:c r="G784" s="36" t="str">
        <x:f>IF(ISNUMBER(F784),E784*F784,"")</x:f>
      </x:c>
      <x:c r="H784" s="37"/>
      <x:c r="I784" s="37"/>
      <x:c r="J784" s="1" t="n">
        <x:f>IF(ISNUMBER(F784),E784,0)</x:f>
        <x:v>0</x:v>
      </x:c>
      <x:c r="K784" s="1"/>
      <x:c r="L784" s="1" t="str">
        <x:v>https://blog.skyairline.com/lugares-para-visitar-en-el-sur-de-chile-naturaleza-y-aventura/</x:v>
      </x:c>
      <x:c r="M784" s="1" t="n">
        <x:v>1</x:v>
      </x:c>
    </x:row>
    <x:row r="785" ht="18.75" customHeight="1">
      <x:c r="A785" s="1" t="str">
        <x:v>https://blog.skyairline.com/cambiar-vuelo-sky/</x:v>
      </x:c>
      <x:c r="B785" s="1" t="str">
        <x:v>sky cambio de pasaje</x:v>
      </x:c>
      <x:c r="C785" s="1" t="str">
        <x:v>per</x:v>
      </x:c>
      <x:c r="D785" s="1" t="str">
        <x:v>Marca</x:v>
      </x:c>
      <x:c r="E785" s="35" t="n">
        <x:v>2</x:v>
      </x:c>
      <x:c r="F785" s="36"/>
      <x:c r="G785" s="36" t="str">
        <x:f>IF(ISNUMBER(F785),E785*F785,"")</x:f>
      </x:c>
      <x:c r="H785" s="37"/>
      <x:c r="I785" s="37"/>
      <x:c r="J785" s="1" t="n">
        <x:f>IF(ISNUMBER(F785),E785,0)</x:f>
        <x:v>0</x:v>
      </x:c>
      <x:c r="K785" s="1"/>
      <x:c r="L785" s="1" t="str">
        <x:v>https://blog.skyairline.com/lugares-para-visitar-en-san-pedro/</x:v>
      </x:c>
      <x:c r="M785" s="1" t="n">
        <x:v>1</x:v>
      </x:c>
    </x:row>
    <x:row r="786" ht="18.75" customHeight="1">
      <x:c r="A786" s="1" t="str">
        <x:v>https://blog.skyairline.com/cambiar-vuelo-sky/</x:v>
      </x:c>
      <x:c r="B786" s="1" t="str">
        <x:v>sky modificar vuelo</x:v>
      </x:c>
      <x:c r="C786" s="1" t="str">
        <x:v>chl</x:v>
      </x:c>
      <x:c r="D786" s="1" t="str">
        <x:v>Marca</x:v>
      </x:c>
      <x:c r="E786" s="35" t="n">
        <x:v>2</x:v>
      </x:c>
      <x:c r="F786" s="36" t="n">
        <x:v>0.38</x:v>
      </x:c>
      <x:c r="G786" s="36" t="n">
        <x:f>IF(ISNUMBER(F786),E786*F786,"")</x:f>
        <x:v>0.76</x:v>
      </x:c>
      <x:c r="H786" s="37" t="d">
        <x:v>2026-10-15T00:00:00.000Z</x:v>
      </x:c>
      <x:c r="I786" s="37" t="d">
        <x:v>2026-09-12T21:14:05.000Z</x:v>
      </x:c>
      <x:c r="J786" s="1" t="n">
        <x:f>IF(ISNUMBER(F786),E786,0)</x:f>
        <x:v>2</x:v>
      </x:c>
      <x:c r="K786" s="1"/>
      <x:c r="L786" s="1" t="str">
        <x:v>https://blog.skyairline.com/lugares-turisticos-cajamarca</x:v>
      </x:c>
      <x:c r="M786" s="1" t="n">
        <x:v>1</x:v>
      </x:c>
    </x:row>
    <x:row r="787" ht="18.75" customHeight="1">
      <x:c r="A787" s="1" t="str">
        <x:v>https://blog.skyairline.com/camboriu/</x:v>
      </x:c>
      <x:c r="B787" s="1" t="str">
        <x:v>camboriú donde es</x:v>
      </x:c>
      <x:c r="C787" s="1" t="str">
        <x:v>chl</x:v>
      </x:c>
      <x:c r="D787" s="1" t="str">
        <x:v>Sin marca</x:v>
      </x:c>
      <x:c r="E787" s="35" t="n">
        <x:v>2</x:v>
      </x:c>
      <x:c r="F787" s="36" t="n">
        <x:v>0.65</x:v>
      </x:c>
      <x:c r="G787" s="36" t="n">
        <x:f>IF(ISNUMBER(F787),E787*F787,"")</x:f>
        <x:v>1.3</x:v>
      </x:c>
      <x:c r="H787" s="37" t="d">
        <x:v>2026-10-15T00:00:00.000Z</x:v>
      </x:c>
      <x:c r="I787" s="37" t="d">
        <x:v>2026-10-15T15:55:40.000Z</x:v>
      </x:c>
      <x:c r="J787" s="1" t="n">
        <x:f>IF(ISNUMBER(F787),E787,0)</x:f>
        <x:v>2</x:v>
      </x:c>
      <x:c r="K787" s="1"/>
      <x:c r="L787" s="1" t="str">
        <x:v>https://blog.skyairline.com/lugares-turisticos-en-copiapo/</x:v>
      </x:c>
      <x:c r="M787" s="1" t="n">
        <x:v>1</x:v>
      </x:c>
    </x:row>
    <x:row r="788" ht="18.75" customHeight="1">
      <x:c r="A788" s="1" t="str">
        <x:v>https://blog.skyairline.com/catedral-de-tacna/</x:v>
      </x:c>
      <x:c r="B788" s="1" t="str">
        <x:v>catedral de tacna</x:v>
      </x:c>
      <x:c r="C788" s="1" t="str">
        <x:v>per</x:v>
      </x:c>
      <x:c r="D788" s="1" t="str">
        <x:v>Sin marca</x:v>
      </x:c>
      <x:c r="E788" s="35" t="n">
        <x:v>2</x:v>
      </x:c>
      <x:c r="F788" s="36"/>
      <x:c r="G788" s="36" t="str">
        <x:f>IF(ISNUMBER(F788),E788*F788,"")</x:f>
      </x:c>
      <x:c r="H788" s="37" t="d">
        <x:v>2026-10-15T00:00:00.000Z</x:v>
      </x:c>
      <x:c r="I788" s="37" t="d">
        <x:v>2026-10-15T14:14:47.999Z</x:v>
      </x:c>
      <x:c r="J788" s="1" t="n">
        <x:f>IF(ISNUMBER(F788),E788,0)</x:f>
        <x:v>0</x:v>
      </x:c>
      <x:c r="K788" s="1"/>
      <x:c r="L788" s="1" t="str">
        <x:v>https://blog.skyairline.com/lugares-turisticos-en-valdivia/</x:v>
      </x:c>
      <x:c r="M788" s="1" t="n">
        <x:v>1</x:v>
      </x:c>
    </x:row>
    <x:row r="789" ht="18.75" customHeight="1">
      <x:c r="A789" s="1" t="str">
        <x:v>https://blog.skyairline.com/categoria/oportunidades/</x:v>
      </x:c>
      <x:c r="B789" s="1" t="str">
        <x:v>bolsa de trabajo sky</x:v>
      </x:c>
      <x:c r="C789" s="1" t="str">
        <x:v>chl</x:v>
      </x:c>
      <x:c r="D789" s="1" t="str">
        <x:v>Marca</x:v>
      </x:c>
      <x:c r="E789" s="35" t="n">
        <x:v>2</x:v>
      </x:c>
      <x:c r="F789" s="36"/>
      <x:c r="G789" s="36" t="str">
        <x:f>IF(ISNUMBER(F789),E789*F789,"")</x:f>
      </x:c>
      <x:c r="H789" s="37" t="d">
        <x:v>2026-10-15T00:00:00.000Z</x:v>
      </x:c>
      <x:c r="I789" s="37" t="d">
        <x:v>2026-09-16T19:04:44.000Z</x:v>
      </x:c>
      <x:c r="J789" s="1" t="n">
        <x:f>IF(ISNUMBER(F789),E789,0)</x:f>
        <x:v>0</x:v>
      </x:c>
      <x:c r="K789" s="1"/>
      <x:c r="L789" s="1" t="str">
        <x:v>https://blog.skyairline.com/lugares-turisticos-republica-dominicana/</x:v>
      </x:c>
      <x:c r="M789" s="1" t="n">
        <x:v>1</x:v>
      </x:c>
    </x:row>
    <x:row r="790" ht="18.75" customHeight="1">
      <x:c r="A790" s="1" t="str">
        <x:v>https://blog.skyairline.com/categoria/oportunidades/</x:v>
      </x:c>
      <x:c r="B790" s="1" t="str">
        <x:v>convocatoria sky airline peru</x:v>
      </x:c>
      <x:c r="C790" s="1" t="str">
        <x:v>per</x:v>
      </x:c>
      <x:c r="D790" s="1" t="str">
        <x:v>Marca</x:v>
      </x:c>
      <x:c r="E790" s="35" t="n">
        <x:v>2</x:v>
      </x:c>
      <x:c r="F790" s="36" t="n">
        <x:v>0.02</x:v>
      </x:c>
      <x:c r="G790" s="36" t="n">
        <x:f>IF(ISNUMBER(F790),E790*F790,"")</x:f>
        <x:v>0.04</x:v>
      </x:c>
      <x:c r="H790" s="37" t="d">
        <x:v>2026-10-15T00:00:00.000Z</x:v>
      </x:c>
      <x:c r="I790" s="37" t="d">
        <x:v>2026-09-12T22:10:43.000Z</x:v>
      </x:c>
      <x:c r="J790" s="1" t="n">
        <x:f>IF(ISNUMBER(F790),E790,0)</x:f>
        <x:v>2</x:v>
      </x:c>
      <x:c r="K790" s="1"/>
      <x:c r="L790" s="1" t="str">
        <x:v>https://blog.skyairline.com/lummus-park/</x:v>
      </x:c>
      <x:c r="M790" s="1" t="n">
        <x:v>1</x:v>
      </x:c>
    </x:row>
    <x:row r="791" ht="18.75" customHeight="1">
      <x:c r="A791" s="1" t="str">
        <x:v>https://blog.skyairline.com/categoria/oportunidades/</x:v>
      </x:c>
      <x:c r="B791" s="1" t="str">
        <x:v>sky airline empleos</x:v>
      </x:c>
      <x:c r="C791" s="1" t="str">
        <x:v>chl</x:v>
      </x:c>
      <x:c r="D791" s="1" t="str">
        <x:v>Marca</x:v>
      </x:c>
      <x:c r="E791" s="35" t="n">
        <x:v>2</x:v>
      </x:c>
      <x:c r="F791" s="36"/>
      <x:c r="G791" s="36" t="str">
        <x:f>IF(ISNUMBER(F791),E791*F791,"")</x:f>
      </x:c>
      <x:c r="H791" s="37"/>
      <x:c r="I791" s="37"/>
      <x:c r="J791" s="1" t="n">
        <x:f>IF(ISNUMBER(F791),E791,0)</x:f>
        <x:v>0</x:v>
      </x:c>
      <x:c r="K791" s="1"/>
      <x:c r="L791" s="1" t="str">
        <x:v>https://blog.skyairline.com/maceio/</x:v>
      </x:c>
      <x:c r="M791" s="1" t="n">
        <x:v>1</x:v>
      </x:c>
    </x:row>
    <x:row r="792" ht="18.75" customHeight="1">
      <x:c r="A792" s="1" t="str">
        <x:v>https://blog.skyairline.com/categoria/oportunidades/</x:v>
      </x:c>
      <x:c r="B792" s="1" t="str">
        <x:v>sky airline trabaja con nosotros</x:v>
      </x:c>
      <x:c r="C792" s="1" t="str">
        <x:v>per</x:v>
      </x:c>
      <x:c r="D792" s="1" t="str">
        <x:v>Marca</x:v>
      </x:c>
      <x:c r="E792" s="35" t="n">
        <x:v>2</x:v>
      </x:c>
      <x:c r="F792" s="36"/>
      <x:c r="G792" s="36" t="str">
        <x:f>IF(ISNUMBER(F792),E792*F792,"")</x:f>
      </x:c>
      <x:c r="H792" s="37"/>
      <x:c r="I792" s="37"/>
      <x:c r="J792" s="1" t="n">
        <x:f>IF(ISNUMBER(F792),E792,0)</x:f>
        <x:v>0</x:v>
      </x:c>
      <x:c r="K792" s="1"/>
      <x:c r="L792" s="1" t="str">
        <x:v>https://blog.skyairline.com/manglares-de-tumbes/</x:v>
      </x:c>
      <x:c r="M792" s="1" t="n">
        <x:v>1</x:v>
      </x:c>
    </x:row>
    <x:row r="793" ht="18.75" customHeight="1">
      <x:c r="A793" s="1" t="str">
        <x:v>https://blog.skyairline.com/categoria/oportunidades/</x:v>
      </x:c>
      <x:c r="B793" s="1" t="str">
        <x:v>sky airline trabajo</x:v>
      </x:c>
      <x:c r="C793" s="1" t="str">
        <x:v>per</x:v>
      </x:c>
      <x:c r="D793" s="1" t="str">
        <x:v>Marca</x:v>
      </x:c>
      <x:c r="E793" s="35" t="n">
        <x:v>2</x:v>
      </x:c>
      <x:c r="F793" s="36" t="n">
        <x:v>0.02</x:v>
      </x:c>
      <x:c r="G793" s="36" t="n">
        <x:f>IF(ISNUMBER(F793),E793*F793,"")</x:f>
        <x:v>0.04</x:v>
      </x:c>
      <x:c r="H793" s="37" t="d">
        <x:v>2026-10-15T00:00:00.000Z</x:v>
      </x:c>
      <x:c r="I793" s="37" t="d">
        <x:v>2026-09-13T03:35:03.000Z</x:v>
      </x:c>
      <x:c r="J793" s="1" t="n">
        <x:f>IF(ISNUMBER(F793),E793,0)</x:f>
        <x:v>2</x:v>
      </x:c>
      <x:c r="K793" s="1"/>
      <x:c r="L793" s="1" t="str">
        <x:v>https://blog.skyairline.com/mas-de-17-mil-toneladas-viajaron-por-el-cielo-con-sky-carga-2/</x:v>
      </x:c>
      <x:c r="M793" s="1" t="n">
        <x:v>1</x:v>
      </x:c>
    </x:row>
    <x:row r="794" ht="18.75" customHeight="1">
      <x:c r="A794" s="1" t="str">
        <x:v>https://blog.skyairline.com/categoria/oportunidades/</x:v>
      </x:c>
      <x:c r="B794" s="1" t="str">
        <x:v>sky airlines trabaja con nosotros chile</x:v>
      </x:c>
      <x:c r="C794" s="1" t="str">
        <x:v>chl</x:v>
      </x:c>
      <x:c r="D794" s="1" t="str">
        <x:v>Marca</x:v>
      </x:c>
      <x:c r="E794" s="35" t="n">
        <x:v>2</x:v>
      </x:c>
      <x:c r="F794" s="36"/>
      <x:c r="G794" s="36" t="str">
        <x:f>IF(ISNUMBER(F794),E794*F794,"")</x:f>
      </x:c>
      <x:c r="H794" s="37" t="d">
        <x:v>2026-10-15T00:00:00.000Z</x:v>
      </x:c>
      <x:c r="I794" s="37" t="d">
        <x:v>2026-09-17T17:27:52.000Z</x:v>
      </x:c>
      <x:c r="J794" s="1" t="n">
        <x:f>IF(ISNUMBER(F794),E794,0)</x:f>
        <x:v>0</x:v>
      </x:c>
      <x:c r="K794" s="1"/>
      <x:c r="L794" s="1" t="str">
        <x:v>https://blog.skyairline.com/mas-mujeres-al-mando-en-las-cabinas-de-sky/</x:v>
      </x:c>
      <x:c r="M794" s="1" t="n">
        <x:v>1</x:v>
      </x:c>
    </x:row>
    <x:row r="795" ht="18.75" customHeight="1">
      <x:c r="A795" s="1" t="str">
        <x:v>https://blog.skyairline.com/categoria/oportunidades/</x:v>
      </x:c>
      <x:c r="B795" s="1" t="str">
        <x:v>sky empleos</x:v>
      </x:c>
      <x:c r="C795" s="1" t="str">
        <x:v>per</x:v>
      </x:c>
      <x:c r="D795" s="1" t="str">
        <x:v>Marca</x:v>
      </x:c>
      <x:c r="E795" s="35" t="n">
        <x:v>2</x:v>
      </x:c>
      <x:c r="F795" s="36"/>
      <x:c r="G795" s="36" t="str">
        <x:f>IF(ISNUMBER(F795),E795*F795,"")</x:f>
      </x:c>
      <x:c r="H795" s="37"/>
      <x:c r="I795" s="37"/>
      <x:c r="J795" s="1" t="n">
        <x:f>IF(ISNUMBER(F795),E795,0)</x:f>
        <x:v>0</x:v>
      </x:c>
      <x:c r="K795" s="1"/>
      <x:c r="L795" s="1" t="str">
        <x:v>https://blog.skyairline.com/mejores-lugares-para-hacer-esqui/</x:v>
      </x:c>
      <x:c r="M795" s="1" t="n">
        <x:v>1</x:v>
      </x:c>
    </x:row>
    <x:row r="796" ht="18.75" customHeight="1">
      <x:c r="A796" s="1" t="str">
        <x:v>https://blog.skyairline.com/categoria/oportunidades/</x:v>
      </x:c>
      <x:c r="B796" s="1" t="str">
        <x:v>sky jobs</x:v>
      </x:c>
      <x:c r="C796" s="1" t="str">
        <x:v>chl</x:v>
      </x:c>
      <x:c r="D796" s="1" t="str">
        <x:v>Marca</x:v>
      </x:c>
      <x:c r="E796" s="35" t="n">
        <x:v>2</x:v>
      </x:c>
      <x:c r="F796" s="36"/>
      <x:c r="G796" s="36" t="str">
        <x:f>IF(ISNUMBER(F796),E796*F796,"")</x:f>
      </x:c>
      <x:c r="H796" s="37" t="d">
        <x:v>2026-10-15T00:00:00.000Z</x:v>
      </x:c>
      <x:c r="I796" s="37" t="d">
        <x:v>2026-09-12T23:47:03.000Z</x:v>
      </x:c>
      <x:c r="J796" s="1" t="n">
        <x:f>IF(ISNUMBER(F796),E796,0)</x:f>
        <x:v>0</x:v>
      </x:c>
      <x:c r="K796" s="1"/>
      <x:c r="L796" s="1" t="str">
        <x:v>https://blog.skyairline.com/mejores-museos-en-mendoza/</x:v>
      </x:c>
      <x:c r="M796" s="1" t="n">
        <x:v>1</x:v>
      </x:c>
    </x:row>
    <x:row r="797" ht="18.75" customHeight="1">
      <x:c r="A797" s="1" t="str">
        <x:v>https://blog.skyairline.com/categoria/oportunidades/</x:v>
      </x:c>
      <x:c r="B797" s="1" t="str">
        <x:v>sky peru trabaja con nosotros</x:v>
      </x:c>
      <x:c r="C797" s="1" t="str">
        <x:v>per</x:v>
      </x:c>
      <x:c r="D797" s="1" t="str">
        <x:v>Marca</x:v>
      </x:c>
      <x:c r="E797" s="35" t="n">
        <x:v>2</x:v>
      </x:c>
      <x:c r="F797" s="36" t="n">
        <x:v>0.09</x:v>
      </x:c>
      <x:c r="G797" s="36" t="n">
        <x:f>IF(ISNUMBER(F797),E797*F797,"")</x:f>
        <x:v>0.18</x:v>
      </x:c>
      <x:c r="H797" s="37" t="d">
        <x:v>2026-10-15T00:00:00.000Z</x:v>
      </x:c>
      <x:c r="I797" s="37" t="d">
        <x:v>2026-09-16T10:36:37.000Z</x:v>
      </x:c>
      <x:c r="J797" s="1" t="n">
        <x:f>IF(ISNUMBER(F797),E797,0)</x:f>
        <x:v>2</x:v>
      </x:c>
      <x:c r="K797" s="1"/>
      <x:c r="L797" s="1" t="str">
        <x:v>https://blog.skyairline.com/mejores-playas-de-florianopolis/</x:v>
      </x:c>
      <x:c r="M797" s="1" t="n">
        <x:v>1</x:v>
      </x:c>
    </x:row>
    <x:row r="798" ht="18.75" customHeight="1">
      <x:c r="A798" s="1" t="str">
        <x:v>https://blog.skyairline.com/categoria/oportunidades/</x:v>
      </x:c>
      <x:c r="B798" s="1" t="str">
        <x:v>skyairline trabaja con nosotros</x:v>
      </x:c>
      <x:c r="C798" s="1" t="str">
        <x:v>chl</x:v>
      </x:c>
      <x:c r="D798" s="1" t="str">
        <x:v>Marca</x:v>
      </x:c>
      <x:c r="E798" s="35" t="n">
        <x:v>2</x:v>
      </x:c>
      <x:c r="F798" s="36"/>
      <x:c r="G798" s="36" t="str">
        <x:f>IF(ISNUMBER(F798),E798*F798,"")</x:f>
      </x:c>
      <x:c r="H798" s="37"/>
      <x:c r="I798" s="37"/>
      <x:c r="J798" s="1" t="n">
        <x:f>IF(ISNUMBER(F798),E798,0)</x:f>
        <x:v>0</x:v>
      </x:c>
      <x:c r="K798" s="1"/>
      <x:c r="L798" s="1" t="str">
        <x:v>https://blog.skyairline.com/miami-a-orlando/</x:v>
      </x:c>
      <x:c r="M798" s="1" t="n">
        <x:v>1</x:v>
      </x:c>
    </x:row>
    <x:row r="799" ht="18.75" customHeight="1">
      <x:c r="A799" s="1" t="str">
        <x:v>https://blog.skyairline.com/categoria/oportunidades/</x:v>
      </x:c>
      <x:c r="B799" s="1" t="str">
        <x:v>trabajo sky airlines</x:v>
      </x:c>
      <x:c r="C799" s="1" t="str">
        <x:v>per</x:v>
      </x:c>
      <x:c r="D799" s="1" t="str">
        <x:v>Marca</x:v>
      </x:c>
      <x:c r="E799" s="35" t="n">
        <x:v>2</x:v>
      </x:c>
      <x:c r="F799" s="36"/>
      <x:c r="G799" s="36" t="str">
        <x:f>IF(ISNUMBER(F799),E799*F799,"")</x:f>
      </x:c>
      <x:c r="H799" s="37"/>
      <x:c r="I799" s="37"/>
      <x:c r="J799" s="1" t="n">
        <x:f>IF(ISNUMBER(F799),E799,0)</x:f>
        <x:v>0</x:v>
      </x:c>
      <x:c r="K799" s="1"/>
      <x:c r="L799" s="1" t="str">
        <x:v>https://blog.skyairline.com/miami-design-district/</x:v>
      </x:c>
      <x:c r="M799" s="1" t="n">
        <x:v>1</x:v>
      </x:c>
    </x:row>
    <x:row r="800" ht="18.75" customHeight="1">
      <x:c r="A800" s="1" t="str">
        <x:v>https://blog.skyairline.com/centros-comerciales-en-mendoza/</x:v>
      </x:c>
      <x:c r="B800" s="1" t="str">
        <x:v>centro comercial mendoza</x:v>
      </x:c>
      <x:c r="C800" s="1" t="str">
        <x:v>arg</x:v>
      </x:c>
      <x:c r="D800" s="1" t="str">
        <x:v>Sin marca</x:v>
      </x:c>
      <x:c r="E800" s="35" t="n">
        <x:v>2</x:v>
      </x:c>
      <x:c r="F800" s="36"/>
      <x:c r="G800" s="36" t="str">
        <x:f>IF(ISNUMBER(F800),E800*F800,"")</x:f>
      </x:c>
      <x:c r="H800" s="37"/>
      <x:c r="I800" s="37"/>
      <x:c r="J800" s="1" t="n">
        <x:f>IF(ISNUMBER(F800),E800,0)</x:f>
        <x:v>0</x:v>
      </x:c>
      <x:c r="K800" s="1"/>
      <x:c r="L800" s="1" t="str">
        <x:v>https://blog.skyairline.com/mililitros-permilidos-avion/</x:v>
      </x:c>
      <x:c r="M800" s="1" t="n">
        <x:v>1</x:v>
      </x:c>
    </x:row>
    <x:row r="801" ht="18.75" customHeight="1">
      <x:c r="A801" s="1" t="str">
        <x:v>https://blog.skyairline.com/check-in-automatico/</x:v>
      </x:c>
      <x:c r="B801" s="1" t="str">
        <x:v>el check in en sky es automatico</x:v>
      </x:c>
      <x:c r="C801" s="1" t="str">
        <x:v>per</x:v>
      </x:c>
      <x:c r="D801" s="1" t="str">
        <x:v>Marca</x:v>
      </x:c>
      <x:c r="E801" s="35" t="n">
        <x:v>2</x:v>
      </x:c>
      <x:c r="F801" s="36"/>
      <x:c r="G801" s="36" t="str">
        <x:f>IF(ISNUMBER(F801),E801*F801,"")</x:f>
      </x:c>
      <x:c r="H801" s="37"/>
      <x:c r="I801" s="37"/>
      <x:c r="J801" s="1" t="n">
        <x:f>IF(ISNUMBER(F801),E801,0)</x:f>
        <x:v>0</x:v>
      </x:c>
      <x:c r="K801" s="1"/>
      <x:c r="L801" s="1" t="str">
        <x:v>https://blog.skyairline.com/minas-gerais/</x:v>
      </x:c>
      <x:c r="M801" s="1" t="n">
        <x:v>1</x:v>
      </x:c>
    </x:row>
    <x:row r="802" ht="18.75" customHeight="1">
      <x:c r="A802" s="1" t="str">
        <x:v>https://blog.skyairline.com/check-in-automatico/</x:v>
      </x:c>
      <x:c r="B802" s="1" t="str">
        <x:v>sky airlines check-in</x:v>
      </x:c>
      <x:c r="C802" s="1" t="str">
        <x:v>per</x:v>
      </x:c>
      <x:c r="D802" s="1" t="str">
        <x:v>Marca</x:v>
      </x:c>
      <x:c r="E802" s="35" t="n">
        <x:v>2</x:v>
      </x:c>
      <x:c r="F802" s="36" t="n">
        <x:v>0.15</x:v>
      </x:c>
      <x:c r="G802" s="36" t="n">
        <x:f>IF(ISNUMBER(F802),E802*F802,"")</x:f>
        <x:v>0.3</x:v>
      </x:c>
      <x:c r="H802" s="37" t="d">
        <x:v>2026-10-15T00:00:00.000Z</x:v>
      </x:c>
      <x:c r="I802" s="37" t="d">
        <x:v>2026-09-16T20:33:06.000Z</x:v>
      </x:c>
      <x:c r="J802" s="1" t="n">
        <x:f>IF(ISNUMBER(F802),E802,0)</x:f>
        <x:v>2</x:v>
      </x:c>
      <x:c r="K802" s="1"/>
      <x:c r="L802" s="1" t="str">
        <x:v>https://blog.skyairline.com/mochila-para-trekking/</x:v>
      </x:c>
      <x:c r="M802" s="1" t="n">
        <x:v>1</x:v>
      </x:c>
    </x:row>
    <x:row r="803" ht="18.75" customHeight="1">
      <x:c r="A803" s="1" t="str">
        <x:v>https://blog.skyairline.com/check-in-automatico/</x:v>
      </x:c>
      <x:c r="B803" s="1" t="str">
        <x:v>sky check-in automático</x:v>
      </x:c>
      <x:c r="C803" s="1" t="str">
        <x:v>per</x:v>
      </x:c>
      <x:c r="D803" s="1" t="str">
        <x:v>Marca</x:v>
      </x:c>
      <x:c r="E803" s="35" t="n">
        <x:v>2</x:v>
      </x:c>
      <x:c r="F803" s="36"/>
      <x:c r="G803" s="36" t="str">
        <x:f>IF(ISNUMBER(F803),E803*F803,"")</x:f>
      </x:c>
      <x:c r="H803" s="37" t="d">
        <x:v>2026-10-15T00:00:00.000Z</x:v>
      </x:c>
      <x:c r="I803" s="37" t="d">
        <x:v>2026-09-17T08:11:36.000Z</x:v>
      </x:c>
      <x:c r="J803" s="1" t="n">
        <x:f>IF(ISNUMBER(F803),E803,0)</x:f>
        <x:v>0</x:v>
      </x:c>
      <x:c r="K803" s="1"/>
      <x:c r="L803" s="1" t="str">
        <x:v>https://blog.skyairline.com/monumentos-historicos-de-jauja/</x:v>
      </x:c>
      <x:c r="M803" s="1" t="n">
        <x:v>1</x:v>
      </x:c>
    </x:row>
    <x:row r="804" ht="18.75" customHeight="1">
      <x:c r="A804" s="1" t="str">
        <x:v>https://blog.skyairline.com/ciudades-cercanas-rio-de-janeiro/</x:v>
      </x:c>
      <x:c r="B804" s="1" t="str">
        <x:v>lugar cerca de rio de janeiro</x:v>
      </x:c>
      <x:c r="C804" s="1" t="str">
        <x:v>arg</x:v>
      </x:c>
      <x:c r="D804" s="1" t="str">
        <x:v>Sin marca</x:v>
      </x:c>
      <x:c r="E804" s="35" t="n">
        <x:v>2</x:v>
      </x:c>
      <x:c r="F804" s="36"/>
      <x:c r="G804" s="36" t="str">
        <x:f>IF(ISNUMBER(F804),E804*F804,"")</x:f>
      </x:c>
      <x:c r="H804" s="37"/>
      <x:c r="I804" s="37"/>
      <x:c r="J804" s="1" t="n">
        <x:f>IF(ISNUMBER(F804),E804,0)</x:f>
        <x:v>0</x:v>
      </x:c>
      <x:c r="K804" s="1"/>
      <x:c r="L804" s="1" t="str">
        <x:v>https://blog.skyairline.com/morro-de-arica/</x:v>
      </x:c>
      <x:c r="M804" s="1" t="n">
        <x:v>1</x:v>
      </x:c>
    </x:row>
    <x:row r="805" ht="18.75" customHeight="1">
      <x:c r="A805" s="1" t="str">
        <x:v>https://blog.skyairline.com/clima-de-la-zona-norte-de-chile-temperaturas-y-estaciones/</x:v>
      </x:c>
      <x:c r="B805" s="1" t="str">
        <x:v>clima de la zona norte de chile</x:v>
      </x:c>
      <x:c r="C805" s="1" t="str">
        <x:v>chl</x:v>
      </x:c>
      <x:c r="D805" s="1" t="str">
        <x:v>Sin marca</x:v>
      </x:c>
      <x:c r="E805" s="35" t="n">
        <x:v>2</x:v>
      </x:c>
      <x:c r="F805" s="36"/>
      <x:c r="G805" s="36" t="str">
        <x:f>IF(ISNUMBER(F805),E805*F805,"")</x:f>
      </x:c>
      <x:c r="H805" s="37" t="d">
        <x:v>2026-10-15T00:00:00.000Z</x:v>
      </x:c>
      <x:c r="I805" s="37" t="d">
        <x:v>2026-09-13T08:05:55.000Z</x:v>
      </x:c>
      <x:c r="J805" s="1" t="n">
        <x:f>IF(ISNUMBER(F805),E805,0)</x:f>
        <x:v>0</x:v>
      </x:c>
      <x:c r="K805" s="1"/>
      <x:c r="L805" s="1" t="str">
        <x:v>https://blog.skyairline.com/morro-de-sao-paulo/</x:v>
      </x:c>
      <x:c r="M805" s="1" t="n">
        <x:v>1</x:v>
      </x:c>
    </x:row>
    <x:row r="806" ht="18.75" customHeight="1">
      <x:c r="A806" s="1" t="str">
        <x:v>https://blog.skyairline.com/clima-de-la-zona-norte-de-chile-temperaturas-y-estaciones/</x:v>
      </x:c>
      <x:c r="B806" s="1" t="str">
        <x:v>zona norte de chile clima</x:v>
      </x:c>
      <x:c r="C806" s="1" t="str">
        <x:v>chl</x:v>
      </x:c>
      <x:c r="D806" s="1" t="str">
        <x:v>Sin marca</x:v>
      </x:c>
      <x:c r="E806" s="35" t="n">
        <x:v>2</x:v>
      </x:c>
      <x:c r="F806" s="36"/>
      <x:c r="G806" s="36" t="str">
        <x:f>IF(ISNUMBER(F806),E806*F806,"")</x:f>
      </x:c>
      <x:c r="H806" s="37" t="d">
        <x:v>2026-10-15T00:00:00.000Z</x:v>
      </x:c>
      <x:c r="I806" s="37" t="d">
        <x:v>2026-09-14T15:53:57.000Z</x:v>
      </x:c>
      <x:c r="J806" s="1" t="n">
        <x:f>IF(ISNUMBER(F806),E806,0)</x:f>
        <x:v>0</x:v>
      </x:c>
      <x:c r="K806" s="1"/>
      <x:c r="L806" s="1" t="str">
        <x:v>https://blog.skyairline.com/museos-en-iquique/</x:v>
      </x:c>
      <x:c r="M806" s="1" t="n">
        <x:v>1</x:v>
      </x:c>
    </x:row>
    <x:row r="807" ht="18.75" customHeight="1">
      <x:c r="A807" s="1" t="str">
        <x:v>https://blog.skyairline.com/clima-de-la-zona-sur-de-chile-temperaturas-y-estaciones/</x:v>
      </x:c>
      <x:c r="B807" s="1" t="str">
        <x:v>como es el clima en el sur de chile</x:v>
      </x:c>
      <x:c r="C807" s="1" t="str">
        <x:v>chl</x:v>
      </x:c>
      <x:c r="D807" s="1" t="str">
        <x:v>Sin marca</x:v>
      </x:c>
      <x:c r="E807" s="35" t="n">
        <x:v>2</x:v>
      </x:c>
      <x:c r="F807" s="36"/>
      <x:c r="G807" s="36" t="str">
        <x:f>IF(ISNUMBER(F807),E807*F807,"")</x:f>
      </x:c>
      <x:c r="H807" s="37" t="d">
        <x:v>2026-10-15T00:00:00.000Z</x:v>
      </x:c>
      <x:c r="I807" s="37" t="d">
        <x:v>2026-09-13T09:51:55.000Z</x:v>
      </x:c>
      <x:c r="J807" s="1" t="n">
        <x:f>IF(ISNUMBER(F807),E807,0)</x:f>
        <x:v>0</x:v>
      </x:c>
      <x:c r="K807" s="1"/>
      <x:c r="L807" s="1" t="str">
        <x:v>https://blog.skyairline.com/museos-en-santiago/</x:v>
      </x:c>
      <x:c r="M807" s="1" t="n">
        <x:v>1</x:v>
      </x:c>
    </x:row>
    <x:row r="808" ht="18.75" customHeight="1">
      <x:c r="A808" s="1" t="str">
        <x:v>https://blog.skyairline.com/clima-en-punta-cana-cual-es-la-mejor-epoca-para-viajar/</x:v>
      </x:c>
      <x:c r="B808" s="1" t="str">
        <x:v>clima punta cana</x:v>
      </x:c>
      <x:c r="C808" s="1" t="str">
        <x:v>chl</x:v>
      </x:c>
      <x:c r="D808" s="1" t="str">
        <x:v>Sin marca</x:v>
      </x:c>
      <x:c r="E808" s="35" t="n">
        <x:v>2</x:v>
      </x:c>
      <x:c r="F808" s="36" t="n">
        <x:v>0.42</x:v>
      </x:c>
      <x:c r="G808" s="36" t="n">
        <x:f>IF(ISNUMBER(F808),E808*F808,"")</x:f>
        <x:v>0.84</x:v>
      </x:c>
      <x:c r="H808" s="37" t="d">
        <x:v>2026-10-15T00:00:00.000Z</x:v>
      </x:c>
      <x:c r="I808" s="37" t="d">
        <x:v>2026-09-17T01:24:57.000Z</x:v>
      </x:c>
      <x:c r="J808" s="1" t="n">
        <x:f>IF(ISNUMBER(F808),E808,0)</x:f>
        <x:v>2</x:v>
      </x:c>
      <x:c r="K808" s="1"/>
      <x:c r="L808" s="1" t="str">
        <x:v>https://blog.skyairline.com/nada-con-delfines-en-punta-cana/</x:v>
      </x:c>
      <x:c r="M808" s="1" t="n">
        <x:v>1</x:v>
      </x:c>
    </x:row>
    <x:row r="809" ht="18.75" customHeight="1">
      <x:c r="A809" s="1" t="str">
        <x:v>https://blog.skyairline.com/clima-en-punta-cana-cual-es-la-mejor-epoca-para-viajar/</x:v>
      </x:c>
      <x:c r="B809" s="1" t="str">
        <x:v>punta cana clima</x:v>
      </x:c>
      <x:c r="C809" s="1" t="str">
        <x:v>chl</x:v>
      </x:c>
      <x:c r="D809" s="1" t="str">
        <x:v>Sin marca</x:v>
      </x:c>
      <x:c r="E809" s="35" t="n">
        <x:v>2</x:v>
      </x:c>
      <x:c r="F809" s="36" t="n">
        <x:v>0.42</x:v>
      </x:c>
      <x:c r="G809" s="36" t="n">
        <x:f>IF(ISNUMBER(F809),E809*F809,"")</x:f>
        <x:v>0.84</x:v>
      </x:c>
      <x:c r="H809" s="37" t="d">
        <x:v>2026-10-15T00:00:00.000Z</x:v>
      </x:c>
      <x:c r="I809" s="37" t="d">
        <x:v>2026-09-14T20:16:26.000Z</x:v>
      </x:c>
      <x:c r="J809" s="1" t="n">
        <x:f>IF(ISNUMBER(F809),E809,0)</x:f>
        <x:v>2</x:v>
      </x:c>
      <x:c r="K809" s="1"/>
      <x:c r="L809" s="1" t="str">
        <x:v>https://blog.skyairline.com/navidad-chile-2/</x:v>
      </x:c>
      <x:c r="M809" s="1" t="n">
        <x:v>1</x:v>
      </x:c>
    </x:row>
    <x:row r="810" ht="18.75" customHeight="1">
      <x:c r="A810" s="1" t="str">
        <x:v>https://blog.skyairline.com/clima-en-salvador-de-bahia-temperatura-y-mejor-epoca-para-viajar/</x:v>
      </x:c>
      <x:c r="B810" s="1" t="str">
        <x:v>salvador de bahia</x:v>
      </x:c>
      <x:c r="C810" s="1" t="str">
        <x:v>chl</x:v>
      </x:c>
      <x:c r="D810" s="1" t="str">
        <x:v>Sin marca</x:v>
      </x:c>
      <x:c r="E810" s="35" t="n">
        <x:v>2</x:v>
      </x:c>
      <x:c r="F810" s="36"/>
      <x:c r="G810" s="36" t="str">
        <x:f>IF(ISNUMBER(F810),E810*F810,"")</x:f>
      </x:c>
      <x:c r="H810" s="37"/>
      <x:c r="I810" s="37"/>
      <x:c r="J810" s="1" t="n">
        <x:f>IF(ISNUMBER(F810),E810,0)</x:f>
        <x:v>0</x:v>
      </x:c>
      <x:c r="K810" s="1"/>
      <x:c r="L810" s="1" t="str">
        <x:v>https://blog.skyairline.com/nevado-rajuntay-2/</x:v>
      </x:c>
      <x:c r="M810" s="1" t="n">
        <x:v>1</x:v>
      </x:c>
    </x:row>
    <x:row r="811" ht="18.75" customHeight="1">
      <x:c r="A811" s="1" t="str">
        <x:v>https://blog.skyairline.com/comidas-de-la-costa-peruana/</x:v>
      </x:c>
      <x:c r="B811" s="1" t="str">
        <x:v>platos típicos de la costa</x:v>
      </x:c>
      <x:c r="C811" s="1" t="str">
        <x:v>per</x:v>
      </x:c>
      <x:c r="D811" s="1" t="str">
        <x:v>Sin marca</x:v>
      </x:c>
      <x:c r="E811" s="35" t="n">
        <x:v>2</x:v>
      </x:c>
      <x:c r="F811" s="36"/>
      <x:c r="G811" s="36" t="str">
        <x:f>IF(ISNUMBER(F811),E811*F811,"")</x:f>
      </x:c>
      <x:c r="H811" s="37" t="d">
        <x:v>2026-10-15T00:00:00.000Z</x:v>
      </x:c>
      <x:c r="I811" s="37" t="d">
        <x:v>2026-09-13T05:51:51.999Z</x:v>
      </x:c>
      <x:c r="J811" s="1" t="n">
        <x:f>IF(ISNUMBER(F811),E811,0)</x:f>
        <x:v>0</x:v>
      </x:c>
      <x:c r="K811" s="1"/>
      <x:c r="L811" s="1" t="str">
        <x:v>https://blog.skyairline.com/nevados-de-chillan/</x:v>
      </x:c>
      <x:c r="M811" s="1" t="n">
        <x:v>1</x:v>
      </x:c>
    </x:row>
    <x:row r="812" ht="18.75" customHeight="1">
      <x:c r="A812" s="1" t="str">
        <x:v>https://blog.skyairline.com/comidas-y-bebidas-tipicas-del-18-de-septiembre/</x:v>
      </x:c>
      <x:c r="B812" s="1" t="str">
        <x:v>que comer para el 18 de septiembre</x:v>
      </x:c>
      <x:c r="C812" s="1" t="str">
        <x:v>chl</x:v>
      </x:c>
      <x:c r="D812" s="1" t="str">
        <x:v>Sin marca</x:v>
      </x:c>
      <x:c r="E812" s="35" t="n">
        <x:v>2</x:v>
      </x:c>
      <x:c r="F812" s="36"/>
      <x:c r="G812" s="36" t="str">
        <x:f>IF(ISNUMBER(F812),E812*F812,"")</x:f>
      </x:c>
      <x:c r="H812" s="37" t="d">
        <x:v>2026-10-15T00:00:00.000Z</x:v>
      </x:c>
      <x:c r="I812" s="37" t="d">
        <x:v>2026-09-13T19:49:49.000Z</x:v>
      </x:c>
      <x:c r="J812" s="1" t="n">
        <x:f>IF(ISNUMBER(F812),E812,0)</x:f>
        <x:v>0</x:v>
      </x:c>
      <x:c r="K812" s="1"/>
      <x:c r="L812" s="1" t="str">
        <x:v>https://blog.skyairline.com/nochevieja/</x:v>
      </x:c>
      <x:c r="M812" s="1" t="n">
        <x:v>1</x:v>
      </x:c>
    </x:row>
    <x:row r="813" ht="18.75" customHeight="1">
      <x:c r="A813" s="1" t="str">
        <x:v>https://blog.skyairline.com/como-ir-de-punta-cana-a-santo-domingo/</x:v>
      </x:c>
      <x:c r="B813" s="1" t="str">
        <x:v>como ir de punta cana a santo domingo</x:v>
      </x:c>
      <x:c r="C813" s="1" t="str">
        <x:v>per</x:v>
      </x:c>
      <x:c r="D813" s="1" t="str">
        <x:v>Sin marca</x:v>
      </x:c>
      <x:c r="E813" s="35" t="n">
        <x:v>2</x:v>
      </x:c>
      <x:c r="F813" s="36" t="n">
        <x:v>0.42</x:v>
      </x:c>
      <x:c r="G813" s="36" t="n">
        <x:f>IF(ISNUMBER(F813),E813*F813,"")</x:f>
        <x:v>0.84</x:v>
      </x:c>
      <x:c r="H813" s="37" t="d">
        <x:v>2026-10-15T00:00:00.000Z</x:v>
      </x:c>
      <x:c r="I813" s="37" t="d">
        <x:v>2026-09-16T03:23:39.000Z</x:v>
      </x:c>
      <x:c r="J813" s="1" t="n">
        <x:f>IF(ISNUMBER(F813),E813,0)</x:f>
        <x:v>2</x:v>
      </x:c>
      <x:c r="K813" s="1"/>
      <x:c r="L813" s="1" t="str">
        <x:v>https://blog.skyairline.com/normas-for-viajar-en-avion/</x:v>
      </x:c>
      <x:c r="M813" s="1" t="n">
        <x:v>1</x:v>
      </x:c>
    </x:row>
    <x:row r="814" ht="18.75" customHeight="1">
      <x:c r="A814" s="1" t="str">
        <x:v>https://blog.skyairline.com/como-ir-de-punta-cana-a-santo-domingo/</x:v>
      </x:c>
      <x:c r="B814" s="1" t="str">
        <x:v>distancia de punta cana a santo domingo en bus</x:v>
      </x:c>
      <x:c r="C814" s="1" t="str">
        <x:v>col</x:v>
      </x:c>
      <x:c r="D814" s="1" t="str">
        <x:v>Sin marca</x:v>
      </x:c>
      <x:c r="E814" s="35" t="n">
        <x:v>2</x:v>
      </x:c>
      <x:c r="F814" s="36"/>
      <x:c r="G814" s="36" t="str">
        <x:f>IF(ISNUMBER(F814),E814*F814,"")</x:f>
      </x:c>
      <x:c r="H814" s="37"/>
      <x:c r="I814" s="37"/>
      <x:c r="J814" s="1" t="n">
        <x:f>IF(ISNUMBER(F814),E814,0)</x:f>
        <x:v>0</x:v>
      </x:c>
      <x:c r="K814" s="1"/>
      <x:c r="L814" s="1" t="str">
        <x:v>https://blog.skyairline.com/normas-normas-para-viajar-en-avion/</x:v>
      </x:c>
      <x:c r="M814" s="1" t="n">
        <x:v>1</x:v>
      </x:c>
    </x:row>
    <x:row r="815" ht="18.75" customHeight="1">
      <x:c r="A815" s="1" t="str">
        <x:v>https://blog.skyairline.com/como-ir-de-punta-cana-a-santo-domingo/</x:v>
      </x:c>
      <x:c r="B815" s="1" t="str">
        <x:v>distancia entre santo domingo y punta cana</x:v>
      </x:c>
      <x:c r="C815" s="1" t="str">
        <x:v>chl</x:v>
      </x:c>
      <x:c r="D815" s="1" t="str">
        <x:v>Sin marca</x:v>
      </x:c>
      <x:c r="E815" s="35" t="n">
        <x:v>2</x:v>
      </x:c>
      <x:c r="F815" s="36" t="n">
        <x:v>1.63</x:v>
      </x:c>
      <x:c r="G815" s="36" t="n">
        <x:f>IF(ISNUMBER(F815),E815*F815,"")</x:f>
        <x:v>3.26</x:v>
      </x:c>
      <x:c r="H815" s="37" t="d">
        <x:v>2026-10-15T00:00:00.000Z</x:v>
      </x:c>
      <x:c r="I815" s="37" t="d">
        <x:v>2026-09-17T23:06:33.000Z</x:v>
      </x:c>
      <x:c r="J815" s="1" t="n">
        <x:f>IF(ISNUMBER(F815),E815,0)</x:f>
        <x:v>2</x:v>
      </x:c>
      <x:c r="K815" s="1"/>
      <x:c r="L815" s="1" t="str">
        <x:v>https://blog.skyairline.com/normas-para-vuelos/</x:v>
      </x:c>
      <x:c r="M815" s="1" t="n">
        <x:v>1</x:v>
      </x:c>
    </x:row>
    <x:row r="816" ht="18.75" customHeight="1">
      <x:c r="A816" s="1" t="str">
        <x:v>https://blog.skyairline.com/como-ir-de-punta-cana-a-santo-domingo/</x:v>
      </x:c>
      <x:c r="B816" s="1" t="str">
        <x:v>punta cana a santo domingo</x:v>
      </x:c>
      <x:c r="C816" s="1" t="str">
        <x:v>chl</x:v>
      </x:c>
      <x:c r="D816" s="1" t="str">
        <x:v>Sin marca</x:v>
      </x:c>
      <x:c r="E816" s="35" t="n">
        <x:v>2</x:v>
      </x:c>
      <x:c r="F816" s="36" t="n">
        <x:v>1</x:v>
      </x:c>
      <x:c r="G816" s="36" t="n">
        <x:f>IF(ISNUMBER(F816),E816*F816,"")</x:f>
        <x:v>2</x:v>
      </x:c>
      <x:c r="H816" s="37" t="d">
        <x:v>2026-10-15T00:00:00.000Z</x:v>
      </x:c>
      <x:c r="I816" s="37" t="d">
        <x:v>2026-09-13T09:33:24.000Z</x:v>
      </x:c>
      <x:c r="J816" s="1" t="n">
        <x:f>IF(ISNUMBER(F816),E816,0)</x:f>
        <x:v>2</x:v>
      </x:c>
      <x:c r="K816" s="1"/>
      <x:c r="L816" s="1" t="str">
        <x:v>https://blog.skyairline.com/nueva-alianza-entre-sky-y-united-airlines-para-llegar-mas-lejos/</x:v>
      </x:c>
      <x:c r="M816" s="1" t="n">
        <x:v>1</x:v>
      </x:c>
    </x:row>
    <x:row r="817" ht="18.75" customHeight="1">
      <x:c r="A817" s="1" t="str">
        <x:v>https://blog.skyairline.com/como-ir-de-punta-cana-a-santo-domingo/</x:v>
      </x:c>
      <x:c r="B817" s="1" t="str">
        <x:v>punta cana a santo domingo distancia</x:v>
      </x:c>
      <x:c r="C817" s="1" t="str">
        <x:v>col</x:v>
      </x:c>
      <x:c r="D817" s="1" t="str">
        <x:v>Sin marca</x:v>
      </x:c>
      <x:c r="E817" s="35" t="n">
        <x:v>2</x:v>
      </x:c>
      <x:c r="F817" s="36"/>
      <x:c r="G817" s="36" t="str">
        <x:f>IF(ISNUMBER(F817),E817*F817,"")</x:f>
      </x:c>
      <x:c r="H817" s="37"/>
      <x:c r="I817" s="37"/>
      <x:c r="J817" s="1" t="n">
        <x:f>IF(ISNUMBER(F817),E817,0)</x:f>
        <x:v>0</x:v>
      </x:c>
      <x:c r="K817" s="1"/>
      <x:c r="L817" s="1" t="str">
        <x:v>https://blog.skyairline.com/ocean-drive/</x:v>
      </x:c>
      <x:c r="M817" s="1" t="n">
        <x:v>1</x:v>
      </x:c>
    </x:row>
    <x:row r="818" ht="18.75" customHeight="1">
      <x:c r="A818" s="1" t="str">
        <x:v>https://blog.skyairline.com/como-ir-de-santiago-a-pucon-sin-preocupaciones/</x:v>
      </x:c>
      <x:c r="B818" s="1" t="str">
        <x:v>cuanto es de santiago a pucon</x:v>
      </x:c>
      <x:c r="C818" s="1" t="str">
        <x:v>chl</x:v>
      </x:c>
      <x:c r="D818" s="1" t="str">
        <x:v>Sin marca</x:v>
      </x:c>
      <x:c r="E818" s="35" t="n">
        <x:v>2</x:v>
      </x:c>
      <x:c r="F818" s="36"/>
      <x:c r="G818" s="36" t="str">
        <x:f>IF(ISNUMBER(F818),E818*F818,"")</x:f>
      </x:c>
      <x:c r="H818" s="37"/>
      <x:c r="I818" s="37"/>
      <x:c r="J818" s="1" t="n">
        <x:f>IF(ISNUMBER(F818),E818,0)</x:f>
        <x:v>0</x:v>
      </x:c>
      <x:c r="K818" s="1"/>
      <x:c r="L818" s="1" t="str">
        <x:v>https://blog.skyairline.com/oceania-se-incorpora-a-la-red-de-sky-gracias-a-un-acuerdo-interlineal-con-qantas-airways/</x:v>
      </x:c>
      <x:c r="M818" s="1" t="n">
        <x:v>1</x:v>
      </x:c>
    </x:row>
    <x:row r="819" ht="18.75" customHeight="1">
      <x:c r="A819" s="1" t="str">
        <x:v>https://blog.skyairline.com/comprar-en-chile/</x:v>
      </x:c>
      <x:c r="B819" s="1" t="str">
        <x:v>que se puede comprar en chile</x:v>
      </x:c>
      <x:c r="C819" s="1" t="str">
        <x:v>per</x:v>
      </x:c>
      <x:c r="D819" s="1" t="str">
        <x:v>Sin marca</x:v>
      </x:c>
      <x:c r="E819" s="35" t="n">
        <x:v>2</x:v>
      </x:c>
      <x:c r="F819" s="36"/>
      <x:c r="G819" s="36" t="str">
        <x:f>IF(ISNUMBER(F819),E819*F819,"")</x:f>
      </x:c>
      <x:c r="H819" s="37"/>
      <x:c r="I819" s="37"/>
      <x:c r="J819" s="1" t="n">
        <x:f>IF(ISNUMBER(F819),E819,0)</x:f>
        <x:v>0</x:v>
      </x:c>
      <x:c r="K819" s="1"/>
      <x:c r="L819" s="1" t="str">
        <x:v>https://blog.skyairline.com/paisajes-de-mexico/</x:v>
      </x:c>
      <x:c r="M819" s="1" t="n">
        <x:v>1</x:v>
      </x:c>
    </x:row>
    <x:row r="820" ht="18.75" customHeight="1">
      <x:c r="A820" s="1" t="str">
        <x:v>https://blog.skyairline.com/comprar-pasajes-baratos/</x:v>
      </x:c>
      <x:c r="B820" s="1" t="str">
        <x:v>cuando comprar pasajes baratos</x:v>
      </x:c>
      <x:c r="C820" s="1" t="str">
        <x:v>chl</x:v>
      </x:c>
      <x:c r="D820" s="1" t="str">
        <x:v>Sin marca</x:v>
      </x:c>
      <x:c r="E820" s="35" t="n">
        <x:v>2</x:v>
      </x:c>
      <x:c r="F820" s="36" t="n">
        <x:v>1.1</x:v>
      </x:c>
      <x:c r="G820" s="36" t="n">
        <x:f>IF(ISNUMBER(F820),E820*F820,"")</x:f>
        <x:v>2.2</x:v>
      </x:c>
      <x:c r="H820" s="37" t="d">
        <x:v>2026-10-15T00:00:00.000Z</x:v>
      </x:c>
      <x:c r="I820" s="37" t="d">
        <x:v>2026-09-13T20:42:05.000Z</x:v>
      </x:c>
      <x:c r="J820" s="1" t="n">
        <x:f>IF(ISNUMBER(F820),E820,0)</x:f>
        <x:v>2</x:v>
      </x:c>
      <x:c r="K820" s="1"/>
      <x:c r="L820" s="1" t="str">
        <x:v>https://blog.skyairline.com/paquetes-turisticos-baratos/</x:v>
      </x:c>
      <x:c r="M820" s="1" t="n">
        <x:v>1</x:v>
      </x:c>
    </x:row>
    <x:row r="821" ht="18.75" customHeight="1">
      <x:c r="A821" s="1" t="str">
        <x:v>https://blog.skyairline.com/comprar-pasajes-baratos/</x:v>
      </x:c>
      <x:c r="B821" s="1" t="str">
        <x:v>cuando comprar pasajes de avion baratos</x:v>
      </x:c>
      <x:c r="C821" s="1" t="str">
        <x:v>chl</x:v>
      </x:c>
      <x:c r="D821" s="1" t="str">
        <x:v>Sin marca</x:v>
      </x:c>
      <x:c r="E821" s="35" t="n">
        <x:v>2</x:v>
      </x:c>
      <x:c r="F821" s="36" t="n">
        <x:v>0.8</x:v>
      </x:c>
      <x:c r="G821" s="36" t="n">
        <x:f>IF(ISNUMBER(F821),E821*F821,"")</x:f>
        <x:v>1.6</x:v>
      </x:c>
      <x:c r="H821" s="37" t="d">
        <x:v>2026-10-15T00:00:00.000Z</x:v>
      </x:c>
      <x:c r="I821" s="37" t="d">
        <x:v>2026-10-15T05:28:58.000Z</x:v>
      </x:c>
      <x:c r="J821" s="1" t="n">
        <x:f>IF(ISNUMBER(F821),E821,0)</x:f>
        <x:v>2</x:v>
      </x:c>
      <x:c r="K821" s="1"/>
      <x:c r="L821" s="1" t="str">
        <x:v>https://blog.skyairline.com/paquetes-turisticos/</x:v>
      </x:c>
      <x:c r="M821" s="1" t="n">
        <x:v>1</x:v>
      </x:c>
    </x:row>
    <x:row r="822" ht="18.75" customHeight="1">
      <x:c r="A822" s="1" t="str">
        <x:v>https://blog.skyairline.com/copiapo-turismo/</x:v>
      </x:c>
      <x:c r="B822" s="1" t="str">
        <x:v>copiapo</x:v>
      </x:c>
      <x:c r="C822" s="1" t="str">
        <x:v>chl</x:v>
      </x:c>
      <x:c r="D822" s="1" t="str">
        <x:v>Sin marca</x:v>
      </x:c>
      <x:c r="E822" s="35" t="n">
        <x:v>2</x:v>
      </x:c>
      <x:c r="F822" s="36" t="n">
        <x:v>1.09</x:v>
      </x:c>
      <x:c r="G822" s="36" t="n">
        <x:f>IF(ISNUMBER(F822),E822*F822,"")</x:f>
        <x:v>2.18</x:v>
      </x:c>
      <x:c r="H822" s="37" t="d">
        <x:v>2026-10-15T00:00:00.000Z</x:v>
      </x:c>
      <x:c r="I822" s="37" t="d">
        <x:v>2026-09-15T23:16:54.000Z</x:v>
      </x:c>
      <x:c r="J822" s="1" t="n">
        <x:f>IF(ISNUMBER(F822),E822,0)</x:f>
        <x:v>2</x:v>
      </x:c>
      <x:c r="K822" s="1"/>
      <x:c r="L822" s="1" t="str">
        <x:v>https://blog.skyairline.com/paraisos-escondidos-en-colombia/</x:v>
      </x:c>
      <x:c r="M822" s="1" t="n">
        <x:v>1</x:v>
      </x:c>
    </x:row>
    <x:row r="823" ht="18.75" customHeight="1">
      <x:c r="A823" s="1" t="str">
        <x:v>https://blog.skyairline.com/cosas-gratis-en-cancun/</x:v>
      </x:c>
      <x:c r="B823" s="1" t="str">
        <x:v>cenotes en cancún gratis</x:v>
      </x:c>
      <x:c r="C823" s="1" t="str">
        <x:v>mex</x:v>
      </x:c>
      <x:c r="D823" s="1" t="str">
        <x:v>Sin marca</x:v>
      </x:c>
      <x:c r="E823" s="35" t="n">
        <x:v>2</x:v>
      </x:c>
      <x:c r="F823" s="36"/>
      <x:c r="G823" s="36" t="str">
        <x:f>IF(ISNUMBER(F823),E823*F823,"")</x:f>
      </x:c>
      <x:c r="H823" s="37"/>
      <x:c r="I823" s="37"/>
      <x:c r="J823" s="1" t="n">
        <x:f>IF(ISNUMBER(F823),E823,0)</x:f>
        <x:v>0</x:v>
      </x:c>
      <x:c r="K823" s="1"/>
      <x:c r="L823" s="1" t="str">
        <x:v>https://blog.skyairline.com/parque-de-chiloe/</x:v>
      </x:c>
      <x:c r="M823" s="1" t="n">
        <x:v>1</x:v>
      </x:c>
    </x:row>
    <x:row r="824" ht="18.75" customHeight="1">
      <x:c r="A824" s="1" t="str">
        <x:v>https://blog.skyairline.com/costumbres-de-argentina/</x:v>
      </x:c>
      <x:c r="B824" s="1" t="str">
        <x:v>5 costumbres de argentina</x:v>
      </x:c>
      <x:c r="C824" s="1" t="str">
        <x:v>mex</x:v>
      </x:c>
      <x:c r="D824" s="1" t="str">
        <x:v>Sin marca</x:v>
      </x:c>
      <x:c r="E824" s="35" t="n">
        <x:v>2</x:v>
      </x:c>
      <x:c r="F824" s="36"/>
      <x:c r="G824" s="36" t="str">
        <x:f>IF(ISNUMBER(F824),E824*F824,"")</x:f>
      </x:c>
      <x:c r="H824" s="37"/>
      <x:c r="I824" s="37"/>
      <x:c r="J824" s="1" t="n">
        <x:f>IF(ISNUMBER(F824),E824,0)</x:f>
        <x:v>0</x:v>
      </x:c>
      <x:c r="K824" s="1"/>
      <x:c r="L824" s="1" t="str">
        <x:v>https://blog.skyairline.com/parque-nacional-manu/</x:v>
      </x:c>
      <x:c r="M824" s="1" t="n">
        <x:v>1</x:v>
      </x:c>
    </x:row>
    <x:row r="825" ht="18.75" customHeight="1">
      <x:c r="A825" s="1" t="str">
        <x:v>https://blog.skyairline.com/couchsurfing/</x:v>
      </x:c>
      <x:c r="B825" s="1" t="str">
        <x:v>couchsurfing</x:v>
      </x:c>
      <x:c r="C825" s="1" t="str">
        <x:v>chl</x:v>
      </x:c>
      <x:c r="D825" s="1" t="str">
        <x:v>Sin marca</x:v>
      </x:c>
      <x:c r="E825" s="35" t="n">
        <x:v>2</x:v>
      </x:c>
      <x:c r="F825" s="36" t="n">
        <x:v>1.63</x:v>
      </x:c>
      <x:c r="G825" s="36" t="n">
        <x:f>IF(ISNUMBER(F825),E825*F825,"")</x:f>
        <x:v>3.26</x:v>
      </x:c>
      <x:c r="H825" s="37" t="d">
        <x:v>2026-10-15T00:00:00.000Z</x:v>
      </x:c>
      <x:c r="I825" s="37" t="d">
        <x:v>2026-09-16T03:10:32.000Z</x:v>
      </x:c>
      <x:c r="J825" s="1" t="n">
        <x:f>IF(ISNUMBER(F825),E825,0)</x:f>
        <x:v>2</x:v>
      </x:c>
      <x:c r="K825" s="1"/>
      <x:c r="L825" s="1" t="str">
        <x:v>https://blog.skyairline.com/pasajes-a-argentina/</x:v>
      </x:c>
      <x:c r="M825" s="1" t="n">
        <x:v>1</x:v>
      </x:c>
    </x:row>
    <x:row r="826" ht="18.75" customHeight="1">
      <x:c r="A826" s="1" t="str">
        <x:v>https://blog.skyairline.com/cuando-comienza-el-invierno-en-chile/</x:v>
      </x:c>
      <x:c r="B826" s="1" t="str">
        <x:v>cuando es invierno en chile</x:v>
      </x:c>
      <x:c r="C826" s="1" t="str">
        <x:v>bes</x:v>
      </x:c>
      <x:c r="D826" s="1" t="str">
        <x:v>Sin marca</x:v>
      </x:c>
      <x:c r="E826" s="35" t="n">
        <x:v>2</x:v>
      </x:c>
      <x:c r="F826" s="36"/>
      <x:c r="G826" s="36" t="str">
        <x:f>IF(ISNUMBER(F826),E826*F826,"")</x:f>
      </x:c>
      <x:c r="H826" s="37"/>
      <x:c r="I826" s="37"/>
      <x:c r="J826" s="1" t="n">
        <x:f>IF(ISNUMBER(F826),E826,0)</x:f>
        <x:v>0</x:v>
      </x:c>
      <x:c r="K826" s="1"/>
      <x:c r="L826" s="1" t="str">
        <x:v>https://blog.skyairline.com/pasajes-a-iquique/</x:v>
      </x:c>
      <x:c r="M826" s="1" t="n">
        <x:v>1</x:v>
      </x:c>
    </x:row>
    <x:row r="827" ht="18.75" customHeight="1">
      <x:c r="A827" s="1" t="str">
        <x:v>https://blog.skyairline.com/curso-tripulante-cabina/</x:v>
      </x:c>
      <x:c r="B827" s="1" t="str">
        <x:v>cuanto dura el curso de tripulante de cabina</x:v>
      </x:c>
      <x:c r="C827" s="1" t="str">
        <x:v>chl</x:v>
      </x:c>
      <x:c r="D827" s="1" t="str">
        <x:v>Sin marca</x:v>
      </x:c>
      <x:c r="E827" s="35" t="n">
        <x:v>2</x:v>
      </x:c>
      <x:c r="F827" s="36"/>
      <x:c r="G827" s="36" t="str">
        <x:f>IF(ISNUMBER(F827),E827*F827,"")</x:f>
      </x:c>
      <x:c r="H827" s="37" t="d">
        <x:v>2026-10-15T00:00:00.000Z</x:v>
      </x:c>
      <x:c r="I827" s="37" t="d">
        <x:v>2026-09-13T04:28:08.000Z</x:v>
      </x:c>
      <x:c r="J827" s="1" t="n">
        <x:f>IF(ISNUMBER(F827),E827,0)</x:f>
        <x:v>0</x:v>
      </x:c>
      <x:c r="K827" s="1"/>
      <x:c r="L827" s="1" t="str">
        <x:v>https://blog.skyairline.com/pasajes-a-punta-cana-desde-chile-como-conseguir-los-mejores-precios/</x:v>
      </x:c>
      <x:c r="M827" s="1" t="n">
        <x:v>1</x:v>
      </x:c>
    </x:row>
    <x:row r="828" ht="18.75" customHeight="1">
      <x:c r="A828" s="1" t="str">
        <x:v>https://blog.skyairline.com/curso-tripulante-cabina/</x:v>
      </x:c>
      <x:c r="B828" s="1" t="str">
        <x:v>cuanto dura la carrera de azafata</x:v>
      </x:c>
      <x:c r="C828" s="1" t="str">
        <x:v>per</x:v>
      </x:c>
      <x:c r="D828" s="1" t="str">
        <x:v>Sin marca</x:v>
      </x:c>
      <x:c r="E828" s="35" t="n">
        <x:v>2</x:v>
      </x:c>
      <x:c r="F828" s="36"/>
      <x:c r="G828" s="36" t="str">
        <x:f>IF(ISNUMBER(F828),E828*F828,"")</x:f>
      </x:c>
      <x:c r="H828" s="37" t="d">
        <x:v>2026-10-15T00:00:00.000Z</x:v>
      </x:c>
      <x:c r="I828" s="37" t="d">
        <x:v>2026-09-13T23:50:13.000Z</x:v>
      </x:c>
      <x:c r="J828" s="1" t="n">
        <x:f>IF(ISNUMBER(F828),E828,0)</x:f>
        <x:v>0</x:v>
      </x:c>
      <x:c r="K828" s="1"/>
      <x:c r="L828" s="1" t="str">
        <x:v>https://blog.skyairline.com/pasajes-santiago-la-serena/</x:v>
      </x:c>
      <x:c r="M828" s="1" t="n">
        <x:v>1</x:v>
      </x:c>
    </x:row>
    <x:row r="829" ht="18.75" customHeight="1">
      <x:c r="A829" s="1" t="str">
        <x:v>https://blog.skyairline.com/curso-tripulante-cabina/</x:v>
      </x:c>
      <x:c r="B829" s="1" t="str">
        <x:v>curso asistente de vuelo</x:v>
      </x:c>
      <x:c r="C829" s="1" t="str">
        <x:v>chl</x:v>
      </x:c>
      <x:c r="D829" s="1" t="str">
        <x:v>Sin marca</x:v>
      </x:c>
      <x:c r="E829" s="35" t="n">
        <x:v>2</x:v>
      </x:c>
      <x:c r="F829" s="36" t="n">
        <x:v>0.17</x:v>
      </x:c>
      <x:c r="G829" s="36" t="n">
        <x:f>IF(ISNUMBER(F829),E829*F829,"")</x:f>
        <x:v>0.34</x:v>
      </x:c>
      <x:c r="H829" s="37" t="d">
        <x:v>2026-10-15T00:00:00.000Z</x:v>
      </x:c>
      <x:c r="I829" s="37" t="d">
        <x:v>2026-09-14T05:31:39.000Z</x:v>
      </x:c>
      <x:c r="J829" s="1" t="n">
        <x:f>IF(ISNUMBER(F829),E829,0)</x:f>
        <x:v>2</x:v>
      </x:c>
      <x:c r="K829" s="1"/>
      <x:c r="L829" s="1" t="str">
        <x:v>https://blog.skyairline.com/paseo-por-el-centro-historico-de-porto-alegre/</x:v>
      </x:c>
      <x:c r="M829" s="1" t="n">
        <x:v>1</x:v>
      </x:c>
    </x:row>
    <x:row r="830" ht="18.75" customHeight="1">
      <x:c r="A830" s="1" t="str">
        <x:v>https://blog.skyairline.com/curso-tripulante-cabina/</x:v>
      </x:c>
      <x:c r="B830" s="1" t="str">
        <x:v>curso auxiliar de vuelo</x:v>
      </x:c>
      <x:c r="C830" s="1" t="str">
        <x:v>chl</x:v>
      </x:c>
      <x:c r="D830" s="1" t="str">
        <x:v>Sin marca</x:v>
      </x:c>
      <x:c r="E830" s="35" t="n">
        <x:v>2</x:v>
      </x:c>
      <x:c r="F830" s="36" t="n">
        <x:v>0.17</x:v>
      </x:c>
      <x:c r="G830" s="36" t="n">
        <x:f>IF(ISNUMBER(F830),E830*F830,"")</x:f>
        <x:v>0.34</x:v>
      </x:c>
      <x:c r="H830" s="37" t="d">
        <x:v>2026-10-15T00:00:00.000Z</x:v>
      </x:c>
      <x:c r="I830" s="37" t="d">
        <x:v>2026-09-17T18:29:41.000Z</x:v>
      </x:c>
      <x:c r="J830" s="1" t="n">
        <x:f>IF(ISNUMBER(F830),E830,0)</x:f>
        <x:v>2</x:v>
      </x:c>
      <x:c r="K830" s="1"/>
      <x:c r="L830" s="1" t="str">
        <x:v>https://blog.skyairline.com/patagonia-verde/</x:v>
      </x:c>
      <x:c r="M830" s="1" t="n">
        <x:v>1</x:v>
      </x:c>
    </x:row>
    <x:row r="831" ht="18.75" customHeight="1">
      <x:c r="A831" s="1" t="str">
        <x:v>https://blog.skyairline.com/curso-tripulante-cabina/</x:v>
      </x:c>
      <x:c r="B831" s="1" t="str">
        <x:v>curso de asistente de vuelo</x:v>
      </x:c>
      <x:c r="C831" s="1" t="str">
        <x:v>chl</x:v>
      </x:c>
      <x:c r="D831" s="1" t="str">
        <x:v>Sin marca</x:v>
      </x:c>
      <x:c r="E831" s="35" t="n">
        <x:v>2</x:v>
      </x:c>
      <x:c r="F831" s="36"/>
      <x:c r="G831" s="36" t="str">
        <x:f>IF(ISNUMBER(F831),E831*F831,"")</x:f>
      </x:c>
      <x:c r="H831" s="37"/>
      <x:c r="I831" s="37"/>
      <x:c r="J831" s="1" t="n">
        <x:f>IF(ISNUMBER(F831),E831,0)</x:f>
        <x:v>0</x:v>
      </x:c>
      <x:c r="K831" s="1"/>
      <x:c r="L831" s="1" t="str">
        <x:v>https://blog.skyairline.com/pelourinho-bahia/</x:v>
      </x:c>
      <x:c r="M831" s="1" t="n">
        <x:v>1</x:v>
      </x:c>
    </x:row>
    <x:row r="832" ht="18.75" customHeight="1">
      <x:c r="A832" s="1" t="str">
        <x:v>https://blog.skyairline.com/curso-tripulante-cabina/</x:v>
      </x:c>
      <x:c r="B832" s="1" t="str">
        <x:v>curso de auxiliar de vuelo</x:v>
      </x:c>
      <x:c r="C832" s="1" t="str">
        <x:v>chl</x:v>
      </x:c>
      <x:c r="D832" s="1" t="str">
        <x:v>Sin marca</x:v>
      </x:c>
      <x:c r="E832" s="35" t="n">
        <x:v>2</x:v>
      </x:c>
      <x:c r="F832" s="36" t="n">
        <x:v>0.17</x:v>
      </x:c>
      <x:c r="G832" s="36" t="n">
        <x:f>IF(ISNUMBER(F832),E832*F832,"")</x:f>
        <x:v>0.34</x:v>
      </x:c>
      <x:c r="H832" s="37" t="d">
        <x:v>2026-10-15T00:00:00.000Z</x:v>
      </x:c>
      <x:c r="I832" s="37" t="d">
        <x:v>2026-09-15T01:43:46.999Z</x:v>
      </x:c>
      <x:c r="J832" s="1" t="n">
        <x:f>IF(ISNUMBER(F832),E832,0)</x:f>
        <x:v>2</x:v>
      </x:c>
      <x:c r="K832" s="1"/>
      <x:c r="L832" s="1" t="str">
        <x:v>https://blog.skyairline.com/pensando-en-viajar-fuera-de-chile-para-los-fines-de-semanas-largos-sky-recomienda-6-destinos-para-disfrutar-a-menos-de-4-horas-de-vuelo/</x:v>
      </x:c>
      <x:c r="M832" s="1" t="n">
        <x:v>1</x:v>
      </x:c>
    </x:row>
    <x:row r="833" ht="18.75" customHeight="1">
      <x:c r="A833" s="1" t="str">
        <x:v>https://blog.skyairline.com/curso-tripulante-cabina/</x:v>
      </x:c>
      <x:c r="B833" s="1" t="str">
        <x:v>curso de azafata chile precio</x:v>
      </x:c>
      <x:c r="C833" s="1" t="str">
        <x:v>chl</x:v>
      </x:c>
      <x:c r="D833" s="1" t="str">
        <x:v>Sin marca</x:v>
      </x:c>
      <x:c r="E833" s="35" t="n">
        <x:v>2</x:v>
      </x:c>
      <x:c r="F833" s="36" t="n">
        <x:v>0.17</x:v>
      </x:c>
      <x:c r="G833" s="36" t="n">
        <x:f>IF(ISNUMBER(F833),E833*F833,"")</x:f>
        <x:v>0.34</x:v>
      </x:c>
      <x:c r="H833" s="37" t="d">
        <x:v>2026-10-15T00:00:00.000Z</x:v>
      </x:c>
      <x:c r="I833" s="37" t="d">
        <x:v>2026-09-17T19:59:19.000Z</x:v>
      </x:c>
      <x:c r="J833" s="1" t="n">
        <x:f>IF(ISNUMBER(F833),E833,0)</x:f>
        <x:v>2</x:v>
      </x:c>
      <x:c r="K833" s="1"/>
      <x:c r="L833" s="1" t="str">
        <x:v>https://blog.skyairline.com/perito-moreno/</x:v>
      </x:c>
      <x:c r="M833" s="1" t="n">
        <x:v>1</x:v>
      </x:c>
    </x:row>
    <x:row r="834" ht="18.75" customHeight="1">
      <x:c r="A834" s="1" t="str">
        <x:v>https://blog.skyairline.com/curso-tripulante-cabina/</x:v>
      </x:c>
      <x:c r="B834" s="1" t="str">
        <x:v>curso tripulante de cabina chile</x:v>
      </x:c>
      <x:c r="C834" s="1" t="str">
        <x:v>chl</x:v>
      </x:c>
      <x:c r="D834" s="1" t="str">
        <x:v>Sin marca</x:v>
      </x:c>
      <x:c r="E834" s="35" t="n">
        <x:v>2</x:v>
      </x:c>
      <x:c r="F834" s="36" t="n">
        <x:v>0.22</x:v>
      </x:c>
      <x:c r="G834" s="36" t="n">
        <x:f>IF(ISNUMBER(F834),E834*F834,"")</x:f>
        <x:v>0.44</x:v>
      </x:c>
      <x:c r="H834" s="37" t="d">
        <x:v>2026-10-15T00:00:00.000Z</x:v>
      </x:c>
      <x:c r="I834" s="37" t="d">
        <x:v>2026-09-14T11:49:40.000Z</x:v>
      </x:c>
      <x:c r="J834" s="1" t="n">
        <x:f>IF(ISNUMBER(F834),E834,0)</x:f>
        <x:v>2</x:v>
      </x:c>
      <x:c r="K834" s="1"/>
      <x:c r="L834" s="1" t="str">
        <x:v>https://blog.skyairline.com/pilotos-de-avion/</x:v>
      </x:c>
      <x:c r="M834" s="1" t="n">
        <x:v>1</x:v>
      </x:c>
    </x:row>
    <x:row r="835" ht="18.75" customHeight="1">
      <x:c r="A835" s="1" t="str">
        <x:v>https://blog.skyairline.com/curso-tripulante-cabina/</x:v>
      </x:c>
      <x:c r="B835" s="1" t="str">
        <x:v>cursos de azafata</x:v>
      </x:c>
      <x:c r="C835" s="1" t="str">
        <x:v>chl</x:v>
      </x:c>
      <x:c r="D835" s="1" t="str">
        <x:v>Sin marca</x:v>
      </x:c>
      <x:c r="E835" s="35" t="n">
        <x:v>2</x:v>
      </x:c>
      <x:c r="F835" s="36" t="n">
        <x:v>0.35</x:v>
      </x:c>
      <x:c r="G835" s="36" t="n">
        <x:f>IF(ISNUMBER(F835),E835*F835,"")</x:f>
        <x:v>0.7</x:v>
      </x:c>
      <x:c r="H835" s="37" t="d">
        <x:v>2026-10-15T00:00:00.000Z</x:v>
      </x:c>
      <x:c r="I835" s="37" t="d">
        <x:v>2026-09-13T18:15:10.000Z</x:v>
      </x:c>
      <x:c r="J835" s="1" t="n">
        <x:f>IF(ISNUMBER(F835),E835,0)</x:f>
        <x:v>2</x:v>
      </x:c>
      <x:c r="K835" s="1"/>
      <x:c r="L835" s="1" t="str">
        <x:v>https://blog.skyairline.com/planifica-tu-viaje-2/</x:v>
      </x:c>
      <x:c r="M835" s="1" t="n">
        <x:v>1</x:v>
      </x:c>
    </x:row>
    <x:row r="836" ht="18.75" customHeight="1">
      <x:c r="A836" s="1" t="str">
        <x:v>https://blog.skyairline.com/curso-tripulante-cabina/</x:v>
      </x:c>
      <x:c r="B836" s="1" t="str">
        <x:v>cursos de tripulante de cabina</x:v>
      </x:c>
      <x:c r="C836" s="1" t="str">
        <x:v>chl</x:v>
      </x:c>
      <x:c r="D836" s="1" t="str">
        <x:v>Sin marca</x:v>
      </x:c>
      <x:c r="E836" s="35" t="n">
        <x:v>2</x:v>
      </x:c>
      <x:c r="F836" s="36"/>
      <x:c r="G836" s="36" t="str">
        <x:f>IF(ISNUMBER(F836),E836*F836,"")</x:f>
      </x:c>
      <x:c r="H836" s="37"/>
      <x:c r="I836" s="37"/>
      <x:c r="J836" s="1" t="n">
        <x:f>IF(ISNUMBER(F836),E836,0)</x:f>
        <x:v>0</x:v>
      </x:c>
      <x:c r="K836" s="1"/>
      <x:c r="L836" s="1" t="str">
        <x:v>https://blog.skyairline.com/planificador-de-viaje/</x:v>
      </x:c>
      <x:c r="M836" s="1" t="n">
        <x:v>1</x:v>
      </x:c>
    </x:row>
    <x:row r="837" ht="18.75" customHeight="1">
      <x:c r="A837" s="1" t="str">
        <x:v>https://blog.skyairline.com/curso-tripulante-cabina/</x:v>
      </x:c>
      <x:c r="B837" s="1" t="str">
        <x:v>cursos para tripulante de cabina</x:v>
      </x:c>
      <x:c r="C837" s="1" t="str">
        <x:v>chl</x:v>
      </x:c>
      <x:c r="D837" s="1" t="str">
        <x:v>Sin marca</x:v>
      </x:c>
      <x:c r="E837" s="35" t="n">
        <x:v>2</x:v>
      </x:c>
      <x:c r="F837" s="36" t="n">
        <x:v>0.28</x:v>
      </x:c>
      <x:c r="G837" s="36" t="n">
        <x:f>IF(ISNUMBER(F837),E837*F837,"")</x:f>
        <x:v>0.56</x:v>
      </x:c>
      <x:c r="H837" s="37" t="d">
        <x:v>2026-10-15T00:00:00.000Z</x:v>
      </x:c>
      <x:c r="I837" s="37" t="d">
        <x:v>2026-09-16T16:55:14.000Z</x:v>
      </x:c>
      <x:c r="J837" s="1" t="n">
        <x:f>IF(ISNUMBER(F837),E837,0)</x:f>
        <x:v>2</x:v>
      </x:c>
      <x:c r="K837" s="1"/>
      <x:c r="L837" s="1" t="str">
        <x:v>https://blog.skyairline.com/playa-lo-organos/</x:v>
      </x:c>
      <x:c r="M837" s="1" t="n">
        <x:v>1</x:v>
      </x:c>
    </x:row>
    <x:row r="838" ht="18.75" customHeight="1">
      <x:c r="A838" s="1" t="str">
        <x:v>https://blog.skyairline.com/curso-tripulante-cabina/</x:v>
      </x:c>
      <x:c r="B838" s="1" t="str">
        <x:v>escuela tripulante de cabina</x:v>
      </x:c>
      <x:c r="C838" s="1" t="str">
        <x:v>chl</x:v>
      </x:c>
      <x:c r="D838" s="1" t="str">
        <x:v>Sin marca</x:v>
      </x:c>
      <x:c r="E838" s="35" t="n">
        <x:v>2</x:v>
      </x:c>
      <x:c r="F838" s="36"/>
      <x:c r="G838" s="36" t="str">
        <x:f>IF(ISNUMBER(F838),E838*F838,"")</x:f>
      </x:c>
      <x:c r="H838" s="37"/>
      <x:c r="I838" s="37"/>
      <x:c r="J838" s="1" t="n">
        <x:f>IF(ISNUMBER(F838),E838,0)</x:f>
        <x:v>0</x:v>
      </x:c>
      <x:c r="K838" s="1"/>
      <x:c r="L838" s="1" t="str">
        <x:v>https://blog.skyairline.com/playas-de-cancun/</x:v>
      </x:c>
      <x:c r="M838" s="1" t="n">
        <x:v>1</x:v>
      </x:c>
    </x:row>
    <x:row r="839" ht="18.75" customHeight="1">
      <x:c r="A839" s="1" t="str">
        <x:v>https://blog.skyairline.com/curso-tripulante-cabina/</x:v>
      </x:c>
      <x:c r="B839" s="1" t="str">
        <x:v>que se necesita para ser azafata</x:v>
      </x:c>
      <x:c r="C839" s="1" t="str">
        <x:v>chl</x:v>
      </x:c>
      <x:c r="D839" s="1" t="str">
        <x:v>Sin marca</x:v>
      </x:c>
      <x:c r="E839" s="35" t="n">
        <x:v>2</x:v>
      </x:c>
      <x:c r="F839" s="36"/>
      <x:c r="G839" s="36" t="str">
        <x:f>IF(ISNUMBER(F839),E839*F839,"")</x:f>
      </x:c>
      <x:c r="H839" s="37"/>
      <x:c r="I839" s="37"/>
      <x:c r="J839" s="1" t="n">
        <x:f>IF(ISNUMBER(F839),E839,0)</x:f>
        <x:v>0</x:v>
      </x:c>
      <x:c r="K839" s="1"/>
      <x:c r="L839" s="1" t="str">
        <x:v>https://blog.skyairline.com/playas-del-sur-de-chile-que-no-te-puedes-perder/</x:v>
      </x:c>
      <x:c r="M839" s="1" t="n">
        <x:v>1</x:v>
      </x:c>
    </x:row>
    <x:row r="840" ht="18.75" customHeight="1">
      <x:c r="A840" s="1" t="str">
        <x:v>https://blog.skyairline.com/curso-tripulante-cabina/</x:v>
      </x:c>
      <x:c r="B840" s="1" t="str">
        <x:v>requisitos azafata</x:v>
      </x:c>
      <x:c r="C840" s="1" t="str">
        <x:v>chl</x:v>
      </x:c>
      <x:c r="D840" s="1" t="str">
        <x:v>Sin marca</x:v>
      </x:c>
      <x:c r="E840" s="35" t="n">
        <x:v>2</x:v>
      </x:c>
      <x:c r="F840" s="36"/>
      <x:c r="G840" s="36" t="str">
        <x:f>IF(ISNUMBER(F840),E840*F840,"")</x:f>
      </x:c>
      <x:c r="H840" s="37"/>
      <x:c r="I840" s="37"/>
      <x:c r="J840" s="1" t="n">
        <x:f>IF(ISNUMBER(F840),E840,0)</x:f>
        <x:v>0</x:v>
      </x:c>
      <x:c r="K840" s="1"/>
      <x:c r="L840" s="1" t="str">
        <x:v>https://blog.skyairline.com/playas-en-peru/</x:v>
      </x:c>
      <x:c r="M840" s="1" t="n">
        <x:v>1</x:v>
      </x:c>
    </x:row>
    <x:row r="841" ht="18.75" customHeight="1">
      <x:c r="A841" s="1" t="str">
        <x:v>https://blog.skyairline.com/curso-tripulante-cabina/</x:v>
      </x:c>
      <x:c r="B841" s="1" t="str">
        <x:v>requisitos para ser tripulante de cabina</x:v>
      </x:c>
      <x:c r="C841" s="1" t="str">
        <x:v>chl</x:v>
      </x:c>
      <x:c r="D841" s="1" t="str">
        <x:v>Sin marca</x:v>
      </x:c>
      <x:c r="E841" s="35" t="n">
        <x:v>2</x:v>
      </x:c>
      <x:c r="F841" s="36" t="n">
        <x:v>0.22</x:v>
      </x:c>
      <x:c r="G841" s="36" t="n">
        <x:f>IF(ISNUMBER(F841),E841*F841,"")</x:f>
        <x:v>0.44</x:v>
      </x:c>
      <x:c r="H841" s="37" t="d">
        <x:v>2026-10-15T00:00:00.000Z</x:v>
      </x:c>
      <x:c r="I841" s="37" t="d">
        <x:v>2026-09-14T10:26:09.000Z</x:v>
      </x:c>
      <x:c r="J841" s="1" t="n">
        <x:f>IF(ISNUMBER(F841),E841,0)</x:f>
        <x:v>2</x:v>
      </x:c>
      <x:c r="K841" s="1"/>
      <x:c r="L841" s="1" t="str">
        <x:v>https://blog.skyairline.com/playas-mancora/</x:v>
      </x:c>
      <x:c r="M841" s="1" t="n">
        <x:v>1</x:v>
      </x:c>
    </x:row>
    <x:row r="842" ht="18.75" customHeight="1">
      <x:c r="A842" s="1" t="str">
        <x:v>https://blog.skyairline.com/curso-tripulante-cabina/</x:v>
      </x:c>
      <x:c r="B842" s="1" t="str">
        <x:v>sky airline tripulante de cabina</x:v>
      </x:c>
      <x:c r="C842" s="1" t="str">
        <x:v>chl</x:v>
      </x:c>
      <x:c r="D842" s="1" t="str">
        <x:v>Marca</x:v>
      </x:c>
      <x:c r="E842" s="35" t="n">
        <x:v>2</x:v>
      </x:c>
      <x:c r="F842" s="36"/>
      <x:c r="G842" s="36" t="str">
        <x:f>IF(ISNUMBER(F842),E842*F842,"")</x:f>
      </x:c>
      <x:c r="H842" s="37"/>
      <x:c r="I842" s="37"/>
      <x:c r="J842" s="1" t="n">
        <x:f>IF(ISNUMBER(F842),E842,0)</x:f>
        <x:v>0</x:v>
      </x:c>
      <x:c r="K842" s="1"/>
      <x:c r="L842" s="1" t="str">
        <x:v>https://blog.skyairline.com/plaza-mayor-de-lima/</x:v>
      </x:c>
      <x:c r="M842" s="1" t="n">
        <x:v>1</x:v>
      </x:c>
    </x:row>
    <x:row r="843" ht="18.75" customHeight="1">
      <x:c r="A843" s="1" t="str">
        <x:v>https://blog.skyairline.com/curso-tripulante-cabina/</x:v>
      </x:c>
      <x:c r="B843" s="1" t="str">
        <x:v>sky airlines trabajo tripulante de cabina</x:v>
      </x:c>
      <x:c r="C843" s="1" t="str">
        <x:v>per</x:v>
      </x:c>
      <x:c r="D843" s="1" t="str">
        <x:v>Marca</x:v>
      </x:c>
      <x:c r="E843" s="35" t="n">
        <x:v>2</x:v>
      </x:c>
      <x:c r="F843" s="36"/>
      <x:c r="G843" s="36" t="str">
        <x:f>IF(ISNUMBER(F843),E843*F843,"")</x:f>
      </x:c>
      <x:c r="H843" s="37" t="d">
        <x:v>2026-10-15T00:00:00.000Z</x:v>
      </x:c>
      <x:c r="I843" s="37" t="d">
        <x:v>2026-09-16T02:23:52.000Z</x:v>
      </x:c>
      <x:c r="J843" s="1" t="n">
        <x:f>IF(ISNUMBER(F843),E843,0)</x:f>
        <x:v>0</x:v>
      </x:c>
      <x:c r="K843" s="1"/>
      <x:c r="L843" s="1" t="str">
        <x:v>https://blog.skyairline.com/prepararse-para-el-cyber-day/</x:v>
      </x:c>
      <x:c r="M843" s="1" t="n">
        <x:v>1</x:v>
      </x:c>
    </x:row>
    <x:row r="844" ht="18.75" customHeight="1">
      <x:c r="A844" s="1" t="str">
        <x:v>https://blog.skyairline.com/curso-tripulante-cabina/</x:v>
      </x:c>
      <x:c r="B844" s="1" t="str">
        <x:v>sky airlines tripulante de cabina</x:v>
      </x:c>
      <x:c r="C844" s="1" t="str">
        <x:v>per</x:v>
      </x:c>
      <x:c r="D844" s="1" t="str">
        <x:v>Marca</x:v>
      </x:c>
      <x:c r="E844" s="35" t="n">
        <x:v>2</x:v>
      </x:c>
      <x:c r="F844" s="36"/>
      <x:c r="G844" s="36" t="str">
        <x:f>IF(ISNUMBER(F844),E844*F844,"")</x:f>
      </x:c>
      <x:c r="H844" s="37" t="d">
        <x:v>2026-10-15T00:00:00.000Z</x:v>
      </x:c>
      <x:c r="I844" s="37" t="d">
        <x:v>2026-10-15T09:18:47.000Z</x:v>
      </x:c>
      <x:c r="J844" s="1" t="n">
        <x:f>IF(ISNUMBER(F844),E844,0)</x:f>
        <x:v>0</x:v>
      </x:c>
      <x:c r="K844" s="1"/>
      <x:c r="L844" s="1" t="str">
        <x:v>https://blog.skyairline.com/principales-volcanes-de-chile/</x:v>
      </x:c>
      <x:c r="M844" s="1" t="n">
        <x:v>1</x:v>
      </x:c>
    </x:row>
    <x:row r="845" ht="18.75" customHeight="1">
      <x:c r="A845" s="1" t="str">
        <x:v>https://blog.skyairline.com/curso-tripulante-cabina/</x:v>
      </x:c>
      <x:c r="B845" s="1" t="str">
        <x:v>trabajo de tripulante de cabina peru</x:v>
      </x:c>
      <x:c r="C845" s="1" t="str">
        <x:v>per</x:v>
      </x:c>
      <x:c r="D845" s="1" t="str">
        <x:v>Sin marca</x:v>
      </x:c>
      <x:c r="E845" s="35" t="n">
        <x:v>2</x:v>
      </x:c>
      <x:c r="F845" s="36"/>
      <x:c r="G845" s="36" t="str">
        <x:f>IF(ISNUMBER(F845),E845*F845,"")</x:f>
      </x:c>
      <x:c r="H845" s="37"/>
      <x:c r="I845" s="37"/>
      <x:c r="J845" s="1" t="n">
        <x:f>IF(ISNUMBER(F845),E845,0)</x:f>
        <x:v>0</x:v>
      </x:c>
      <x:c r="K845" s="1"/>
      <x:c r="L845" s="1" t="str">
        <x:v>https://blog.skyairline.com/programa-de-fidelidad-de-sky-airline-alcanza-500-mil-usuarios-de-los-cuales-cerca-del-40-son-peruanos/</x:v>
      </x:c>
      <x:c r="M845" s="1" t="n">
        <x:v>1</x:v>
      </x:c>
    </x:row>
    <x:row r="846" ht="18.75" customHeight="1">
      <x:c r="A846" s="1" t="str">
        <x:v>https://blog.skyairline.com/curso-tripulante-cabina/</x:v>
      </x:c>
      <x:c r="B846" s="1" t="str">
        <x:v>tripulante de cabina postular</x:v>
      </x:c>
      <x:c r="C846" s="1" t="str">
        <x:v>chl</x:v>
      </x:c>
      <x:c r="D846" s="1" t="str">
        <x:v>Sin marca</x:v>
      </x:c>
      <x:c r="E846" s="35" t="n">
        <x:v>2</x:v>
      </x:c>
      <x:c r="F846" s="36" t="n">
        <x:v>0.64</x:v>
      </x:c>
      <x:c r="G846" s="36" t="n">
        <x:f>IF(ISNUMBER(F846),E846*F846,"")</x:f>
        <x:v>1.28</x:v>
      </x:c>
      <x:c r="H846" s="37" t="d">
        <x:v>2026-10-15T00:00:00.000Z</x:v>
      </x:c>
      <x:c r="I846" s="37" t="d">
        <x:v>2026-09-17T01:35:15.999Z</x:v>
      </x:c>
      <x:c r="J846" s="1" t="n">
        <x:f>IF(ISNUMBER(F846),E846,0)</x:f>
        <x:v>2</x:v>
      </x:c>
      <x:c r="K846" s="1"/>
      <x:c r="L846" s="1" t="str">
        <x:v>https://blog.skyairline.com/protocolo-de-embarque/</x:v>
      </x:c>
      <x:c r="M846" s="1" t="n">
        <x:v>1</x:v>
      </x:c>
    </x:row>
    <x:row r="847" ht="18.75" customHeight="1">
      <x:c r="A847" s="1" t="str">
        <x:v>https://blog.skyairline.com/descubre-economy-premier-la-nueva-experiencia-para-viajar-mas-comodo/</x:v>
      </x:c>
      <x:c r="B847" s="1" t="str">
        <x:v>economy premier</x:v>
      </x:c>
      <x:c r="C847" s="1" t="str">
        <x:v>chl</x:v>
      </x:c>
      <x:c r="D847" s="1" t="str">
        <x:v>Sin marca</x:v>
      </x:c>
      <x:c r="E847" s="35" t="n">
        <x:v>2</x:v>
      </x:c>
      <x:c r="F847" s="36"/>
      <x:c r="G847" s="36" t="str">
        <x:f>IF(ISNUMBER(F847),E847*F847,"")</x:f>
      </x:c>
      <x:c r="H847" s="37"/>
      <x:c r="I847" s="37"/>
      <x:c r="J847" s="1" t="n">
        <x:f>IF(ISNUMBER(F847),E847,0)</x:f>
        <x:v>0</x:v>
      </x:c>
      <x:c r="K847" s="1"/>
      <x:c r="L847" s="1" t="str">
        <x:v>https://blog.skyairline.com/puerto-maldonado-3/</x:v>
      </x:c>
      <x:c r="M847" s="1" t="n">
        <x:v>1</x:v>
      </x:c>
    </x:row>
    <x:row r="848" ht="18.75" customHeight="1">
      <x:c r="A848" s="1" t="str">
        <x:v>https://blog.skyairline.com/destinos-baratos/</x:v>
      </x:c>
      <x:c r="B848" s="1" t="str">
        <x:v>destinos baratos para viajar</x:v>
      </x:c>
      <x:c r="C848" s="1" t="str">
        <x:v>chl</x:v>
      </x:c>
      <x:c r="D848" s="1" t="str">
        <x:v>Sin marca</x:v>
      </x:c>
      <x:c r="E848" s="35" t="n">
        <x:v>2</x:v>
      </x:c>
      <x:c r="F848" s="36" t="n">
        <x:v>0.62</x:v>
      </x:c>
      <x:c r="G848" s="36" t="n">
        <x:f>IF(ISNUMBER(F848),E848*F848,"")</x:f>
        <x:v>1.24</x:v>
      </x:c>
      <x:c r="H848" s="37" t="d">
        <x:v>2026-10-15T00:00:00.000Z</x:v>
      </x:c>
      <x:c r="I848" s="37" t="d">
        <x:v>2026-09-17T18:21:53.000Z</x:v>
      </x:c>
      <x:c r="J848" s="1" t="n">
        <x:f>IF(ISNUMBER(F848),E848,0)</x:f>
        <x:v>2</x:v>
      </x:c>
      <x:c r="K848" s="1"/>
      <x:c r="L848" s="1" t="str">
        <x:v>https://blog.skyairline.com/punta-arenas/</x:v>
      </x:c>
      <x:c r="M848" s="1" t="n">
        <x:v>1</x:v>
      </x:c>
    </x:row>
    <x:row r="849" ht="18.75" customHeight="1">
      <x:c r="A849" s="1" t="str">
        <x:v>https://blog.skyairline.com/documentos-que-necesitas-para-viajar-a-argentina-desde-chile/</x:v>
      </x:c>
      <x:c r="B849" s="1" t="str">
        <x:v>documentos para viajar a argentina desde chile</x:v>
      </x:c>
      <x:c r="C849" s="1" t="str">
        <x:v>chl</x:v>
      </x:c>
      <x:c r="D849" s="1" t="str">
        <x:v>Sin marca</x:v>
      </x:c>
      <x:c r="E849" s="35" t="n">
        <x:v>2</x:v>
      </x:c>
      <x:c r="F849" s="36"/>
      <x:c r="G849" s="36" t="str">
        <x:f>IF(ISNUMBER(F849),E849*F849,"")</x:f>
      </x:c>
      <x:c r="H849" s="37" t="d">
        <x:v>2026-10-15T00:00:00.000Z</x:v>
      </x:c>
      <x:c r="I849" s="37" t="d">
        <x:v>2026-09-15T14:42:19.000Z</x:v>
      </x:c>
      <x:c r="J849" s="1" t="n">
        <x:f>IF(ISNUMBER(F849),E849,0)</x:f>
        <x:v>0</x:v>
      </x:c>
      <x:c r="K849" s="1"/>
      <x:c r="L849" s="1" t="str">
        <x:v>https://blog.skyairline.com/punta-cana-2/</x:v>
      </x:c>
      <x:c r="M849" s="1" t="n">
        <x:v>1</x:v>
      </x:c>
    </x:row>
    <x:row r="850" ht="18.75" customHeight="1">
      <x:c r="A850" s="1" t="str">
        <x:v>https://blog.skyairline.com/documentos-que-necesitas-para-viajar-a-argentina-desde-chile/</x:v>
      </x:c>
      <x:c r="B850" s="1" t="str">
        <x:v>requisitos para viajar a argentina desde chile en avión</x:v>
      </x:c>
      <x:c r="C850" s="1" t="str">
        <x:v>chl</x:v>
      </x:c>
      <x:c r="D850" s="1" t="str">
        <x:v>Sin marca</x:v>
      </x:c>
      <x:c r="E850" s="35" t="n">
        <x:v>2</x:v>
      </x:c>
      <x:c r="F850" s="36" t="n">
        <x:v>0.07</x:v>
      </x:c>
      <x:c r="G850" s="36" t="n">
        <x:f>IF(ISNUMBER(F850),E850*F850,"")</x:f>
        <x:v>0.14</x:v>
      </x:c>
      <x:c r="H850" s="37" t="d">
        <x:v>2026-10-15T00:00:00.000Z</x:v>
      </x:c>
      <x:c r="I850" s="37" t="d">
        <x:v>2026-09-16T03:49:53.000Z</x:v>
      </x:c>
      <x:c r="J850" s="1" t="n">
        <x:f>IF(ISNUMBER(F850),E850,0)</x:f>
        <x:v>2</x:v>
      </x:c>
      <x:c r="K850" s="1"/>
      <x:c r="L850" s="1" t="str">
        <x:v>https://blog.skyairline.com/punta-cana/</x:v>
      </x:c>
      <x:c r="M850" s="1" t="n">
        <x:v>1</x:v>
      </x:c>
    </x:row>
    <x:row r="851" ht="18.75" customHeight="1">
      <x:c r="A851" s="1" t="str">
        <x:v>https://blog.skyairline.com/documentos-viaje/</x:v>
      </x:c>
      <x:c r="B851" s="1" t="str">
        <x:v>sky se puede viajar con dni vencido</x:v>
      </x:c>
      <x:c r="C851" s="1" t="str">
        <x:v>per</x:v>
      </x:c>
      <x:c r="D851" s="1" t="str">
        <x:v>Marca</x:v>
      </x:c>
      <x:c r="E851" s="35" t="n">
        <x:v>2</x:v>
      </x:c>
      <x:c r="F851" s="36"/>
      <x:c r="G851" s="36" t="str">
        <x:f>IF(ISNUMBER(F851),E851*F851,"")</x:f>
      </x:c>
      <x:c r="H851" s="37" t="d">
        <x:v>2026-10-15T00:00:00.000Z</x:v>
      </x:c>
      <x:c r="I851" s="37" t="d">
        <x:v>2026-09-17T23:34:45.000Z</x:v>
      </x:c>
      <x:c r="J851" s="1" t="n">
        <x:f>IF(ISNUMBER(F851),E851,0)</x:f>
        <x:v>0</x:v>
      </x:c>
      <x:c r="K851" s="1"/>
      <x:c r="L851" s="1" t="str">
        <x:v>https://blog.skyairline.com/que-es-un-glamping/</x:v>
      </x:c>
      <x:c r="M851" s="1" t="n">
        <x:v>1</x:v>
      </x:c>
    </x:row>
    <x:row r="852" ht="18.75" customHeight="1">
      <x:c r="A852" s="1" t="str">
        <x:v>https://blog.skyairline.com/donde-queda-punta-cana/</x:v>
      </x:c>
      <x:c r="B852" s="1" t="str">
        <x:v>donde esta punta cana</x:v>
      </x:c>
      <x:c r="C852" s="1" t="str">
        <x:v>chl</x:v>
      </x:c>
      <x:c r="D852" s="1" t="str">
        <x:v>Sin marca</x:v>
      </x:c>
      <x:c r="E852" s="35" t="n">
        <x:v>2</x:v>
      </x:c>
      <x:c r="F852" s="36" t="n">
        <x:v>0.84</x:v>
      </x:c>
      <x:c r="G852" s="36" t="n">
        <x:f>IF(ISNUMBER(F852),E852*F852,"")</x:f>
        <x:v>1.68</x:v>
      </x:c>
      <x:c r="H852" s="37" t="d">
        <x:v>2026-10-15T00:00:00.000Z</x:v>
      </x:c>
      <x:c r="I852" s="37" t="d">
        <x:v>2026-09-16T08:40:14.000Z</x:v>
      </x:c>
      <x:c r="J852" s="1" t="n">
        <x:f>IF(ISNUMBER(F852),E852,0)</x:f>
        <x:v>2</x:v>
      </x:c>
      <x:c r="K852" s="1"/>
      <x:c r="L852" s="1" t="str">
        <x:v>https://blog.skyairline.com/que-hacer-en-arica/</x:v>
      </x:c>
      <x:c r="M852" s="1" t="n">
        <x:v>1</x:v>
      </x:c>
    </x:row>
    <x:row r="853" ht="18.75" customHeight="1">
      <x:c r="A853" s="1" t="str">
        <x:v>https://blog.skyairline.com/donde-queda-punta-cana/</x:v>
      </x:c>
      <x:c r="B853" s="1" t="str">
        <x:v>donde queda punta cana</x:v>
      </x:c>
      <x:c r="C853" s="1" t="str">
        <x:v>col</x:v>
      </x:c>
      <x:c r="D853" s="1" t="str">
        <x:v>Sin marca</x:v>
      </x:c>
      <x:c r="E853" s="35" t="n">
        <x:v>2</x:v>
      </x:c>
      <x:c r="F853" s="36"/>
      <x:c r="G853" s="36" t="str">
        <x:f>IF(ISNUMBER(F853),E853*F853,"")</x:f>
      </x:c>
      <x:c r="H853" s="37"/>
      <x:c r="I853" s="37"/>
      <x:c r="J853" s="1" t="n">
        <x:f>IF(ISNUMBER(F853),E853,0)</x:f>
        <x:v>0</x:v>
      </x:c>
      <x:c r="K853" s="1"/>
      <x:c r="L853" s="1" t="str">
        <x:v>https://blog.skyairline.com/que-hacer-en-chiclayo/</x:v>
      </x:c>
      <x:c r="M853" s="1" t="n">
        <x:v>1</x:v>
      </x:c>
    </x:row>
    <x:row r="854" ht="18.75" customHeight="1">
      <x:c r="A854" s="1" t="str">
        <x:v>https://blog.skyairline.com/donde-queda-punta-cana/</x:v>
      </x:c>
      <x:c r="B854" s="1" t="str">
        <x:v>donde queda punta cana</x:v>
      </x:c>
      <x:c r="C854" s="1" t="str">
        <x:v>per</x:v>
      </x:c>
      <x:c r="D854" s="1" t="str">
        <x:v>Sin marca</x:v>
      </x:c>
      <x:c r="E854" s="35" t="n">
        <x:v>2</x:v>
      </x:c>
      <x:c r="F854" s="36" t="n">
        <x:v>1.15</x:v>
      </x:c>
      <x:c r="G854" s="36" t="n">
        <x:f>IF(ISNUMBER(F854),E854*F854,"")</x:f>
        <x:v>2.3</x:v>
      </x:c>
      <x:c r="H854" s="37" t="d">
        <x:v>2026-10-15T00:00:00.000Z</x:v>
      </x:c>
      <x:c r="I854" s="37" t="d">
        <x:v>2026-09-15T02:49:03.000Z</x:v>
      </x:c>
      <x:c r="J854" s="1" t="n">
        <x:f>IF(ISNUMBER(F854),E854,0)</x:f>
        <x:v>2</x:v>
      </x:c>
      <x:c r="K854" s="1"/>
      <x:c r="L854" s="1" t="str">
        <x:v>https://blog.skyairline.com/que-hacer-en-jauja/</x:v>
      </x:c>
      <x:c r="M854" s="1" t="n">
        <x:v>1</x:v>
      </x:c>
    </x:row>
    <x:row r="855" ht="18.75" customHeight="1">
      <x:c r="A855" s="1" t="str">
        <x:v>https://blog.skyairline.com/donde-queda-punta-cana/</x:v>
      </x:c>
      <x:c r="B855" s="1" t="str">
        <x:v>punta cana donde queda</x:v>
      </x:c>
      <x:c r="C855" s="1" t="str">
        <x:v>chl</x:v>
      </x:c>
      <x:c r="D855" s="1" t="str">
        <x:v>Sin marca</x:v>
      </x:c>
      <x:c r="E855" s="35" t="n">
        <x:v>2</x:v>
      </x:c>
      <x:c r="F855" s="36" t="n">
        <x:v>1.23</x:v>
      </x:c>
      <x:c r="G855" s="36" t="n">
        <x:f>IF(ISNUMBER(F855),E855*F855,"")</x:f>
        <x:v>2.46</x:v>
      </x:c>
      <x:c r="H855" s="37" t="d">
        <x:v>2026-10-15T00:00:00.000Z</x:v>
      </x:c>
      <x:c r="I855" s="37" t="d">
        <x:v>2026-09-13T00:01:21.000Z</x:v>
      </x:c>
      <x:c r="J855" s="1" t="n">
        <x:f>IF(ISNUMBER(F855),E855,0)</x:f>
        <x:v>2</x:v>
      </x:c>
      <x:c r="K855" s="1"/>
      <x:c r="L855" s="1" t="str">
        <x:v>https://blog.skyairline.com/que-hacer-en-la-serena/</x:v>
      </x:c>
      <x:c r="M855" s="1" t="n">
        <x:v>1</x:v>
      </x:c>
    </x:row>
    <x:row r="856" ht="18.75" customHeight="1">
      <x:c r="A856" s="1" t="str">
        <x:v>https://blog.skyairline.com/donde-viajar-con-ninos/</x:v>
      </x:c>
      <x:c r="B856" s="1" t="str">
        <x:v>donde viajar con niños fuera de chile</x:v>
      </x:c>
      <x:c r="C856" s="1" t="str">
        <x:v>chl</x:v>
      </x:c>
      <x:c r="D856" s="1" t="str">
        <x:v>Sin marca</x:v>
      </x:c>
      <x:c r="E856" s="35" t="n">
        <x:v>2</x:v>
      </x:c>
      <x:c r="F856" s="36"/>
      <x:c r="G856" s="36" t="str">
        <x:f>IF(ISNUMBER(F856),E856*F856,"")</x:f>
      </x:c>
      <x:c r="H856" s="37" t="d">
        <x:v>2026-10-15T00:00:00.000Z</x:v>
      </x:c>
      <x:c r="I856" s="37" t="d">
        <x:v>2026-06-14T17:12:34.000Z</x:v>
      </x:c>
      <x:c r="J856" s="1" t="n">
        <x:f>IF(ISNUMBER(F856),E856,0)</x:f>
        <x:v>0</x:v>
      </x:c>
      <x:c r="K856" s="1"/>
      <x:c r="L856" s="1" t="str">
        <x:v>https://blog.skyairline.com/que-hacer-si-mi-vuelo-cancelado/</x:v>
      </x:c>
      <x:c r="M856" s="1" t="n">
        <x:v>1</x:v>
      </x:c>
    </x:row>
    <x:row r="857" ht="18.75" customHeight="1">
      <x:c r="A857" s="1" t="str">
        <x:v>https://blog.skyairline.com/donde-viajar-con-ninos/</x:v>
      </x:c>
      <x:c r="B857" s="1" t="str">
        <x:v>mejores destinos para viajar con niños</x:v>
      </x:c>
      <x:c r="C857" s="1" t="str">
        <x:v>chl</x:v>
      </x:c>
      <x:c r="D857" s="1" t="str">
        <x:v>Sin marca</x:v>
      </x:c>
      <x:c r="E857" s="35" t="n">
        <x:v>2</x:v>
      </x:c>
      <x:c r="F857" s="36"/>
      <x:c r="G857" s="36" t="str">
        <x:f>IF(ISNUMBER(F857),E857*F857,"")</x:f>
      </x:c>
      <x:c r="H857" s="37" t="d">
        <x:v>2026-10-15T00:00:00.000Z</x:v>
      </x:c>
      <x:c r="I857" s="37" t="d">
        <x:v>2026-06-14T02:00:56.000Z</x:v>
      </x:c>
      <x:c r="J857" s="1" t="n">
        <x:f>IF(ISNUMBER(F857),E857,0)</x:f>
        <x:v>0</x:v>
      </x:c>
      <x:c r="K857" s="1"/>
      <x:c r="L857" s="1" t="str">
        <x:v>https://blog.skyairline.com/que-is-hostal/</x:v>
      </x:c>
      <x:c r="M857" s="1" t="n">
        <x:v>1</x:v>
      </x:c>
    </x:row>
    <x:row r="858" ht="18.75" customHeight="1">
      <x:c r="A858" s="1" t="str">
        <x:v>https://blog.skyairline.com/enchufe-argentina/</x:v>
      </x:c>
      <x:c r="B858" s="1" t="str">
        <x:v>enchufe argentina</x:v>
      </x:c>
      <x:c r="C858" s="1" t="str">
        <x:v>chl</x:v>
      </x:c>
      <x:c r="D858" s="1" t="str">
        <x:v>Sin marca</x:v>
      </x:c>
      <x:c r="E858" s="35" t="n">
        <x:v>2</x:v>
      </x:c>
      <x:c r="F858" s="36" t="n">
        <x:v>0.07</x:v>
      </x:c>
      <x:c r="G858" s="36" t="n">
        <x:f>IF(ISNUMBER(F858),E858*F858,"")</x:f>
        <x:v>0.14</x:v>
      </x:c>
      <x:c r="H858" s="37" t="d">
        <x:v>2026-10-15T00:00:00.000Z</x:v>
      </x:c>
      <x:c r="I858" s="37" t="d">
        <x:v>2026-09-16T09:58:48.000Z</x:v>
      </x:c>
      <x:c r="J858" s="1" t="n">
        <x:f>IF(ISNUMBER(F858),E858,0)</x:f>
        <x:v>2</x:v>
      </x:c>
      <x:c r="K858" s="1"/>
      <x:c r="L858" s="1" t="str">
        <x:v>https://blog.skyairline.com/recibimos-nuestra-certificacion-iosa/</x:v>
      </x:c>
      <x:c r="M858" s="1" t="n">
        <x:v>1</x:v>
      </x:c>
    </x:row>
    <x:row r="859" ht="18.75" customHeight="1">
      <x:c r="A859" s="1" t="str">
        <x:v>https://blog.skyairline.com/enchufe-argentina/</x:v>
      </x:c>
      <x:c r="B859" s="1" t="str">
        <x:v>enchufes en argentina</x:v>
      </x:c>
      <x:c r="C859" s="1" t="str">
        <x:v>chl</x:v>
      </x:c>
      <x:c r="D859" s="1" t="str">
        <x:v>Sin marca</x:v>
      </x:c>
      <x:c r="E859" s="35" t="n">
        <x:v>2</x:v>
      </x:c>
      <x:c r="F859" s="36" t="n">
        <x:v>0.07</x:v>
      </x:c>
      <x:c r="G859" s="36" t="n">
        <x:f>IF(ISNUMBER(F859),E859*F859,"")</x:f>
        <x:v>0.14</x:v>
      </x:c>
      <x:c r="H859" s="37" t="d">
        <x:v>2026-10-15T00:00:00.000Z</x:v>
      </x:c>
      <x:c r="I859" s="37" t="d">
        <x:v>2026-09-13T08:27:47.000Z</x:v>
      </x:c>
      <x:c r="J859" s="1" t="n">
        <x:f>IF(ISNUMBER(F859),E859,0)</x:f>
        <x:v>2</x:v>
      </x:c>
      <x:c r="K859" s="1"/>
      <x:c r="L859" s="1" t="str">
        <x:v>https://blog.skyairline.com/recorrer-el-mundo/</x:v>
      </x:c>
      <x:c r="M859" s="1" t="n">
        <x:v>1</x:v>
      </x:c>
    </x:row>
    <x:row r="860" ht="18.75" customHeight="1">
      <x:c r="A860" s="1" t="str">
        <x:v>https://blog.skyairline.com/enchufe-argentina/</x:v>
      </x:c>
      <x:c r="B860" s="1" t="str">
        <x:v>enchufes en argentina</x:v>
      </x:c>
      <x:c r="C860" s="1" t="str">
        <x:v>per</x:v>
      </x:c>
      <x:c r="D860" s="1" t="str">
        <x:v>Sin marca</x:v>
      </x:c>
      <x:c r="E860" s="35" t="n">
        <x:v>2</x:v>
      </x:c>
      <x:c r="F860" s="36" t="n">
        <x:v>0.33</x:v>
      </x:c>
      <x:c r="G860" s="36" t="n">
        <x:f>IF(ISNUMBER(F860),E860*F860,"")</x:f>
        <x:v>0.66</x:v>
      </x:c>
      <x:c r="H860" s="37" t="d">
        <x:v>2026-10-15T00:00:00.000Z</x:v>
      </x:c>
      <x:c r="I860" s="37" t="d">
        <x:v>2026-10-15T18:51:37.000Z</x:v>
      </x:c>
      <x:c r="J860" s="1" t="n">
        <x:f>IF(ISNUMBER(F860),E860,0)</x:f>
        <x:v>2</x:v>
      </x:c>
      <x:c r="K860" s="1"/>
      <x:c r="L860" s="1" t="str">
        <x:v>https://blog.skyairline.com/recorrer-miami/</x:v>
      </x:c>
      <x:c r="M860" s="1" t="n">
        <x:v>1</x:v>
      </x:c>
    </x:row>
    <x:row r="861" ht="18.75" customHeight="1">
      <x:c r="A861" s="1" t="str">
        <x:v>https://blog.skyairline.com/enchufe-argentina/</x:v>
      </x:c>
      <x:c r="B861" s="1" t="str">
        <x:v>que enchufes se usan en argentina</x:v>
      </x:c>
      <x:c r="C861" s="1" t="str">
        <x:v>chl</x:v>
      </x:c>
      <x:c r="D861" s="1" t="str">
        <x:v>Sin marca</x:v>
      </x:c>
      <x:c r="E861" s="35" t="n">
        <x:v>2</x:v>
      </x:c>
      <x:c r="F861" s="36"/>
      <x:c r="G861" s="36" t="str">
        <x:f>IF(ISNUMBER(F861),E861*F861,"")</x:f>
      </x:c>
      <x:c r="H861" s="37"/>
      <x:c r="I861" s="37"/>
      <x:c r="J861" s="1" t="n">
        <x:f>IF(ISNUMBER(F861),E861,0)</x:f>
        <x:v>0</x:v>
      </x:c>
      <x:c r="K861" s="1"/>
      <x:c r="L861" s="1" t="str">
        <x:v>https://blog.skyairline.com/region-de-la-araucania/</x:v>
      </x:c>
      <x:c r="M861" s="1" t="n">
        <x:v>1</x:v>
      </x:c>
    </x:row>
    <x:row r="862" ht="18.75" customHeight="1">
      <x:c r="A862" s="1" t="str">
        <x:v>https://blog.skyairline.com/enchufe-brasil/</x:v>
      </x:c>
      <x:c r="B862" s="1" t="str">
        <x:v>enchufe brasil es igual a chile</x:v>
      </x:c>
      <x:c r="C862" s="1" t="str">
        <x:v>chl</x:v>
      </x:c>
      <x:c r="D862" s="1" t="str">
        <x:v>Sin marca</x:v>
      </x:c>
      <x:c r="E862" s="35" t="n">
        <x:v>2</x:v>
      </x:c>
      <x:c r="F862" s="36"/>
      <x:c r="G862" s="36" t="str">
        <x:f>IF(ISNUMBER(F862),E862*F862,"")</x:f>
      </x:c>
      <x:c r="H862" s="37"/>
      <x:c r="I862" s="37"/>
      <x:c r="J862" s="1" t="n">
        <x:f>IF(ISNUMBER(F862),E862,0)</x:f>
        <x:v>0</x:v>
      </x:c>
      <x:c r="K862" s="1"/>
      <x:c r="L862" s="1" t="str">
        <x:v>https://blog.skyairline.com/renovacion-votos-matrimoniales/</x:v>
      </x:c>
      <x:c r="M862" s="1" t="n">
        <x:v>1</x:v>
      </x:c>
    </x:row>
    <x:row r="863" ht="18.75" customHeight="1">
      <x:c r="A863" s="1" t="str">
        <x:v>https://blog.skyairline.com/enchufe-brasil/</x:v>
      </x:c>
      <x:c r="B863" s="1" t="str">
        <x:v>enchufe tipo n</x:v>
      </x:c>
      <x:c r="C863" s="1" t="str">
        <x:v>chl</x:v>
      </x:c>
      <x:c r="D863" s="1" t="str">
        <x:v>Sin marca</x:v>
      </x:c>
      <x:c r="E863" s="35" t="n">
        <x:v>2</x:v>
      </x:c>
      <x:c r="F863" s="36" t="n">
        <x:v>0.15</x:v>
      </x:c>
      <x:c r="G863" s="36" t="n">
        <x:f>IF(ISNUMBER(F863),E863*F863,"")</x:f>
        <x:v>0.3</x:v>
      </x:c>
      <x:c r="H863" s="37" t="d">
        <x:v>2026-10-15T00:00:00.000Z</x:v>
      </x:c>
      <x:c r="I863" s="37" t="d">
        <x:v>2026-09-15T07:54:57.000Z</x:v>
      </x:c>
      <x:c r="J863" s="1" t="n">
        <x:f>IF(ISNUMBER(F863),E863,0)</x:f>
        <x:v>2</x:v>
      </x:c>
      <x:c r="K863" s="1"/>
      <x:c r="L863" s="1" t="str">
        <x:v>https://blog.skyairline.com/republica-dominicana/</x:v>
      </x:c>
      <x:c r="M863" s="1" t="n">
        <x:v>1</x:v>
      </x:c>
    </x:row>
    <x:row r="864" ht="18.75" customHeight="1">
      <x:c r="A864" s="1" t="str">
        <x:v>https://blog.skyairline.com/enchufe-brasil/</x:v>
      </x:c>
      <x:c r="B864" s="1" t="str">
        <x:v>que tipo de enchufe se usa en brasil</x:v>
      </x:c>
      <x:c r="C864" s="1" t="str">
        <x:v>chl</x:v>
      </x:c>
      <x:c r="D864" s="1" t="str">
        <x:v>Sin marca</x:v>
      </x:c>
      <x:c r="E864" s="35" t="n">
        <x:v>2</x:v>
      </x:c>
      <x:c r="F864" s="36"/>
      <x:c r="G864" s="36" t="str">
        <x:f>IF(ISNUMBER(F864),E864*F864,"")</x:f>
      </x:c>
      <x:c r="H864" s="37"/>
      <x:c r="I864" s="37"/>
      <x:c r="J864" s="1" t="n">
        <x:f>IF(ISNUMBER(F864),E864,0)</x:f>
        <x:v>0</x:v>
      </x:c>
      <x:c r="K864" s="1"/>
      <x:c r="L864" s="1" t="str">
        <x:v>https://blog.skyairline.com/reservas-de-hotel-por-internet/</x:v>
      </x:c>
      <x:c r="M864" s="1" t="n">
        <x:v>1</x:v>
      </x:c>
    </x:row>
    <x:row r="865" ht="18.75" customHeight="1">
      <x:c r="A865" s="1" t="str">
        <x:v>https://blog.skyairline.com/enchufe-peru/</x:v>
      </x:c>
      <x:c r="B865" s="1" t="str">
        <x:v>enchufe peru</x:v>
      </x:c>
      <x:c r="C865" s="1" t="str">
        <x:v>chl</x:v>
      </x:c>
      <x:c r="D865" s="1" t="str">
        <x:v>Sin marca</x:v>
      </x:c>
      <x:c r="E865" s="35" t="n">
        <x:v>2</x:v>
      </x:c>
      <x:c r="F865" s="36" t="n">
        <x:v>0.3</x:v>
      </x:c>
      <x:c r="G865" s="36" t="n">
        <x:f>IF(ISNUMBER(F865),E865*F865,"")</x:f>
        <x:v>0.6</x:v>
      </x:c>
      <x:c r="H865" s="37" t="d">
        <x:v>2026-10-15T00:00:00.000Z</x:v>
      </x:c>
      <x:c r="I865" s="37" t="d">
        <x:v>2026-09-13T04:37:45.000Z</x:v>
      </x:c>
      <x:c r="J865" s="1" t="n">
        <x:f>IF(ISNUMBER(F865),E865,0)</x:f>
        <x:v>2</x:v>
      </x:c>
      <x:c r="K865" s="1"/>
      <x:c r="L865" s="1" t="str">
        <x:v>https://blog.skyairline.com/restaurantes-en-bariloche/</x:v>
      </x:c>
      <x:c r="M865" s="1" t="n">
        <x:v>1</x:v>
      </x:c>
    </x:row>
    <x:row r="866" ht="18.75" customHeight="1">
      <x:c r="A866" s="1" t="str">
        <x:v>https://blog.skyairline.com/enchufe-peru/</x:v>
      </x:c>
      <x:c r="B866" s="1" t="str">
        <x:v>que enchufe se usa en peru</x:v>
      </x:c>
      <x:c r="C866" s="1" t="str">
        <x:v>chl</x:v>
      </x:c>
      <x:c r="D866" s="1" t="str">
        <x:v>Sin marca</x:v>
      </x:c>
      <x:c r="E866" s="35" t="n">
        <x:v>2</x:v>
      </x:c>
      <x:c r="F866" s="36"/>
      <x:c r="G866" s="36" t="str">
        <x:f>IF(ISNUMBER(F866),E866*F866,"")</x:f>
      </x:c>
      <x:c r="H866" s="37"/>
      <x:c r="I866" s="37"/>
      <x:c r="J866" s="1" t="n">
        <x:f>IF(ISNUMBER(F866),E866,0)</x:f>
        <x:v>0</x:v>
      </x:c>
      <x:c r="K866" s="1"/>
      <x:c r="L866" s="1" t="str">
        <x:v>https://blog.skyairline.com/restaurantes-en-lima/</x:v>
      </x:c>
      <x:c r="M866" s="1" t="n">
        <x:v>1</x:v>
      </x:c>
    </x:row>
    <x:row r="867" ht="18.75" customHeight="1">
      <x:c r="A867" s="1" t="str">
        <x:v>https://blog.skyairline.com/enchufe-peru/</x:v>
      </x:c>
      <x:c r="B867" s="1" t="str">
        <x:v>tipo de enchufe en peru</x:v>
      </x:c>
      <x:c r="C867" s="1" t="str">
        <x:v>chl</x:v>
      </x:c>
      <x:c r="D867" s="1" t="str">
        <x:v>Sin marca</x:v>
      </x:c>
      <x:c r="E867" s="35" t="n">
        <x:v>2</x:v>
      </x:c>
      <x:c r="F867" s="36"/>
      <x:c r="G867" s="36" t="str">
        <x:f>IF(ISNUMBER(F867),E867*F867,"")</x:f>
      </x:c>
      <x:c r="H867" s="37"/>
      <x:c r="I867" s="37"/>
      <x:c r="J867" s="1" t="n">
        <x:f>IF(ISNUMBER(F867),E867,0)</x:f>
        <x:v>0</x:v>
      </x:c>
      <x:c r="K867" s="1"/>
      <x:c r="L867" s="1" t="str">
        <x:v>https://blog.skyairline.com/riesgos-de-viajar-en-avion/</x:v>
      </x:c>
      <x:c r="M867" s="1" t="n">
        <x:v>1</x:v>
      </x:c>
    </x:row>
    <x:row r="868" ht="18.75" customHeight="1">
      <x:c r="A868" s="1" t="str">
        <x:v>https://blog.skyairline.com/enchufe-peru/</x:v>
      </x:c>
      <x:c r="B868" s="1" t="str">
        <x:v>tipo de enchufe peru</x:v>
      </x:c>
      <x:c r="C868" s="1" t="str">
        <x:v>chl</x:v>
      </x:c>
      <x:c r="D868" s="1" t="str">
        <x:v>Sin marca</x:v>
      </x:c>
      <x:c r="E868" s="35" t="n">
        <x:v>2</x:v>
      </x:c>
      <x:c r="F868" s="36"/>
      <x:c r="G868" s="36" t="str">
        <x:f>IF(ISNUMBER(F868),E868*F868,"")</x:f>
      </x:c>
      <x:c r="H868" s="37"/>
      <x:c r="I868" s="37"/>
      <x:c r="J868" s="1" t="n">
        <x:f>IF(ISNUMBER(F868),E868,0)</x:f>
        <x:v>0</x:v>
      </x:c>
      <x:c r="K868" s="1"/>
      <x:c r="L868" s="1" t="str">
        <x:v>https://blog.skyairline.com/ropa-para-nieve/</x:v>
      </x:c>
      <x:c r="M868" s="1" t="n">
        <x:v>1</x:v>
      </x:c>
    </x:row>
    <x:row r="869" ht="18.75" customHeight="1">
      <x:c r="A869" s="1" t="str">
        <x:v>https://blog.skyairline.com/equipaje-de-bodega/</x:v>
      </x:c>
      <x:c r="B869" s="1" t="str">
        <x:v>1 bolso de mano sky medidas</x:v>
      </x:c>
      <x:c r="C869" s="1" t="str">
        <x:v>chl</x:v>
      </x:c>
      <x:c r="D869" s="1" t="str">
        <x:v>Marca</x:v>
      </x:c>
      <x:c r="E869" s="35" t="n">
        <x:v>2</x:v>
      </x:c>
      <x:c r="F869" s="36"/>
      <x:c r="G869" s="36" t="str">
        <x:f>IF(ISNUMBER(F869),E869*F869,"")</x:f>
      </x:c>
      <x:c r="H869" s="37"/>
      <x:c r="I869" s="37"/>
      <x:c r="J869" s="1" t="n">
        <x:f>IF(ISNUMBER(F869),E869,0)</x:f>
        <x:v>0</x:v>
      </x:c>
      <x:c r="K869" s="1"/>
      <x:c r="L869" s="1" t="str">
        <x:v>https://blog.skyairline.com/sabias-que-viajar-es-bueno-para-la-salud/</x:v>
      </x:c>
      <x:c r="M869" s="1" t="n">
        <x:v>1</x:v>
      </x:c>
    </x:row>
    <x:row r="870" ht="18.75" customHeight="1">
      <x:c r="A870" s="1" t="str">
        <x:v>https://blog.skyairline.com/equipaje-de-bodega/</x:v>
      </x:c>
      <x:c r="B870" s="1" t="str">
        <x:v>bolso de mano medidas sky</x:v>
      </x:c>
      <x:c r="C870" s="1" t="str">
        <x:v>per</x:v>
      </x:c>
      <x:c r="D870" s="1" t="str">
        <x:v>Marca</x:v>
      </x:c>
      <x:c r="E870" s="35" t="n">
        <x:v>2</x:v>
      </x:c>
      <x:c r="F870" s="36"/>
      <x:c r="G870" s="36" t="str">
        <x:f>IF(ISNUMBER(F870),E870*F870,"")</x:f>
      </x:c>
      <x:c r="H870" s="37" t="d">
        <x:v>2026-10-15T00:00:00.000Z</x:v>
      </x:c>
      <x:c r="I870" s="37" t="d">
        <x:v>2026-09-14T16:27:48.000Z</x:v>
      </x:c>
      <x:c r="J870" s="1" t="n">
        <x:f>IF(ISNUMBER(F870),E870,0)</x:f>
        <x:v>0</x:v>
      </x:c>
      <x:c r="K870" s="1"/>
      <x:c r="L870" s="1" t="str">
        <x:v>https://blog.skyairline.com/salto-el-itata/</x:v>
      </x:c>
      <x:c r="M870" s="1" t="n">
        <x:v>1</x:v>
      </x:c>
    </x:row>
    <x:row r="871" ht="18.75" customHeight="1">
      <x:c r="A871" s="1" t="str">
        <x:v>https://blog.skyairline.com/equipaje-de-bodega/</x:v>
      </x:c>
      <x:c r="B871" s="1" t="str">
        <x:v>bolso mano sky</x:v>
      </x:c>
      <x:c r="C871" s="1" t="str">
        <x:v>chl</x:v>
      </x:c>
      <x:c r="D871" s="1" t="str">
        <x:v>Marca</x:v>
      </x:c>
      <x:c r="E871" s="35" t="n">
        <x:v>2</x:v>
      </x:c>
      <x:c r="F871" s="36"/>
      <x:c r="G871" s="36" t="str">
        <x:f>IF(ISNUMBER(F871),E871*F871,"")</x:f>
      </x:c>
      <x:c r="H871" s="37" t="d">
        <x:v>2026-10-15T00:00:00.000Z</x:v>
      </x:c>
      <x:c r="I871" s="37" t="d">
        <x:v>2026-10-15T18:45:35.000Z</x:v>
      </x:c>
      <x:c r="J871" s="1" t="n">
        <x:f>IF(ISNUMBER(F871),E871,0)</x:f>
        <x:v>0</x:v>
      </x:c>
      <x:c r="K871" s="1"/>
      <x:c r="L871" s="1" t="str">
        <x:v>https://blog.skyairline.com/salvador-de-bahia-playas/</x:v>
      </x:c>
      <x:c r="M871" s="1" t="n">
        <x:v>1</x:v>
      </x:c>
    </x:row>
    <x:row r="872" ht="18.75" customHeight="1">
      <x:c r="A872" s="1" t="str">
        <x:v>https://blog.skyairline.com/equipaje-de-bodega/</x:v>
      </x:c>
      <x:c r="B872" s="1" t="str">
        <x:v>cuanto debe medir un equipaje de mano</x:v>
      </x:c>
      <x:c r="C872" s="1" t="str">
        <x:v>chl</x:v>
      </x:c>
      <x:c r="D872" s="1" t="str">
        <x:v>Sin marca</x:v>
      </x:c>
      <x:c r="E872" s="35" t="n">
        <x:v>2</x:v>
      </x:c>
      <x:c r="F872" s="36"/>
      <x:c r="G872" s="36" t="str">
        <x:f>IF(ISNUMBER(F872),E872*F872,"")</x:f>
      </x:c>
      <x:c r="H872" s="37"/>
      <x:c r="I872" s="37"/>
      <x:c r="J872" s="1" t="n">
        <x:f>IF(ISNUMBER(F872),E872,0)</x:f>
        <x:v>0</x:v>
      </x:c>
      <x:c r="K872" s="1"/>
      <x:c r="L872" s="1" t="str">
        <x:v>https://blog.skyairline.com/san-pedro-de-atacama/</x:v>
      </x:c>
      <x:c r="M872" s="1" t="n">
        <x:v>1</x:v>
      </x:c>
    </x:row>
    <x:row r="873" ht="18.75" customHeight="1">
      <x:c r="A873" s="1" t="str">
        <x:v>https://blog.skyairline.com/equipaje-de-bodega/</x:v>
      </x:c>
      <x:c r="B873" s="1" t="str">
        <x:v>diferencia equipaje de mano y de cabina</x:v>
      </x:c>
      <x:c r="C873" s="1" t="str">
        <x:v>chl</x:v>
      </x:c>
      <x:c r="D873" s="1" t="str">
        <x:v>Sin marca</x:v>
      </x:c>
      <x:c r="E873" s="35" t="n">
        <x:v>2</x:v>
      </x:c>
      <x:c r="F873" s="36"/>
      <x:c r="G873" s="36" t="str">
        <x:f>IF(ISNUMBER(F873),E873*F873,"")</x:f>
      </x:c>
      <x:c r="H873" s="37" t="d">
        <x:v>2026-10-15T00:00:00.000Z</x:v>
      </x:c>
      <x:c r="I873" s="37" t="d">
        <x:v>2026-09-13T14:52:20.000Z</x:v>
      </x:c>
      <x:c r="J873" s="1" t="n">
        <x:f>IF(ISNUMBER(F873),E873,0)</x:f>
        <x:v>0</x:v>
      </x:c>
      <x:c r="K873" s="1"/>
      <x:c r="L873" s="1" t="str">
        <x:v>https://blog.skyairline.com/santa-marta-colombia/</x:v>
      </x:c>
      <x:c r="M873" s="1" t="n">
        <x:v>1</x:v>
      </x:c>
    </x:row>
    <x:row r="874" ht="18.75" customHeight="1">
      <x:c r="A874" s="1" t="str">
        <x:v>https://blog.skyairline.com/equipaje-de-bodega/</x:v>
      </x:c>
      <x:c r="B874" s="1" t="str">
        <x:v>dimension maleta cabina</x:v>
      </x:c>
      <x:c r="C874" s="1" t="str">
        <x:v>chl</x:v>
      </x:c>
      <x:c r="D874" s="1" t="str">
        <x:v>Sin marca</x:v>
      </x:c>
      <x:c r="E874" s="35" t="n">
        <x:v>2</x:v>
      </x:c>
      <x:c r="F874" s="36"/>
      <x:c r="G874" s="36" t="str">
        <x:f>IF(ISNUMBER(F874),E874*F874,"")</x:f>
      </x:c>
      <x:c r="H874" s="37"/>
      <x:c r="I874" s="37"/>
      <x:c r="J874" s="1" t="n">
        <x:f>IF(ISNUMBER(F874),E874,0)</x:f>
        <x:v>0</x:v>
      </x:c>
      <x:c r="K874" s="1"/>
      <x:c r="L874" s="1" t="str">
        <x:v>https://blog.skyairline.com/santo-antonio-de-lisboa/</x:v>
      </x:c>
      <x:c r="M874" s="1" t="n">
        <x:v>1</x:v>
      </x:c>
    </x:row>
    <x:row r="875" ht="18.75" customHeight="1">
      <x:c r="A875" s="1" t="str">
        <x:v>https://blog.skyairline.com/equipaje-de-bodega/</x:v>
      </x:c>
      <x:c r="B875" s="1" t="str">
        <x:v>dimensiones equipaje de mano</x:v>
      </x:c>
      <x:c r="C875" s="1" t="str">
        <x:v>chl</x:v>
      </x:c>
      <x:c r="D875" s="1" t="str">
        <x:v>Sin marca</x:v>
      </x:c>
      <x:c r="E875" s="35" t="n">
        <x:v>2</x:v>
      </x:c>
      <x:c r="F875" s="36"/>
      <x:c r="G875" s="36" t="str">
        <x:f>IF(ISNUMBER(F875),E875*F875,"")</x:f>
      </x:c>
      <x:c r="H875" s="37"/>
      <x:c r="I875" s="37"/>
      <x:c r="J875" s="1" t="n">
        <x:f>IF(ISNUMBER(F875),E875,0)</x:f>
        <x:v>0</x:v>
      </x:c>
      <x:c r="K875" s="1"/>
      <x:c r="L875" s="1" t="str">
        <x:v>https://blog.skyairline.com/sargazo-en-cancun-afecta-a-las-playas-y-el-turismo/</x:v>
      </x:c>
      <x:c r="M875" s="1" t="n">
        <x:v>1</x:v>
      </x:c>
    </x:row>
    <x:row r="876" ht="18.75" customHeight="1">
      <x:c r="A876" s="1" t="str">
        <x:v>https://blog.skyairline.com/equipaje-de-bodega/</x:v>
      </x:c>
      <x:c r="B876" s="1" t="str">
        <x:v>dimensiones mochila sky</x:v>
      </x:c>
      <x:c r="C876" s="1" t="str">
        <x:v>chl</x:v>
      </x:c>
      <x:c r="D876" s="1" t="str">
        <x:v>Marca</x:v>
      </x:c>
      <x:c r="E876" s="35" t="n">
        <x:v>2</x:v>
      </x:c>
      <x:c r="F876" s="36"/>
      <x:c r="G876" s="36" t="str">
        <x:f>IF(ISNUMBER(F876),E876*F876,"")</x:f>
      </x:c>
      <x:c r="H876" s="37"/>
      <x:c r="I876" s="37"/>
      <x:c r="J876" s="1" t="n">
        <x:f>IF(ISNUMBER(F876),E876,0)</x:f>
        <x:v>0</x:v>
      </x:c>
      <x:c r="K876" s="1"/>
      <x:c r="L876" s="1" t="str">
        <x:v>https://blog.skyairline.com/seguridad-para-viajar-en-avion/</x:v>
      </x:c>
      <x:c r="M876" s="1" t="n">
        <x:v>1</x:v>
      </x:c>
    </x:row>
    <x:row r="877" ht="18.75" customHeight="1">
      <x:c r="A877" s="1" t="str">
        <x:v>https://blog.skyairline.com/equipaje-de-bodega/</x:v>
      </x:c>
      <x:c r="B877" s="1" t="str">
        <x:v>equipaje bodega sky</x:v>
      </x:c>
      <x:c r="C877" s="1" t="str">
        <x:v>arg</x:v>
      </x:c>
      <x:c r="D877" s="1" t="str">
        <x:v>Marca</x:v>
      </x:c>
      <x:c r="E877" s="35" t="n">
        <x:v>2</x:v>
      </x:c>
      <x:c r="F877" s="36"/>
      <x:c r="G877" s="36" t="str">
        <x:f>IF(ISNUMBER(F877),E877*F877,"")</x:f>
      </x:c>
      <x:c r="H877" s="37"/>
      <x:c r="I877" s="37"/>
      <x:c r="J877" s="1" t="n">
        <x:f>IF(ISNUMBER(F877),E877,0)</x:f>
        <x:v>0</x:v>
      </x:c>
      <x:c r="K877" s="1"/>
      <x:c r="L877" s="1" t="str">
        <x:v>https://blog.skyairline.com/seguridad-para-viajeros/</x:v>
      </x:c>
      <x:c r="M877" s="1" t="n">
        <x:v>1</x:v>
      </x:c>
    </x:row>
    <x:row r="878" ht="18.75" customHeight="1">
      <x:c r="A878" s="1" t="str">
        <x:v>https://blog.skyairline.com/equipaje-de-bodega/</x:v>
      </x:c>
      <x:c r="B878" s="1" t="str">
        <x:v>equipaje bodega sky</x:v>
      </x:c>
      <x:c r="C878" s="1" t="str">
        <x:v>per</x:v>
      </x:c>
      <x:c r="D878" s="1" t="str">
        <x:v>Marca</x:v>
      </x:c>
      <x:c r="E878" s="35" t="n">
        <x:v>2</x:v>
      </x:c>
      <x:c r="F878" s="36"/>
      <x:c r="G878" s="36" t="str">
        <x:f>IF(ISNUMBER(F878),E878*F878,"")</x:f>
      </x:c>
      <x:c r="H878" s="37"/>
      <x:c r="I878" s="37"/>
      <x:c r="J878" s="1" t="n">
        <x:f>IF(ISNUMBER(F878),E878,0)</x:f>
        <x:v>0</x:v>
      </x:c>
      <x:c r="K878" s="1"/>
      <x:c r="L878" s="1" t="str">
        <x:v>https://blog.skyairline.com/seguro-montevideo/</x:v>
      </x:c>
      <x:c r="M878" s="1" t="n">
        <x:v>1</x:v>
      </x:c>
    </x:row>
    <x:row r="879" ht="18.75" customHeight="1">
      <x:c r="A879" s="1" t="str">
        <x:v>https://blog.skyairline.com/equipaje-de-bodega/</x:v>
      </x:c>
      <x:c r="B879" s="1" t="str">
        <x:v>equipaje de mano</x:v>
      </x:c>
      <x:c r="C879" s="1" t="str">
        <x:v>chl</x:v>
      </x:c>
      <x:c r="D879" s="1" t="str">
        <x:v>Sin marca</x:v>
      </x:c>
      <x:c r="E879" s="35" t="n">
        <x:v>2</x:v>
      </x:c>
      <x:c r="F879" s="36" t="n">
        <x:v>0.15</x:v>
      </x:c>
      <x:c r="G879" s="36" t="n">
        <x:f>IF(ISNUMBER(F879),E879*F879,"")</x:f>
        <x:v>0.3</x:v>
      </x:c>
      <x:c r="H879" s="37" t="d">
        <x:v>2026-10-15T00:00:00.000Z</x:v>
      </x:c>
      <x:c r="I879" s="37" t="d">
        <x:v>2026-09-13T20:28:49.000Z</x:v>
      </x:c>
      <x:c r="J879" s="1" t="n">
        <x:f>IF(ISNUMBER(F879),E879,0)</x:f>
        <x:v>2</x:v>
      </x:c>
      <x:c r="K879" s="1"/>
      <x:c r="L879" s="1" t="str">
        <x:v>https://blog.skyairline.com/semana-valdiviana/</x:v>
      </x:c>
      <x:c r="M879" s="1" t="n">
        <x:v>1</x:v>
      </x:c>
    </x:row>
    <x:row r="880" ht="18.75" customHeight="1">
      <x:c r="A880" s="1" t="str">
        <x:v>https://blog.skyairline.com/equipaje-de-bodega/</x:v>
      </x:c>
      <x:c r="B880" s="1" t="str">
        <x:v>equipaje de mano medidas sky</x:v>
      </x:c>
      <x:c r="C880" s="1" t="str">
        <x:v>chl</x:v>
      </x:c>
      <x:c r="D880" s="1" t="str">
        <x:v>Marca</x:v>
      </x:c>
      <x:c r="E880" s="35" t="n">
        <x:v>2</x:v>
      </x:c>
      <x:c r="F880" s="36"/>
      <x:c r="G880" s="36" t="str">
        <x:f>IF(ISNUMBER(F880),E880*F880,"")</x:f>
      </x:c>
      <x:c r="H880" s="37" t="d">
        <x:v>2026-10-15T00:00:00.000Z</x:v>
      </x:c>
      <x:c r="I880" s="37" t="d">
        <x:v>2026-09-15T17:14:03.000Z</x:v>
      </x:c>
      <x:c r="J880" s="1" t="n">
        <x:f>IF(ISNUMBER(F880),E880,0)</x:f>
        <x:v>0</x:v>
      </x:c>
      <x:c r="K880" s="1"/>
      <x:c r="L880" s="1" t="str">
        <x:v>https://blog.skyairline.com/siete-tazas/</x:v>
      </x:c>
      <x:c r="M880" s="1" t="n">
        <x:v>1</x:v>
      </x:c>
    </x:row>
    <x:row r="881" ht="18.75" customHeight="1">
      <x:c r="A881" s="1" t="str">
        <x:v>https://blog.skyairline.com/equipaje-de-bodega/</x:v>
      </x:c>
      <x:c r="B881" s="1" t="str">
        <x:v>equipaje de mano sky</x:v>
      </x:c>
      <x:c r="C881" s="1" t="str">
        <x:v>ury</x:v>
      </x:c>
      <x:c r="D881" s="1" t="str">
        <x:v>Marca</x:v>
      </x:c>
      <x:c r="E881" s="35" t="n">
        <x:v>2</x:v>
      </x:c>
      <x:c r="F881" s="36"/>
      <x:c r="G881" s="36" t="str">
        <x:f>IF(ISNUMBER(F881),E881*F881,"")</x:f>
      </x:c>
      <x:c r="H881" s="37"/>
      <x:c r="I881" s="37"/>
      <x:c r="J881" s="1" t="n">
        <x:f>IF(ISNUMBER(F881),E881,0)</x:f>
        <x:v>0</x:v>
      </x:c>
      <x:c r="K881" s="1"/>
      <x:c r="L881" s="1" t="str">
        <x:v>https://blog.skyairline.com/sky-airline-consigue-nuevamente-la-maxima-calificacion-en-seguridad-operacional/</x:v>
      </x:c>
      <x:c r="M881" s="1" t="n">
        <x:v>1</x:v>
      </x:c>
    </x:row>
    <x:row r="882" ht="18.75" customHeight="1">
      <x:c r="A882" s="1" t="str">
        <x:v>https://blog.skyairline.com/equipaje-de-bodega/</x:v>
      </x:c>
      <x:c r="B882" s="1" t="str">
        <x:v>equipaje de mano sky airlines</x:v>
      </x:c>
      <x:c r="C882" s="1" t="str">
        <x:v>chl</x:v>
      </x:c>
      <x:c r="D882" s="1" t="str">
        <x:v>Marca</x:v>
      </x:c>
      <x:c r="E882" s="35" t="n">
        <x:v>2</x:v>
      </x:c>
      <x:c r="F882" s="36" t="n">
        <x:v>1.82</x:v>
      </x:c>
      <x:c r="G882" s="36" t="n">
        <x:f>IF(ISNUMBER(F882),E882*F882,"")</x:f>
        <x:v>3.64</x:v>
      </x:c>
      <x:c r="H882" s="37" t="d">
        <x:v>2026-10-15T00:00:00.000Z</x:v>
      </x:c>
      <x:c r="I882" s="37" t="d">
        <x:v>2026-09-15T16:31:58.000Z</x:v>
      </x:c>
      <x:c r="J882" s="1" t="n">
        <x:f>IF(ISNUMBER(F882),E882,0)</x:f>
        <x:v>2</x:v>
      </x:c>
      <x:c r="K882" s="1"/>
      <x:c r="L882" s="1" t="str">
        <x:v>https://blog.skyairline.com/sky-airline-movilizo-mas-de-1-200-personas-para-impulsar-iniciativas-sociales-a-traves-de-compromiso-sky/</x:v>
      </x:c>
      <x:c r="M882" s="1" t="n">
        <x:v>1</x:v>
      </x:c>
    </x:row>
    <x:row r="883" ht="18.75" customHeight="1">
      <x:c r="A883" s="1" t="str">
        <x:v>https://blog.skyairline.com/equipaje-de-bodega/</x:v>
      </x:c>
      <x:c r="B883" s="1" t="str">
        <x:v>equipaje de mano sky airlines</x:v>
      </x:c>
      <x:c r="C883" s="1" t="str">
        <x:v>per</x:v>
      </x:c>
      <x:c r="D883" s="1" t="str">
        <x:v>Marca</x:v>
      </x:c>
      <x:c r="E883" s="35" t="n">
        <x:v>2</x:v>
      </x:c>
      <x:c r="F883" s="36"/>
      <x:c r="G883" s="36" t="str">
        <x:f>IF(ISNUMBER(F883),E883*F883,"")</x:f>
      </x:c>
      <x:c r="H883" s="37"/>
      <x:c r="I883" s="37"/>
      <x:c r="J883" s="1" t="n">
        <x:f>IF(ISNUMBER(F883),E883,0)</x:f>
        <x:v>0</x:v>
      </x:c>
      <x:c r="K883" s="1"/>
      <x:c r="L883" s="1" t="str">
        <x:v>https://blog.skyairline.com/sky-destaca-como-la-unica-aerolinea-entre-las-mejores-empresas-para-mujeres-jovenes-en-peru/</x:v>
      </x:c>
      <x:c r="M883" s="1" t="n">
        <x:v>1</x:v>
      </x:c>
    </x:row>
    <x:row r="884" ht="18.75" customHeight="1">
      <x:c r="A884" s="1" t="str">
        <x:v>https://blog.skyairline.com/equipaje-de-bodega/</x:v>
      </x:c>
      <x:c r="B884" s="1" t="str">
        <x:v>equipaje sky</x:v>
      </x:c>
      <x:c r="C884" s="1" t="str">
        <x:v>arg</x:v>
      </x:c>
      <x:c r="D884" s="1" t="str">
        <x:v>Marca</x:v>
      </x:c>
      <x:c r="E884" s="35" t="n">
        <x:v>2</x:v>
      </x:c>
      <x:c r="F884" s="36"/>
      <x:c r="G884" s="36" t="str">
        <x:f>IF(ISNUMBER(F884),E884*F884,"")</x:f>
      </x:c>
      <x:c r="H884" s="37"/>
      <x:c r="I884" s="37"/>
      <x:c r="J884" s="1" t="n">
        <x:f>IF(ISNUMBER(F884),E884,0)</x:f>
        <x:v>0</x:v>
      </x:c>
      <x:c r="K884" s="1"/>
      <x:c r="L884" s="1" t="str">
        <x:v>https://blog.skyairline.com/sky-es-el-nuevo-patrocinador-del-tenista-de-chile-nico-jarry/</x:v>
      </x:c>
      <x:c r="M884" s="1" t="n">
        <x:v>1</x:v>
      </x:c>
    </x:row>
    <x:row r="885" ht="18.75" customHeight="1">
      <x:c r="A885" s="1" t="str">
        <x:v>https://blog.skyairline.com/equipaje-de-bodega/</x:v>
      </x:c>
      <x:c r="B885" s="1" t="str">
        <x:v>maleta de bodega sky</x:v>
      </x:c>
      <x:c r="C885" s="1" t="str">
        <x:v>chl</x:v>
      </x:c>
      <x:c r="D885" s="1" t="str">
        <x:v>Marca</x:v>
      </x:c>
      <x:c r="E885" s="35" t="n">
        <x:v>2</x:v>
      </x:c>
      <x:c r="F885" s="36" t="n">
        <x:v>0.12</x:v>
      </x:c>
      <x:c r="G885" s="36" t="n">
        <x:f>IF(ISNUMBER(F885),E885*F885,"")</x:f>
        <x:v>0.24</x:v>
      </x:c>
      <x:c r="H885" s="37" t="d">
        <x:v>2026-10-15T00:00:00.000Z</x:v>
      </x:c>
      <x:c r="I885" s="37" t="d">
        <x:v>2026-09-14T23:45:32.000Z</x:v>
      </x:c>
      <x:c r="J885" s="1" t="n">
        <x:f>IF(ISNUMBER(F885),E885,0)</x:f>
        <x:v>2</x:v>
      </x:c>
      <x:c r="K885" s="1"/>
      <x:c r="L885" s="1" t="str">
        <x:v>https://blog.skyairline.com/sky-es-la-nueva-linea-aerea-oficial-de-la-seleccion-chilena-y-peruana-de-futbol/</x:v>
      </x:c>
      <x:c r="M885" s="1" t="n">
        <x:v>1</x:v>
      </x:c>
    </x:row>
    <x:row r="886" ht="18.75" customHeight="1">
      <x:c r="A886" s="1" t="str">
        <x:v>https://blog.skyairline.com/equipaje-de-bodega/</x:v>
      </x:c>
      <x:c r="B886" s="1" t="str">
        <x:v>maletas sky airline</x:v>
      </x:c>
      <x:c r="C886" s="1" t="str">
        <x:v>chl</x:v>
      </x:c>
      <x:c r="D886" s="1" t="str">
        <x:v>Marca</x:v>
      </x:c>
      <x:c r="E886" s="35" t="n">
        <x:v>2</x:v>
      </x:c>
      <x:c r="F886" s="36"/>
      <x:c r="G886" s="36" t="str">
        <x:f>IF(ISNUMBER(F886),E886*F886,"")</x:f>
      </x:c>
      <x:c r="H886" s="37"/>
      <x:c r="I886" s="37"/>
      <x:c r="J886" s="1" t="n">
        <x:f>IF(ISNUMBER(F886),E886,0)</x:f>
        <x:v>0</x:v>
      </x:c>
      <x:c r="K886" s="1"/>
      <x:c r="L886" s="1" t="str">
        <x:v>https://blog.skyairline.com/sky-es-reconocida-por-cuarta-vez-como-la-mejor-low-cost-de-sudamerica-en-ranking-de-aviacion-mundial-2/</x:v>
      </x:c>
      <x:c r="M886" s="1" t="n">
        <x:v>1</x:v>
      </x:c>
    </x:row>
    <x:row r="887" ht="18.75" customHeight="1">
      <x:c r="A887" s="1" t="str">
        <x:v>https://blog.skyairline.com/equipaje-de-bodega/</x:v>
      </x:c>
      <x:c r="B887" s="1" t="str">
        <x:v>medida bolso de mano sky</x:v>
      </x:c>
      <x:c r="C887" s="1" t="str">
        <x:v>chl</x:v>
      </x:c>
      <x:c r="D887" s="1" t="str">
        <x:v>Marca</x:v>
      </x:c>
      <x:c r="E887" s="35" t="n">
        <x:v>2</x:v>
      </x:c>
      <x:c r="F887" s="36"/>
      <x:c r="G887" s="36" t="str">
        <x:f>IF(ISNUMBER(F887),E887*F887,"")</x:f>
      </x:c>
      <x:c r="H887" s="37"/>
      <x:c r="I887" s="37"/>
      <x:c r="J887" s="1" t="n">
        <x:f>IF(ISNUMBER(F887),E887,0)</x:f>
        <x:v>0</x:v>
      </x:c>
      <x:c r="K887" s="1"/>
      <x:c r="L887" s="1" t="str">
        <x:v>https://blog.skyairline.com/sky-es-reconocida-por-cuarta-vez-como-la-mejor-low-cost-de-sudamerica-en-ranking-de-aviacion-mundial/</x:v>
      </x:c>
      <x:c r="M887" s="1" t="n">
        <x:v>1</x:v>
      </x:c>
    </x:row>
    <x:row r="888" ht="18.75" customHeight="1">
      <x:c r="A888" s="1" t="str">
        <x:v>https://blog.skyairline.com/equipaje-de-bodega/</x:v>
      </x:c>
      <x:c r="B888" s="1" t="str">
        <x:v>medida de bolso de mano sky</x:v>
      </x:c>
      <x:c r="C888" s="1" t="str">
        <x:v>chl</x:v>
      </x:c>
      <x:c r="D888" s="1" t="str">
        <x:v>Marca</x:v>
      </x:c>
      <x:c r="E888" s="35" t="n">
        <x:v>2</x:v>
      </x:c>
      <x:c r="F888" s="36"/>
      <x:c r="G888" s="36" t="str">
        <x:f>IF(ISNUMBER(F888),E888*F888,"")</x:f>
      </x:c>
      <x:c r="H888" s="37"/>
      <x:c r="I888" s="37"/>
      <x:c r="J888" s="1" t="n">
        <x:f>IF(ISNUMBER(F888),E888,0)</x:f>
        <x:v>0</x:v>
      </x:c>
      <x:c r="K888" s="1"/>
      <x:c r="L888" s="1" t="str">
        <x:v>https://blog.skyairline.com/sky-es-reconocida-por-segundo-ano-consecutivo-por-contar-con-la-flota-mas-nueva-de-sudamerica/</x:v>
      </x:c>
      <x:c r="M888" s="1" t="n">
        <x:v>1</x:v>
      </x:c>
    </x:row>
    <x:row r="889" ht="18.75" customHeight="1">
      <x:c r="A889" s="1" t="str">
        <x:v>https://blog.skyairline.com/equipaje-de-bodega/</x:v>
      </x:c>
      <x:c r="B889" s="1" t="str">
        <x:v>medida equipaje de mano sky</x:v>
      </x:c>
      <x:c r="C889" s="1" t="str">
        <x:v>per</x:v>
      </x:c>
      <x:c r="D889" s="1" t="str">
        <x:v>Marca</x:v>
      </x:c>
      <x:c r="E889" s="35" t="n">
        <x:v>2</x:v>
      </x:c>
      <x:c r="F889" s="36"/>
      <x:c r="G889" s="36" t="str">
        <x:f>IF(ISNUMBER(F889),E889*F889,"")</x:f>
      </x:c>
      <x:c r="H889" s="37"/>
      <x:c r="I889" s="37"/>
      <x:c r="J889" s="1" t="n">
        <x:f>IF(ISNUMBER(F889),E889,0)</x:f>
        <x:v>0</x:v>
      </x:c>
      <x:c r="K889" s="1"/>
      <x:c r="L889" s="1" t="str">
        <x:v>https://blog.skyairline.com/sky-fortalece-su-propuesta-de-valor-para-los-pasajeros-con-economy-premier/</x:v>
      </x:c>
      <x:c r="M889" s="1" t="n">
        <x:v>1</x:v>
      </x:c>
    </x:row>
    <x:row r="890" ht="18.75" customHeight="1">
      <x:c r="A890" s="1" t="str">
        <x:v>https://blog.skyairline.com/equipaje-de-bodega/</x:v>
      </x:c>
      <x:c r="B890" s="1" t="str">
        <x:v>medida mochila sky</x:v>
      </x:c>
      <x:c r="C890" s="1" t="str">
        <x:v>chl</x:v>
      </x:c>
      <x:c r="D890" s="1" t="str">
        <x:v>Marca</x:v>
      </x:c>
      <x:c r="E890" s="35" t="n">
        <x:v>2</x:v>
      </x:c>
      <x:c r="F890" s="36"/>
      <x:c r="G890" s="36" t="str">
        <x:f>IF(ISNUMBER(F890),E890*F890,"")</x:f>
      </x:c>
      <x:c r="H890" s="37"/>
      <x:c r="I890" s="37"/>
      <x:c r="J890" s="1" t="n">
        <x:f>IF(ISNUMBER(F890),E890,0)</x:f>
        <x:v>0</x:v>
      </x:c>
      <x:c r="K890" s="1"/>
      <x:c r="L890" s="1" t="str">
        <x:v>https://blog.skyairline.com/sky-fortalece-su-propuesta-de-valor-para-su-pasajeros-con-economy-premier/</x:v>
      </x:c>
      <x:c r="M890" s="1" t="n">
        <x:v>1</x:v>
      </x:c>
    </x:row>
    <x:row r="891" ht="18.75" customHeight="1">
      <x:c r="A891" s="1" t="str">
        <x:v>https://blog.skyairline.com/equipaje-de-bodega/</x:v>
      </x:c>
      <x:c r="B891" s="1" t="str">
        <x:v>medida mochila sky</x:v>
      </x:c>
      <x:c r="C891" s="1" t="str">
        <x:v>per</x:v>
      </x:c>
      <x:c r="D891" s="1" t="str">
        <x:v>Marca</x:v>
      </x:c>
      <x:c r="E891" s="35" t="n">
        <x:v>2</x:v>
      </x:c>
      <x:c r="F891" s="36"/>
      <x:c r="G891" s="36" t="str">
        <x:f>IF(ISNUMBER(F891),E891*F891,"")</x:f>
      </x:c>
      <x:c r="H891" s="37"/>
      <x:c r="I891" s="37"/>
      <x:c r="J891" s="1" t="n">
        <x:f>IF(ISNUMBER(F891),E891,0)</x:f>
        <x:v>0</x:v>
      </x:c>
      <x:c r="K891" s="1"/>
      <x:c r="L891" s="1" t="str">
        <x:v>https://blog.skyairline.com/sky-invita-a-viajar-dentro-de-chile-durante-vacaciones-de-invierno/</x:v>
      </x:c>
      <x:c r="M891" s="1" t="n">
        <x:v>1</x:v>
      </x:c>
    </x:row>
    <x:row r="892" ht="18.75" customHeight="1">
      <x:c r="A892" s="1" t="str">
        <x:v>https://blog.skyairline.com/equipaje-de-bodega/</x:v>
      </x:c>
      <x:c r="B892" s="1" t="str">
        <x:v>medidas bolso de mano sky</x:v>
      </x:c>
      <x:c r="C892" s="1" t="str">
        <x:v>per</x:v>
      </x:c>
      <x:c r="D892" s="1" t="str">
        <x:v>Marca</x:v>
      </x:c>
      <x:c r="E892" s="35" t="n">
        <x:v>2</x:v>
      </x:c>
      <x:c r="F892" s="36"/>
      <x:c r="G892" s="36" t="str">
        <x:f>IF(ISNUMBER(F892),E892*F892,"")</x:f>
      </x:c>
      <x:c r="H892" s="37" t="d">
        <x:v>2026-10-15T00:00:00.000Z</x:v>
      </x:c>
      <x:c r="I892" s="37" t="d">
        <x:v>2026-09-17T18:34:19.000Z</x:v>
      </x:c>
      <x:c r="J892" s="1" t="n">
        <x:f>IF(ISNUMBER(F892),E892,0)</x:f>
        <x:v>0</x:v>
      </x:c>
      <x:c r="K892" s="1"/>
      <x:c r="L892" s="1" t="str">
        <x:v>https://blog.skyairline.com/sky-lanza-nueva-ruta-internacional/</x:v>
      </x:c>
      <x:c r="M892" s="1" t="n">
        <x:v>1</x:v>
      </x:c>
    </x:row>
    <x:row r="893" ht="18.75" customHeight="1">
      <x:c r="A893" s="1" t="str">
        <x:v>https://blog.skyairline.com/equipaje-de-bodega/</x:v>
      </x:c>
      <x:c r="B893" s="1" t="str">
        <x:v>medidas carry on sky</x:v>
      </x:c>
      <x:c r="C893" s="1" t="str">
        <x:v>per</x:v>
      </x:c>
      <x:c r="D893" s="1" t="str">
        <x:v>Marca</x:v>
      </x:c>
      <x:c r="E893" s="35" t="n">
        <x:v>2</x:v>
      </x:c>
      <x:c r="F893" s="36"/>
      <x:c r="G893" s="36" t="str">
        <x:f>IF(ISNUMBER(F893),E893*F893,"")</x:f>
      </x:c>
      <x:c r="H893" s="37" t="d">
        <x:v>2026-10-15T00:00:00.000Z</x:v>
      </x:c>
      <x:c r="I893" s="37" t="d">
        <x:v>2026-09-14T04:46:13.000Z</x:v>
      </x:c>
      <x:c r="J893" s="1" t="n">
        <x:f>IF(ISNUMBER(F893),E893,0)</x:f>
        <x:v>0</x:v>
      </x:c>
      <x:c r="K893" s="1"/>
      <x:c r="L893" s="1" t="str">
        <x:v>https://blog.skyairline.com/sky-lanza-nuevas-tecnologias-de-autoatencion-en-aeropuerto-de-santiago/</x:v>
      </x:c>
      <x:c r="M893" s="1" t="n">
        <x:v>1</x:v>
      </x:c>
    </x:row>
    <x:row r="894" ht="18.75" customHeight="1">
      <x:c r="A894" s="1" t="str">
        <x:v>https://blog.skyairline.com/equipaje-de-bodega/</x:v>
      </x:c>
      <x:c r="B894" s="1" t="str">
        <x:v>medidas de bolso de mano en sky</x:v>
      </x:c>
      <x:c r="C894" s="1" t="str">
        <x:v>per</x:v>
      </x:c>
      <x:c r="D894" s="1" t="str">
        <x:v>Marca</x:v>
      </x:c>
      <x:c r="E894" s="35" t="n">
        <x:v>2</x:v>
      </x:c>
      <x:c r="F894" s="36"/>
      <x:c r="G894" s="36" t="str">
        <x:f>IF(ISNUMBER(F894),E894*F894,"")</x:f>
      </x:c>
      <x:c r="H894" s="37"/>
      <x:c r="I894" s="37"/>
      <x:c r="J894" s="1" t="n">
        <x:f>IF(ISNUMBER(F894),E894,0)</x:f>
        <x:v>0</x:v>
      </x:c>
      <x:c r="K894" s="1"/>
      <x:c r="L894" s="1" t="str">
        <x:v>https://blog.skyairline.com/sky-lanza-nuevo-programa-de-fidelidad-sky-plus-2/</x:v>
      </x:c>
      <x:c r="M894" s="1" t="n">
        <x:v>1</x:v>
      </x:c>
    </x:row>
    <x:row r="895" ht="18.75" customHeight="1">
      <x:c r="A895" s="1" t="str">
        <x:v>https://blog.skyairline.com/equipaje-de-bodega/</x:v>
      </x:c>
      <x:c r="B895" s="1" t="str">
        <x:v>medidas de bolso de mano sky</x:v>
      </x:c>
      <x:c r="C895" s="1" t="str">
        <x:v>chl</x:v>
      </x:c>
      <x:c r="D895" s="1" t="str">
        <x:v>Marca</x:v>
      </x:c>
      <x:c r="E895" s="35" t="n">
        <x:v>2</x:v>
      </x:c>
      <x:c r="F895" s="36"/>
      <x:c r="G895" s="36" t="str">
        <x:f>IF(ISNUMBER(F895),E895*F895,"")</x:f>
      </x:c>
      <x:c r="H895" s="37"/>
      <x:c r="I895" s="37"/>
      <x:c r="J895" s="1" t="n">
        <x:f>IF(ISNUMBER(F895),E895,0)</x:f>
        <x:v>0</x:v>
      </x:c>
      <x:c r="K895" s="1"/>
      <x:c r="L895" s="1" t="str">
        <x:v>https://blog.skyairline.com/sky-ofrece-pasajes-para-volar-desde-los-11-990-en-rutas-nacionales-y-desde-los-usd-40-en-vuelos-internacionales-por-tramo-en-el-marco-de-black-sky/</x:v>
      </x:c>
      <x:c r="M895" s="1" t="n">
        <x:v>1</x:v>
      </x:c>
    </x:row>
    <x:row r="896" ht="18.75" customHeight="1">
      <x:c r="A896" s="1" t="str">
        <x:v>https://blog.skyairline.com/equipaje-de-bodega/</x:v>
      </x:c>
      <x:c r="B896" s="1" t="str">
        <x:v>medidas de equipaje de mano sky</x:v>
      </x:c>
      <x:c r="C896" s="1" t="str">
        <x:v>chl</x:v>
      </x:c>
      <x:c r="D896" s="1" t="str">
        <x:v>Marca</x:v>
      </x:c>
      <x:c r="E896" s="35" t="n">
        <x:v>2</x:v>
      </x:c>
      <x:c r="F896" s="36"/>
      <x:c r="G896" s="36" t="str">
        <x:f>IF(ISNUMBER(F896),E896*F896,"")</x:f>
      </x:c>
      <x:c r="H896" s="37" t="d">
        <x:v>2026-10-15T00:00:00.000Z</x:v>
      </x:c>
      <x:c r="I896" s="37" t="d">
        <x:v>2026-09-13T06:22:31.000Z</x:v>
      </x:c>
      <x:c r="J896" s="1" t="n">
        <x:f>IF(ISNUMBER(F896),E896,0)</x:f>
        <x:v>0</x:v>
      </x:c>
      <x:c r="K896" s="1"/>
      <x:c r="L896" s="1" t="str">
        <x:v>https://blog.skyairline.com/sky-reactiva-ruta-a-buenos-aires-que-conectara-santiago-con-aeroparque/</x:v>
      </x:c>
      <x:c r="M896" s="1" t="n">
        <x:v>1</x:v>
      </x:c>
    </x:row>
    <x:row r="897" ht="18.75" customHeight="1">
      <x:c r="A897" s="1" t="str">
        <x:v>https://blog.skyairline.com/equipaje-de-bodega/</x:v>
      </x:c>
      <x:c r="B897" s="1" t="str">
        <x:v>medidas de maleta sky airlines</x:v>
      </x:c>
      <x:c r="C897" s="1" t="str">
        <x:v>per</x:v>
      </x:c>
      <x:c r="D897" s="1" t="str">
        <x:v>Marca</x:v>
      </x:c>
      <x:c r="E897" s="35" t="n">
        <x:v>2</x:v>
      </x:c>
      <x:c r="F897" s="36"/>
      <x:c r="G897" s="36" t="str">
        <x:f>IF(ISNUMBER(F897),E897*F897,"")</x:f>
      </x:c>
      <x:c r="H897" s="37"/>
      <x:c r="I897" s="37"/>
      <x:c r="J897" s="1" t="n">
        <x:f>IF(ISNUMBER(F897),E897,0)</x:f>
        <x:v>0</x:v>
      </x:c>
      <x:c r="K897" s="1"/>
      <x:c r="L897" s="1" t="str">
        <x:v>https://blog.skyairline.com/sky-reafirma-su-compromiso-con-la-sostenibilidad-2/</x:v>
      </x:c>
      <x:c r="M897" s="1" t="n">
        <x:v>1</x:v>
      </x:c>
    </x:row>
    <x:row r="898" ht="18.75" customHeight="1">
      <x:c r="A898" s="1" t="str">
        <x:v>https://blog.skyairline.com/equipaje-de-bodega/</x:v>
      </x:c>
      <x:c r="B898" s="1" t="str">
        <x:v>medidas de mochila en sky</x:v>
      </x:c>
      <x:c r="C898" s="1" t="str">
        <x:v>per</x:v>
      </x:c>
      <x:c r="D898" s="1" t="str">
        <x:v>Marca</x:v>
      </x:c>
      <x:c r="E898" s="35" t="n">
        <x:v>2</x:v>
      </x:c>
      <x:c r="F898" s="36"/>
      <x:c r="G898" s="36" t="str">
        <x:f>IF(ISNUMBER(F898),E898*F898,"")</x:f>
      </x:c>
      <x:c r="H898" s="37"/>
      <x:c r="I898" s="37"/>
      <x:c r="J898" s="1" t="n">
        <x:f>IF(ISNUMBER(F898),E898,0)</x:f>
        <x:v>0</x:v>
      </x:c>
      <x:c r="K898" s="1"/>
      <x:c r="L898" s="1" t="str">
        <x:v>https://blog.skyairline.com/sky-realiza-operaciones-de-la-primera-ruta-directa-a-bariloche/</x:v>
      </x:c>
      <x:c r="M898" s="1" t="n">
        <x:v>1</x:v>
      </x:c>
    </x:row>
    <x:row r="899" ht="18.75" customHeight="1">
      <x:c r="A899" s="1" t="str">
        <x:v>https://blog.skyairline.com/equipaje-de-bodega/</x:v>
      </x:c>
      <x:c r="B899" s="1" t="str">
        <x:v>medidas de mochila sky</x:v>
      </x:c>
      <x:c r="C899" s="1" t="str">
        <x:v>chl</x:v>
      </x:c>
      <x:c r="D899" s="1" t="str">
        <x:v>Marca</x:v>
      </x:c>
      <x:c r="E899" s="35" t="n">
        <x:v>2</x:v>
      </x:c>
      <x:c r="F899" s="36"/>
      <x:c r="G899" s="36" t="str">
        <x:f>IF(ISNUMBER(F899),E899*F899,"")</x:f>
      </x:c>
      <x:c r="H899" s="37"/>
      <x:c r="I899" s="37"/>
      <x:c r="J899" s="1" t="n">
        <x:f>IF(ISNUMBER(F899),E899,0)</x:f>
        <x:v>0</x:v>
      </x:c>
      <x:c r="K899" s="1"/>
      <x:c r="L899" s="1" t="str">
        <x:v>https://blog.skyairline.com/sky-recibe-maxima-clasificacion-en-seguridad-operacional-y-protocolos-covid/</x:v>
      </x:c>
      <x:c r="M899" s="1" t="n">
        <x:v>1</x:v>
      </x:c>
    </x:row>
    <x:row r="900" ht="18.75" customHeight="1">
      <x:c r="A900" s="1" t="str">
        <x:v>https://blog.skyairline.com/equipaje-de-bodega/</x:v>
      </x:c>
      <x:c r="B900" s="1" t="str">
        <x:v>medidas de sky bolso de mano</x:v>
      </x:c>
      <x:c r="C900" s="1" t="str">
        <x:v>chl</x:v>
      </x:c>
      <x:c r="D900" s="1" t="str">
        <x:v>Marca</x:v>
      </x:c>
      <x:c r="E900" s="35" t="n">
        <x:v>2</x:v>
      </x:c>
      <x:c r="F900" s="36"/>
      <x:c r="G900" s="36" t="str">
        <x:f>IF(ISNUMBER(F900),E900*F900,"")</x:f>
      </x:c>
      <x:c r="H900" s="37"/>
      <x:c r="I900" s="37"/>
      <x:c r="J900" s="1" t="n">
        <x:f>IF(ISNUMBER(F900),E900,0)</x:f>
        <x:v>0</x:v>
      </x:c>
      <x:c r="K900" s="1"/>
      <x:c r="L900" s="1" t="str">
        <x:v>https://blog.skyairline.com/sky-retoma-vuelos-directos-a-el-calafate/</x:v>
      </x:c>
      <x:c r="M900" s="1" t="n">
        <x:v>1</x:v>
      </x:c>
    </x:row>
    <x:row r="901" ht="18.75" customHeight="1">
      <x:c r="A901" s="1" t="str">
        <x:v>https://blog.skyairline.com/equipaje-de-bodega/</x:v>
      </x:c>
      <x:c r="B901" s="1" t="str">
        <x:v>medidas de sky bolso de mano</x:v>
      </x:c>
      <x:c r="C901" s="1" t="str">
        <x:v>per</x:v>
      </x:c>
      <x:c r="D901" s="1" t="str">
        <x:v>Marca</x:v>
      </x:c>
      <x:c r="E901" s="35" t="n">
        <x:v>2</x:v>
      </x:c>
      <x:c r="F901" s="36"/>
      <x:c r="G901" s="36" t="str">
        <x:f>IF(ISNUMBER(F901),E901*F901,"")</x:f>
      </x:c>
      <x:c r="H901" s="37"/>
      <x:c r="I901" s="37"/>
      <x:c r="J901" s="1" t="n">
        <x:f>IF(ISNUMBER(F901),E901,0)</x:f>
        <x:v>0</x:v>
      </x:c>
      <x:c r="K901" s="1"/>
      <x:c r="L901" s="1" t="str">
        <x:v>https://blog.skyairline.com/sky-revoluciona-la-aviacion-con-nuevos-uniformes-innovacion-y-confort-a-bordo-2/</x:v>
      </x:c>
      <x:c r="M901" s="1" t="n">
        <x:v>1</x:v>
      </x:c>
    </x:row>
    <x:row r="902" ht="18.75" customHeight="1">
      <x:c r="A902" s="1" t="str">
        <x:v>https://blog.skyairline.com/equipaje-de-bodega/</x:v>
      </x:c>
      <x:c r="B902" s="1" t="str">
        <x:v>medidas equipaje cabina sky</x:v>
      </x:c>
      <x:c r="C902" s="1" t="str">
        <x:v>chl</x:v>
      </x:c>
      <x:c r="D902" s="1" t="str">
        <x:v>Marca</x:v>
      </x:c>
      <x:c r="E902" s="35" t="n">
        <x:v>2</x:v>
      </x:c>
      <x:c r="F902" s="36"/>
      <x:c r="G902" s="36" t="str">
        <x:f>IF(ISNUMBER(F902),E902*F902,"")</x:f>
      </x:c>
      <x:c r="H902" s="37"/>
      <x:c r="I902" s="37"/>
      <x:c r="J902" s="1" t="n">
        <x:f>IF(ISNUMBER(F902),E902,0)</x:f>
        <x:v>0</x:v>
      </x:c>
      <x:c r="K902" s="1"/>
      <x:c r="L902" s="1" t="str">
        <x:v>https://blog.skyairline.com/sky-suma-nueva-conexion-de-buenos-aires-a-miami-2/</x:v>
      </x:c>
      <x:c r="M902" s="1" t="n">
        <x:v>1</x:v>
      </x:c>
    </x:row>
    <x:row r="903" ht="18.75" customHeight="1">
      <x:c r="A903" s="1" t="str">
        <x:v>https://blog.skyairline.com/equipaje-de-bodega/</x:v>
      </x:c>
      <x:c r="B903" s="1" t="str">
        <x:v>medidas equipaje de mano sky</x:v>
      </x:c>
      <x:c r="C903" s="1" t="str">
        <x:v>per</x:v>
      </x:c>
      <x:c r="D903" s="1" t="str">
        <x:v>Marca</x:v>
      </x:c>
      <x:c r="E903" s="35" t="n">
        <x:v>2</x:v>
      </x:c>
      <x:c r="F903" s="36" t="n">
        <x:v>1.14</x:v>
      </x:c>
      <x:c r="G903" s="36" t="n">
        <x:f>IF(ISNUMBER(F903),E903*F903,"")</x:f>
        <x:v>2.28</x:v>
      </x:c>
      <x:c r="H903" s="37" t="d">
        <x:v>2026-10-15T00:00:00.000Z</x:v>
      </x:c>
      <x:c r="I903" s="37" t="d">
        <x:v>2026-09-17T02:25:50.000Z</x:v>
      </x:c>
      <x:c r="J903" s="1" t="n">
        <x:f>IF(ISNUMBER(F903),E903,0)</x:f>
        <x:v>2</x:v>
      </x:c>
      <x:c r="K903" s="1"/>
      <x:c r="L903" s="1" t="str">
        <x:v>https://blog.skyairline.com/sky-y-air-canada-firman-alianza/</x:v>
      </x:c>
      <x:c r="M903" s="1" t="n">
        <x:v>1</x:v>
      </x:c>
    </x:row>
    <x:row r="904" ht="18.75" customHeight="1">
      <x:c r="A904" s="1" t="str">
        <x:v>https://blog.skyairline.com/equipaje-de-bodega/</x:v>
      </x:c>
      <x:c r="B904" s="1" t="str">
        <x:v>medidas equipaje de mano sky chile</x:v>
      </x:c>
      <x:c r="C904" s="1" t="str">
        <x:v>chl</x:v>
      </x:c>
      <x:c r="D904" s="1" t="str">
        <x:v>Marca</x:v>
      </x:c>
      <x:c r="E904" s="35" t="n">
        <x:v>2</x:v>
      </x:c>
      <x:c r="F904" s="36" t="n">
        <x:v>0.01</x:v>
      </x:c>
      <x:c r="G904" s="36" t="n">
        <x:f>IF(ISNUMBER(F904),E904*F904,"")</x:f>
        <x:v>0.02</x:v>
      </x:c>
      <x:c r="H904" s="37" t="d">
        <x:v>2026-10-15T00:00:00.000Z</x:v>
      </x:c>
      <x:c r="I904" s="37" t="d">
        <x:v>2026-09-15T12:04:26.000Z</x:v>
      </x:c>
      <x:c r="J904" s="1" t="n">
        <x:f>IF(ISNUMBER(F904),E904,0)</x:f>
        <x:v>2</x:v>
      </x:c>
      <x:c r="K904" s="1"/>
      <x:c r="L904" s="1" t="str">
        <x:v>https://blog.skyairline.com/sky-y-air-europa-concretan-acuerdo-de-codigo-compartido/</x:v>
      </x:c>
      <x:c r="M904" s="1" t="n">
        <x:v>1</x:v>
      </x:c>
    </x:row>
    <x:row r="905" ht="18.75" customHeight="1">
      <x:c r="A905" s="1" t="str">
        <x:v>https://blog.skyairline.com/equipaje-de-bodega/</x:v>
      </x:c>
      <x:c r="B905" s="1" t="str">
        <x:v>medidas equipaje sky</x:v>
      </x:c>
      <x:c r="C905" s="1" t="str">
        <x:v>per</x:v>
      </x:c>
      <x:c r="D905" s="1" t="str">
        <x:v>Marca</x:v>
      </x:c>
      <x:c r="E905" s="35" t="n">
        <x:v>2</x:v>
      </x:c>
      <x:c r="F905" s="36"/>
      <x:c r="G905" s="36" t="str">
        <x:f>IF(ISNUMBER(F905),E905*F905,"")</x:f>
      </x:c>
      <x:c r="H905" s="37" t="d">
        <x:v>2026-10-15T00:00:00.000Z</x:v>
      </x:c>
      <x:c r="I905" s="37" t="d">
        <x:v>2026-10-15T09:37:34.999Z</x:v>
      </x:c>
      <x:c r="J905" s="1" t="n">
        <x:f>IF(ISNUMBER(F905),E905,0)</x:f>
        <x:v>0</x:v>
      </x:c>
      <x:c r="K905" s="1"/>
      <x:c r="L905" s="1" t="str">
        <x:v>https://blog.skyairline.com/sky-y-air-europa-firman-acuerdo-interlineal-para-conectar-pasajeros-entre-europa-y-mas-de-30-destinos-en-latinoamerica-2/</x:v>
      </x:c>
      <x:c r="M905" s="1" t="n">
        <x:v>1</x:v>
      </x:c>
    </x:row>
    <x:row r="906" ht="18.75" customHeight="1">
      <x:c r="A906" s="1" t="str">
        <x:v>https://blog.skyairline.com/equipaje-de-bodega/</x:v>
      </x:c>
      <x:c r="B906" s="1" t="str">
        <x:v>medidas equipaje sky</x:v>
      </x:c>
      <x:c r="C906" s="1" t="str">
        <x:v>ury</x:v>
      </x:c>
      <x:c r="D906" s="1" t="str">
        <x:v>Marca</x:v>
      </x:c>
      <x:c r="E906" s="35" t="n">
        <x:v>2</x:v>
      </x:c>
      <x:c r="F906" s="36"/>
      <x:c r="G906" s="36" t="str">
        <x:f>IF(ISNUMBER(F906),E906*F906,"")</x:f>
      </x:c>
      <x:c r="H906" s="37"/>
      <x:c r="I906" s="37"/>
      <x:c r="J906" s="1" t="n">
        <x:f>IF(ISNUMBER(F906),E906,0)</x:f>
        <x:v>0</x:v>
      </x:c>
      <x:c r="K906" s="1"/>
      <x:c r="L906" s="1" t="str">
        <x:v>https://blog.skyairline.com/sky-y-care-peru-un-ano-volando-por-la-igualdad-de-oportunidades/</x:v>
      </x:c>
      <x:c r="M906" s="1" t="n">
        <x:v>1</x:v>
      </x:c>
    </x:row>
    <x:row r="907" ht="18.75" customHeight="1">
      <x:c r="A907" s="1" t="str">
        <x:v>https://blog.skyairline.com/equipaje-de-bodega/</x:v>
      </x:c>
      <x:c r="B907" s="1" t="str">
        <x:v>medidas maleta 23 kg sky</x:v>
      </x:c>
      <x:c r="C907" s="1" t="str">
        <x:v>chl</x:v>
      </x:c>
      <x:c r="D907" s="1" t="str">
        <x:v>Marca</x:v>
      </x:c>
      <x:c r="E907" s="35" t="n">
        <x:v>2</x:v>
      </x:c>
      <x:c r="F907" s="36"/>
      <x:c r="G907" s="36" t="str">
        <x:f>IF(ISNUMBER(F907),E907*F907,"")</x:f>
      </x:c>
      <x:c r="H907" s="37" t="d">
        <x:v>2026-10-15T00:00:00.000Z</x:v>
      </x:c>
      <x:c r="I907" s="37" t="d">
        <x:v>2026-09-15T09:24:58.000Z</x:v>
      </x:c>
      <x:c r="J907" s="1" t="n">
        <x:f>IF(ISNUMBER(F907),E907,0)</x:f>
        <x:v>0</x:v>
      </x:c>
      <x:c r="K907" s="1"/>
      <x:c r="L907" s="1" t="str">
        <x:v>https://blog.skyairline.com/sky-y-desafio-levantemos-chile-renuevan-su-compromiso-social/</x:v>
      </x:c>
      <x:c r="M907" s="1" t="n">
        <x:v>1</x:v>
      </x:c>
    </x:row>
    <x:row r="908" ht="18.75" customHeight="1">
      <x:c r="A908" s="1" t="str">
        <x:v>https://blog.skyairline.com/equipaje-de-bodega/</x:v>
      </x:c>
      <x:c r="B908" s="1" t="str">
        <x:v>medidas maleta cabina</x:v>
      </x:c>
      <x:c r="C908" s="1" t="str">
        <x:v>chl</x:v>
      </x:c>
      <x:c r="D908" s="1" t="str">
        <x:v>Sin marca</x:v>
      </x:c>
      <x:c r="E908" s="35" t="n">
        <x:v>2</x:v>
      </x:c>
      <x:c r="F908" s="36" t="n">
        <x:v>0.13</x:v>
      </x:c>
      <x:c r="G908" s="36" t="n">
        <x:f>IF(ISNUMBER(F908),E908*F908,"")</x:f>
        <x:v>0.26</x:v>
      </x:c>
      <x:c r="H908" s="37" t="d">
        <x:v>2026-10-15T00:00:00.000Z</x:v>
      </x:c>
      <x:c r="I908" s="37" t="d">
        <x:v>2026-09-13T03:58:20.000Z</x:v>
      </x:c>
      <x:c r="J908" s="1" t="n">
        <x:f>IF(ISNUMBER(F908),E908,0)</x:f>
        <x:v>2</x:v>
      </x:c>
      <x:c r="K908" s="1"/>
      <x:c r="L908" s="1" t="str">
        <x:v>https://blog.skyairline.com/sky-y-ucsc-impulsan-proyecto-para-producir-combustible-sostenible-de-aviacion/</x:v>
      </x:c>
      <x:c r="M908" s="1" t="n">
        <x:v>1</x:v>
      </x:c>
    </x:row>
    <x:row r="909" ht="18.75" customHeight="1">
      <x:c r="A909" s="1" t="str">
        <x:v>https://blog.skyairline.com/equipaje-de-bodega/</x:v>
      </x:c>
      <x:c r="B909" s="1" t="str">
        <x:v>medidas maleta sky peru</x:v>
      </x:c>
      <x:c r="C909" s="1" t="str">
        <x:v>per</x:v>
      </x:c>
      <x:c r="D909" s="1" t="str">
        <x:v>Marca</x:v>
      </x:c>
      <x:c r="E909" s="35" t="n">
        <x:v>2</x:v>
      </x:c>
      <x:c r="F909" s="36"/>
      <x:c r="G909" s="36" t="str">
        <x:f>IF(ISNUMBER(F909),E909*F909,"")</x:f>
      </x:c>
      <x:c r="H909" s="37"/>
      <x:c r="I909" s="37"/>
      <x:c r="J909" s="1" t="n">
        <x:f>IF(ISNUMBER(F909),E909,0)</x:f>
        <x:v>0</x:v>
      </x:c>
      <x:c r="K909" s="1"/>
      <x:c r="L909" s="1" t="str">
        <x:v>https://blog.skyairline.com/sky-y-united-airlines-se-conectan-para-llegar-mas-lejos/</x:v>
      </x:c>
      <x:c r="M909" s="1" t="n">
        <x:v>1</x:v>
      </x:c>
    </x:row>
    <x:row r="910" ht="18.75" customHeight="1">
      <x:c r="A910" s="1" t="str">
        <x:v>https://blog.skyairline.com/equipaje-de-bodega/</x:v>
      </x:c>
      <x:c r="B910" s="1" t="str">
        <x:v>medidas para bolso de mano en avion</x:v>
      </x:c>
      <x:c r="C910" s="1" t="str">
        <x:v>chl</x:v>
      </x:c>
      <x:c r="D910" s="1" t="str">
        <x:v>Sin marca</x:v>
      </x:c>
      <x:c r="E910" s="35" t="n">
        <x:v>2</x:v>
      </x:c>
      <x:c r="F910" s="36"/>
      <x:c r="G910" s="36" t="str">
        <x:f>IF(ISNUMBER(F910),E910*F910,"")</x:f>
      </x:c>
      <x:c r="H910" s="37" t="d">
        <x:v>2026-10-15T00:00:00.000Z</x:v>
      </x:c>
      <x:c r="I910" s="37" t="d">
        <x:v>2026-09-15T16:00:58.000Z</x:v>
      </x:c>
      <x:c r="J910" s="1" t="n">
        <x:f>IF(ISNUMBER(F910),E910,0)</x:f>
        <x:v>0</x:v>
      </x:c>
      <x:c r="K910" s="1"/>
      <x:c r="L910" s="1" t="str">
        <x:v>https://blog.skyairline.com/souvenirs/</x:v>
      </x:c>
      <x:c r="M910" s="1" t="n">
        <x:v>1</x:v>
      </x:c>
    </x:row>
    <x:row r="911" ht="18.75" customHeight="1">
      <x:c r="A911" s="1" t="str">
        <x:v>https://blog.skyairline.com/equipaje-de-bodega/</x:v>
      </x:c>
      <x:c r="B911" s="1" t="str">
        <x:v>medidas sky mochila</x:v>
      </x:c>
      <x:c r="C911" s="1" t="str">
        <x:v>chl</x:v>
      </x:c>
      <x:c r="D911" s="1" t="str">
        <x:v>Marca</x:v>
      </x:c>
      <x:c r="E911" s="35" t="n">
        <x:v>2</x:v>
      </x:c>
      <x:c r="F911" s="36"/>
      <x:c r="G911" s="36" t="str">
        <x:f>IF(ISNUMBER(F911),E911*F911,"")</x:f>
      </x:c>
      <x:c r="H911" s="37"/>
      <x:c r="I911" s="37"/>
      <x:c r="J911" s="1" t="n">
        <x:f>IF(ISNUMBER(F911),E911,0)</x:f>
        <x:v>0</x:v>
      </x:c>
      <x:c r="K911" s="1"/>
      <x:c r="L911" s="1" t="str">
        <x:v>https://blog.skyairline.com/sustentabilidad-y-sostenibilidad/</x:v>
      </x:c>
      <x:c r="M911" s="1" t="n">
        <x:v>1</x:v>
      </x:c>
    </x:row>
    <x:row r="912" ht="18.75" customHeight="1">
      <x:c r="A912" s="1" t="str">
        <x:v>https://blog.skyairline.com/equipaje-de-bodega/</x:v>
      </x:c>
      <x:c r="B912" s="1" t="str">
        <x:v>mochila de mano sky</x:v>
      </x:c>
      <x:c r="C912" s="1" t="str">
        <x:v>per</x:v>
      </x:c>
      <x:c r="D912" s="1" t="str">
        <x:v>Marca</x:v>
      </x:c>
      <x:c r="E912" s="35" t="n">
        <x:v>2</x:v>
      </x:c>
      <x:c r="F912" s="36" t="n">
        <x:v>0.01</x:v>
      </x:c>
      <x:c r="G912" s="36" t="n">
        <x:f>IF(ISNUMBER(F912),E912*F912,"")</x:f>
        <x:v>0.02</x:v>
      </x:c>
      <x:c r="H912" s="37" t="d">
        <x:v>2026-10-15T00:00:00.000Z</x:v>
      </x:c>
      <x:c r="I912" s="37" t="d">
        <x:v>2026-09-15T06:29:53.000Z</x:v>
      </x:c>
      <x:c r="J912" s="1" t="n">
        <x:f>IF(ISNUMBER(F912),E912,0)</x:f>
        <x:v>2</x:v>
      </x:c>
      <x:c r="K912" s="1"/>
      <x:c r="L912" s="1" t="str">
        <x:v>https://blog.skyairline.com/tag/calama/</x:v>
      </x:c>
      <x:c r="M912" s="1" t="n">
        <x:v>1</x:v>
      </x:c>
    </x:row>
    <x:row r="913" ht="18.75" customHeight="1">
      <x:c r="A913" s="1" t="str">
        <x:v>https://blog.skyairline.com/equipaje-de-bodega/</x:v>
      </x:c>
      <x:c r="B913" s="1" t="str">
        <x:v>mochila sky medidas</x:v>
      </x:c>
      <x:c r="C913" s="1" t="str">
        <x:v>per</x:v>
      </x:c>
      <x:c r="D913" s="1" t="str">
        <x:v>Marca</x:v>
      </x:c>
      <x:c r="E913" s="35" t="n">
        <x:v>2</x:v>
      </x:c>
      <x:c r="F913" s="36"/>
      <x:c r="G913" s="36" t="str">
        <x:f>IF(ISNUMBER(F913),E913*F913,"")</x:f>
      </x:c>
      <x:c r="H913" s="37"/>
      <x:c r="I913" s="37"/>
      <x:c r="J913" s="1" t="n">
        <x:f>IF(ISNUMBER(F913),E913,0)</x:f>
        <x:v>0</x:v>
      </x:c>
      <x:c r="K913" s="1"/>
      <x:c r="L913" s="1" t="str">
        <x:v>https://blog.skyairline.com/tag/la-serena/</x:v>
      </x:c>
      <x:c r="M913" s="1" t="n">
        <x:v>1</x:v>
      </x:c>
    </x:row>
    <x:row r="914" ht="18.75" customHeight="1">
      <x:c r="A914" s="1" t="str">
        <x:v>https://blog.skyairline.com/equipaje-de-bodega/</x:v>
      </x:c>
      <x:c r="B914" s="1" t="str">
        <x:v>sky airline equipaje</x:v>
      </x:c>
      <x:c r="C914" s="1" t="str">
        <x:v>arg</x:v>
      </x:c>
      <x:c r="D914" s="1" t="str">
        <x:v>Marca</x:v>
      </x:c>
      <x:c r="E914" s="35" t="n">
        <x:v>2</x:v>
      </x:c>
      <x:c r="F914" s="36"/>
      <x:c r="G914" s="36" t="str">
        <x:f>IF(ISNUMBER(F914),E914*F914,"")</x:f>
      </x:c>
      <x:c r="H914" s="37"/>
      <x:c r="I914" s="37"/>
      <x:c r="J914" s="1" t="n">
        <x:f>IF(ISNUMBER(F914),E914,0)</x:f>
        <x:v>0</x:v>
      </x:c>
      <x:c r="K914" s="1"/>
      <x:c r="L914" s="1" t="str">
        <x:v>https://blog.skyairline.com/taltal/</x:v>
      </x:c>
      <x:c r="M914" s="1" t="n">
        <x:v>1</x:v>
      </x:c>
    </x:row>
    <x:row r="915" ht="18.75" customHeight="1">
      <x:c r="A915" s="1" t="str">
        <x:v>https://blog.skyairline.com/equipaje-de-bodega/</x:v>
      </x:c>
      <x:c r="B915" s="1" t="str">
        <x:v>sky airline equipaje</x:v>
      </x:c>
      <x:c r="C915" s="1" t="str">
        <x:v>ury</x:v>
      </x:c>
      <x:c r="D915" s="1" t="str">
        <x:v>Marca</x:v>
      </x:c>
      <x:c r="E915" s="35" t="n">
        <x:v>2</x:v>
      </x:c>
      <x:c r="F915" s="36"/>
      <x:c r="G915" s="36" t="str">
        <x:f>IF(ISNUMBER(F915),E915*F915,"")</x:f>
      </x:c>
      <x:c r="H915" s="37"/>
      <x:c r="I915" s="37"/>
      <x:c r="J915" s="1" t="n">
        <x:f>IF(ISNUMBER(F915),E915,0)</x:f>
        <x:v>0</x:v>
      </x:c>
      <x:c r="K915" s="1"/>
      <x:c r="L915" s="1" t="str">
        <x:v>https://blog.skyairline.com/termas-de-cacheuta/</x:v>
      </x:c>
      <x:c r="M915" s="1" t="n">
        <x:v>1</x:v>
      </x:c>
    </x:row>
    <x:row r="916" ht="18.75" customHeight="1">
      <x:c r="A916" s="1" t="str">
        <x:v>https://blog.skyairline.com/equipaje-de-bodega/</x:v>
      </x:c>
      <x:c r="B916" s="1" t="str">
        <x:v>sky airlines bolso de mano medidas</x:v>
      </x:c>
      <x:c r="C916" s="1" t="str">
        <x:v>ury</x:v>
      </x:c>
      <x:c r="D916" s="1" t="str">
        <x:v>Marca</x:v>
      </x:c>
      <x:c r="E916" s="35" t="n">
        <x:v>2</x:v>
      </x:c>
      <x:c r="F916" s="36"/>
      <x:c r="G916" s="36" t="str">
        <x:f>IF(ISNUMBER(F916),E916*F916,"")</x:f>
      </x:c>
      <x:c r="H916" s="37"/>
      <x:c r="I916" s="37"/>
      <x:c r="J916" s="1" t="n">
        <x:f>IF(ISNUMBER(F916),E916,0)</x:f>
        <x:v>0</x:v>
      </x:c>
      <x:c r="K916" s="1"/>
      <x:c r="L916" s="1" t="str">
        <x:v>https://blog.skyairline.com/termas-de-chillan/</x:v>
      </x:c>
      <x:c r="M916" s="1" t="n">
        <x:v>1</x:v>
      </x:c>
    </x:row>
    <x:row r="917" ht="18.75" customHeight="1">
      <x:c r="A917" s="1" t="str">
        <x:v>https://blog.skyairline.com/equipaje-de-bodega/</x:v>
      </x:c>
      <x:c r="B917" s="1" t="str">
        <x:v>sky airlines equipaje</x:v>
      </x:c>
      <x:c r="C917" s="1" t="str">
        <x:v>per</x:v>
      </x:c>
      <x:c r="D917" s="1" t="str">
        <x:v>Marca</x:v>
      </x:c>
      <x:c r="E917" s="35" t="n">
        <x:v>2</x:v>
      </x:c>
      <x:c r="F917" s="36"/>
      <x:c r="G917" s="36" t="str">
        <x:f>IF(ISNUMBER(F917),E917*F917,"")</x:f>
      </x:c>
      <x:c r="H917" s="37" t="d">
        <x:v>2026-10-15T00:00:00.000Z</x:v>
      </x:c>
      <x:c r="I917" s="37" t="d">
        <x:v>2026-09-13T16:59:38.999Z</x:v>
      </x:c>
      <x:c r="J917" s="1" t="n">
        <x:f>IF(ISNUMBER(F917),E917,0)</x:f>
        <x:v>0</x:v>
      </x:c>
      <x:c r="K917" s="1"/>
      <x:c r="L917" s="1" t="str">
        <x:v>https://blog.skyairline.com/termas-en-la-region-de-la-araucania/</x:v>
      </x:c>
      <x:c r="M917" s="1" t="n">
        <x:v>1</x:v>
      </x:c>
    </x:row>
    <x:row r="918" ht="18.75" customHeight="1">
      <x:c r="A918" s="1" t="str">
        <x:v>https://blog.skyairline.com/equipaje-de-bodega/</x:v>
      </x:c>
      <x:c r="B918" s="1" t="str">
        <x:v>sky airlines equipaje de mano</x:v>
      </x:c>
      <x:c r="C918" s="1" t="str">
        <x:v>chl</x:v>
      </x:c>
      <x:c r="D918" s="1" t="str">
        <x:v>Marca</x:v>
      </x:c>
      <x:c r="E918" s="35" t="n">
        <x:v>2</x:v>
      </x:c>
      <x:c r="F918" s="36" t="n">
        <x:v>1.82</x:v>
      </x:c>
      <x:c r="G918" s="36" t="n">
        <x:f>IF(ISNUMBER(F918),E918*F918,"")</x:f>
        <x:v>3.64</x:v>
      </x:c>
      <x:c r="H918" s="37" t="d">
        <x:v>2026-10-15T00:00:00.000Z</x:v>
      </x:c>
      <x:c r="I918" s="37" t="d">
        <x:v>2026-09-17T19:44:39.000Z</x:v>
      </x:c>
      <x:c r="J918" s="1" t="n">
        <x:f>IF(ISNUMBER(F918),E918,0)</x:f>
        <x:v>2</x:v>
      </x:c>
      <x:c r="K918" s="1"/>
      <x:c r="L918" s="1" t="str">
        <x:v>https://blog.skyairline.com/termas-en-la-region-de-los-lagos-aguas-termales-en-la-patagonia/</x:v>
      </x:c>
      <x:c r="M918" s="1" t="n">
        <x:v>1</x:v>
      </x:c>
    </x:row>
    <x:row r="919" ht="18.75" customHeight="1">
      <x:c r="A919" s="1" t="str">
        <x:v>https://blog.skyairline.com/equipaje-de-bodega/</x:v>
      </x:c>
      <x:c r="B919" s="1" t="str">
        <x:v>sky airlines equipaje de mano</x:v>
      </x:c>
      <x:c r="C919" s="1" t="str">
        <x:v>ury</x:v>
      </x:c>
      <x:c r="D919" s="1" t="str">
        <x:v>Marca</x:v>
      </x:c>
      <x:c r="E919" s="35" t="n">
        <x:v>2</x:v>
      </x:c>
      <x:c r="F919" s="36"/>
      <x:c r="G919" s="36" t="str">
        <x:f>IF(ISNUMBER(F919),E919*F919,"")</x:f>
      </x:c>
      <x:c r="H919" s="37"/>
      <x:c r="I919" s="37"/>
      <x:c r="J919" s="1" t="n">
        <x:f>IF(ISNUMBER(F919),E919,0)</x:f>
        <x:v>0</x:v>
      </x:c>
      <x:c r="K919" s="1"/>
      <x:c r="L919" s="1" t="str">
        <x:v>https://blog.skyairline.com/termas-geometricas/</x:v>
      </x:c>
      <x:c r="M919" s="1" t="n">
        <x:v>1</x:v>
      </x:c>
    </x:row>
    <x:row r="920" ht="18.75" customHeight="1">
      <x:c r="A920" s="1" t="str">
        <x:v>https://blog.skyairline.com/equipaje-de-bodega/</x:v>
      </x:c>
      <x:c r="B920" s="1" t="str">
        <x:v>sky airlines equipaje precio</x:v>
      </x:c>
      <x:c r="C920" s="1" t="str">
        <x:v>arg</x:v>
      </x:c>
      <x:c r="D920" s="1" t="str">
        <x:v>Marca</x:v>
      </x:c>
      <x:c r="E920" s="35" t="n">
        <x:v>2</x:v>
      </x:c>
      <x:c r="F920" s="36"/>
      <x:c r="G920" s="36" t="str">
        <x:f>IF(ISNUMBER(F920),E920*F920,"")</x:f>
      </x:c>
      <x:c r="H920" s="37"/>
      <x:c r="I920" s="37"/>
      <x:c r="J920" s="1" t="n">
        <x:f>IF(ISNUMBER(F920),E920,0)</x:f>
        <x:v>0</x:v>
      </x:c>
      <x:c r="K920" s="1"/>
      <x:c r="L920" s="1" t="str">
        <x:v>https://blog.skyairline.com/termas-sol/</x:v>
      </x:c>
      <x:c r="M920" s="1" t="n">
        <x:v>1</x:v>
      </x:c>
    </x:row>
    <x:row r="921" ht="18.75" customHeight="1">
      <x:c r="A921" s="1" t="str">
        <x:v>https://blog.skyairline.com/equipaje-de-bodega/</x:v>
      </x:c>
      <x:c r="B921" s="1" t="str">
        <x:v>sky airlines maletas</x:v>
      </x:c>
      <x:c r="C921" s="1" t="str">
        <x:v>chl</x:v>
      </x:c>
      <x:c r="D921" s="1" t="str">
        <x:v>Marca</x:v>
      </x:c>
      <x:c r="E921" s="35" t="n">
        <x:v>2</x:v>
      </x:c>
      <x:c r="F921" s="36"/>
      <x:c r="G921" s="36" t="str">
        <x:f>IF(ISNUMBER(F921),E921*F921,"")</x:f>
      </x:c>
      <x:c r="H921" s="37" t="d">
        <x:v>2026-10-15T00:00:00.000Z</x:v>
      </x:c>
      <x:c r="I921" s="37" t="d">
        <x:v>2026-10-15T18:00:32.000Z</x:v>
      </x:c>
      <x:c r="J921" s="1" t="n">
        <x:f>IF(ISNUMBER(F921),E921,0)</x:f>
        <x:v>0</x:v>
      </x:c>
      <x:c r="K921" s="1"/>
      <x:c r="L921" s="1" t="str">
        <x:v>https://blog.skyairline.com/termas/</x:v>
      </x:c>
      <x:c r="M921" s="1" t="n">
        <x:v>1</x:v>
      </x:c>
    </x:row>
    <x:row r="922" ht="18.75" customHeight="1">
      <x:c r="A922" s="1" t="str">
        <x:v>https://blog.skyairline.com/equipaje-de-bodega/</x:v>
      </x:c>
      <x:c r="B922" s="1" t="str">
        <x:v>sky airlines medidas equipaje</x:v>
      </x:c>
      <x:c r="C922" s="1" t="str">
        <x:v>chl</x:v>
      </x:c>
      <x:c r="D922" s="1" t="str">
        <x:v>Marca</x:v>
      </x:c>
      <x:c r="E922" s="35" t="n">
        <x:v>2</x:v>
      </x:c>
      <x:c r="F922" s="36"/>
      <x:c r="G922" s="36" t="str">
        <x:f>IF(ISNUMBER(F922),E922*F922,"")</x:f>
      </x:c>
      <x:c r="H922" s="37" t="d">
        <x:v>2026-10-15T00:00:00.000Z</x:v>
      </x:c>
      <x:c r="I922" s="37" t="d">
        <x:v>2026-09-16T10:55:50.000Z</x:v>
      </x:c>
      <x:c r="J922" s="1" t="n">
        <x:f>IF(ISNUMBER(F922),E922,0)</x:f>
        <x:v>0</x:v>
      </x:c>
      <x:c r="K922" s="1"/>
      <x:c r="L922" s="1" t="str">
        <x:v>https://blog.skyairline.com/tesoro-escondido-orillas-del-lago-ranco/</x:v>
      </x:c>
      <x:c r="M922" s="1" t="n">
        <x:v>1</x:v>
      </x:c>
    </x:row>
    <x:row r="923" ht="18.75" customHeight="1">
      <x:c r="A923" s="1" t="str">
        <x:v>https://blog.skyairline.com/equipaje-de-bodega/</x:v>
      </x:c>
      <x:c r="B923" s="1" t="str">
        <x:v>sky airlines que puedo llevar en equipaje de mano</x:v>
      </x:c>
      <x:c r="C923" s="1" t="str">
        <x:v>chl</x:v>
      </x:c>
      <x:c r="D923" s="1" t="str">
        <x:v>Marca</x:v>
      </x:c>
      <x:c r="E923" s="35" t="n">
        <x:v>2</x:v>
      </x:c>
      <x:c r="F923" s="36"/>
      <x:c r="G923" s="36" t="str">
        <x:f>IF(ISNUMBER(F923),E923*F923,"")</x:f>
      </x:c>
      <x:c r="H923" s="37" t="d">
        <x:v>2026-10-15T00:00:00.000Z</x:v>
      </x:c>
      <x:c r="I923" s="37" t="d">
        <x:v>2026-09-14T06:38:48.000Z</x:v>
      </x:c>
      <x:c r="J923" s="1" t="n">
        <x:f>IF(ISNUMBER(F923),E923,0)</x:f>
        <x:v>0</x:v>
      </x:c>
      <x:c r="K923" s="1"/>
      <x:c r="L923" s="1" t="str">
        <x:v>https://blog.skyairline.com/tours-turisticos/</x:v>
      </x:c>
      <x:c r="M923" s="1" t="n">
        <x:v>1</x:v>
      </x:c>
    </x:row>
    <x:row r="924" ht="18.75" customHeight="1">
      <x:c r="A924" s="1" t="str">
        <x:v>https://blog.skyairline.com/equipaje-de-bodega/</x:v>
      </x:c>
      <x:c r="B924" s="1" t="str">
        <x:v>sky bolso de mano medidas</x:v>
      </x:c>
      <x:c r="C924" s="1" t="str">
        <x:v>per</x:v>
      </x:c>
      <x:c r="D924" s="1" t="str">
        <x:v>Marca</x:v>
      </x:c>
      <x:c r="E924" s="35" t="n">
        <x:v>2</x:v>
      </x:c>
      <x:c r="F924" s="36"/>
      <x:c r="G924" s="36" t="str">
        <x:f>IF(ISNUMBER(F924),E924*F924,"")</x:f>
      </x:c>
      <x:c r="H924" s="37"/>
      <x:c r="I924" s="37"/>
      <x:c r="J924" s="1" t="n">
        <x:f>IF(ISNUMBER(F924),E924,0)</x:f>
        <x:v>0</x:v>
      </x:c>
      <x:c r="K924" s="1"/>
      <x:c r="L924" s="1" t="str">
        <x:v>https://blog.skyairline.com/transporte-publico-al-viajar/</x:v>
      </x:c>
      <x:c r="M924" s="1" t="n">
        <x:v>1</x:v>
      </x:c>
    </x:row>
    <x:row r="925" ht="18.75" customHeight="1">
      <x:c r="A925" s="1" t="str">
        <x:v>https://blog.skyairline.com/equipaje-de-bodega/</x:v>
      </x:c>
      <x:c r="B925" s="1" t="str">
        <x:v>sky equipaje de mano</x:v>
      </x:c>
      <x:c r="C925" s="1" t="str">
        <x:v>ury</x:v>
      </x:c>
      <x:c r="D925" s="1" t="str">
        <x:v>Marca</x:v>
      </x:c>
      <x:c r="E925" s="35" t="n">
        <x:v>2</x:v>
      </x:c>
      <x:c r="F925" s="36"/>
      <x:c r="G925" s="36" t="str">
        <x:f>IF(ISNUMBER(F925),E925*F925,"")</x:f>
      </x:c>
      <x:c r="H925" s="37"/>
      <x:c r="I925" s="37"/>
      <x:c r="J925" s="1" t="n">
        <x:f>IF(ISNUMBER(F925),E925,0)</x:f>
        <x:v>0</x:v>
      </x:c>
      <x:c r="K925" s="1"/>
      <x:c r="L925" s="1" t="str">
        <x:v>https://blog.skyairline.com/trekking-en-la-laguna-cutay-una-experiencia-sin-igual/</x:v>
      </x:c>
      <x:c r="M925" s="1" t="n">
        <x:v>1</x:v>
      </x:c>
    </x:row>
    <x:row r="926" ht="18.75" customHeight="1">
      <x:c r="A926" s="1" t="str">
        <x:v>https://blog.skyairline.com/equipaje-de-bodega/</x:v>
      </x:c>
      <x:c r="B926" s="1" t="str">
        <x:v>sky equipaje medidas</x:v>
      </x:c>
      <x:c r="C926" s="1" t="str">
        <x:v>ury</x:v>
      </x:c>
      <x:c r="D926" s="1" t="str">
        <x:v>Marca</x:v>
      </x:c>
      <x:c r="E926" s="35" t="n">
        <x:v>2</x:v>
      </x:c>
      <x:c r="F926" s="36"/>
      <x:c r="G926" s="36" t="str">
        <x:f>IF(ISNUMBER(F926),E926*F926,"")</x:f>
      </x:c>
      <x:c r="H926" s="37"/>
      <x:c r="I926" s="37"/>
      <x:c r="J926" s="1" t="n">
        <x:f>IF(ISNUMBER(F926),E926,0)</x:f>
        <x:v>0</x:v>
      </x:c>
      <x:c r="K926" s="1"/>
      <x:c r="L926" s="1" t="str">
        <x:v>https://blog.skyairline.com/trekking-en-pucon/</x:v>
      </x:c>
      <x:c r="M926" s="1" t="n">
        <x:v>1</x:v>
      </x:c>
    </x:row>
    <x:row r="927" ht="18.75" customHeight="1">
      <x:c r="A927" s="1" t="str">
        <x:v>https://blog.skyairline.com/equipaje-de-bodega/</x:v>
      </x:c>
      <x:c r="B927" s="1" t="str">
        <x:v>sky equipajes</x:v>
      </x:c>
      <x:c r="C927" s="1" t="str">
        <x:v>per</x:v>
      </x:c>
      <x:c r="D927" s="1" t="str">
        <x:v>Marca</x:v>
      </x:c>
      <x:c r="E927" s="35" t="n">
        <x:v>2</x:v>
      </x:c>
      <x:c r="F927" s="36"/>
      <x:c r="G927" s="36" t="str">
        <x:f>IF(ISNUMBER(F927),E927*F927,"")</x:f>
      </x:c>
      <x:c r="H927" s="37"/>
      <x:c r="I927" s="37"/>
      <x:c r="J927" s="1" t="n">
        <x:f>IF(ISNUMBER(F927),E927,0)</x:f>
        <x:v>0</x:v>
      </x:c>
      <x:c r="K927" s="1"/>
      <x:c r="L927" s="1" t="str">
        <x:v>https://blog.skyairline.com/trucos-para-ahorrar/</x:v>
      </x:c>
      <x:c r="M927" s="1" t="n">
        <x:v>1</x:v>
      </x:c>
    </x:row>
    <x:row r="928" ht="18.75" customHeight="1">
      <x:c r="A928" s="1" t="str">
        <x:v>https://blog.skyairline.com/equipaje-de-bodega/</x:v>
      </x:c>
      <x:c r="B928" s="1" t="str">
        <x:v>sky maleta de cabina</x:v>
      </x:c>
      <x:c r="C928" s="1" t="str">
        <x:v>chl</x:v>
      </x:c>
      <x:c r="D928" s="1" t="str">
        <x:v>Marca</x:v>
      </x:c>
      <x:c r="E928" s="35" t="n">
        <x:v>2</x:v>
      </x:c>
      <x:c r="F928" s="36"/>
      <x:c r="G928" s="36" t="str">
        <x:f>IF(ISNUMBER(F928),E928*F928,"")</x:f>
      </x:c>
      <x:c r="H928" s="37"/>
      <x:c r="I928" s="37"/>
      <x:c r="J928" s="1" t="n">
        <x:f>IF(ISNUMBER(F928),E928,0)</x:f>
        <x:v>0</x:v>
      </x:c>
      <x:c r="K928" s="1"/>
      <x:c r="L928" s="1" t="str">
        <x:v>https://blog.skyairline.com/turismo-deportivo/</x:v>
      </x:c>
      <x:c r="M928" s="1" t="n">
        <x:v>1</x:v>
      </x:c>
    </x:row>
    <x:row r="929" ht="18.75" customHeight="1">
      <x:c r="A929" s="1" t="str">
        <x:v>https://blog.skyairline.com/equipaje-de-bodega/</x:v>
      </x:c>
      <x:c r="B929" s="1" t="str">
        <x:v>sky maleta de mano medidas</x:v>
      </x:c>
      <x:c r="C929" s="1" t="str">
        <x:v>chl</x:v>
      </x:c>
      <x:c r="D929" s="1" t="str">
        <x:v>Marca</x:v>
      </x:c>
      <x:c r="E929" s="35" t="n">
        <x:v>2</x:v>
      </x:c>
      <x:c r="F929" s="36"/>
      <x:c r="G929" s="36" t="str">
        <x:f>IF(ISNUMBER(F929),E929*F929,"")</x:f>
      </x:c>
      <x:c r="H929" s="37"/>
      <x:c r="I929" s="37"/>
      <x:c r="J929" s="1" t="n">
        <x:f>IF(ISNUMBER(F929),E929,0)</x:f>
        <x:v>0</x:v>
      </x:c>
      <x:c r="K929" s="1"/>
      <x:c r="L929" s="1" t="str">
        <x:v>https://blog.skyairline.com/turismo-en-bariloche/</x:v>
      </x:c>
      <x:c r="M929" s="1" t="n">
        <x:v>1</x:v>
      </x:c>
    </x:row>
    <x:row r="930" ht="18.75" customHeight="1">
      <x:c r="A930" s="1" t="str">
        <x:v>https://blog.skyairline.com/equipaje-de-bodega/</x:v>
      </x:c>
      <x:c r="B930" s="1" t="str">
        <x:v>sky medidas</x:v>
      </x:c>
      <x:c r="C930" s="1" t="str">
        <x:v>ury</x:v>
      </x:c>
      <x:c r="D930" s="1" t="str">
        <x:v>Marca</x:v>
      </x:c>
      <x:c r="E930" s="35" t="n">
        <x:v>2</x:v>
      </x:c>
      <x:c r="F930" s="36"/>
      <x:c r="G930" s="36" t="str">
        <x:f>IF(ISNUMBER(F930),E930*F930,"")</x:f>
      </x:c>
      <x:c r="H930" s="37"/>
      <x:c r="I930" s="37"/>
      <x:c r="J930" s="1" t="n">
        <x:f>IF(ISNUMBER(F930),E930,0)</x:f>
        <x:v>0</x:v>
      </x:c>
      <x:c r="K930" s="1"/>
      <x:c r="L930" s="1" t="str">
        <x:v>https://blog.skyairline.com/turismo-en-el-sur-de-chile/</x:v>
      </x:c>
      <x:c r="M930" s="1" t="n">
        <x:v>1</x:v>
      </x:c>
    </x:row>
    <x:row r="931" ht="18.75" customHeight="1">
      <x:c r="A931" s="1" t="str">
        <x:v>https://blog.skyairline.com/equipaje-de-bodega/</x:v>
      </x:c>
      <x:c r="B931" s="1" t="str">
        <x:v>sky medidas bolso de mano</x:v>
      </x:c>
      <x:c r="C931" s="1" t="str">
        <x:v>ury</x:v>
      </x:c>
      <x:c r="D931" s="1" t="str">
        <x:v>Marca</x:v>
      </x:c>
      <x:c r="E931" s="35" t="n">
        <x:v>2</x:v>
      </x:c>
      <x:c r="F931" s="36"/>
      <x:c r="G931" s="36" t="str">
        <x:f>IF(ISNUMBER(F931),E931*F931,"")</x:f>
      </x:c>
      <x:c r="H931" s="37"/>
      <x:c r="I931" s="37"/>
      <x:c r="J931" s="1" t="n">
        <x:f>IF(ISNUMBER(F931),E931,0)</x:f>
        <x:v>0</x:v>
      </x:c>
      <x:c r="K931" s="1"/>
      <x:c r="L931" s="1" t="str">
        <x:v>https://blog.skyairline.com/una-semana-en-punta-cana/</x:v>
      </x:c>
      <x:c r="M931" s="1" t="n">
        <x:v>1</x:v>
      </x:c>
    </x:row>
    <x:row r="932" ht="18.75" customHeight="1">
      <x:c r="A932" s="1" t="str">
        <x:v>https://blog.skyairline.com/equipaje-de-bodega/</x:v>
      </x:c>
      <x:c r="B932" s="1" t="str">
        <x:v>sky medidas de equipaje de mano</x:v>
      </x:c>
      <x:c r="C932" s="1" t="str">
        <x:v>per</x:v>
      </x:c>
      <x:c r="D932" s="1" t="str">
        <x:v>Marca</x:v>
      </x:c>
      <x:c r="E932" s="35" t="n">
        <x:v>2</x:v>
      </x:c>
      <x:c r="F932" s="36"/>
      <x:c r="G932" s="36" t="str">
        <x:f>IF(ISNUMBER(F932),E932*F932,"")</x:f>
      </x:c>
      <x:c r="H932" s="37"/>
      <x:c r="I932" s="37"/>
      <x:c r="J932" s="1" t="n">
        <x:f>IF(ISNUMBER(F932),E932,0)</x:f>
        <x:v>0</x:v>
      </x:c>
      <x:c r="K932" s="1"/>
      <x:c r="L932" s="1" t="str">
        <x:v>https://blog.skyairline.com/vacacionar-economico/</x:v>
      </x:c>
      <x:c r="M932" s="1" t="n">
        <x:v>1</x:v>
      </x:c>
    </x:row>
    <x:row r="933" ht="18.75" customHeight="1">
      <x:c r="A933" s="1" t="str">
        <x:v>https://blog.skyairline.com/equipaje-de-bodega/</x:v>
      </x:c>
      <x:c r="B933" s="1" t="str">
        <x:v>sky medidas de mochila</x:v>
      </x:c>
      <x:c r="C933" s="1" t="str">
        <x:v>per</x:v>
      </x:c>
      <x:c r="D933" s="1" t="str">
        <x:v>Marca</x:v>
      </x:c>
      <x:c r="E933" s="35" t="n">
        <x:v>2</x:v>
      </x:c>
      <x:c r="F933" s="36"/>
      <x:c r="G933" s="36" t="str">
        <x:f>IF(ISNUMBER(F933),E933*F933,"")</x:f>
      </x:c>
      <x:c r="H933" s="37"/>
      <x:c r="I933" s="37"/>
      <x:c r="J933" s="1" t="n">
        <x:f>IF(ISNUMBER(F933),E933,0)</x:f>
        <x:v>0</x:v>
      </x:c>
      <x:c r="K933" s="1"/>
      <x:c r="L933" s="1" t="str">
        <x:v>https://blog.skyairline.com/valle-colchagua/</x:v>
      </x:c>
      <x:c r="M933" s="1" t="n">
        <x:v>1</x:v>
      </x:c>
    </x:row>
    <x:row r="934" ht="18.75" customHeight="1">
      <x:c r="A934" s="1" t="str">
        <x:v>https://blog.skyairline.com/equipaje-de-bodega/</x:v>
      </x:c>
      <x:c r="B934" s="1" t="str">
        <x:v>sky mochila</x:v>
      </x:c>
      <x:c r="C934" s="1" t="str">
        <x:v>chl</x:v>
      </x:c>
      <x:c r="D934" s="1" t="str">
        <x:v>Marca</x:v>
      </x:c>
      <x:c r="E934" s="35" t="n">
        <x:v>2</x:v>
      </x:c>
      <x:c r="F934" s="36"/>
      <x:c r="G934" s="36" t="str">
        <x:f>IF(ISNUMBER(F934),E934*F934,"")</x:f>
      </x:c>
      <x:c r="H934" s="37"/>
      <x:c r="I934" s="37"/>
      <x:c r="J934" s="1" t="n">
        <x:f>IF(ISNUMBER(F934),E934,0)</x:f>
        <x:v>0</x:v>
      </x:c>
      <x:c r="K934" s="1"/>
      <x:c r="L934" s="1" t="str">
        <x:v>https://blog.skyairline.com/valle-de-uco-mendoza/</x:v>
      </x:c>
      <x:c r="M934" s="1" t="n">
        <x:v>1</x:v>
      </x:c>
    </x:row>
    <x:row r="935" ht="18.75" customHeight="1">
      <x:c r="A935" s="1" t="str">
        <x:v>https://blog.skyairline.com/equipaje-de-bodega/</x:v>
      </x:c>
      <x:c r="B935" s="1" t="str">
        <x:v>sky tamaño equipaje de mano</x:v>
      </x:c>
      <x:c r="C935" s="1" t="str">
        <x:v>chl</x:v>
      </x:c>
      <x:c r="D935" s="1" t="str">
        <x:v>Marca</x:v>
      </x:c>
      <x:c r="E935" s="35" t="n">
        <x:v>2</x:v>
      </x:c>
      <x:c r="F935" s="36"/>
      <x:c r="G935" s="36" t="str">
        <x:f>IF(ISNUMBER(F935),E935*F935,"")</x:f>
      </x:c>
      <x:c r="H935" s="37"/>
      <x:c r="I935" s="37"/>
      <x:c r="J935" s="1" t="n">
        <x:f>IF(ISNUMBER(F935),E935,0)</x:f>
        <x:v>0</x:v>
      </x:c>
      <x:c r="K935" s="1"/>
      <x:c r="L935" s="1" t="str">
        <x:v>https://blog.skyairline.com/viajar-a-brasil/</x:v>
      </x:c>
      <x:c r="M935" s="1" t="n">
        <x:v>1</x:v>
      </x:c>
    </x:row>
    <x:row r="936" ht="18.75" customHeight="1">
      <x:c r="A936" s="1" t="str">
        <x:v>https://blog.skyairline.com/equipaje-de-bodega/</x:v>
      </x:c>
      <x:c r="B936" s="1" t="str">
        <x:v>tamaño de equipaje de mano sky</x:v>
      </x:c>
      <x:c r="C936" s="1" t="str">
        <x:v>per</x:v>
      </x:c>
      <x:c r="D936" s="1" t="str">
        <x:v>Marca</x:v>
      </x:c>
      <x:c r="E936" s="35" t="n">
        <x:v>2</x:v>
      </x:c>
      <x:c r="F936" s="36"/>
      <x:c r="G936" s="36" t="str">
        <x:f>IF(ISNUMBER(F936),E936*F936,"")</x:f>
      </x:c>
      <x:c r="H936" s="37"/>
      <x:c r="I936" s="37"/>
      <x:c r="J936" s="1" t="n">
        <x:f>IF(ISNUMBER(F936),E936,0)</x:f>
        <x:v>0</x:v>
      </x:c>
      <x:c r="K936" s="1"/>
      <x:c r="L936" s="1" t="str">
        <x:v>https://blog.skyairline.com/viajar-a-otro-pais/</x:v>
      </x:c>
      <x:c r="M936" s="1" t="n">
        <x:v>1</x:v>
      </x:c>
    </x:row>
    <x:row r="937" ht="18.75" customHeight="1">
      <x:c r="A937" s="1" t="str">
        <x:v>https://blog.skyairline.com/equipaje-de-bodega/</x:v>
      </x:c>
      <x:c r="B937" s="1" t="str">
        <x:v>tamaño maleta cabina sky</x:v>
      </x:c>
      <x:c r="C937" s="1" t="str">
        <x:v>chl</x:v>
      </x:c>
      <x:c r="D937" s="1" t="str">
        <x:v>Marca</x:v>
      </x:c>
      <x:c r="E937" s="35" t="n">
        <x:v>2</x:v>
      </x:c>
      <x:c r="F937" s="36"/>
      <x:c r="G937" s="36" t="str">
        <x:f>IF(ISNUMBER(F937),E937*F937,"")</x:f>
      </x:c>
      <x:c r="H937" s="37"/>
      <x:c r="I937" s="37"/>
      <x:c r="J937" s="1" t="n">
        <x:f>IF(ISNUMBER(F937),E937,0)</x:f>
        <x:v>0</x:v>
      </x:c>
      <x:c r="K937" s="1"/>
      <x:c r="L937" s="1" t="str">
        <x:v>https://blog.skyairline.com/viajar-a-peru/</x:v>
      </x:c>
      <x:c r="M937" s="1" t="n">
        <x:v>1</x:v>
      </x:c>
    </x:row>
    <x:row r="938" ht="18.75" customHeight="1">
      <x:c r="A938" s="1" t="str">
        <x:v>https://blog.skyairline.com/equipaje-de-bodega/</x:v>
      </x:c>
      <x:c r="B938" s="1" t="str">
        <x:v>tamaño maleta sky</x:v>
      </x:c>
      <x:c r="C938" s="1" t="str">
        <x:v>chl</x:v>
      </x:c>
      <x:c r="D938" s="1" t="str">
        <x:v>Marca</x:v>
      </x:c>
      <x:c r="E938" s="35" t="n">
        <x:v>2</x:v>
      </x:c>
      <x:c r="F938" s="36"/>
      <x:c r="G938" s="36" t="str">
        <x:f>IF(ISNUMBER(F938),E938*F938,"")</x:f>
      </x:c>
      <x:c r="H938" s="37"/>
      <x:c r="I938" s="37"/>
      <x:c r="J938" s="1" t="n">
        <x:f>IF(ISNUMBER(F938),E938,0)</x:f>
        <x:v>0</x:v>
      </x:c>
      <x:c r="K938" s="1"/>
      <x:c r="L938" s="1" t="str">
        <x:v>https://blog.skyairline.com/viajar-a-puerto-natales/</x:v>
      </x:c>
      <x:c r="M938" s="1" t="n">
        <x:v>1</x:v>
      </x:c>
    </x:row>
    <x:row r="939" ht="18.75" customHeight="1">
      <x:c r="A939" s="1" t="str">
        <x:v>https://blog.skyairline.com/equipaje-de-bodega/</x:v>
      </x:c>
      <x:c r="B939" s="1" t="str">
        <x:v>tipos de equipaje sky</x:v>
      </x:c>
      <x:c r="C939" s="1" t="str">
        <x:v>chl</x:v>
      </x:c>
      <x:c r="D939" s="1" t="str">
        <x:v>Marca</x:v>
      </x:c>
      <x:c r="E939" s="35" t="n">
        <x:v>2</x:v>
      </x:c>
      <x:c r="F939" s="36"/>
      <x:c r="G939" s="36" t="str">
        <x:f>IF(ISNUMBER(F939),E939*F939,"")</x:f>
      </x:c>
      <x:c r="H939" s="37" t="d">
        <x:v>2026-10-15T00:00:00.000Z</x:v>
      </x:c>
      <x:c r="I939" s="37" t="d">
        <x:v>2026-09-16T23:21:01.000Z</x:v>
      </x:c>
      <x:c r="J939" s="1" t="n">
        <x:f>IF(ISNUMBER(F939),E939,0)</x:f>
        <x:v>0</x:v>
      </x:c>
      <x:c r="K939" s="1"/>
      <x:c r="L939" s="1" t="str">
        <x:v>https://blog.skyairline.com/viajar-com-perros/</x:v>
      </x:c>
      <x:c r="M939" s="1" t="n">
        <x:v>1</x:v>
      </x:c>
    </x:row>
    <x:row r="940" ht="18.75" customHeight="1">
      <x:c r="A940" s="1" t="str">
        <x:v>https://blog.skyairline.com/equipaje-de-bodega/</x:v>
      </x:c>
      <x:c r="B940" s="1" t="str">
        <x:v>tipos de equipaje sky</x:v>
      </x:c>
      <x:c r="C940" s="1" t="str">
        <x:v>per</x:v>
      </x:c>
      <x:c r="D940" s="1" t="str">
        <x:v>Marca</x:v>
      </x:c>
      <x:c r="E940" s="35" t="n">
        <x:v>2</x:v>
      </x:c>
      <x:c r="F940" s="36"/>
      <x:c r="G940" s="36" t="str">
        <x:f>IF(ISNUMBER(F940),E940*F940,"")</x:f>
      </x:c>
      <x:c r="H940" s="37" t="d">
        <x:v>2026-10-15T00:00:00.000Z</x:v>
      </x:c>
      <x:c r="I940" s="37" t="d">
        <x:v>2026-09-12T18:07:27.000Z</x:v>
      </x:c>
      <x:c r="J940" s="1" t="n">
        <x:f>IF(ISNUMBER(F940),E940,0)</x:f>
        <x:v>0</x:v>
      </x:c>
      <x:c r="K940" s="1"/>
      <x:c r="L940" s="1" t="str">
        <x:v>https://blog.skyairline.com/viajar-en-auto/</x:v>
      </x:c>
      <x:c r="M940" s="1" t="n">
        <x:v>1</x:v>
      </x:c>
    </x:row>
    <x:row r="941" ht="18.75" customHeight="1">
      <x:c r="A941" s="1" t="str">
        <x:v>https://blog.skyairline.com/equipaje-de-cabina/</x:v>
      </x:c>
      <x:c r="B941" s="1" t="str">
        <x:v>articulo personal sky medidas</x:v>
      </x:c>
      <x:c r="C941" s="1" t="str">
        <x:v>chl</x:v>
      </x:c>
      <x:c r="D941" s="1" t="str">
        <x:v>Marca</x:v>
      </x:c>
      <x:c r="E941" s="35" t="n">
        <x:v>2</x:v>
      </x:c>
      <x:c r="F941" s="36"/>
      <x:c r="G941" s="36" t="str">
        <x:f>IF(ISNUMBER(F941),E941*F941,"")</x:f>
      </x:c>
      <x:c r="H941" s="37"/>
      <x:c r="I941" s="37"/>
      <x:c r="J941" s="1" t="n">
        <x:f>IF(ISNUMBER(F941),E941,0)</x:f>
        <x:v>0</x:v>
      </x:c>
      <x:c r="K941" s="1"/>
      <x:c r="L941" s="1" t="str">
        <x:v>https://blog.skyairline.com/viajar-muy-pronto/</x:v>
      </x:c>
      <x:c r="M941" s="1" t="n">
        <x:v>1</x:v>
      </x:c>
    </x:row>
    <x:row r="942" ht="18.75" customHeight="1">
      <x:c r="A942" s="1" t="str">
        <x:v>https://blog.skyairline.com/equipaje-de-cabina/</x:v>
      </x:c>
      <x:c r="B942" s="1" t="str">
        <x:v>articulo personal sky medidas</x:v>
      </x:c>
      <x:c r="C942" s="1" t="str">
        <x:v>per</x:v>
      </x:c>
      <x:c r="D942" s="1" t="str">
        <x:v>Marca</x:v>
      </x:c>
      <x:c r="E942" s="35" t="n">
        <x:v>2</x:v>
      </x:c>
      <x:c r="F942" s="36"/>
      <x:c r="G942" s="36" t="str">
        <x:f>IF(ISNUMBER(F942),E942*F942,"")</x:f>
      </x:c>
      <x:c r="H942" s="37"/>
      <x:c r="I942" s="37"/>
      <x:c r="J942" s="1" t="n">
        <x:f>IF(ISNUMBER(F942),E942,0)</x:f>
        <x:v>0</x:v>
      </x:c>
      <x:c r="K942" s="1"/>
      <x:c r="L942" s="1" t="str">
        <x:v>https://blog.skyairline.com/viajar-puerto-montt/</x:v>
      </x:c>
      <x:c r="M942" s="1" t="n">
        <x:v>1</x:v>
      </x:c>
    </x:row>
    <x:row r="943" ht="18.75" customHeight="1">
      <x:c r="A943" s="1" t="str">
        <x:v>https://blog.skyairline.com/equipaje-de-cabina/</x:v>
      </x:c>
      <x:c r="B943" s="1" t="str">
        <x:v>artículo personal sky</x:v>
      </x:c>
      <x:c r="C943" s="1" t="str">
        <x:v>chl</x:v>
      </x:c>
      <x:c r="D943" s="1" t="str">
        <x:v>Marca</x:v>
      </x:c>
      <x:c r="E943" s="35" t="n">
        <x:v>2</x:v>
      </x:c>
      <x:c r="F943" s="36" t="n">
        <x:v>0.09</x:v>
      </x:c>
      <x:c r="G943" s="36" t="n">
        <x:f>IF(ISNUMBER(F943),E943*F943,"")</x:f>
        <x:v>0.18</x:v>
      </x:c>
      <x:c r="H943" s="37" t="d">
        <x:v>2026-10-15T00:00:00.000Z</x:v>
      </x:c>
      <x:c r="I943" s="37" t="d">
        <x:v>2026-10-15T12:19:51.000Z</x:v>
      </x:c>
      <x:c r="J943" s="1" t="n">
        <x:f>IF(ISNUMBER(F943),E943,0)</x:f>
        <x:v>2</x:v>
      </x:c>
      <x:c r="K943" s="1"/>
      <x:c r="L943" s="1" t="str">
        <x:v>https://blog.skyairline.com/viaje-a-tarapoto/</x:v>
      </x:c>
      <x:c r="M943" s="1" t="n">
        <x:v>1</x:v>
      </x:c>
    </x:row>
    <x:row r="944" ht="18.75" customHeight="1">
      <x:c r="A944" s="1" t="str">
        <x:v>https://blog.skyairline.com/equipaje-de-cabina/</x:v>
      </x:c>
      <x:c r="B944" s="1" t="str">
        <x:v>artículo personal sky</x:v>
      </x:c>
      <x:c r="C944" s="1" t="str">
        <x:v>ury</x:v>
      </x:c>
      <x:c r="D944" s="1" t="str">
        <x:v>Marca</x:v>
      </x:c>
      <x:c r="E944" s="35" t="n">
        <x:v>2</x:v>
      </x:c>
      <x:c r="F944" s="36"/>
      <x:c r="G944" s="36" t="str">
        <x:f>IF(ISNUMBER(F944),E944*F944,"")</x:f>
      </x:c>
      <x:c r="H944" s="37"/>
      <x:c r="I944" s="37"/>
      <x:c r="J944" s="1" t="n">
        <x:f>IF(ISNUMBER(F944),E944,0)</x:f>
        <x:v>0</x:v>
      </x:c>
      <x:c r="K944" s="1"/>
      <x:c r="L944" s="1" t="str">
        <x:v>https://blog.skyairline.com/viaje-de-tus-suenos/</x:v>
      </x:c>
      <x:c r="M944" s="1" t="n">
        <x:v>1</x:v>
      </x:c>
    </x:row>
    <x:row r="945" ht="18.75" customHeight="1">
      <x:c r="A945" s="1" t="str">
        <x:v>https://blog.skyairline.com/equipaje-de-cabina/</x:v>
      </x:c>
      <x:c r="B945" s="1" t="str">
        <x:v>bolsa de mano sky medidas</x:v>
      </x:c>
      <x:c r="C945" s="1" t="str">
        <x:v>per</x:v>
      </x:c>
      <x:c r="D945" s="1" t="str">
        <x:v>Marca</x:v>
      </x:c>
      <x:c r="E945" s="35" t="n">
        <x:v>2</x:v>
      </x:c>
      <x:c r="F945" s="36"/>
      <x:c r="G945" s="36" t="str">
        <x:f>IF(ISNUMBER(F945),E945*F945,"")</x:f>
      </x:c>
      <x:c r="H945" s="37"/>
      <x:c r="I945" s="37"/>
      <x:c r="J945" s="1" t="n">
        <x:f>IF(ISNUMBER(F945),E945,0)</x:f>
        <x:v>0</x:v>
      </x:c>
      <x:c r="K945" s="1"/>
      <x:c r="L945" s="1" t="str">
        <x:v>https://blog.skyairline.com/viajeros-entre-26-y-40-anos-lideran-las-rutas-nacionales-e-internacionales-de-sky/</x:v>
      </x:c>
      <x:c r="M945" s="1" t="n">
        <x:v>1</x:v>
      </x:c>
    </x:row>
    <x:row r="946" ht="18.75" customHeight="1">
      <x:c r="A946" s="1" t="str">
        <x:v>https://blog.skyairline.com/equipaje-de-cabina/</x:v>
      </x:c>
      <x:c r="B946" s="1" t="str">
        <x:v>bolso de mano en sky</x:v>
      </x:c>
      <x:c r="C946" s="1" t="str">
        <x:v>chl</x:v>
      </x:c>
      <x:c r="D946" s="1" t="str">
        <x:v>Marca</x:v>
      </x:c>
      <x:c r="E946" s="35" t="n">
        <x:v>2</x:v>
      </x:c>
      <x:c r="F946" s="36"/>
      <x:c r="G946" s="36" t="str">
        <x:f>IF(ISNUMBER(F946),E946*F946,"")</x:f>
      </x:c>
      <x:c r="H946" s="37" t="d">
        <x:v>2026-10-15T00:00:00.000Z</x:v>
      </x:c>
      <x:c r="I946" s="37" t="d">
        <x:v>2026-09-15T20:51:45.000Z</x:v>
      </x:c>
      <x:c r="J946" s="1" t="n">
        <x:f>IF(ISNUMBER(F946),E946,0)</x:f>
        <x:v>0</x:v>
      </x:c>
      <x:c r="K946" s="1"/>
      <x:c r="L946" s="1" t="str">
        <x:v>https://blog.skyairline.com/viajes-multidestino/</x:v>
      </x:c>
      <x:c r="M946" s="1" t="n">
        <x:v>1</x:v>
      </x:c>
    </x:row>
    <x:row r="947" ht="18.75" customHeight="1">
      <x:c r="A947" s="1" t="str">
        <x:v>https://blog.skyairline.com/equipaje-de-cabina/</x:v>
      </x:c>
      <x:c r="B947" s="1" t="str">
        <x:v>bolso de mano sky airlines</x:v>
      </x:c>
      <x:c r="C947" s="1" t="str">
        <x:v>per</x:v>
      </x:c>
      <x:c r="D947" s="1" t="str">
        <x:v>Marca</x:v>
      </x:c>
      <x:c r="E947" s="35" t="n">
        <x:v>2</x:v>
      </x:c>
      <x:c r="F947" s="36"/>
      <x:c r="G947" s="36" t="str">
        <x:f>IF(ISNUMBER(F947),E947*F947,"")</x:f>
      </x:c>
      <x:c r="H947" s="37" t="d">
        <x:v>2026-10-15T00:00:00.000Z</x:v>
      </x:c>
      <x:c r="I947" s="37" t="d">
        <x:v>2026-09-16T14:11:06.000Z</x:v>
      </x:c>
      <x:c r="J947" s="1" t="n">
        <x:f>IF(ISNUMBER(F947),E947,0)</x:f>
        <x:v>0</x:v>
      </x:c>
      <x:c r="K947" s="1"/>
      <x:c r="L947" s="1" t="str">
        <x:v>https://blog.skyairline.com/vida-nocturna-en-punta-cana/</x:v>
      </x:c>
      <x:c r="M947" s="1" t="n">
        <x:v>1</x:v>
      </x:c>
    </x:row>
    <x:row r="948" ht="18.75" customHeight="1">
      <x:c r="A948" s="1" t="str">
        <x:v>https://blog.skyairline.com/equipaje-de-cabina/</x:v>
      </x:c>
      <x:c r="B948" s="1" t="str">
        <x:v>carry on sky airlines</x:v>
      </x:c>
      <x:c r="C948" s="1" t="str">
        <x:v>ury</x:v>
      </x:c>
      <x:c r="D948" s="1" t="str">
        <x:v>Marca</x:v>
      </x:c>
      <x:c r="E948" s="35" t="n">
        <x:v>2</x:v>
      </x:c>
      <x:c r="F948" s="36"/>
      <x:c r="G948" s="36" t="str">
        <x:f>IF(ISNUMBER(F948),E948*F948,"")</x:f>
      </x:c>
      <x:c r="H948" s="37"/>
      <x:c r="I948" s="37"/>
      <x:c r="J948" s="1" t="n">
        <x:f>IF(ISNUMBER(F948),E948,0)</x:f>
        <x:v>0</x:v>
      </x:c>
      <x:c r="K948" s="1"/>
      <x:c r="L948" s="1" t="str">
        <x:v>https://blog.skyairline.com/villa-pehuenia-un-paraiso-patagonico-para-descubrir/</x:v>
      </x:c>
      <x:c r="M948" s="1" t="n">
        <x:v>1</x:v>
      </x:c>
    </x:row>
    <x:row r="949" ht="18.75" customHeight="1">
      <x:c r="A949" s="1" t="str">
        <x:v>https://blog.skyairline.com/equipaje-de-cabina/</x:v>
      </x:c>
      <x:c r="B949" s="1" t="str">
        <x:v>dimensiones equipaje de mano sky</x:v>
      </x:c>
      <x:c r="C949" s="1" t="str">
        <x:v>per</x:v>
      </x:c>
      <x:c r="D949" s="1" t="str">
        <x:v>Marca</x:v>
      </x:c>
      <x:c r="E949" s="35" t="n">
        <x:v>2</x:v>
      </x:c>
      <x:c r="F949" s="36"/>
      <x:c r="G949" s="36" t="str">
        <x:f>IF(ISNUMBER(F949),E949*F949,"")</x:f>
      </x:c>
      <x:c r="H949" s="37"/>
      <x:c r="I949" s="37"/>
      <x:c r="J949" s="1" t="n">
        <x:f>IF(ISNUMBER(F949),E949,0)</x:f>
        <x:v>0</x:v>
      </x:c>
      <x:c r="K949" s="1"/>
      <x:c r="L949" s="1" t="str">
        <x:v>https://blog.skyairline.com/visa-de-turista/</x:v>
      </x:c>
      <x:c r="M949" s="1" t="n">
        <x:v>1</x:v>
      </x:c>
    </x:row>
    <x:row r="950" ht="18.75" customHeight="1">
      <x:c r="A950" s="1" t="str">
        <x:v>https://blog.skyairline.com/equipaje-de-cabina/</x:v>
      </x:c>
      <x:c r="B950" s="1" t="str">
        <x:v>equipaje cabina</x:v>
      </x:c>
      <x:c r="C950" s="1" t="str">
        <x:v>chl</x:v>
      </x:c>
      <x:c r="D950" s="1" t="str">
        <x:v>Sin marca</x:v>
      </x:c>
      <x:c r="E950" s="35" t="n">
        <x:v>2</x:v>
      </x:c>
      <x:c r="F950" s="36" t="n">
        <x:v>0.12</x:v>
      </x:c>
      <x:c r="G950" s="36" t="n">
        <x:f>IF(ISNUMBER(F950),E950*F950,"")</x:f>
        <x:v>0.24</x:v>
      </x:c>
      <x:c r="H950" s="37" t="d">
        <x:v>2026-10-15T00:00:00.000Z</x:v>
      </x:c>
      <x:c r="I950" s="37" t="d">
        <x:v>2026-09-16T20:51:12.000Z</x:v>
      </x:c>
      <x:c r="J950" s="1" t="n">
        <x:f>IF(ISNUMBER(F950),E950,0)</x:f>
        <x:v>2</x:v>
      </x:c>
      <x:c r="K950" s="1"/>
      <x:c r="L950" s="1" t="str">
        <x:v>https://blog.skyairline.com/visitar-valparaiso/</x:v>
      </x:c>
      <x:c r="M950" s="1" t="n">
        <x:v>1</x:v>
      </x:c>
    </x:row>
    <x:row r="951" ht="18.75" customHeight="1">
      <x:c r="A951" s="1" t="str">
        <x:v>https://blog.skyairline.com/equipaje-de-cabina/</x:v>
      </x:c>
      <x:c r="B951" s="1" t="str">
        <x:v>equipaje de mano en sky</x:v>
      </x:c>
      <x:c r="C951" s="1" t="str">
        <x:v>chl</x:v>
      </x:c>
      <x:c r="D951" s="1" t="str">
        <x:v>Marca</x:v>
      </x:c>
      <x:c r="E951" s="35" t="n">
        <x:v>2</x:v>
      </x:c>
      <x:c r="F951" s="36"/>
      <x:c r="G951" s="36" t="str">
        <x:f>IF(ISNUMBER(F951),E951*F951,"")</x:f>
      </x:c>
      <x:c r="H951" s="37" t="d">
        <x:v>2026-10-15T00:00:00.000Z</x:v>
      </x:c>
      <x:c r="I951" s="37" t="d">
        <x:v>2026-09-12T16:57:08.000Z</x:v>
      </x:c>
      <x:c r="J951" s="1" t="n">
        <x:f>IF(ISNUMBER(F951),E951,0)</x:f>
        <x:v>0</x:v>
      </x:c>
      <x:c r="K951" s="1"/>
      <x:c r="L951" s="1" t="str">
        <x:v>https://blog.skyairline.com/vlogs-de-viaje/</x:v>
      </x:c>
      <x:c r="M951" s="1" t="n">
        <x:v>1</x:v>
      </x:c>
    </x:row>
    <x:row r="952" ht="18.75" customHeight="1">
      <x:c r="A952" s="1" t="str">
        <x:v>https://blog.skyairline.com/equipaje-de-cabina/</x:v>
      </x:c>
      <x:c r="B952" s="1" t="str">
        <x:v>equipaje de mano medidas sky</x:v>
      </x:c>
      <x:c r="C952" s="1" t="str">
        <x:v>chl</x:v>
      </x:c>
      <x:c r="D952" s="1" t="str">
        <x:v>Marca</x:v>
      </x:c>
      <x:c r="E952" s="35" t="n">
        <x:v>2</x:v>
      </x:c>
      <x:c r="F952" s="36"/>
      <x:c r="G952" s="36" t="str">
        <x:f>IF(ISNUMBER(F952),E952*F952,"")</x:f>
      </x:c>
      <x:c r="H952" s="37" t="d">
        <x:v>2026-10-15T00:00:00.000Z</x:v>
      </x:c>
      <x:c r="I952" s="37" t="d">
        <x:v>2026-09-15T17:14:03.000Z</x:v>
      </x:c>
      <x:c r="J952" s="1" t="n">
        <x:f>IF(ISNUMBER(F952),E952,0)</x:f>
        <x:v>0</x:v>
      </x:c>
      <x:c r="K952" s="1"/>
      <x:c r="L952" s="1" t="str">
        <x:v>https://blog.skyairline.com/volar-en-avion/</x:v>
      </x:c>
      <x:c r="M952" s="1" t="n">
        <x:v>1</x:v>
      </x:c>
    </x:row>
    <x:row r="953" ht="18.75" customHeight="1">
      <x:c r="A953" s="1" t="str">
        <x:v>https://blog.skyairline.com/equipaje-de-cabina/</x:v>
      </x:c>
      <x:c r="B953" s="1" t="str">
        <x:v>equipaje de mano sky medidas</x:v>
      </x:c>
      <x:c r="C953" s="1" t="str">
        <x:v>ury</x:v>
      </x:c>
      <x:c r="D953" s="1" t="str">
        <x:v>Marca</x:v>
      </x:c>
      <x:c r="E953" s="35" t="n">
        <x:v>2</x:v>
      </x:c>
      <x:c r="F953" s="36"/>
      <x:c r="G953" s="36" t="str">
        <x:f>IF(ISNUMBER(F953),E953*F953,"")</x:f>
      </x:c>
      <x:c r="H953" s="37"/>
      <x:c r="I953" s="37"/>
      <x:c r="J953" s="1" t="n">
        <x:f>IF(ISNUMBER(F953),E953,0)</x:f>
        <x:v>0</x:v>
      </x:c>
      <x:c r="K953" s="1"/>
      <x:c r="L953" s="1" t="str">
        <x:v>https://blog.skyairline.com/votos-de-amor/</x:v>
      </x:c>
      <x:c r="M953" s="1" t="n">
        <x:v>1</x:v>
      </x:c>
    </x:row>
    <x:row r="954" ht="18.75" customHeight="1">
      <x:c r="A954" s="1" t="str">
        <x:v>https://blog.skyairline.com/equipaje-de-cabina/</x:v>
      </x:c>
      <x:c r="B954" s="1" t="str">
        <x:v>equipaje en cabina</x:v>
      </x:c>
      <x:c r="C954" s="1" t="str">
        <x:v>chl</x:v>
      </x:c>
      <x:c r="D954" s="1" t="str">
        <x:v>Sin marca</x:v>
      </x:c>
      <x:c r="E954" s="35" t="n">
        <x:v>2</x:v>
      </x:c>
      <x:c r="F954" s="36" t="n">
        <x:v>0.12</x:v>
      </x:c>
      <x:c r="G954" s="36" t="n">
        <x:f>IF(ISNUMBER(F954),E954*F954,"")</x:f>
        <x:v>0.24</x:v>
      </x:c>
      <x:c r="H954" s="37" t="d">
        <x:v>2026-10-15T00:00:00.000Z</x:v>
      </x:c>
      <x:c r="I954" s="37" t="d">
        <x:v>2026-09-16T06:49:39.000Z</x:v>
      </x:c>
      <x:c r="J954" s="1" t="n">
        <x:f>IF(ISNUMBER(F954),E954,0)</x:f>
        <x:v>2</x:v>
      </x:c>
      <x:c r="K954" s="1"/>
      <x:c r="L954" s="1" t="str">
        <x:v>https://blog.skyairline.com/vuelos-a-brasil/</x:v>
      </x:c>
      <x:c r="M954" s="1" t="n">
        <x:v>1</x:v>
      </x:c>
    </x:row>
    <x:row r="955" ht="18.75" customHeight="1">
      <x:c r="A955" s="1" t="str">
        <x:v>https://blog.skyairline.com/equipaje-de-cabina/</x:v>
      </x:c>
      <x:c r="B955" s="1" t="str">
        <x:v>equipaje en cabina sky medidas</x:v>
      </x:c>
      <x:c r="C955" s="1" t="str">
        <x:v>ury</x:v>
      </x:c>
      <x:c r="D955" s="1" t="str">
        <x:v>Marca</x:v>
      </x:c>
      <x:c r="E955" s="35" t="n">
        <x:v>2</x:v>
      </x:c>
      <x:c r="F955" s="36"/>
      <x:c r="G955" s="36" t="str">
        <x:f>IF(ISNUMBER(F955),E955*F955,"")</x:f>
      </x:c>
      <x:c r="H955" s="37"/>
      <x:c r="I955" s="37"/>
      <x:c r="J955" s="1" t="n">
        <x:f>IF(ISNUMBER(F955),E955,0)</x:f>
        <x:v>0</x:v>
      </x:c>
      <x:c r="K955" s="1"/>
      <x:c r="L955" s="1" t="str">
        <x:v>https://blog.skyairline.com/vuelos-a-jauja/</x:v>
      </x:c>
      <x:c r="M955" s="1" t="n">
        <x:v>1</x:v>
      </x:c>
    </x:row>
    <x:row r="956" ht="18.75" customHeight="1">
      <x:c r="A956" s="1" t="str">
        <x:v>https://blog.skyairline.com/equipaje-de-cabina/</x:v>
      </x:c>
      <x:c r="B956" s="1" t="str">
        <x:v>medida bolso de mano sky</x:v>
      </x:c>
      <x:c r="C956" s="1" t="str">
        <x:v>per</x:v>
      </x:c>
      <x:c r="D956" s="1" t="str">
        <x:v>Marca</x:v>
      </x:c>
      <x:c r="E956" s="35" t="n">
        <x:v>2</x:v>
      </x:c>
      <x:c r="F956" s="36"/>
      <x:c r="G956" s="36" t="str">
        <x:f>IF(ISNUMBER(F956),E956*F956,"")</x:f>
      </x:c>
      <x:c r="H956" s="37" t="d">
        <x:v>2026-10-15T00:00:00.000Z</x:v>
      </x:c>
      <x:c r="I956" s="37" t="d">
        <x:v>2026-09-16T10:27:28.000Z</x:v>
      </x:c>
      <x:c r="J956" s="1" t="n">
        <x:f>IF(ISNUMBER(F956),E956,0)</x:f>
        <x:v>0</x:v>
      </x:c>
      <x:c r="K956" s="1"/>
      <x:c r="L956" s="1" t="str">
        <x:v>https://blog.skyairline.com/vuelos-a-pucallpa/</x:v>
      </x:c>
      <x:c r="M956" s="1" t="n">
        <x:v>1</x:v>
      </x:c>
    </x:row>
    <x:row r="957" ht="18.75" customHeight="1">
      <x:c r="A957" s="1" t="str">
        <x:v>https://blog.skyairline.com/equipaje-de-cabina/</x:v>
      </x:c>
      <x:c r="B957" s="1" t="str">
        <x:v>medida de equipaje de mano sky</x:v>
      </x:c>
      <x:c r="C957" s="1" t="str">
        <x:v>per</x:v>
      </x:c>
      <x:c r="D957" s="1" t="str">
        <x:v>Marca</x:v>
      </x:c>
      <x:c r="E957" s="35" t="n">
        <x:v>2</x:v>
      </x:c>
      <x:c r="F957" s="36"/>
      <x:c r="G957" s="36" t="str">
        <x:f>IF(ISNUMBER(F957),E957*F957,"")</x:f>
      </x:c>
      <x:c r="H957" s="37" t="d">
        <x:v>2026-10-15T00:00:00.000Z</x:v>
      </x:c>
      <x:c r="I957" s="37" t="d">
        <x:v>2026-09-15T03:26:19.000Z</x:v>
      </x:c>
      <x:c r="J957" s="1" t="n">
        <x:f>IF(ISNUMBER(F957),E957,0)</x:f>
        <x:v>0</x:v>
      </x:c>
      <x:c r="K957" s="1"/>
      <x:c r="L957" s="1" t="str">
        <x:v>https://blog.skyairline.com/vuelos-ushuaia/</x:v>
      </x:c>
      <x:c r="M957" s="1" t="n">
        <x:v>1</x:v>
      </x:c>
    </x:row>
    <x:row r="958" ht="18.75" customHeight="1">
      <x:c r="A958" s="1" t="str">
        <x:v>https://blog.skyairline.com/equipaje-de-cabina/</x:v>
      </x:c>
      <x:c r="B958" s="1" t="str">
        <x:v>medida mochila sky</x:v>
      </x:c>
      <x:c r="C958" s="1" t="str">
        <x:v>chl</x:v>
      </x:c>
      <x:c r="D958" s="1" t="str">
        <x:v>Marca</x:v>
      </x:c>
      <x:c r="E958" s="35" t="n">
        <x:v>2</x:v>
      </x:c>
      <x:c r="F958" s="36"/>
      <x:c r="G958" s="36" t="str">
        <x:f>IF(ISNUMBER(F958),E958*F958,"")</x:f>
      </x:c>
      <x:c r="H958" s="37"/>
      <x:c r="I958" s="37"/>
      <x:c r="J958" s="1" t="n">
        <x:f>IF(ISNUMBER(F958),E958,0)</x:f>
        <x:v>0</x:v>
      </x:c>
      <x:c r="K958" s="1"/>
      <x:c r="L958" s="1" t="str">
        <x:v>https://blog.skyairline.com/10-cosas-para-her-en-caminito-buenos-aires/</x:v>
      </x:c>
      <x:c r="M958" s="1" t="n">
        <x:v>0</x:v>
      </x:c>
    </x:row>
    <x:row r="959" ht="18.75" customHeight="1">
      <x:c r="A959" s="1" t="str">
        <x:v>https://blog.skyairline.com/equipaje-de-cabina/</x:v>
      </x:c>
      <x:c r="B959" s="1" t="str">
        <x:v>medidas bolso de mano sky 2026</x:v>
      </x:c>
      <x:c r="C959" s="1" t="str">
        <x:v>arg</x:v>
      </x:c>
      <x:c r="D959" s="1" t="str">
        <x:v>Marca</x:v>
      </x:c>
      <x:c r="E959" s="35" t="n">
        <x:v>2</x:v>
      </x:c>
      <x:c r="F959" s="36"/>
      <x:c r="G959" s="36" t="str">
        <x:f>IF(ISNUMBER(F959),E959*F959,"")</x:f>
      </x:c>
      <x:c r="H959" s="37"/>
      <x:c r="I959" s="37"/>
      <x:c r="J959" s="1" t="n">
        <x:f>IF(ISNUMBER(F959),E959,0)</x:f>
        <x:v>0</x:v>
      </x:c>
      <x:c r="K959" s="1"/>
      <x:c r="L959" s="1" t="str">
        <x:v>https://blog.skyairline.com/10-cosas-que-chacer-en-caminito/</x:v>
      </x:c>
      <x:c r="M959" s="1" t="n">
        <x:v>0</x:v>
      </x:c>
    </x:row>
    <x:row r="960" ht="18.75" customHeight="1">
      <x:c r="A960" s="1" t="str">
        <x:v>https://blog.skyairline.com/equipaje-de-cabina/</x:v>
      </x:c>
      <x:c r="B960" s="1" t="str">
        <x:v>medidas bolso de mano sky 2026</x:v>
      </x:c>
      <x:c r="C960" s="1" t="str">
        <x:v>chl</x:v>
      </x:c>
      <x:c r="D960" s="1" t="str">
        <x:v>Marca</x:v>
      </x:c>
      <x:c r="E960" s="35" t="n">
        <x:v>2</x:v>
      </x:c>
      <x:c r="F960" s="36"/>
      <x:c r="G960" s="36" t="str">
        <x:f>IF(ISNUMBER(F960),E960*F960,"")</x:f>
      </x:c>
      <x:c r="H960" s="37" t="d">
        <x:v>2026-10-15T00:00:00.000Z</x:v>
      </x:c>
      <x:c r="I960" s="37" t="d">
        <x:v>2026-09-16T22:05:21.000Z</x:v>
      </x:c>
      <x:c r="J960" s="1" t="n">
        <x:f>IF(ISNUMBER(F960),E960,0)</x:f>
        <x:v>0</x:v>
      </x:c>
      <x:c r="K960" s="1"/>
      <x:c r="L960" s="1" t="str">
        <x:v>https://blog.skyairline.com/10-cosas-que-hacer-en-caminito-buenos-aires</x:v>
      </x:c>
      <x:c r="M960" s="1" t="n">
        <x:v>0</x:v>
      </x:c>
    </x:row>
    <x:row r="961" ht="18.75" customHeight="1">
      <x:c r="A961" s="1" t="str">
        <x:v>https://blog.skyairline.com/equipaje-de-cabina/</x:v>
      </x:c>
      <x:c r="B961" s="1" t="str">
        <x:v>medidas de maleta de cabina sky</x:v>
      </x:c>
      <x:c r="C961" s="1" t="str">
        <x:v>per</x:v>
      </x:c>
      <x:c r="D961" s="1" t="str">
        <x:v>Marca</x:v>
      </x:c>
      <x:c r="E961" s="35" t="n">
        <x:v>2</x:v>
      </x:c>
      <x:c r="F961" s="36"/>
      <x:c r="G961" s="36" t="str">
        <x:f>IF(ISNUMBER(F961),E961*F961,"")</x:f>
      </x:c>
      <x:c r="H961" s="37"/>
      <x:c r="I961" s="37"/>
      <x:c r="J961" s="1" t="n">
        <x:f>IF(ISNUMBER(F961),E961,0)</x:f>
        <x:v>0</x:v>
      </x:c>
      <x:c r="K961" s="1"/>
      <x:c r="L961" s="1" t="str">
        <x:v>https://blog.skyairline.com/10-cosas-que-hacer-en-caminito-buenos-aires/</x:v>
      </x:c>
      <x:c r="M961" s="1" t="n">
        <x:v>0</x:v>
      </x:c>
    </x:row>
    <x:row r="962" ht="18.75" customHeight="1">
      <x:c r="A962" s="1" t="str">
        <x:v>https://blog.skyairline.com/equipaje-de-cabina/</x:v>
      </x:c>
      <x:c r="B962" s="1" t="str">
        <x:v>medidas de mochila para avion sky</x:v>
      </x:c>
      <x:c r="C962" s="1" t="str">
        <x:v>chl</x:v>
      </x:c>
      <x:c r="D962" s="1" t="str">
        <x:v>Marca</x:v>
      </x:c>
      <x:c r="E962" s="35" t="n">
        <x:v>2</x:v>
      </x:c>
      <x:c r="F962" s="36"/>
      <x:c r="G962" s="36" t="str">
        <x:f>IF(ISNUMBER(F962),E962*F962,"")</x:f>
      </x:c>
      <x:c r="H962" s="37"/>
      <x:c r="I962" s="37"/>
      <x:c r="J962" s="1" t="n">
        <x:f>IF(ISNUMBER(F962),E962,0)</x:f>
        <x:v>0</x:v>
      </x:c>
      <x:c r="K962" s="1"/>
      <x:c r="L962" s="1" t="str">
        <x:v>https://blog.skyairline.com/10-cosas-que-hacer-en-caminito-bus-de-la-boca/</x:v>
      </x:c>
      <x:c r="M962" s="1" t="n">
        <x:v>0</x:v>
      </x:c>
    </x:row>
    <x:row r="963" ht="18.75" customHeight="1">
      <x:c r="A963" s="1" t="str">
        <x:v>https://blog.skyairline.com/equipaje-de-cabina/</x:v>
      </x:c>
      <x:c r="B963" s="1" t="str">
        <x:v>medidas equipaje de cabina sky</x:v>
      </x:c>
      <x:c r="C963" s="1" t="str">
        <x:v>per</x:v>
      </x:c>
      <x:c r="D963" s="1" t="str">
        <x:v>Marca</x:v>
      </x:c>
      <x:c r="E963" s="35" t="n">
        <x:v>2</x:v>
      </x:c>
      <x:c r="F963" s="36"/>
      <x:c r="G963" s="36" t="str">
        <x:f>IF(ISNUMBER(F963),E963*F963,"")</x:f>
      </x:c>
      <x:c r="H963" s="37"/>
      <x:c r="I963" s="37"/>
      <x:c r="J963" s="1" t="n">
        <x:f>IF(ISNUMBER(F963),E963,0)</x:f>
        <x:v>0</x:v>
      </x:c>
      <x:c r="K963" s="1"/>
      <x:c r="L963" s="1" t="str">
        <x:v>https://blog.skyairline.com/10-cosas-que-hacer-in-caminito-buenos-aires</x:v>
      </x:c>
      <x:c r="M963" s="1" t="n">
        <x:v>0</x:v>
      </x:c>
    </x:row>
    <x:row r="964" ht="18.75" customHeight="1">
      <x:c r="A964" s="1" t="str">
        <x:v>https://blog.skyairline.com/equipaje-de-cabina/</x:v>
      </x:c>
      <x:c r="B964" s="1" t="str">
        <x:v>medidas maleta de cabina sky</x:v>
      </x:c>
      <x:c r="C964" s="1" t="str">
        <x:v>per</x:v>
      </x:c>
      <x:c r="D964" s="1" t="str">
        <x:v>Marca</x:v>
      </x:c>
      <x:c r="E964" s="35" t="n">
        <x:v>2</x:v>
      </x:c>
      <x:c r="F964" s="36"/>
      <x:c r="G964" s="36" t="str">
        <x:f>IF(ISNUMBER(F964),E964*F964,"")</x:f>
      </x:c>
      <x:c r="H964" s="37" t="d">
        <x:v>2026-10-15T00:00:00.000Z</x:v>
      </x:c>
      <x:c r="I964" s="37" t="d">
        <x:v>2026-09-16T00:31:57.000Z</x:v>
      </x:c>
      <x:c r="J964" s="1" t="n">
        <x:f>IF(ISNUMBER(F964),E964,0)</x:f>
        <x:v>0</x:v>
      </x:c>
      <x:c r="K964" s="1"/>
      <x:c r="L964" s="1" t="str">
        <x:v>https://blog.skyairline.com/10-cosas-que-hacer-in-caminito/</x:v>
      </x:c>
      <x:c r="M964" s="1" t="n">
        <x:v>0</x:v>
      </x:c>
    </x:row>
    <x:row r="965" ht="18.75" customHeight="1">
      <x:c r="A965" s="1" t="str">
        <x:v>https://blog.skyairline.com/equipaje-de-cabina/</x:v>
      </x:c>
      <x:c r="B965" s="1" t="str">
        <x:v>medidas mochila de mano sky</x:v>
      </x:c>
      <x:c r="C965" s="1" t="str">
        <x:v>chl</x:v>
      </x:c>
      <x:c r="D965" s="1" t="str">
        <x:v>Marca</x:v>
      </x:c>
      <x:c r="E965" s="35" t="n">
        <x:v>2</x:v>
      </x:c>
      <x:c r="F965" s="36" t="n">
        <x:v>0.32</x:v>
      </x:c>
      <x:c r="G965" s="36" t="n">
        <x:f>IF(ISNUMBER(F965),E965*F965,"")</x:f>
        <x:v>0.64</x:v>
      </x:c>
      <x:c r="H965" s="37" t="d">
        <x:v>2026-10-15T00:00:00.000Z</x:v>
      </x:c>
      <x:c r="I965" s="37" t="d">
        <x:v>2026-09-15T05:28:20.000Z</x:v>
      </x:c>
      <x:c r="J965" s="1" t="n">
        <x:f>IF(ISNUMBER(F965),E965,0)</x:f>
        <x:v>2</x:v>
      </x:c>
      <x:c r="K965" s="1"/>
      <x:c r="L965" s="1" t="str">
        <x:v>https://blog.skyairline.com/10-cosas-que-que-hacer-en-caminito-buenos-aires/</x:v>
      </x:c>
      <x:c r="M965" s="1" t="n">
        <x:v>0</x:v>
      </x:c>
    </x:row>
    <x:row r="966" ht="18.75" customHeight="1">
      <x:c r="A966" s="1" t="str">
        <x:v>https://blog.skyairline.com/equipaje-de-cabina/</x:v>
      </x:c>
      <x:c r="B966" s="1" t="str">
        <x:v>medidas mochila sky</x:v>
      </x:c>
      <x:c r="C966" s="1" t="str">
        <x:v>ury</x:v>
      </x:c>
      <x:c r="D966" s="1" t="str">
        <x:v>Marca</x:v>
      </x:c>
      <x:c r="E966" s="35" t="n">
        <x:v>2</x:v>
      </x:c>
      <x:c r="F966" s="36"/>
      <x:c r="G966" s="36" t="str">
        <x:f>IF(ISNUMBER(F966),E966*F966,"")</x:f>
      </x:c>
      <x:c r="H966" s="37"/>
      <x:c r="I966" s="37"/>
      <x:c r="J966" s="1" t="n">
        <x:f>IF(ISNUMBER(F966),E966,0)</x:f>
        <x:v>0</x:v>
      </x:c>
      <x:c r="K966" s="1"/>
      <x:c r="L966" s="1" t="str">
        <x:v>https://blog.skyairline.com/10-cosas-que-que-hacer-en-caminito/</x:v>
      </x:c>
      <x:c r="M966" s="1" t="n">
        <x:v>0</x:v>
      </x:c>
    </x:row>
    <x:row r="967" ht="18.75" customHeight="1">
      <x:c r="A967" s="1" t="str">
        <x:v>https://blog.skyairline.com/equipaje-de-cabina/</x:v>
      </x:c>
      <x:c r="B967" s="1" t="str">
        <x:v>medidas sky</x:v>
      </x:c>
      <x:c r="C967" s="1" t="str">
        <x:v>chl</x:v>
      </x:c>
      <x:c r="D967" s="1" t="str">
        <x:v>Marca</x:v>
      </x:c>
      <x:c r="E967" s="35" t="n">
        <x:v>2</x:v>
      </x:c>
      <x:c r="F967" s="36"/>
      <x:c r="G967" s="36" t="str">
        <x:f>IF(ISNUMBER(F967),E967*F967,"")</x:f>
      </x:c>
      <x:c r="H967" s="37"/>
      <x:c r="I967" s="37"/>
      <x:c r="J967" s="1" t="n">
        <x:f>IF(ISNUMBER(F967),E967,0)</x:f>
        <x:v>0</x:v>
      </x:c>
      <x:c r="K967" s="1"/>
      <x:c r="L967" s="1" t="str">
        <x:v>https://blog.skyairline.com/10-lugares-imperdibles-para-hacer-turismo-en-desierto-de-chile</x:v>
      </x:c>
      <x:c r="M967" s="1" t="n">
        <x:v>0</x:v>
      </x:c>
    </x:row>
    <x:row r="968" ht="18.75" customHeight="1">
      <x:c r="A968" s="1" t="str">
        <x:v>https://blog.skyairline.com/equipaje-de-cabina/</x:v>
      </x:c>
      <x:c r="B968" s="1" t="str">
        <x:v>medidas sky</x:v>
      </x:c>
      <x:c r="C968" s="1" t="str">
        <x:v>ury</x:v>
      </x:c>
      <x:c r="D968" s="1" t="str">
        <x:v>Marca</x:v>
      </x:c>
      <x:c r="E968" s="35" t="n">
        <x:v>2</x:v>
      </x:c>
      <x:c r="F968" s="36"/>
      <x:c r="G968" s="36" t="str">
        <x:f>IF(ISNUMBER(F968),E968*F968,"")</x:f>
      </x:c>
      <x:c r="H968" s="37"/>
      <x:c r="I968" s="37"/>
      <x:c r="J968" s="1" t="n">
        <x:f>IF(ISNUMBER(F968),E968,0)</x:f>
        <x:v>0</x:v>
      </x:c>
      <x:c r="K968" s="1"/>
      <x:c r="L968" s="1" t="str">
        <x:v>https://blog.skyairline.com/10-lugares-imperdibles-para-hacer-turismo-en-el-norte-de-Chile</x:v>
      </x:c>
      <x:c r="M968" s="1" t="n">
        <x:v>0</x:v>
      </x:c>
    </x:row>
    <x:row r="969" ht="18.75" customHeight="1">
      <x:c r="A969" s="1" t="str">
        <x:v>https://blog.skyairline.com/equipaje-de-cabina/</x:v>
      </x:c>
      <x:c r="B969" s="1" t="str">
        <x:v>medidas sky mochila</x:v>
      </x:c>
      <x:c r="C969" s="1" t="str">
        <x:v>chl</x:v>
      </x:c>
      <x:c r="D969" s="1" t="str">
        <x:v>Marca</x:v>
      </x:c>
      <x:c r="E969" s="35" t="n">
        <x:v>2</x:v>
      </x:c>
      <x:c r="F969" s="36"/>
      <x:c r="G969" s="36" t="str">
        <x:f>IF(ISNUMBER(F969),E969*F969,"")</x:f>
      </x:c>
      <x:c r="H969" s="37"/>
      <x:c r="I969" s="37"/>
      <x:c r="J969" s="1" t="n">
        <x:f>IF(ISNUMBER(F969),E969,0)</x:f>
        <x:v>0</x:v>
      </x:c>
      <x:c r="K969" s="1"/>
      <x:c r="L969" s="1" t="str">
        <x:v>https://blog.skyairline.com/10-lugares-imperdibles-para-hacer-turismo-en-el-norte-de-chile</x:v>
      </x:c>
      <x:c r="M969" s="1" t="n">
        <x:v>0</x:v>
      </x:c>
    </x:row>
    <x:row r="970" ht="18.75" customHeight="1">
      <x:c r="A970" s="1" t="str">
        <x:v>https://blog.skyairline.com/equipaje-de-cabina/</x:v>
      </x:c>
      <x:c r="B970" s="1" t="str">
        <x:v>mochila de mano sky</x:v>
      </x:c>
      <x:c r="C970" s="1" t="str">
        <x:v>per</x:v>
      </x:c>
      <x:c r="D970" s="1" t="str">
        <x:v>Marca</x:v>
      </x:c>
      <x:c r="E970" s="35" t="n">
        <x:v>2</x:v>
      </x:c>
      <x:c r="F970" s="36" t="n">
        <x:v>0.01</x:v>
      </x:c>
      <x:c r="G970" s="36" t="n">
        <x:f>IF(ISNUMBER(F970),E970*F970,"")</x:f>
        <x:v>0.02</x:v>
      </x:c>
      <x:c r="H970" s="37" t="d">
        <x:v>2026-10-15T00:00:00.000Z</x:v>
      </x:c>
      <x:c r="I970" s="37" t="d">
        <x:v>2026-09-15T06:29:53.000Z</x:v>
      </x:c>
      <x:c r="J970" s="1" t="n">
        <x:f>IF(ISNUMBER(F970),E970,0)</x:f>
        <x:v>2</x:v>
      </x:c>
      <x:c r="K970" s="1"/>
      <x:c r="L970" s="1" t="str">
        <x:v>https://blog.skyairline.com/10-lugares-imperdibles-para-hacer-turismo-en-le-norte-de-chile</x:v>
      </x:c>
      <x:c r="M970" s="1" t="n">
        <x:v>0</x:v>
      </x:c>
    </x:row>
    <x:row r="971" ht="18.75" customHeight="1">
      <x:c r="A971" s="1" t="str">
        <x:v>https://blog.skyairline.com/equipaje-de-cabina/</x:v>
      </x:c>
      <x:c r="B971" s="1" t="str">
        <x:v>mochila sky</x:v>
      </x:c>
      <x:c r="C971" s="1" t="str">
        <x:v>chl</x:v>
      </x:c>
      <x:c r="D971" s="1" t="str">
        <x:v>Marca</x:v>
      </x:c>
      <x:c r="E971" s="35" t="n">
        <x:v>2</x:v>
      </x:c>
      <x:c r="F971" s="36"/>
      <x:c r="G971" s="36" t="str">
        <x:f>IF(ISNUMBER(F971),E971*F971,"")</x:f>
      </x:c>
      <x:c r="H971" s="37"/>
      <x:c r="I971" s="37"/>
      <x:c r="J971" s="1" t="n">
        <x:f>IF(ISNUMBER(F971),E971,0)</x:f>
        <x:v>0</x:v>
      </x:c>
      <x:c r="K971" s="1"/>
      <x:c r="L971" s="1" t="str">
        <x:v>https://blog.skyairline.com/10-lugares-imperdibles-para-hacer-turismo-en-norte-de-chile</x:v>
      </x:c>
      <x:c r="M971" s="1" t="n">
        <x:v>0</x:v>
      </x:c>
    </x:row>
    <x:row r="972" ht="18.75" customHeight="1">
      <x:c r="A972" s="1" t="str">
        <x:v>https://blog.skyairline.com/equipaje-de-cabina/</x:v>
      </x:c>
      <x:c r="B972" s="1" t="str">
        <x:v>mochila sky airlines</x:v>
      </x:c>
      <x:c r="C972" s="1" t="str">
        <x:v>arg</x:v>
      </x:c>
      <x:c r="D972" s="1" t="str">
        <x:v>Marca</x:v>
      </x:c>
      <x:c r="E972" s="35" t="n">
        <x:v>2</x:v>
      </x:c>
      <x:c r="F972" s="36"/>
      <x:c r="G972" s="36" t="str">
        <x:f>IF(ISNUMBER(F972),E972*F972,"")</x:f>
      </x:c>
      <x:c r="H972" s="37"/>
      <x:c r="I972" s="37"/>
      <x:c r="J972" s="1" t="n">
        <x:f>IF(ISNUMBER(F972),E972,0)</x:f>
        <x:v>0</x:v>
      </x:c>
      <x:c r="K972" s="1"/>
      <x:c r="L972" s="1" t="str">
        <x:v>https://blog.skyairline.com/10-lugares-imperdibles-para-hacer-turismo-en-norte-de-chile/</x:v>
      </x:c>
      <x:c r="M972" s="1" t="n">
        <x:v>0</x:v>
      </x:c>
    </x:row>
    <x:row r="973" ht="18.75" customHeight="1">
      <x:c r="A973" s="1" t="str">
        <x:v>https://blog.skyairline.com/equipaje-de-cabina/</x:v>
      </x:c>
      <x:c r="B973" s="1" t="str">
        <x:v>que es un bolso de mano en sky</x:v>
      </x:c>
      <x:c r="C973" s="1" t="str">
        <x:v>chl</x:v>
      </x:c>
      <x:c r="D973" s="1" t="str">
        <x:v>Marca</x:v>
      </x:c>
      <x:c r="E973" s="35" t="n">
        <x:v>2</x:v>
      </x:c>
      <x:c r="F973" s="36"/>
      <x:c r="G973" s="36" t="str">
        <x:f>IF(ISNUMBER(F973),E973*F973,"")</x:f>
      </x:c>
      <x:c r="H973" s="37" t="d">
        <x:v>2026-10-15T00:00:00.000Z</x:v>
      </x:c>
      <x:c r="I973" s="37" t="d">
        <x:v>2026-09-17T16:08:30.000Z</x:v>
      </x:c>
      <x:c r="J973" s="1" t="n">
        <x:f>IF(ISNUMBER(F973),E973,0)</x:f>
        <x:v>0</x:v>
      </x:c>
      <x:c r="K973" s="1"/>
      <x:c r="L973" s="1" t="str">
        <x:v>https://blog.skyairline.com/10-lugares-imperdibles-para-hacer-turismo-en-the-norte-de-chile</x:v>
      </x:c>
      <x:c r="M973" s="1" t="n">
        <x:v>0</x:v>
      </x:c>
    </x:row>
    <x:row r="974" ht="18.75" customHeight="1">
      <x:c r="A974" s="1" t="str">
        <x:v>https://blog.skyairline.com/equipaje-de-cabina/</x:v>
      </x:c>
      <x:c r="B974" s="1" t="str">
        <x:v>sky airline bolso de mano</x:v>
      </x:c>
      <x:c r="C974" s="1" t="str">
        <x:v>chl</x:v>
      </x:c>
      <x:c r="D974" s="1" t="str">
        <x:v>Marca</x:v>
      </x:c>
      <x:c r="E974" s="35" t="n">
        <x:v>2</x:v>
      </x:c>
      <x:c r="F974" s="36"/>
      <x:c r="G974" s="36" t="str">
        <x:f>IF(ISNUMBER(F974),E974*F974,"")</x:f>
      </x:c>
      <x:c r="H974" s="37"/>
      <x:c r="I974" s="37"/>
      <x:c r="J974" s="1" t="n">
        <x:f>IF(ISNUMBER(F974),E974,0)</x:f>
        <x:v>0</x:v>
      </x:c>
      <x:c r="K974" s="1"/>
      <x:c r="L974" s="1" t="str">
        <x:v>https://blog.skyairline.com/10-mil-pasos-diarios/</x:v>
      </x:c>
      <x:c r="M974" s="1" t="n">
        <x:v>0</x:v>
      </x:c>
    </x:row>
    <x:row r="975" ht="18.75" customHeight="1">
      <x:c r="A975" s="1" t="str">
        <x:v>https://blog.skyairline.com/equipaje-de-cabina/</x:v>
      </x:c>
      <x:c r="B975" s="1" t="str">
        <x:v>sky airline carry on size</x:v>
      </x:c>
      <x:c r="C975" s="1" t="str">
        <x:v>per</x:v>
      </x:c>
      <x:c r="D975" s="1" t="str">
        <x:v>Marca</x:v>
      </x:c>
      <x:c r="E975" s="35" t="n">
        <x:v>2</x:v>
      </x:c>
      <x:c r="F975" s="36"/>
      <x:c r="G975" s="36" t="str">
        <x:f>IF(ISNUMBER(F975),E975*F975,"")</x:f>
      </x:c>
      <x:c r="H975" s="37"/>
      <x:c r="I975" s="37"/>
      <x:c r="J975" s="1" t="n">
        <x:f>IF(ISNUMBER(F975),E975,0)</x:f>
        <x:v>0</x:v>
      </x:c>
      <x:c r="K975" s="1"/>
      <x:c r="L975" s="1" t="str">
        <x:v>https://blog.skyairline.com/10-que-hacer-en-caminito-buenos-aires</x:v>
      </x:c>
      <x:c r="M975" s="1" t="n">
        <x:v>0</x:v>
      </x:c>
    </x:row>
    <x:row r="976" ht="18.75" customHeight="1">
      <x:c r="A976" s="1" t="str">
        <x:v>https://blog.skyairline.com/equipaje-de-cabina/</x:v>
      </x:c>
      <x:c r="B976" s="1" t="str">
        <x:v>sky airline equipaje de mano</x:v>
      </x:c>
      <x:c r="C976" s="1" t="str">
        <x:v>arg</x:v>
      </x:c>
      <x:c r="D976" s="1" t="str">
        <x:v>Marca</x:v>
      </x:c>
      <x:c r="E976" s="35" t="n">
        <x:v>2</x:v>
      </x:c>
      <x:c r="F976" s="36"/>
      <x:c r="G976" s="36" t="str">
        <x:f>IF(ISNUMBER(F976),E976*F976,"")</x:f>
      </x:c>
      <x:c r="H976" s="37"/>
      <x:c r="I976" s="37"/>
      <x:c r="J976" s="1" t="n">
        <x:f>IF(ISNUMBER(F976),E976,0)</x:f>
        <x:v>0</x:v>
      </x:c>
      <x:c r="K976" s="1"/>
      <x:c r="L976" s="1" t="str">
        <x:v>https://blog.skyairline.com/4-tips-para-comprar-boletos-a-precios-m%C3%A1s-convenientes/</x:v>
      </x:c>
      <x:c r="M976" s="1" t="n">
        <x:v>0</x:v>
      </x:c>
    </x:row>
    <x:row r="977" ht="18.75" customHeight="1">
      <x:c r="A977" s="1" t="str">
        <x:v>https://blog.skyairline.com/equipaje-de-cabina/</x:v>
      </x:c>
      <x:c r="B977" s="1" t="str">
        <x:v>sky airline equipaje de mano</x:v>
      </x:c>
      <x:c r="C977" s="1" t="str">
        <x:v>ury</x:v>
      </x:c>
      <x:c r="D977" s="1" t="str">
        <x:v>Marca</x:v>
      </x:c>
      <x:c r="E977" s="35" t="n">
        <x:v>2</x:v>
      </x:c>
      <x:c r="F977" s="36"/>
      <x:c r="G977" s="36" t="str">
        <x:f>IF(ISNUMBER(F977),E977*F977,"")</x:f>
      </x:c>
      <x:c r="H977" s="37"/>
      <x:c r="I977" s="37"/>
      <x:c r="J977" s="1" t="n">
        <x:f>IF(ISNUMBER(F977),E977,0)</x:f>
        <x:v>0</x:v>
      </x:c>
      <x:c r="K977" s="1"/>
      <x:c r="L977" s="1" t="str">
        <x:v>https://blog.skyairline.com/5-panoramas-en-pucon-para-no-perderte-con-tu-familia/</x:v>
      </x:c>
      <x:c r="M977" s="1" t="n">
        <x:v>0</x:v>
      </x:c>
    </x:row>
    <x:row r="978" ht="18.75" customHeight="1">
      <x:c r="A978" s="1" t="str">
        <x:v>https://blog.skyairline.com/equipaje-de-cabina/</x:v>
      </x:c>
      <x:c r="B978" s="1" t="str">
        <x:v>sky airlines</x:v>
      </x:c>
      <x:c r="C978" s="1" t="str">
        <x:v>arg</x:v>
      </x:c>
      <x:c r="D978" s="1" t="str">
        <x:v>Marca</x:v>
      </x:c>
      <x:c r="E978" s="35" t="n">
        <x:v>2</x:v>
      </x:c>
      <x:c r="F978" s="36"/>
      <x:c r="G978" s="36" t="str">
        <x:f>IF(ISNUMBER(F978),E978*F978,"")</x:f>
      </x:c>
      <x:c r="H978" s="37"/>
      <x:c r="I978" s="37"/>
      <x:c r="J978" s="1" t="n">
        <x:f>IF(ISNUMBER(F978),E978,0)</x:f>
        <x:v>0</x:v>
      </x:c>
      <x:c r="K978" s="1"/>
      <x:c r="L978" s="1" t="str">
        <x:v>https://blog.skyairline.com/5-viajes-al-sur-chile-que-no-puedes-dejar-de-hacer/</x:v>
      </x:c>
      <x:c r="M978" s="1" t="n">
        <x:v>0</x:v>
      </x:c>
    </x:row>
    <x:row r="979" ht="18.75" customHeight="1">
      <x:c r="A979" s="1" t="str">
        <x:v>https://blog.skyairline.com/equipaje-de-cabina/</x:v>
      </x:c>
      <x:c r="B979" s="1" t="str">
        <x:v>sky airlines bolso de mano medidas</x:v>
      </x:c>
      <x:c r="C979" s="1" t="str">
        <x:v>ury</x:v>
      </x:c>
      <x:c r="D979" s="1" t="str">
        <x:v>Marca</x:v>
      </x:c>
      <x:c r="E979" s="35" t="n">
        <x:v>2</x:v>
      </x:c>
      <x:c r="F979" s="36"/>
      <x:c r="G979" s="36" t="str">
        <x:f>IF(ISNUMBER(F979),E979*F979,"")</x:f>
      </x:c>
      <x:c r="H979" s="37"/>
      <x:c r="I979" s="37"/>
      <x:c r="J979" s="1" t="n">
        <x:f>IF(ISNUMBER(F979),E979,0)</x:f>
        <x:v>0</x:v>
      </x:c>
      <x:c r="K979" s="1"/>
      <x:c r="L979" s="1" t="str">
        <x:v>https://blog.skyairline.com/5-viajes-al-sur-de-chile-que-no-puedes-dejar-de-hacer/</x:v>
      </x:c>
      <x:c r="M979" s="1" t="n">
        <x:v>0</x:v>
      </x:c>
    </x:row>
    <x:row r="980" ht="18.75" customHeight="1">
      <x:c r="A980" s="1" t="str">
        <x:v>https://blog.skyairline.com/equipaje-de-cabina/</x:v>
      </x:c>
      <x:c r="B980" s="1" t="str">
        <x:v>sky airlines equipaje</x:v>
      </x:c>
      <x:c r="C980" s="1" t="str">
        <x:v>chl</x:v>
      </x:c>
      <x:c r="D980" s="1" t="str">
        <x:v>Marca</x:v>
      </x:c>
      <x:c r="E980" s="35" t="n">
        <x:v>2</x:v>
      </x:c>
      <x:c r="F980" s="36" t="n">
        <x:v>0.62</x:v>
      </x:c>
      <x:c r="G980" s="36" t="n">
        <x:f>IF(ISNUMBER(F980),E980*F980,"")</x:f>
        <x:v>1.24</x:v>
      </x:c>
      <x:c r="H980" s="37" t="d">
        <x:v>2026-10-15T00:00:00.000Z</x:v>
      </x:c>
      <x:c r="I980" s="37" t="d">
        <x:v>2026-09-12T19:12:17.000Z</x:v>
      </x:c>
      <x:c r="J980" s="1" t="n">
        <x:f>IF(ISNUMBER(F980),E980,0)</x:f>
        <x:v>2</x:v>
      </x:c>
      <x:c r="K980" s="1"/>
      <x:c r="L980" s="1" t="str">
        <x:v>https://blog.skyairline.com/7-lugares-con-nieve-chile-para-una-escapada-de-sueno/</x:v>
      </x:c>
      <x:c r="M980" s="1" t="n">
        <x:v>0</x:v>
      </x:c>
    </x:row>
    <x:row r="981" ht="18.75" customHeight="1">
      <x:c r="A981" s="1" t="str">
        <x:v>https://blog.skyairline.com/equipaje-de-cabina/</x:v>
      </x:c>
      <x:c r="B981" s="1" t="str">
        <x:v>sky bolso de mano</x:v>
      </x:c>
      <x:c r="C981" s="1" t="str">
        <x:v>ury</x:v>
      </x:c>
      <x:c r="D981" s="1" t="str">
        <x:v>Marca</x:v>
      </x:c>
      <x:c r="E981" s="35" t="n">
        <x:v>2</x:v>
      </x:c>
      <x:c r="F981" s="36"/>
      <x:c r="G981" s="36" t="str">
        <x:f>IF(ISNUMBER(F981),E981*F981,"")</x:f>
      </x:c>
      <x:c r="H981" s="37"/>
      <x:c r="I981" s="37"/>
      <x:c r="J981" s="1" t="n">
        <x:f>IF(ISNUMBER(F981),E981,0)</x:f>
        <x:v>0</x:v>
      </x:c>
      <x:c r="K981" s="1"/>
      <x:c r="L981" s="1" t="str">
        <x:v>https://blog.skyairline.com/7-termas-cerca-de-pucon-que-no-puedes-dejar-de-visitar/</x:v>
      </x:c>
      <x:c r="M981" s="1" t="n">
        <x:v>0</x:v>
      </x:c>
    </x:row>
    <x:row r="982" ht="18.75" customHeight="1">
      <x:c r="A982" s="1" t="str">
        <x:v>https://blog.skyairline.com/equipaje-de-cabina/</x:v>
      </x:c>
      <x:c r="B982" s="1" t="str">
        <x:v>sky carry on medidas</x:v>
      </x:c>
      <x:c r="C982" s="1" t="str">
        <x:v>ury</x:v>
      </x:c>
      <x:c r="D982" s="1" t="str">
        <x:v>Marca</x:v>
      </x:c>
      <x:c r="E982" s="35" t="n">
        <x:v>2</x:v>
      </x:c>
      <x:c r="F982" s="36"/>
      <x:c r="G982" s="36" t="str">
        <x:f>IF(ISNUMBER(F982),E982*F982,"")</x:f>
      </x:c>
      <x:c r="H982" s="37"/>
      <x:c r="I982" s="37"/>
      <x:c r="J982" s="1" t="n">
        <x:f>IF(ISNUMBER(F982),E982,0)</x:f>
        <x:v>0</x:v>
      </x:c>
      <x:c r="K982" s="1"/>
      <x:c r="L982" s="1" t="str">
        <x:v>https://blog.skyairline.com/8-lugares-esenciales-para-visitar-en-el-norte-de-chile</x:v>
      </x:c>
      <x:c r="M982" s="1" t="n">
        <x:v>0</x:v>
      </x:c>
    </x:row>
    <x:row r="983" ht="18.75" customHeight="1">
      <x:c r="A983" s="1" t="str">
        <x:v>https://blog.skyairline.com/equipaje-de-cabina/</x:v>
      </x:c>
      <x:c r="B983" s="1" t="str">
        <x:v>sky dimensiones equipaje</x:v>
      </x:c>
      <x:c r="C983" s="1" t="str">
        <x:v>chl</x:v>
      </x:c>
      <x:c r="D983" s="1" t="str">
        <x:v>Marca</x:v>
      </x:c>
      <x:c r="E983" s="35" t="n">
        <x:v>2</x:v>
      </x:c>
      <x:c r="F983" s="36" t="n">
        <x:v>2.37</x:v>
      </x:c>
      <x:c r="G983" s="36" t="n">
        <x:f>IF(ISNUMBER(F983),E983*F983,"")</x:f>
        <x:v>4.74</x:v>
      </x:c>
      <x:c r="H983" s="37" t="d">
        <x:v>2026-10-15T00:00:00.000Z</x:v>
      </x:c>
      <x:c r="I983" s="37" t="d">
        <x:v>2026-09-17T09:44:07.000Z</x:v>
      </x:c>
      <x:c r="J983" s="1" t="n">
        <x:f>IF(ISNUMBER(F983),E983,0)</x:f>
        <x:v>2</x:v>
      </x:c>
      <x:c r="K983" s="1"/>
      <x:c r="L983" s="1" t="str">
        <x:v>https://blog.skyairline.com/8-lugares-esenciales-para-visitar-en-el-norte-de-chile-te-encantaran/</x:v>
      </x:c>
      <x:c r="M983" s="1" t="n">
        <x:v>0</x:v>
      </x:c>
    </x:row>
    <x:row r="984" ht="18.75" customHeight="1">
      <x:c r="A984" s="1" t="str">
        <x:v>https://blog.skyairline.com/equipaje-de-cabina/</x:v>
      </x:c>
      <x:c r="B984" s="1" t="str">
        <x:v>sky dimensiones equipaje de mano</x:v>
      </x:c>
      <x:c r="C984" s="1" t="str">
        <x:v>chl</x:v>
      </x:c>
      <x:c r="D984" s="1" t="str">
        <x:v>Marca</x:v>
      </x:c>
      <x:c r="E984" s="35" t="n">
        <x:v>2</x:v>
      </x:c>
      <x:c r="F984" s="36"/>
      <x:c r="G984" s="36" t="str">
        <x:f>IF(ISNUMBER(F984),E984*F984,"")</x:f>
      </x:c>
      <x:c r="H984" s="37"/>
      <x:c r="I984" s="37"/>
      <x:c r="J984" s="1" t="n">
        <x:f>IF(ISNUMBER(F984),E984,0)</x:f>
        <x:v>0</x:v>
      </x:c>
      <x:c r="K984" s="1"/>
      <x:c r="L984" s="1" t="str">
        <x:v>https://blog.skyairline.com/Aeropuertos-en-Buenos-Aires-a-cual-te-convienen-llegar</x:v>
      </x:c>
      <x:c r="M984" s="1" t="n">
        <x:v>0</x:v>
      </x:c>
    </x:row>
    <x:row r="985" ht="18.75" customHeight="1">
      <x:c r="A985" s="1" t="str">
        <x:v>https://blog.skyairline.com/equipaje-de-cabina/</x:v>
      </x:c>
      <x:c r="B985" s="1" t="str">
        <x:v>sky equipaje</x:v>
      </x:c>
      <x:c r="C985" s="1" t="str">
        <x:v>ury</x:v>
      </x:c>
      <x:c r="D985" s="1" t="str">
        <x:v>Marca</x:v>
      </x:c>
      <x:c r="E985" s="35" t="n">
        <x:v>2</x:v>
      </x:c>
      <x:c r="F985" s="36"/>
      <x:c r="G985" s="36" t="str">
        <x:f>IF(ISNUMBER(F985),E985*F985,"")</x:f>
      </x:c>
      <x:c r="H985" s="37"/>
      <x:c r="I985" s="37"/>
      <x:c r="J985" s="1" t="n">
        <x:f>IF(ISNUMBER(F985),E985,0)</x:f>
        <x:v>0</x:v>
      </x:c>
      <x:c r="K985" s="1"/>
      <x:c r="L985" s="1" t="str">
        <x:v>https://blog.skyairline.com/El-tiempo-en-Puerto-Maldonado</x:v>
      </x:c>
      <x:c r="M985" s="1" t="n">
        <x:v>0</x:v>
      </x:c>
    </x:row>
    <x:row r="986" ht="18.75" customHeight="1">
      <x:c r="A986" s="1" t="str">
        <x:v>https://blog.skyairline.com/equipaje-de-cabina/</x:v>
      </x:c>
      <x:c r="B986" s="1" t="str">
        <x:v>sky equipaje de mano medidas</x:v>
      </x:c>
      <x:c r="C986" s="1" t="str">
        <x:v>chl</x:v>
      </x:c>
      <x:c r="D986" s="1" t="str">
        <x:v>Marca</x:v>
      </x:c>
      <x:c r="E986" s="35" t="n">
        <x:v>2</x:v>
      </x:c>
      <x:c r="F986" s="36" t="n">
        <x:v>0.01</x:v>
      </x:c>
      <x:c r="G986" s="36" t="n">
        <x:f>IF(ISNUMBER(F986),E986*F986,"")</x:f>
        <x:v>0.02</x:v>
      </x:c>
      <x:c r="H986" s="37" t="d">
        <x:v>2026-10-15T00:00:00.000Z</x:v>
      </x:c>
      <x:c r="I986" s="37" t="d">
        <x:v>2026-09-14T04:03:28.000Z</x:v>
      </x:c>
      <x:c r="J986" s="1" t="n">
        <x:f>IF(ISNUMBER(F986),E986,0)</x:f>
        <x:v>2</x:v>
      </x:c>
      <x:c r="K986" s="1"/>
      <x:c r="L986" s="1" t="str">
        <x:v>https://blog.skyairline.com/Fiesta-de-La-Tirana-tradicion-historia-y-celebracion/</x:v>
      </x:c>
      <x:c r="M986" s="1" t="n">
        <x:v>0</x:v>
      </x:c>
    </x:row>
    <x:row r="987" ht="18.75" customHeight="1">
      <x:c r="A987" s="1" t="str">
        <x:v>https://blog.skyairline.com/equipaje-de-cabina/</x:v>
      </x:c>
      <x:c r="B987" s="1" t="str">
        <x:v>sky equipaje de mano medidas</x:v>
      </x:c>
      <x:c r="C987" s="1" t="str">
        <x:v>per</x:v>
      </x:c>
      <x:c r="D987" s="1" t="str">
        <x:v>Marca</x:v>
      </x:c>
      <x:c r="E987" s="35" t="n">
        <x:v>2</x:v>
      </x:c>
      <x:c r="F987" s="36" t="n">
        <x:v>1.68</x:v>
      </x:c>
      <x:c r="G987" s="36" t="n">
        <x:f>IF(ISNUMBER(F987),E987*F987,"")</x:f>
        <x:v>3.36</x:v>
      </x:c>
      <x:c r="H987" s="37" t="d">
        <x:v>2026-10-15T00:00:00.000Z</x:v>
      </x:c>
      <x:c r="I987" s="37" t="d">
        <x:v>2026-09-16T07:45:18.000Z</x:v>
      </x:c>
      <x:c r="J987" s="1" t="n">
        <x:f>IF(ISNUMBER(F987),E987,0)</x:f>
        <x:v>2</x:v>
      </x:c>
      <x:c r="K987" s="1"/>
      <x:c r="L987" s="1" t="str">
        <x:v>https://blog.skyairline.com/Isla-Foca</x:v>
      </x:c>
      <x:c r="M987" s="1" t="n">
        <x:v>0</x:v>
      </x:c>
    </x:row>
    <x:row r="988" ht="18.75" customHeight="1">
      <x:c r="A988" s="1" t="str">
        <x:v>https://blog.skyairline.com/equipaje-de-cabina/</x:v>
      </x:c>
      <x:c r="B988" s="1" t="str">
        <x:v>sky equipaje de mano medidas</x:v>
      </x:c>
      <x:c r="C988" s="1" t="str">
        <x:v>ury</x:v>
      </x:c>
      <x:c r="D988" s="1" t="str">
        <x:v>Marca</x:v>
      </x:c>
      <x:c r="E988" s="35" t="n">
        <x:v>2</x:v>
      </x:c>
      <x:c r="F988" s="36"/>
      <x:c r="G988" s="36" t="str">
        <x:f>IF(ISNUMBER(F988),E988*F988,"")</x:f>
      </x:c>
      <x:c r="H988" s="37"/>
      <x:c r="I988" s="37"/>
      <x:c r="J988" s="1" t="n">
        <x:f>IF(ISNUMBER(F988),E988,0)</x:f>
        <x:v>0</x:v>
      </x:c>
      <x:c r="K988" s="1"/>
      <x:c r="L988" s="1" t="str">
        <x:v>https://blog.skyairline.com/Las-8-mejores-playas-de-piura</x:v>
      </x:c>
      <x:c r="M988" s="1" t="n">
        <x:v>0</x:v>
      </x:c>
    </x:row>
    <x:row r="989" ht="18.75" customHeight="1">
      <x:c r="A989" s="1" t="str">
        <x:v>https://blog.skyairline.com/equipaje-de-cabina/</x:v>
      </x:c>
      <x:c r="B989" s="1" t="str">
        <x:v>sky maleta cabina</x:v>
      </x:c>
      <x:c r="C989" s="1" t="str">
        <x:v>per</x:v>
      </x:c>
      <x:c r="D989" s="1" t="str">
        <x:v>Marca</x:v>
      </x:c>
      <x:c r="E989" s="35" t="n">
        <x:v>2</x:v>
      </x:c>
      <x:c r="F989" s="36"/>
      <x:c r="G989" s="36" t="str">
        <x:f>IF(ISNUMBER(F989),E989*F989,"")</x:f>
      </x:c>
      <x:c r="H989" s="37"/>
      <x:c r="I989" s="37"/>
      <x:c r="J989" s="1" t="n">
        <x:f>IF(ISNUMBER(F989),E989,0)</x:f>
        <x:v>0</x:v>
      </x:c>
      <x:c r="K989" s="1"/>
      <x:c r="L989" s="1" t="str">
        <x:v>https://blog.skyairline.com/a-donde-ir-en-santiago/</x:v>
      </x:c>
      <x:c r="M989" s="1" t="n">
        <x:v>0</x:v>
      </x:c>
    </x:row>
    <x:row r="990" ht="18.75" customHeight="1">
      <x:c r="A990" s="1" t="str">
        <x:v>https://blog.skyairline.com/equipaje-de-cabina/</x:v>
      </x:c>
      <x:c r="B990" s="1" t="str">
        <x:v>sky maletas</x:v>
      </x:c>
      <x:c r="C990" s="1" t="str">
        <x:v>chl</x:v>
      </x:c>
      <x:c r="D990" s="1" t="str">
        <x:v>Marca</x:v>
      </x:c>
      <x:c r="E990" s="35" t="n">
        <x:v>2</x:v>
      </x:c>
      <x:c r="F990" s="36" t="n">
        <x:v>1.46</x:v>
      </x:c>
      <x:c r="G990" s="36" t="n">
        <x:f>IF(ISNUMBER(F990),E990*F990,"")</x:f>
        <x:v>2.92</x:v>
      </x:c>
      <x:c r="H990" s="37" t="d">
        <x:v>2026-10-15T00:00:00.000Z</x:v>
      </x:c>
      <x:c r="I990" s="37" t="d">
        <x:v>2026-09-12T23:35:50.000Z</x:v>
      </x:c>
      <x:c r="J990" s="1" t="n">
        <x:f>IF(ISNUMBER(F990),E990,0)</x:f>
        <x:v>2</x:v>
      </x:c>
      <x:c r="K990" s="1"/>
      <x:c r="L990" s="1" t="str">
        <x:v>https://blog.skyairline.com/a-donde-ir-en-semana-santa/</x:v>
      </x:c>
      <x:c r="M990" s="1" t="n">
        <x:v>0</x:v>
      </x:c>
    </x:row>
    <x:row r="991" ht="18.75" customHeight="1">
      <x:c r="A991" s="1" t="str">
        <x:v>https://blog.skyairline.com/equipaje-de-cabina/</x:v>
      </x:c>
      <x:c r="B991" s="1" t="str">
        <x:v>sky medida bolso de mano</x:v>
      </x:c>
      <x:c r="C991" s="1" t="str">
        <x:v>chl</x:v>
      </x:c>
      <x:c r="D991" s="1" t="str">
        <x:v>Marca</x:v>
      </x:c>
      <x:c r="E991" s="35" t="n">
        <x:v>2</x:v>
      </x:c>
      <x:c r="F991" s="36"/>
      <x:c r="G991" s="36" t="str">
        <x:f>IF(ISNUMBER(F991),E991*F991,"")</x:f>
      </x:c>
      <x:c r="H991" s="37"/>
      <x:c r="I991" s="37"/>
      <x:c r="J991" s="1" t="n">
        <x:f>IF(ISNUMBER(F991),E991,0)</x:f>
        <x:v>0</x:v>
      </x:c>
      <x:c r="K991" s="1"/>
      <x:c r="L991" s="1" t="str">
        <x:v>https://blog.skyairline.com/a-donde-viajar-en-familia/</x:v>
      </x:c>
      <x:c r="M991" s="1" t="n">
        <x:v>0</x:v>
      </x:c>
    </x:row>
    <x:row r="992" ht="18.75" customHeight="1">
      <x:c r="A992" s="1" t="str">
        <x:v>https://blog.skyairline.com/equipaje-de-cabina/</x:v>
      </x:c>
      <x:c r="B992" s="1" t="str">
        <x:v>sky medidas de bolso de mano</x:v>
      </x:c>
      <x:c r="C992" s="1" t="str">
        <x:v>per</x:v>
      </x:c>
      <x:c r="D992" s="1" t="str">
        <x:v>Marca</x:v>
      </x:c>
      <x:c r="E992" s="35" t="n">
        <x:v>2</x:v>
      </x:c>
      <x:c r="F992" s="36"/>
      <x:c r="G992" s="36" t="str">
        <x:f>IF(ISNUMBER(F992),E992*F992,"")</x:f>
      </x:c>
      <x:c r="H992" s="37"/>
      <x:c r="I992" s="37"/>
      <x:c r="J992" s="1" t="n">
        <x:f>IF(ISNUMBER(F992),E992,0)</x:f>
        <x:v>0</x:v>
      </x:c>
      <x:c r="K992" s="1"/>
      <x:c r="L992" s="1" t="str">
        <x:v>https://blog.skyairline.com/a-donde-viajar/</x:v>
      </x:c>
      <x:c r="M992" s="1" t="n">
        <x:v>0</x:v>
      </x:c>
    </x:row>
    <x:row r="993" ht="18.75" customHeight="1">
      <x:c r="A993" s="1" t="str">
        <x:v>https://blog.skyairline.com/equipaje-de-cabina/</x:v>
      </x:c>
      <x:c r="B993" s="1" t="str">
        <x:v>sky medidas de mochila</x:v>
      </x:c>
      <x:c r="C993" s="1" t="str">
        <x:v>chl</x:v>
      </x:c>
      <x:c r="D993" s="1" t="str">
        <x:v>Marca</x:v>
      </x:c>
      <x:c r="E993" s="35" t="n">
        <x:v>2</x:v>
      </x:c>
      <x:c r="F993" s="36"/>
      <x:c r="G993" s="36" t="str">
        <x:f>IF(ISNUMBER(F993),E993*F993,"")</x:f>
      </x:c>
      <x:c r="H993" s="37"/>
      <x:c r="I993" s="37"/>
      <x:c r="J993" s="1" t="n">
        <x:f>IF(ISNUMBER(F993),E993,0)</x:f>
        <x:v>0</x:v>
      </x:c>
      <x:c r="K993" s="1"/>
      <x:c r="L993" s="1" t="str">
        <x:v>https://blog.skyairline.com/a-que-paises-puedo-viajar-sin-pasaporte-desde-chile</x:v>
      </x:c>
      <x:c r="M993" s="1" t="n">
        <x:v>0</x:v>
      </x:c>
    </x:row>
    <x:row r="994" ht="18.75" customHeight="1">
      <x:c r="A994" s="1" t="str">
        <x:v>https://blog.skyairline.com/equipaje-de-cabina/</x:v>
      </x:c>
      <x:c r="B994" s="1" t="str">
        <x:v>sky mochila de mano medidas</x:v>
      </x:c>
      <x:c r="C994" s="1" t="str">
        <x:v>chl</x:v>
      </x:c>
      <x:c r="D994" s="1" t="str">
        <x:v>Marca</x:v>
      </x:c>
      <x:c r="E994" s="35" t="n">
        <x:v>2</x:v>
      </x:c>
      <x:c r="F994" s="36"/>
      <x:c r="G994" s="36" t="str">
        <x:f>IF(ISNUMBER(F994),E994*F994,"")</x:f>
      </x:c>
      <x:c r="H994" s="37"/>
      <x:c r="I994" s="37"/>
      <x:c r="J994" s="1" t="n">
        <x:f>IF(ISNUMBER(F994),E994,0)</x:f>
        <x:v>0</x:v>
      </x:c>
      <x:c r="K994" s="1"/>
      <x:c r="L994" s="1" t="str">
        <x:v>https://blog.skyairline.com/a-que-paises-puedo-viajar-sin-pasaporte/</x:v>
      </x:c>
      <x:c r="M994" s="1" t="n">
        <x:v>0</x:v>
      </x:c>
    </x:row>
    <x:row r="995" ht="18.75" customHeight="1">
      <x:c r="A995" s="1" t="str">
        <x:v>https://blog.skyairline.com/equipaje-de-cabina/</x:v>
      </x:c>
      <x:c r="B995" s="1" t="str">
        <x:v>sky objetos prohibidos</x:v>
      </x:c>
      <x:c r="C995" s="1" t="str">
        <x:v>chl</x:v>
      </x:c>
      <x:c r="D995" s="1" t="str">
        <x:v>Marca</x:v>
      </x:c>
      <x:c r="E995" s="35" t="n">
        <x:v>2</x:v>
      </x:c>
      <x:c r="F995" s="36"/>
      <x:c r="G995" s="36" t="str">
        <x:f>IF(ISNUMBER(F995),E995*F995,"")</x:f>
      </x:c>
      <x:c r="H995" s="37" t="d">
        <x:v>2026-10-15T00:00:00.000Z</x:v>
      </x:c>
      <x:c r="I995" s="37" t="d">
        <x:v>2026-09-14T11:36:15.000Z</x:v>
      </x:c>
      <x:c r="J995" s="1" t="n">
        <x:f>IF(ISNUMBER(F995),E995,0)</x:f>
        <x:v>0</x:v>
      </x:c>
      <x:c r="K995" s="1"/>
      <x:c r="L995" s="1" t="str">
        <x:v>https://blog.skyairline.com/actividades-al-aire-libre-en-rio-de-janeiro/</x:v>
      </x:c>
      <x:c r="M995" s="1" t="n">
        <x:v>0</x:v>
      </x:c>
    </x:row>
    <x:row r="996" ht="18.75" customHeight="1">
      <x:c r="A996" s="1" t="str">
        <x:v>https://blog.skyairline.com/equipaje-de-cabina/</x:v>
      </x:c>
      <x:c r="B996" s="1" t="str">
        <x:v>sky que se puede llevar en equipaje de mano</x:v>
      </x:c>
      <x:c r="C996" s="1" t="str">
        <x:v>chl</x:v>
      </x:c>
      <x:c r="D996" s="1" t="str">
        <x:v>Marca</x:v>
      </x:c>
      <x:c r="E996" s="35" t="n">
        <x:v>2</x:v>
      </x:c>
      <x:c r="F996" s="36"/>
      <x:c r="G996" s="36" t="str">
        <x:f>IF(ISNUMBER(F996),E996*F996,"")</x:f>
      </x:c>
      <x:c r="H996" s="37"/>
      <x:c r="I996" s="37"/>
      <x:c r="J996" s="1" t="n">
        <x:f>IF(ISNUMBER(F996),E996,0)</x:f>
        <x:v>0</x:v>
      </x:c>
      <x:c r="K996" s="1"/>
      <x:c r="L996" s="1" t="str">
        <x:v>https://blog.skyairline.com/actividades-en-iquique-que-no-puedes-dejar-de-hacer/</x:v>
      </x:c>
      <x:c r="M996" s="1" t="n">
        <x:v>0</x:v>
      </x:c>
    </x:row>
    <x:row r="997" ht="18.75" customHeight="1">
      <x:c r="A997" s="1" t="str">
        <x:v>https://blog.skyairline.com/equipaje-de-cabina/</x:v>
      </x:c>
      <x:c r="B997" s="1" t="str">
        <x:v>sky tamaño bolso de mano</x:v>
      </x:c>
      <x:c r="C997" s="1" t="str">
        <x:v>per</x:v>
      </x:c>
      <x:c r="D997" s="1" t="str">
        <x:v>Marca</x:v>
      </x:c>
      <x:c r="E997" s="35" t="n">
        <x:v>2</x:v>
      </x:c>
      <x:c r="F997" s="36"/>
      <x:c r="G997" s="36" t="str">
        <x:f>IF(ISNUMBER(F997),E997*F997,"")</x:f>
      </x:c>
      <x:c r="H997" s="37"/>
      <x:c r="I997" s="37"/>
      <x:c r="J997" s="1" t="n">
        <x:f>IF(ISNUMBER(F997),E997,0)</x:f>
        <x:v>0</x:v>
      </x:c>
      <x:c r="K997" s="1"/>
      <x:c r="L997" s="1" t="str">
        <x:v>https://blog.skyairline.com/actividades-para-hacer-en-familia/</x:v>
      </x:c>
      <x:c r="M997" s="1" t="n">
        <x:v>0</x:v>
      </x:c>
    </x:row>
    <x:row r="998" ht="18.75" customHeight="1">
      <x:c r="A998" s="1" t="str">
        <x:v>https://blog.skyairline.com/equipaje-de-cabina/</x:v>
      </x:c>
      <x:c r="B998" s="1" t="str">
        <x:v>sky tamaño equipaje</x:v>
      </x:c>
      <x:c r="C998" s="1" t="str">
        <x:v>chl</x:v>
      </x:c>
      <x:c r="D998" s="1" t="str">
        <x:v>Marca</x:v>
      </x:c>
      <x:c r="E998" s="35" t="n">
        <x:v>2</x:v>
      </x:c>
      <x:c r="F998" s="36"/>
      <x:c r="G998" s="36" t="str">
        <x:f>IF(ISNUMBER(F998),E998*F998,"")</x:f>
      </x:c>
      <x:c r="H998" s="37" t="d">
        <x:v>2026-10-15T00:00:00.000Z</x:v>
      </x:c>
      <x:c r="I998" s="37" t="d">
        <x:v>2026-09-13T13:16:38.000Z</x:v>
      </x:c>
      <x:c r="J998" s="1" t="n">
        <x:f>IF(ISNUMBER(F998),E998,0)</x:f>
        <x:v>0</x:v>
      </x:c>
      <x:c r="K998" s="1"/>
      <x:c r="L998" s="1" t="str">
        <x:v>https://blog.skyairline.com/actividades-que-puedes-hacer-en-cusco/</x:v>
      </x:c>
      <x:c r="M998" s="1" t="n">
        <x:v>0</x:v>
      </x:c>
    </x:row>
    <x:row r="999" ht="18.75" customHeight="1">
      <x:c r="A999" s="1" t="str">
        <x:v>https://blog.skyairline.com/equipaje-de-mano-permitido/</x:v>
      </x:c>
      <x:c r="B999" s="1" t="str">
        <x:v>elementos prohibidos en equipaje de mano</x:v>
      </x:c>
      <x:c r="C999" s="1" t="str">
        <x:v>per</x:v>
      </x:c>
      <x:c r="D999" s="1" t="str">
        <x:v>Sin marca</x:v>
      </x:c>
      <x:c r="E999" s="35" t="n">
        <x:v>2</x:v>
      </x:c>
      <x:c r="F999" s="36"/>
      <x:c r="G999" s="36" t="str">
        <x:f>IF(ISNUMBER(F999),E999*F999,"")</x:f>
      </x:c>
      <x:c r="H999" s="37" t="d">
        <x:v>2026-10-15T00:00:00.000Z</x:v>
      </x:c>
      <x:c r="I999" s="37" t="d">
        <x:v>2026-09-13T17:54:30.000Z</x:v>
      </x:c>
      <x:c r="J999" s="1" t="n">
        <x:f>IF(ISNUMBER(F999),E999,0)</x:f>
        <x:v>0</x:v>
      </x:c>
      <x:c r="K999" s="1"/>
      <x:c r="L999" s="1" t="str">
        <x:v>https://blog.skyairline.com/administra-tu-vuelo/</x:v>
      </x:c>
      <x:c r="M999" s="1" t="n">
        <x:v>0</x:v>
      </x:c>
    </x:row>
    <x:row r="1000" ht="18.75" customHeight="1">
      <x:c r="A1000" s="1" t="str">
        <x:v>https://blog.skyairline.com/equipaje-de-mano-permitido/</x:v>
      </x:c>
      <x:c r="B1000" s="1" t="str">
        <x:v>en sky?</x:v>
      </x:c>
      <x:c r="C1000" s="1" t="str">
        <x:v>per</x:v>
      </x:c>
      <x:c r="D1000" s="1" t="str">
        <x:v>Marca</x:v>
      </x:c>
      <x:c r="E1000" s="35" t="n">
        <x:v>2</x:v>
      </x:c>
      <x:c r="F1000" s="36"/>
      <x:c r="G1000" s="36" t="str">
        <x:f>IF(ISNUMBER(F1000),E1000*F1000,"")</x:f>
      </x:c>
      <x:c r="H1000" s="37"/>
      <x:c r="I1000" s="37"/>
      <x:c r="J1000" s="1" t="n">
        <x:f>IF(ISNUMBER(F1000),E1000,0)</x:f>
        <x:v>0</x:v>
      </x:c>
      <x:c r="K1000" s="1"/>
      <x:c r="L1000" s="1" t="str">
        <x:v>https://blog.skyairline.com/aerolinea-lowcost-para-volar/</x:v>
      </x:c>
      <x:c r="M1000" s="1" t="n">
        <x:v>0</x:v>
      </x:c>
    </x:row>
    <x:row r="1001" ht="18.75" customHeight="1">
      <x:c r="A1001" s="1" t="str">
        <x:v>https://blog.skyairline.com/equipaje-de-mano-permitido/</x:v>
      </x:c>
      <x:c r="B1001" s="1" t="str">
        <x:v>objetos prohibidos en equipaje de mano</x:v>
      </x:c>
      <x:c r="C1001" s="1" t="str">
        <x:v>chl</x:v>
      </x:c>
      <x:c r="D1001" s="1" t="str">
        <x:v>Sin marca</x:v>
      </x:c>
      <x:c r="E1001" s="35" t="n">
        <x:v>2</x:v>
      </x:c>
      <x:c r="F1001" s="36"/>
      <x:c r="G1001" s="36" t="str">
        <x:f>IF(ISNUMBER(F1001),E1001*F1001,"")</x:f>
      </x:c>
      <x:c r="H1001" s="37" t="d">
        <x:v>2026-10-15T00:00:00.000Z</x:v>
      </x:c>
      <x:c r="I1001" s="37" t="d">
        <x:v>2026-09-16T09:28:17.000Z</x:v>
      </x:c>
      <x:c r="J1001" s="1" t="n">
        <x:f>IF(ISNUMBER(F1001),E1001,0)</x:f>
        <x:v>0</x:v>
      </x:c>
      <x:c r="K1001" s="1"/>
      <x:c r="L1001" s="1" t="str">
        <x:v>https://blog.skyairline.com/aerolinea-sky-nuevos-destinos-peru/</x:v>
      </x:c>
      <x:c r="M1001" s="1" t="n">
        <x:v>0</x:v>
      </x:c>
    </x:row>
    <x:row r="1002" ht="18.75" customHeight="1">
      <x:c r="A1002" s="1" t="str">
        <x:v>https://blog.skyairline.com/equipaje-de-mano-permitido/</x:v>
      </x:c>
      <x:c r="B1002" s="1" t="str">
        <x:v>objetos prohibidos en equipaje de mano</x:v>
      </x:c>
      <x:c r="C1002" s="1" t="str">
        <x:v>per</x:v>
      </x:c>
      <x:c r="D1002" s="1" t="str">
        <x:v>Sin marca</x:v>
      </x:c>
      <x:c r="E1002" s="35" t="n">
        <x:v>2</x:v>
      </x:c>
      <x:c r="F1002" s="36"/>
      <x:c r="G1002" s="36" t="str">
        <x:f>IF(ISNUMBER(F1002),E1002*F1002,"")</x:f>
      </x:c>
      <x:c r="H1002" s="37" t="d">
        <x:v>2026-10-15T00:00:00.000Z</x:v>
      </x:c>
      <x:c r="I1002" s="37" t="d">
        <x:v>2026-09-15T00:09:39.000Z</x:v>
      </x:c>
      <x:c r="J1002" s="1" t="n">
        <x:f>IF(ISNUMBER(F1002),E1002,0)</x:f>
        <x:v>0</x:v>
      </x:c>
      <x:c r="K1002" s="1"/>
      <x:c r="L1002" s="1" t="str">
        <x:v>https://blog.skyairline.com/aerolineas-baratas/</x:v>
      </x:c>
      <x:c r="M1002" s="1" t="n">
        <x:v>0</x:v>
      </x:c>
    </x:row>
    <x:row r="1003" ht="18.75" customHeight="1">
      <x:c r="A1003" s="1" t="str">
        <x:v>https://blog.skyairline.com/equipaje-de-mano-permitido/</x:v>
      </x:c>
      <x:c r="B1003" s="1" t="str">
        <x:v>que cosas no se pueden llevar en un avion</x:v>
      </x:c>
      <x:c r="C1003" s="1" t="str">
        <x:v>chl</x:v>
      </x:c>
      <x:c r="D1003" s="1" t="str">
        <x:v>Sin marca</x:v>
      </x:c>
      <x:c r="E1003" s="35" t="n">
        <x:v>2</x:v>
      </x:c>
      <x:c r="F1003" s="36"/>
      <x:c r="G1003" s="36" t="str">
        <x:f>IF(ISNUMBER(F1003),E1003*F1003,"")</x:f>
      </x:c>
      <x:c r="H1003" s="37"/>
      <x:c r="I1003" s="37"/>
      <x:c r="J1003" s="1" t="n">
        <x:f>IF(ISNUMBER(F1003),E1003,0)</x:f>
        <x:v>0</x:v>
      </x:c>
      <x:c r="K1003" s="1"/>
      <x:c r="L1003" s="1" t="str">
        <x:v>https://blog.skyairline.com/aeroparque-buenos-aires/</x:v>
      </x:c>
      <x:c r="M1003" s="1" t="n">
        <x:v>0</x:v>
      </x:c>
    </x:row>
    <x:row r="1004" ht="18.75" customHeight="1">
      <x:c r="A1004" s="1" t="str">
        <x:v>https://blog.skyairline.com/equipaje-de-mano-permitido/</x:v>
      </x:c>
      <x:c r="B1004" s="1" t="str">
        <x:v>que esta prohibido llevar en el avion</x:v>
      </x:c>
      <x:c r="C1004" s="1" t="str">
        <x:v>per</x:v>
      </x:c>
      <x:c r="D1004" s="1" t="str">
        <x:v>Sin marca</x:v>
      </x:c>
      <x:c r="E1004" s="35" t="n">
        <x:v>2</x:v>
      </x:c>
      <x:c r="F1004" s="36"/>
      <x:c r="G1004" s="36" t="str">
        <x:f>IF(ISNUMBER(F1004),E1004*F1004,"")</x:f>
      </x:c>
      <x:c r="H1004" s="37"/>
      <x:c r="I1004" s="37"/>
      <x:c r="J1004" s="1" t="n">
        <x:f>IF(ISNUMBER(F1004),E1004,0)</x:f>
        <x:v>0</x:v>
      </x:c>
      <x:c r="K1004" s="1"/>
      <x:c r="L1004" s="1" t="str">
        <x:v>https://blog.skyairline.com/aeropuertos-a-cual-te-convieneg-llegar/</x:v>
      </x:c>
      <x:c r="M1004" s="1" t="n">
        <x:v>0</x:v>
      </x:c>
    </x:row>
    <x:row r="1005" ht="18.75" customHeight="1">
      <x:c r="A1005" s="1" t="str">
        <x:v>https://blog.skyairline.com/equipaje-de-mano-permitido/</x:v>
      </x:c>
      <x:c r="B1005" s="1" t="str">
        <x:v>que no llevar en el equipaje de mano</x:v>
      </x:c>
      <x:c r="C1005" s="1" t="str">
        <x:v>chl</x:v>
      </x:c>
      <x:c r="D1005" s="1" t="str">
        <x:v>Sin marca</x:v>
      </x:c>
      <x:c r="E1005" s="35" t="n">
        <x:v>2</x:v>
      </x:c>
      <x:c r="F1005" s="36" t="n">
        <x:v>0.01</x:v>
      </x:c>
      <x:c r="G1005" s="36" t="n">
        <x:f>IF(ISNUMBER(F1005),E1005*F1005,"")</x:f>
        <x:v>0.02</x:v>
      </x:c>
      <x:c r="H1005" s="37" t="d">
        <x:v>2026-10-15T00:00:00.000Z</x:v>
      </x:c>
      <x:c r="I1005" s="37" t="d">
        <x:v>2026-09-17T19:14:46.000Z</x:v>
      </x:c>
      <x:c r="J1005" s="1" t="n">
        <x:f>IF(ISNUMBER(F1005),E1005,0)</x:f>
        <x:v>2</x:v>
      </x:c>
      <x:c r="K1005" s="1"/>
      <x:c r="L1005" s="1" t="str">
        <x:v>https://blog.skyairline.com/aeropuertos-buenos-aires/</x:v>
      </x:c>
      <x:c r="M1005" s="1" t="n">
        <x:v>0</x:v>
      </x:c>
    </x:row>
    <x:row r="1006" ht="18.75" customHeight="1">
      <x:c r="A1006" s="1" t="str">
        <x:v>https://blog.skyairline.com/equipaje-de-mano-permitido/</x:v>
      </x:c>
      <x:c r="B1006" s="1" t="str">
        <x:v>que no se puede llevar en el equipaje de mano</x:v>
      </x:c>
      <x:c r="C1006" s="1" t="str">
        <x:v>per</x:v>
      </x:c>
      <x:c r="D1006" s="1" t="str">
        <x:v>Sin marca</x:v>
      </x:c>
      <x:c r="E1006" s="35" t="n">
        <x:v>2</x:v>
      </x:c>
      <x:c r="F1006" s="36"/>
      <x:c r="G1006" s="36" t="str">
        <x:f>IF(ISNUMBER(F1006),E1006*F1006,"")</x:f>
      </x:c>
      <x:c r="H1006" s="37" t="d">
        <x:v>2026-10-15T00:00:00.000Z</x:v>
      </x:c>
      <x:c r="I1006" s="37" t="d">
        <x:v>2026-09-14T17:04:56.000Z</x:v>
      </x:c>
      <x:c r="J1006" s="1" t="n">
        <x:f>IF(ISNUMBER(F1006),E1006,0)</x:f>
        <x:v>0</x:v>
      </x:c>
      <x:c r="K1006" s="1"/>
      <x:c r="L1006" s="1" t="str">
        <x:v>https://blog.skyairline.com/aeropuertos-de-buenos-aires/</x:v>
      </x:c>
      <x:c r="M1006" s="1" t="n">
        <x:v>0</x:v>
      </x:c>
    </x:row>
    <x:row r="1007" ht="18.75" customHeight="1">
      <x:c r="A1007" s="1" t="str">
        <x:v>https://blog.skyairline.com/equipaje-de-mano-permitido/</x:v>
      </x:c>
      <x:c r="B1007" s="1" t="str">
        <x:v>sky que puedo llevar en equipaje de mano</x:v>
      </x:c>
      <x:c r="C1007" s="1" t="str">
        <x:v>per</x:v>
      </x:c>
      <x:c r="D1007" s="1" t="str">
        <x:v>Marca</x:v>
      </x:c>
      <x:c r="E1007" s="35" t="n">
        <x:v>2</x:v>
      </x:c>
      <x:c r="F1007" s="36"/>
      <x:c r="G1007" s="36" t="str">
        <x:f>IF(ISNUMBER(F1007),E1007*F1007,"")</x:f>
      </x:c>
      <x:c r="H1007" s="37" t="d">
        <x:v>2026-10-15T00:00:00.000Z</x:v>
      </x:c>
      <x:c r="I1007" s="37" t="d">
        <x:v>2026-09-16T05:49:58.000Z</x:v>
      </x:c>
      <x:c r="J1007" s="1" t="n">
        <x:f>IF(ISNUMBER(F1007),E1007,0)</x:f>
        <x:v>0</x:v>
      </x:c>
      <x:c r="K1007" s="1"/>
      <x:c r="L1007" s="1" t="str">
        <x:v>https://blog.skyairline.com/aeropuertos-de-latinoamerica/</x:v>
      </x:c>
      <x:c r="M1007" s="1" t="n">
        <x:v>0</x:v>
      </x:c>
    </x:row>
    <x:row r="1008" ht="18.75" customHeight="1">
      <x:c r="A1008" s="1" t="str">
        <x:v>https://blog.skyairline.com/escapada-romantica-fin-de-semana/</x:v>
      </x:c>
      <x:c r="B1008" s="1" t="str">
        <x:v>escapada fin de semana romántico barato</x:v>
      </x:c>
      <x:c r="C1008" s="1" t="str">
        <x:v>chl</x:v>
      </x:c>
      <x:c r="D1008" s="1" t="str">
        <x:v>Sin marca</x:v>
      </x:c>
      <x:c r="E1008" s="35" t="n">
        <x:v>2</x:v>
      </x:c>
      <x:c r="F1008" s="36" t="n">
        <x:v>0.63</x:v>
      </x:c>
      <x:c r="G1008" s="36" t="n">
        <x:f>IF(ISNUMBER(F1008),E1008*F1008,"")</x:f>
        <x:v>1.26</x:v>
      </x:c>
      <x:c r="H1008" s="37" t="d">
        <x:v>2026-10-15T00:00:00.000Z</x:v>
      </x:c>
      <x:c r="I1008" s="37" t="d">
        <x:v>2026-09-12T17:26:07.000Z</x:v>
      </x:c>
      <x:c r="J1008" s="1" t="n">
        <x:f>IF(ISNUMBER(F1008),E1008,0)</x:f>
        <x:v>2</x:v>
      </x:c>
      <x:c r="K1008" s="1"/>
      <x:c r="L1008" s="1" t="str">
        <x:v>https://blog.skyairline.com/aeropuertos-di-buenos-aires/</x:v>
      </x:c>
      <x:c r="M1008" s="1" t="n">
        <x:v>0</x:v>
      </x:c>
    </x:row>
    <x:row r="1009" ht="18.75" customHeight="1">
      <x:c r="A1009" s="1" t="str">
        <x:v>https://blog.skyairline.com/estacionamiento-aeropuerto-santiago/</x:v>
      </x:c>
      <x:c r="B1009" s="1" t="str">
        <x:v>estacionamientos aeropuerto</x:v>
      </x:c>
      <x:c r="C1009" s="1" t="str">
        <x:v>chl</x:v>
      </x:c>
      <x:c r="D1009" s="1" t="str">
        <x:v>Sin marca</x:v>
      </x:c>
      <x:c r="E1009" s="35" t="n">
        <x:v>2</x:v>
      </x:c>
      <x:c r="F1009" s="36" t="n">
        <x:v>0.23</x:v>
      </x:c>
      <x:c r="G1009" s="36" t="n">
        <x:f>IF(ISNUMBER(F1009),E1009*F1009,"")</x:f>
        <x:v>0.46</x:v>
      </x:c>
      <x:c r="H1009" s="37" t="d">
        <x:v>2026-10-15T00:00:00.000Z</x:v>
      </x:c>
      <x:c r="I1009" s="37" t="d">
        <x:v>2026-09-12T15:34:49.000Z</x:v>
      </x:c>
      <x:c r="J1009" s="1" t="n">
        <x:f>IF(ISNUMBER(F1009),E1009,0)</x:f>
        <x:v>2</x:v>
      </x:c>
      <x:c r="K1009" s="1"/>
      <x:c r="L1009" s="1" t="str">
        <x:v>https://blog.skyairline.com/aeropuertos-en-Buenos-Aires-a-cual-te-conviene-llegar/</x:v>
      </x:c>
      <x:c r="M1009" s="1" t="n">
        <x:v>0</x:v>
      </x:c>
    </x:row>
    <x:row r="1010" ht="18.75" customHeight="1">
      <x:c r="A1010" s="1" t="str">
        <x:v>https://blog.skyairline.com/estaciones-en-chile/</x:v>
      </x:c>
      <x:c r="B1010" s="1" t="str">
        <x:v>en que epoca del año estamos</x:v>
      </x:c>
      <x:c r="C1010" s="1" t="str">
        <x:v>chl</x:v>
      </x:c>
      <x:c r="D1010" s="1" t="str">
        <x:v>Sin marca</x:v>
      </x:c>
      <x:c r="E1010" s="35" t="n">
        <x:v>2</x:v>
      </x:c>
      <x:c r="F1010" s="36"/>
      <x:c r="G1010" s="36" t="str">
        <x:f>IF(ISNUMBER(F1010),E1010*F1010,"")</x:f>
      </x:c>
      <x:c r="H1010" s="37"/>
      <x:c r="I1010" s="37"/>
      <x:c r="J1010" s="1" t="n">
        <x:f>IF(ISNUMBER(F1010),E1010,0)</x:f>
        <x:v>0</x:v>
      </x:c>
      <x:c r="K1010" s="1"/>
      <x:c r="L1010" s="1" t="str">
        <x:v>https://blog.skyairline.com/aeropuertos-en-a-cual-te-conviene-llegar/</x:v>
      </x:c>
      <x:c r="M1010" s="1" t="n">
        <x:v>0</x:v>
      </x:c>
    </x:row>
    <x:row r="1011" ht="18.75" customHeight="1">
      <x:c r="A1011" s="1" t="str">
        <x:v>https://blog.skyairline.com/estaciones-en-chile/</x:v>
      </x:c>
      <x:c r="B1011" s="1" t="str">
        <x:v>en que estacion estamos</x:v>
      </x:c>
      <x:c r="C1011" s="1" t="str">
        <x:v>chl</x:v>
      </x:c>
      <x:c r="D1011" s="1" t="str">
        <x:v>Sin marca</x:v>
      </x:c>
      <x:c r="E1011" s="35" t="n">
        <x:v>2</x:v>
      </x:c>
      <x:c r="F1011" s="36"/>
      <x:c r="G1011" s="36" t="str">
        <x:f>IF(ISNUMBER(F1011),E1011*F1011,"")</x:f>
      </x:c>
      <x:c r="H1011" s="37" t="d">
        <x:v>2026-10-15T00:00:00.000Z</x:v>
      </x:c>
      <x:c r="I1011" s="37" t="d">
        <x:v>2026-09-15T22:45:01.000Z</x:v>
      </x:c>
      <x:c r="J1011" s="1" t="n">
        <x:f>IF(ISNUMBER(F1011),E1011,0)</x:f>
        <x:v>0</x:v>
      </x:c>
      <x:c r="K1011" s="1"/>
      <x:c r="L1011" s="1" t="str">
        <x:v>https://blog.skyairline.com/aeropuertos-en-aires-a-cual-te-convienen-llegar</x:v>
      </x:c>
      <x:c r="M1011" s="1" t="n">
        <x:v>0</x:v>
      </x:c>
    </x:row>
    <x:row r="1012" ht="18.75" customHeight="1">
      <x:c r="A1012" s="1" t="str">
        <x:v>https://blog.skyairline.com/estaciones-en-chile/</x:v>
      </x:c>
      <x:c r="B1012" s="1" t="str">
        <x:v>en que estacion estamos chile</x:v>
      </x:c>
      <x:c r="C1012" s="1" t="str">
        <x:v>chl</x:v>
      </x:c>
      <x:c r="D1012" s="1" t="str">
        <x:v>Sin marca</x:v>
      </x:c>
      <x:c r="E1012" s="35" t="n">
        <x:v>2</x:v>
      </x:c>
      <x:c r="F1012" s="36"/>
      <x:c r="G1012" s="36" t="str">
        <x:f>IF(ISNUMBER(F1012),E1012*F1012,"")</x:f>
      </x:c>
      <x:c r="H1012" s="37" t="d">
        <x:v>2026-10-15T00:00:00.000Z</x:v>
      </x:c>
      <x:c r="I1012" s="37" t="d">
        <x:v>2026-09-16T13:12:34.000Z</x:v>
      </x:c>
      <x:c r="J1012" s="1" t="n">
        <x:f>IF(ISNUMBER(F1012),E1012,0)</x:f>
        <x:v>0</x:v>
      </x:c>
      <x:c r="K1012" s="1"/>
      <x:c r="L1012" s="1" t="str">
        <x:v>https://blog.skyairline.com/aeropuertos-en-ba/</x:v>
      </x:c>
      <x:c r="M1012" s="1" t="n">
        <x:v>0</x:v>
      </x:c>
    </x:row>
    <x:row r="1013" ht="18.75" customHeight="1">
      <x:c r="A1013" s="1" t="str">
        <x:v>https://blog.skyairline.com/estaciones-en-chile/</x:v>
      </x:c>
      <x:c r="B1013" s="1" t="str">
        <x:v>en que estación estamos en chile</x:v>
      </x:c>
      <x:c r="C1013" s="1" t="str">
        <x:v>chl</x:v>
      </x:c>
      <x:c r="D1013" s="1" t="str">
        <x:v>Sin marca</x:v>
      </x:c>
      <x:c r="E1013" s="35" t="n">
        <x:v>2</x:v>
      </x:c>
      <x:c r="F1013" s="36"/>
      <x:c r="G1013" s="36" t="str">
        <x:f>IF(ISNUMBER(F1013),E1013*F1013,"")</x:f>
      </x:c>
      <x:c r="H1013" s="37" t="d">
        <x:v>2026-10-15T00:00:00.000Z</x:v>
      </x:c>
      <x:c r="I1013" s="37" t="d">
        <x:v>2026-09-14T22:40:05.000Z</x:v>
      </x:c>
      <x:c r="J1013" s="1" t="n">
        <x:f>IF(ISNUMBER(F1013),E1013,0)</x:f>
        <x:v>0</x:v>
      </x:c>
      <x:c r="K1013" s="1"/>
      <x:c r="L1013" s="1" t="str">
        <x:v>https://blog.skyairline.com/aeropuertos-en-bo-buenos-aires/</x:v>
      </x:c>
      <x:c r="M1013" s="1" t="n">
        <x:v>0</x:v>
      </x:c>
    </x:row>
    <x:row r="1014" ht="18.75" customHeight="1">
      <x:c r="A1014" s="1" t="str">
        <x:v>https://blog.skyairline.com/estaciones-en-chile/</x:v>
      </x:c>
      <x:c r="B1014" s="1" t="str">
        <x:v>estaciones del año fechas chile</x:v>
      </x:c>
      <x:c r="C1014" s="1" t="str">
        <x:v>chl</x:v>
      </x:c>
      <x:c r="D1014" s="1" t="str">
        <x:v>Sin marca</x:v>
      </x:c>
      <x:c r="E1014" s="35" t="n">
        <x:v>2</x:v>
      </x:c>
      <x:c r="F1014" s="36"/>
      <x:c r="G1014" s="36" t="str">
        <x:f>IF(ISNUMBER(F1014),E1014*F1014,"")</x:f>
      </x:c>
      <x:c r="H1014" s="37" t="d">
        <x:v>2026-10-15T00:00:00.000Z</x:v>
      </x:c>
      <x:c r="I1014" s="37" t="d">
        <x:v>2026-09-13T04:09:42.000Z</x:v>
      </x:c>
      <x:c r="J1014" s="1" t="n">
        <x:f>IF(ISNUMBER(F1014),E1014,0)</x:f>
        <x:v>0</x:v>
      </x:c>
      <x:c r="K1014" s="1"/>
      <x:c r="L1014" s="1" t="str">
        <x:v>https://blog.skyairline.com/aeropuertos-en-buenos-aires-a-cual-te-convienen-llegar/</x:v>
      </x:c>
      <x:c r="M1014" s="1" t="n">
        <x:v>0</x:v>
      </x:c>
    </x:row>
    <x:row r="1015" ht="18.75" customHeight="1">
      <x:c r="A1015" s="1" t="str">
        <x:v>https://blog.skyairline.com/estaciones-en-chile/</x:v>
      </x:c>
      <x:c r="B1015" s="1" t="str">
        <x:v>fechas de las estaciones del año en chile</x:v>
      </x:c>
      <x:c r="C1015" s="1" t="str">
        <x:v>chl</x:v>
      </x:c>
      <x:c r="D1015" s="1" t="str">
        <x:v>Sin marca</x:v>
      </x:c>
      <x:c r="E1015" s="35" t="n">
        <x:v>2</x:v>
      </x:c>
      <x:c r="F1015" s="36"/>
      <x:c r="G1015" s="36" t="str">
        <x:f>IF(ISNUMBER(F1015),E1015*F1015,"")</x:f>
      </x:c>
      <x:c r="H1015" s="37" t="d">
        <x:v>2026-10-15T00:00:00.000Z</x:v>
      </x:c>
      <x:c r="I1015" s="37" t="d">
        <x:v>2026-09-17T16:00:31.999Z</x:v>
      </x:c>
      <x:c r="J1015" s="1" t="n">
        <x:f>IF(ISNUMBER(F1015),E1015,0)</x:f>
        <x:v>0</x:v>
      </x:c>
      <x:c r="K1015" s="1"/>
      <x:c r="L1015" s="1" t="str">
        <x:v>https://blog.skyairline.com/aeropuertos-en-el-sur-de-chile-donde-comenzar-tu-aventura/</x:v>
      </x:c>
      <x:c r="M1015" s="1" t="n">
        <x:v>0</x:v>
      </x:c>
    </x:row>
    <x:row r="1016" ht="18.75" customHeight="1">
      <x:c r="A1016" s="1" t="str">
        <x:v>https://blog.skyairline.com/feijoada/</x:v>
      </x:c>
      <x:c r="B1016" s="1" t="str">
        <x:v>como se come la feijoada</x:v>
      </x:c>
      <x:c r="C1016" s="1" t="str">
        <x:v>chl</x:v>
      </x:c>
      <x:c r="D1016" s="1" t="str">
        <x:v>Sin marca</x:v>
      </x:c>
      <x:c r="E1016" s="35" t="n">
        <x:v>2</x:v>
      </x:c>
      <x:c r="F1016" s="36"/>
      <x:c r="G1016" s="36" t="str">
        <x:f>IF(ISNUMBER(F1016),E1016*F1016,"")</x:f>
      </x:c>
      <x:c r="H1016" s="37"/>
      <x:c r="I1016" s="37"/>
      <x:c r="J1016" s="1" t="n">
        <x:f>IF(ISNUMBER(F1016),E1016,0)</x:f>
        <x:v>0</x:v>
      </x:c>
      <x:c r="K1016" s="1"/>
      <x:c r="L1016" s="1" t="str">
        <x:v>https://blog.skyairline.com/aeropuertos-en-le-sur-de-chile/</x:v>
      </x:c>
      <x:c r="M1016" s="1" t="n">
        <x:v>0</x:v>
      </x:c>
    </x:row>
    <x:row r="1017" ht="18.75" customHeight="1">
      <x:c r="A1017" s="1" t="str">
        <x:v>https://blog.skyairline.com/folklore-de-chile/</x:v>
      </x:c>
      <x:c r="B1017" s="1" t="str">
        <x:v>el folklore chileno</x:v>
      </x:c>
      <x:c r="C1017" s="1" t="str">
        <x:v>chl</x:v>
      </x:c>
      <x:c r="D1017" s="1" t="str">
        <x:v>Sin marca</x:v>
      </x:c>
      <x:c r="E1017" s="35" t="n">
        <x:v>2</x:v>
      </x:c>
      <x:c r="F1017" s="36"/>
      <x:c r="G1017" s="36" t="str">
        <x:f>IF(ISNUMBER(F1017),E1017*F1017,"")</x:f>
      </x:c>
      <x:c r="H1017" s="37"/>
      <x:c r="I1017" s="37"/>
      <x:c r="J1017" s="1" t="n">
        <x:f>IF(ISNUMBER(F1017),E1017,0)</x:f>
        <x:v>0</x:v>
      </x:c>
      <x:c r="K1017" s="1"/>
      <x:c r="L1017" s="1" t="str">
        <x:v>https://blog.skyairline.com/aeropuertos-en-quetodo/</x:v>
      </x:c>
      <x:c r="M1017" s="1" t="n">
        <x:v>0</x:v>
      </x:c>
    </x:row>
    <x:row r="1018" ht="18.75" customHeight="1">
      <x:c r="A1018" s="1" t="str">
        <x:v>https://blog.skyairline.com/folklore-de-chile/</x:v>
      </x:c>
      <x:c r="B1018" s="1" t="str">
        <x:v>folclor chileno</x:v>
      </x:c>
      <x:c r="C1018" s="1" t="str">
        <x:v>chl</x:v>
      </x:c>
      <x:c r="D1018" s="1" t="str">
        <x:v>Sin marca</x:v>
      </x:c>
      <x:c r="E1018" s="35" t="n">
        <x:v>2</x:v>
      </x:c>
      <x:c r="F1018" s="36"/>
      <x:c r="G1018" s="36" t="str">
        <x:f>IF(ISNUMBER(F1018),E1018*F1018,"")</x:f>
      </x:c>
      <x:c r="H1018" s="37" t="d">
        <x:v>2026-10-15T00:00:00.000Z</x:v>
      </x:c>
      <x:c r="I1018" s="37" t="d">
        <x:v>2026-09-15T03:51:40.000Z</x:v>
      </x:c>
      <x:c r="J1018" s="1" t="n">
        <x:f>IF(ISNUMBER(F1018),E1018,0)</x:f>
        <x:v>0</x:v>
      </x:c>
      <x:c r="K1018" s="1"/>
      <x:c r="L1018" s="1" t="str">
        <x:v>https://blog.skyairline.com/aeropuertos/arturo-merino-benitez/</x:v>
      </x:c>
      <x:c r="M1018" s="1" t="n">
        <x:v>0</x:v>
      </x:c>
    </x:row>
    <x:row r="1019" ht="18.75" customHeight="1">
      <x:c r="A1019" s="1" t="str">
        <x:v>https://blog.skyairline.com/folklore-de-chile/</x:v>
      </x:c>
      <x:c r="B1019" s="1" t="str">
        <x:v>folclore en chile</x:v>
      </x:c>
      <x:c r="C1019" s="1" t="str">
        <x:v>chl</x:v>
      </x:c>
      <x:c r="D1019" s="1" t="str">
        <x:v>Sin marca</x:v>
      </x:c>
      <x:c r="E1019" s="35" t="n">
        <x:v>2</x:v>
      </x:c>
      <x:c r="F1019" s="36"/>
      <x:c r="G1019" s="36" t="str">
        <x:f>IF(ISNUMBER(F1019),E1019*F1019,"")</x:f>
      </x:c>
      <x:c r="H1019" s="37"/>
      <x:c r="I1019" s="37"/>
      <x:c r="J1019" s="1" t="n">
        <x:f>IF(ISNUMBER(F1019),E1019,0)</x:f>
        <x:v>0</x:v>
      </x:c>
      <x:c r="K1019" s="1"/>
      <x:c r="L1019" s="1" t="str">
        <x:v>https://blog.skyairline.com/aeropuertosenelsurdechile/</x:v>
      </x:c>
      <x:c r="M1019" s="1" t="n">
        <x:v>0</x:v>
      </x:c>
    </x:row>
    <x:row r="1020" ht="18.75" customHeight="1">
      <x:c r="A1020" s="1" t="str">
        <x:v>https://blog.skyairline.com/folklore-de-chile/</x:v>
      </x:c>
      <x:c r="B1020" s="1" t="str">
        <x:v>folklore chileno</x:v>
      </x:c>
      <x:c r="C1020" s="1" t="str">
        <x:v>chl</x:v>
      </x:c>
      <x:c r="D1020" s="1" t="str">
        <x:v>Sin marca</x:v>
      </x:c>
      <x:c r="E1020" s="35" t="n">
        <x:v>2</x:v>
      </x:c>
      <x:c r="F1020" s="36"/>
      <x:c r="G1020" s="36" t="str">
        <x:f>IF(ISNUMBER(F1020),E1020*F1020,"")</x:f>
      </x:c>
      <x:c r="H1020" s="37" t="d">
        <x:v>2026-10-15T00:00:00.000Z</x:v>
      </x:c>
      <x:c r="I1020" s="37" t="d">
        <x:v>2026-09-13T15:52:30.000Z</x:v>
      </x:c>
      <x:c r="J1020" s="1" t="n">
        <x:f>IF(ISNUMBER(F1020),E1020,0)</x:f>
        <x:v>0</x:v>
      </x:c>
      <x:c r="K1020" s="1"/>
      <x:c r="L1020" s="1" t="str">
        <x:v>https://blog.skyairline.com/ahorrar-en-transporte/</x:v>
      </x:c>
      <x:c r="M1020" s="1" t="n">
        <x:v>0</x:v>
      </x:c>
    </x:row>
    <x:row r="1021" ht="18.75" customHeight="1">
      <x:c r="A1021" s="1" t="str">
        <x:v>https://blog.skyairline.com/folklore-de-chile/</x:v>
      </x:c>
      <x:c r="B1021" s="1" t="str">
        <x:v>historia del folklore chileno</x:v>
      </x:c>
      <x:c r="C1021" s="1" t="str">
        <x:v>chl</x:v>
      </x:c>
      <x:c r="D1021" s="1" t="str">
        <x:v>Sin marca</x:v>
      </x:c>
      <x:c r="E1021" s="35" t="n">
        <x:v>2</x:v>
      </x:c>
      <x:c r="F1021" s="36"/>
      <x:c r="G1021" s="36" t="str">
        <x:f>IF(ISNUMBER(F1021),E1021*F1021,"")</x:f>
      </x:c>
      <x:c r="H1021" s="37" t="d">
        <x:v>2026-10-15T00:00:00.000Z</x:v>
      </x:c>
      <x:c r="I1021" s="37" t="d">
        <x:v>2026-09-14T16:15:52.000Z</x:v>
      </x:c>
      <x:c r="J1021" s="1" t="n">
        <x:f>IF(ISNUMBER(F1021),E1021,0)</x:f>
        <x:v>0</x:v>
      </x:c>
      <x:c r="K1021" s="1"/>
      <x:c r="L1021" s="1" t="str">
        <x:v>https://blog.skyairline.com/ahorrar-tiempo-en-el-aeropuerto</x:v>
      </x:c>
      <x:c r="M1021" s="1" t="n">
        <x:v>0</x:v>
      </x:c>
    </x:row>
    <x:row r="1022" ht="18.75" customHeight="1">
      <x:c r="A1022" s="1" t="str">
        <x:v>https://blog.skyairline.com/folklore-de-chile/</x:v>
      </x:c>
      <x:c r="B1022" s="1" t="str">
        <x:v>que es el folklore chileno</x:v>
      </x:c>
      <x:c r="C1022" s="1" t="str">
        <x:v>chl</x:v>
      </x:c>
      <x:c r="D1022" s="1" t="str">
        <x:v>Sin marca</x:v>
      </x:c>
      <x:c r="E1022" s="35" t="n">
        <x:v>2</x:v>
      </x:c>
      <x:c r="F1022" s="36"/>
      <x:c r="G1022" s="36" t="str">
        <x:f>IF(ISNUMBER(F1022),E1022*F1022,"")</x:f>
      </x:c>
      <x:c r="H1022" s="37" t="d">
        <x:v>2026-10-15T00:00:00.000Z</x:v>
      </x:c>
      <x:c r="I1022" s="37" t="d">
        <x:v>2026-09-14T07:31:17.000Z</x:v>
      </x:c>
      <x:c r="J1022" s="1" t="n">
        <x:f>IF(ISNUMBER(F1022),E1022,0)</x:f>
        <x:v>0</x:v>
      </x:c>
      <x:c r="K1022" s="1"/>
      <x:c r="L1022" s="1" t="str">
        <x:v>https://blog.skyairline.com/airbus-inaugura-new-centro-de-formacion-de-pilotos-en-chile-junto-a-sky/</x:v>
      </x:c>
      <x:c r="M1022" s="1" t="n">
        <x:v>0</x:v>
      </x:c>
    </x:row>
    <x:row r="1023" ht="18.75" customHeight="1">
      <x:c r="A1023" s="1" t="str">
        <x:v>https://blog.skyairline.com/frutas-del-sur-de-chile-variedades-y-beneficios/</x:v>
      </x:c>
      <x:c r="B1023" s="1" t="str">
        <x:v>frutas chilenas</x:v>
      </x:c>
      <x:c r="C1023" s="1" t="str">
        <x:v>chl</x:v>
      </x:c>
      <x:c r="D1023" s="1" t="str">
        <x:v>Sin marca</x:v>
      </x:c>
      <x:c r="E1023" s="35" t="n">
        <x:v>2</x:v>
      </x:c>
      <x:c r="F1023" s="36"/>
      <x:c r="G1023" s="36" t="str">
        <x:f>IF(ISNUMBER(F1023),E1023*F1023,"")</x:f>
      </x:c>
      <x:c r="H1023" s="37" t="d">
        <x:v>2026-10-15T00:00:00.000Z</x:v>
      </x:c>
      <x:c r="I1023" s="37" t="d">
        <x:v>2026-09-15T22:52:03.000Z</x:v>
      </x:c>
      <x:c r="J1023" s="1" t="n">
        <x:f>IF(ISNUMBER(F1023),E1023,0)</x:f>
        <x:v>0</x:v>
      </x:c>
      <x:c r="K1023" s="1"/>
      <x:c r="L1023" s="1" t="str">
        <x:v>https://blog.skyairline.com/airbus-inaugura-nuevo-centro-de-formacion-de-pilotos-en-chile-visto-junto-a-sky/</x:v>
      </x:c>
      <x:c r="M1023" s="1" t="n">
        <x:v>0</x:v>
      </x:c>
    </x:row>
    <x:row r="1024" ht="18.75" customHeight="1">
      <x:c r="A1024" s="1" t="str">
        <x:v>https://blog.skyairline.com/humberstone/</x:v>
      </x:c>
      <x:c r="B1024" s="1" t="str">
        <x:v>como llegar a humberstone desde iquique</x:v>
      </x:c>
      <x:c r="C1024" s="1" t="str">
        <x:v>chl</x:v>
      </x:c>
      <x:c r="D1024" s="1" t="str">
        <x:v>Sin marca</x:v>
      </x:c>
      <x:c r="E1024" s="35" t="n">
        <x:v>2</x:v>
      </x:c>
      <x:c r="F1024" s="36" t="n">
        <x:v>0.81</x:v>
      </x:c>
      <x:c r="G1024" s="36" t="n">
        <x:f>IF(ISNUMBER(F1024),E1024*F1024,"")</x:f>
        <x:v>1.62</x:v>
      </x:c>
      <x:c r="H1024" s="37" t="d">
        <x:v>2026-10-15T00:00:00.000Z</x:v>
      </x:c>
      <x:c r="I1024" s="37" t="d">
        <x:v>2026-09-14T18:20:32.000Z</x:v>
      </x:c>
      <x:c r="J1024" s="1" t="n">
        <x:f>IF(ISNUMBER(F1024),E1024,0)</x:f>
        <x:v>2</x:v>
      </x:c>
      <x:c r="K1024" s="1"/>
      <x:c r="L1024" s="1" t="str">
        <x:v>https://blog.skyairline.com/alianza-lima-anuncio-a-sky-airline-peru-como-nuevo-patrocinador/</x:v>
      </x:c>
      <x:c r="M1024" s="1" t="n">
        <x:v>0</x:v>
      </x:c>
    </x:row>
    <x:row r="1025" ht="18.75" customHeight="1">
      <x:c r="A1025" s="1" t="str">
        <x:v>https://blog.skyairline.com/ipanema-rio-de-janeiro/</x:v>
      </x:c>
      <x:c r="B1025" s="1" t="str">
        <x:v>ipanema brasil</x:v>
      </x:c>
      <x:c r="C1025" s="1" t="str">
        <x:v>chl</x:v>
      </x:c>
      <x:c r="D1025" s="1" t="str">
        <x:v>Sin marca</x:v>
      </x:c>
      <x:c r="E1025" s="35" t="n">
        <x:v>2</x:v>
      </x:c>
      <x:c r="F1025" s="36" t="n">
        <x:v>1.17</x:v>
      </x:c>
      <x:c r="G1025" s="36" t="n">
        <x:f>IF(ISNUMBER(F1025),E1025*F1025,"")</x:f>
        <x:v>2.34</x:v>
      </x:c>
      <x:c r="H1025" s="37" t="d">
        <x:v>2026-10-15T00:00:00.000Z</x:v>
      </x:c>
      <x:c r="I1025" s="37" t="d">
        <x:v>2026-09-14T02:01:10.000Z</x:v>
      </x:c>
      <x:c r="J1025" s="1" t="n">
        <x:f>IF(ISNUMBER(F1025),E1025,0)</x:f>
        <x:v>2</x:v>
      </x:c>
      <x:c r="K1025" s="1"/>
      <x:c r="L1025" s="1" t="str">
        <x:v>https://blog.skyairline.com/alojamiento-barato-en-mendoza/</x:v>
      </x:c>
      <x:c r="M1025" s="1" t="n">
        <x:v>0</x:v>
      </x:c>
    </x:row>
    <x:row r="1026" ht="18.75" customHeight="1">
      <x:c r="A1026" s="1" t="str">
        <x:v>https://blog.skyairline.com/lago-todos-los-santos/</x:v>
      </x:c>
      <x:c r="B1026" s="1" t="str">
        <x:v>lago de todos los santos</x:v>
      </x:c>
      <x:c r="C1026" s="1" t="str">
        <x:v>chl</x:v>
      </x:c>
      <x:c r="D1026" s="1" t="str">
        <x:v>Sin marca</x:v>
      </x:c>
      <x:c r="E1026" s="35" t="n">
        <x:v>2</x:v>
      </x:c>
      <x:c r="F1026" s="36" t="n">
        <x:v>0.42</x:v>
      </x:c>
      <x:c r="G1026" s="36" t="n">
        <x:f>IF(ISNUMBER(F1026),E1026*F1026,"")</x:f>
        <x:v>0.84</x:v>
      </x:c>
      <x:c r="H1026" s="37" t="d">
        <x:v>2026-10-15T00:00:00.000Z</x:v>
      </x:c>
      <x:c r="I1026" s="37" t="d">
        <x:v>2026-09-17T20:51:59.000Z</x:v>
      </x:c>
      <x:c r="J1026" s="1" t="n">
        <x:f>IF(ISNUMBER(F1026),E1026,0)</x:f>
        <x:v>2</x:v>
      </x:c>
      <x:c r="K1026" s="1"/>
      <x:c r="L1026" s="1" t="str">
        <x:v>https://blog.skyairline.com/alto-el-loa-un-destination-desconocido-en-el-norte-de-chile/</x:v>
      </x:c>
      <x:c r="M1026" s="1" t="n">
        <x:v>0</x:v>
      </x:c>
    </x:row>
    <x:row r="1027" ht="18.75" customHeight="1">
      <x:c r="A1027" s="1" t="str">
        <x:v>https://blog.skyairline.com/liquidos-en-avion/</x:v>
      </x:c>
      <x:c r="B1027" s="1" t="str">
        <x:v>frascos permitidos en avion</x:v>
      </x:c>
      <x:c r="C1027" s="1" t="str">
        <x:v>per</x:v>
      </x:c>
      <x:c r="D1027" s="1" t="str">
        <x:v>Sin marca</x:v>
      </x:c>
      <x:c r="E1027" s="35" t="n">
        <x:v>2</x:v>
      </x:c>
      <x:c r="F1027" s="36"/>
      <x:c r="G1027" s="36" t="str">
        <x:f>IF(ISNUMBER(F1027),E1027*F1027,"")</x:f>
      </x:c>
      <x:c r="H1027" s="37"/>
      <x:c r="I1027" s="37"/>
      <x:c r="J1027" s="1" t="n">
        <x:f>IF(ISNUMBER(F1027),E1027,0)</x:f>
        <x:v>0</x:v>
      </x:c>
      <x:c r="K1027" s="1"/>
      <x:c r="L1027" s="1" t="str">
        <x:v>https://blog.skyairline.com/alto-el-loa-un-destino-desconocido-en-el-norte-de-chile/</x:v>
      </x:c>
      <x:c r="M1027" s="1" t="n">
        <x:v>0</x:v>
      </x:c>
    </x:row>
    <x:row r="1028" ht="18.75" customHeight="1">
      <x:c r="A1028" s="1" t="str">
        <x:v>https://blog.skyairline.com/liquidos-en-avion/</x:v>
      </x:c>
      <x:c r="B1028" s="1" t="str">
        <x:v>puedo llevar perfume en el avion</x:v>
      </x:c>
      <x:c r="C1028" s="1" t="str">
        <x:v>per</x:v>
      </x:c>
      <x:c r="D1028" s="1" t="str">
        <x:v>Sin marca</x:v>
      </x:c>
      <x:c r="E1028" s="35" t="n">
        <x:v>2</x:v>
      </x:c>
      <x:c r="F1028" s="36"/>
      <x:c r="G1028" s="36" t="str">
        <x:f>IF(ISNUMBER(F1028),E1028*F1028,"")</x:f>
      </x:c>
      <x:c r="H1028" s="37" t="d">
        <x:v>2026-10-15T00:00:00.000Z</x:v>
      </x:c>
      <x:c r="I1028" s="37" t="d">
        <x:v>2026-09-16T20:18:03.000Z</x:v>
      </x:c>
      <x:c r="J1028" s="1" t="n">
        <x:f>IF(ISNUMBER(F1028),E1028,0)</x:f>
        <x:v>0</x:v>
      </x:c>
      <x:c r="K1028" s="1"/>
      <x:c r="L1028" s="1" t="str">
        <x:v>https://blog.skyairline.com/altura-del-aconcagua/</x:v>
      </x:c>
      <x:c r="M1028" s="1" t="n">
        <x:v>0</x:v>
      </x:c>
    </x:row>
    <x:row r="1029" ht="18.75" customHeight="1">
      <x:c r="A1029" s="1" t="str">
        <x:v>https://blog.skyairline.com/liquidos-en-avion/</x:v>
      </x:c>
      <x:c r="B1029" s="1" t="str">
        <x:v>sky</x:v>
      </x:c>
      <x:c r="C1029" s="1" t="str">
        <x:v>chl</x:v>
      </x:c>
      <x:c r="D1029" s="1" t="str">
        <x:v>Marca</x:v>
      </x:c>
      <x:c r="E1029" s="35" t="n">
        <x:v>2</x:v>
      </x:c>
      <x:c r="F1029" s="36" t="n">
        <x:v>0.27</x:v>
      </x:c>
      <x:c r="G1029" s="36" t="n">
        <x:f>IF(ISNUMBER(F1029),E1029*F1029,"")</x:f>
        <x:v>0.54</x:v>
      </x:c>
      <x:c r="H1029" s="37" t="d">
        <x:v>2026-10-15T00:00:00.000Z</x:v>
      </x:c>
      <x:c r="I1029" s="37" t="d">
        <x:v>2026-09-17T02:52:38.000Z</x:v>
      </x:c>
      <x:c r="J1029" s="1" t="n">
        <x:f>IF(ISNUMBER(F1029),E1029,0)</x:f>
        <x:v>2</x:v>
      </x:c>
      <x:c r="K1029" s="1"/>
      <x:c r="L1029" s="1" t="str">
        <x:v>https://blog.skyairline.com/ancud/</x:v>
      </x:c>
      <x:c r="M1029" s="1" t="n">
        <x:v>0</x:v>
      </x:c>
    </x:row>
    <x:row r="1030" ht="18.75" customHeight="1">
      <x:c r="A1030" s="1" t="str">
        <x:v>https://blog.skyairline.com/lugares-gratuitos-en-valdivia/</x:v>
      </x:c>
      <x:c r="B1030" s="1" t="str">
        <x:v>lugares para visitar en valdivia gratis</x:v>
      </x:c>
      <x:c r="C1030" s="1" t="str">
        <x:v>chl</x:v>
      </x:c>
      <x:c r="D1030" s="1" t="str">
        <x:v>Sin marca</x:v>
      </x:c>
      <x:c r="E1030" s="35" t="n">
        <x:v>2</x:v>
      </x:c>
      <x:c r="F1030" s="36" t="n">
        <x:v>0.12</x:v>
      </x:c>
      <x:c r="G1030" s="36" t="n">
        <x:f>IF(ISNUMBER(F1030),E1030*F1030,"")</x:f>
        <x:v>0.24</x:v>
      </x:c>
      <x:c r="H1030" s="37" t="d">
        <x:v>2026-10-15T00:00:00.000Z</x:v>
      </x:c>
      <x:c r="I1030" s="37" t="d">
        <x:v>2026-10-15T02:29:17.000Z</x:v>
      </x:c>
      <x:c r="J1030" s="1" t="n">
        <x:f>IF(ISNUMBER(F1030),E1030,0)</x:f>
        <x:v>2</x:v>
      </x:c>
      <x:c r="K1030" s="1"/>
      <x:c r="L1030" s="1" t="str">
        <x:v>https://blog.skyairline.com/angelmo</x:v>
      </x:c>
      <x:c r="M1030" s="1" t="n">
        <x:v>0</x:v>
      </x:c>
    </x:row>
    <x:row r="1031" ht="18.75" customHeight="1">
      <x:c r="A1031" s="1" t="str">
        <x:v>https://blog.skyairline.com/maquillaje-en-avion/</x:v>
      </x:c>
      <x:c r="B1031" s="1" t="str">
        <x:v>puedo llevar maquillaje en el equipaje de mano</x:v>
      </x:c>
      <x:c r="C1031" s="1" t="str">
        <x:v>chl</x:v>
      </x:c>
      <x:c r="D1031" s="1" t="str">
        <x:v>Sin marca</x:v>
      </x:c>
      <x:c r="E1031" s="35" t="n">
        <x:v>2</x:v>
      </x:c>
      <x:c r="F1031" s="36"/>
      <x:c r="G1031" s="36" t="str">
        <x:f>IF(ISNUMBER(F1031),E1031*F1031,"")</x:f>
      </x:c>
      <x:c r="H1031" s="37" t="d">
        <x:v>2026-10-15T00:00:00.000Z</x:v>
      </x:c>
      <x:c r="I1031" s="37" t="d">
        <x:v>2026-09-17T02:25:45.000Z</x:v>
      </x:c>
      <x:c r="J1031" s="1" t="n">
        <x:f>IF(ISNUMBER(F1031),E1031,0)</x:f>
        <x:v>0</x:v>
      </x:c>
      <x:c r="K1031" s="1"/>
      <x:c r="L1031" s="1" t="str">
        <x:v>https://blog.skyairline.com/angra-do-reis/</x:v>
      </x:c>
      <x:c r="M1031" s="1" t="n">
        <x:v>0</x:v>
      </x:c>
    </x:row>
    <x:row r="1032" ht="18.75" customHeight="1">
      <x:c r="A1032" s="1" t="str">
        <x:v>https://blog.skyairline.com/mascotas-en-cabina/</x:v>
      </x:c>
      <x:c r="B1032" s="1" t="str">
        <x:v>mascota en cabina sky</x:v>
      </x:c>
      <x:c r="C1032" s="1" t="str">
        <x:v>chl</x:v>
      </x:c>
      <x:c r="D1032" s="1" t="str">
        <x:v>Marca</x:v>
      </x:c>
      <x:c r="E1032" s="35" t="n">
        <x:v>2</x:v>
      </x:c>
      <x:c r="F1032" s="36"/>
      <x:c r="G1032" s="36" t="str">
        <x:f>IF(ISNUMBER(F1032),E1032*F1032,"")</x:f>
      </x:c>
      <x:c r="H1032" s="37" t="d">
        <x:v>2026-10-15T00:00:00.000Z</x:v>
      </x:c>
      <x:c r="I1032" s="37" t="d">
        <x:v>2026-09-15T11:51:54.000Z</x:v>
      </x:c>
      <x:c r="J1032" s="1" t="n">
        <x:f>IF(ISNUMBER(F1032),E1032,0)</x:f>
        <x:v>0</x:v>
      </x:c>
      <x:c r="K1032" s="1"/>
      <x:c r="L1032" s="1" t="str">
        <x:v>https://blog.skyairline.com/angra-dos-reis/angra-dos-reis</x:v>
      </x:c>
      <x:c r="M1032" s="1" t="n">
        <x:v>0</x:v>
      </x:c>
    </x:row>
    <x:row r="1033" ht="18.75" customHeight="1">
      <x:c r="A1033" s="1" t="str">
        <x:v>https://blog.skyairline.com/mascotas-en-cabina/</x:v>
      </x:c>
      <x:c r="B1033" s="1" t="str">
        <x:v>medidas canil sky</x:v>
      </x:c>
      <x:c r="C1033" s="1" t="str">
        <x:v>chl</x:v>
      </x:c>
      <x:c r="D1033" s="1" t="str">
        <x:v>Marca</x:v>
      </x:c>
      <x:c r="E1033" s="35" t="n">
        <x:v>2</x:v>
      </x:c>
      <x:c r="F1033" s="36"/>
      <x:c r="G1033" s="36" t="str">
        <x:f>IF(ISNUMBER(F1033),E1033*F1033,"")</x:f>
      </x:c>
      <x:c r="H1033" s="37" t="d">
        <x:v>2026-10-15T00:00:00.000Z</x:v>
      </x:c>
      <x:c r="I1033" s="37" t="d">
        <x:v>2026-09-16T03:51:27.000Z</x:v>
      </x:c>
      <x:c r="J1033" s="1" t="n">
        <x:f>IF(ISNUMBER(F1033),E1033,0)</x:f>
        <x:v>0</x:v>
      </x:c>
      <x:c r="K1033" s="1"/>
      <x:c r="L1033" s="1" t="str">
        <x:v>https://blog.skyairline.com/antofagasta-e-iquique/</x:v>
      </x:c>
      <x:c r="M1033" s="1" t="n">
        <x:v>0</x:v>
      </x:c>
    </x:row>
    <x:row r="1034" ht="18.75" customHeight="1">
      <x:c r="A1034" s="1" t="str">
        <x:v>https://blog.skyairline.com/mascotas-en-cabina/</x:v>
      </x:c>
      <x:c r="B1034" s="1" t="str">
        <x:v>sky airlines mascotas</x:v>
      </x:c>
      <x:c r="C1034" s="1" t="str">
        <x:v>chl</x:v>
      </x:c>
      <x:c r="D1034" s="1" t="str">
        <x:v>Marca</x:v>
      </x:c>
      <x:c r="E1034" s="35" t="n">
        <x:v>2</x:v>
      </x:c>
      <x:c r="F1034" s="36"/>
      <x:c r="G1034" s="36" t="str">
        <x:f>IF(ISNUMBER(F1034),E1034*F1034,"")</x:f>
      </x:c>
      <x:c r="H1034" s="37" t="d">
        <x:v>2026-10-15T00:00:00.000Z</x:v>
      </x:c>
      <x:c r="I1034" s="37" t="d">
        <x:v>2026-09-14T11:49:40.000Z</x:v>
      </x:c>
      <x:c r="J1034" s="1" t="n">
        <x:f>IF(ISNUMBER(F1034),E1034,0)</x:f>
        <x:v>0</x:v>
      </x:c>
      <x:c r="K1034" s="1"/>
      <x:c r="L1034" s="1" t="str">
        <x:v>https://blog.skyairline.com/antofagasta/</x:v>
      </x:c>
      <x:c r="M1034" s="1" t="n">
        <x:v>0</x:v>
      </x:c>
    </x:row>
    <x:row r="1035" ht="18.75" customHeight="1">
      <x:c r="A1035" s="1" t="str">
        <x:v>https://blog.skyairline.com/mascotas-en-cabina/</x:v>
      </x:c>
      <x:c r="B1035" s="1" t="str">
        <x:v>sky airlines mascotas</x:v>
      </x:c>
      <x:c r="C1035" s="1" t="str">
        <x:v>per</x:v>
      </x:c>
      <x:c r="D1035" s="1" t="str">
        <x:v>Marca</x:v>
      </x:c>
      <x:c r="E1035" s="35" t="n">
        <x:v>2</x:v>
      </x:c>
      <x:c r="F1035" s="36"/>
      <x:c r="G1035" s="36" t="str">
        <x:f>IF(ISNUMBER(F1035),E1035*F1035,"")</x:f>
      </x:c>
      <x:c r="H1035" s="37"/>
      <x:c r="I1035" s="37"/>
      <x:c r="J1035" s="1" t="n">
        <x:f>IF(ISNUMBER(F1035),E1035,0)</x:f>
        <x:v>0</x:v>
      </x:c>
      <x:c r="K1035" s="1"/>
      <x:c r="L1035" s="1" t="str">
        <x:v>https://blog.skyairline.com/aplicaciones-para-viajar-en-tu-celular/</x:v>
      </x:c>
      <x:c r="M1035" s="1" t="n">
        <x:v>0</x:v>
      </x:c>
    </x:row>
    <x:row r="1036" ht="18.75" customHeight="1">
      <x:c r="A1036" s="1" t="str">
        <x:v>https://blog.skyairline.com/mascotas-en-cabina/</x:v>
      </x:c>
      <x:c r="B1036" s="1" t="str">
        <x:v>sky mascota</x:v>
      </x:c>
      <x:c r="C1036" s="1" t="str">
        <x:v>chl</x:v>
      </x:c>
      <x:c r="D1036" s="1" t="str">
        <x:v>Marca</x:v>
      </x:c>
      <x:c r="E1036" s="35" t="n">
        <x:v>2</x:v>
      </x:c>
      <x:c r="F1036" s="36"/>
      <x:c r="G1036" s="36" t="str">
        <x:f>IF(ISNUMBER(F1036),E1036*F1036,"")</x:f>
      </x:c>
      <x:c r="H1036" s="37"/>
      <x:c r="I1036" s="37"/>
      <x:c r="J1036" s="1" t="n">
        <x:f>IF(ISNUMBER(F1036),E1036,0)</x:f>
        <x:v>0</x:v>
      </x:c>
      <x:c r="K1036" s="1"/>
      <x:c r="L1036" s="1" t="str">
        <x:v>https://blog.skyairline.com/aprende-donde-codigo-lago-ranco-y-como-llegar-desde-osorno</x:v>
      </x:c>
      <x:c r="M1036" s="1" t="n">
        <x:v>0</x:v>
      </x:c>
    </x:row>
    <x:row r="1037" ht="18.75" customHeight="1">
      <x:c r="A1037" s="1" t="str">
        <x:v>https://blog.skyairline.com/mascotas-en-cabina/</x:v>
      </x:c>
      <x:c r="B1037" s="1" t="str">
        <x:v>sky mascotas en cabina</x:v>
      </x:c>
      <x:c r="C1037" s="1" t="str">
        <x:v>per</x:v>
      </x:c>
      <x:c r="D1037" s="1" t="str">
        <x:v>Marca</x:v>
      </x:c>
      <x:c r="E1037" s="35" t="n">
        <x:v>2</x:v>
      </x:c>
      <x:c r="F1037" s="36" t="n">
        <x:v>2.99</x:v>
      </x:c>
      <x:c r="G1037" s="36" t="n">
        <x:f>IF(ISNUMBER(F1037),E1037*F1037,"")</x:f>
        <x:v>5.98</x:v>
      </x:c>
      <x:c r="H1037" s="37" t="d">
        <x:v>2026-10-15T00:00:00.000Z</x:v>
      </x:c>
      <x:c r="I1037" s="37" t="d">
        <x:v>2026-09-13T06:47:23.000Z</x:v>
      </x:c>
      <x:c r="J1037" s="1" t="n">
        <x:f>IF(ISNUMBER(F1037),E1037,0)</x:f>
        <x:v>2</x:v>
      </x:c>
      <x:c r="K1037" s="1"/>
      <x:c r="L1037" s="1" t="str">
        <x:v>https://blog.skyairline.com/aprende-donde-queda-lago-ranco-y-c%C3%B3mo-llegar-desde-osorno/</x:v>
      </x:c>
      <x:c r="M1037" s="1" t="n">
        <x:v>0</x:v>
      </x:c>
    </x:row>
    <x:row r="1038" ht="18.75" customHeight="1">
      <x:c r="A1038" s="1" t="str">
        <x:v>https://blog.skyairline.com/mililitros-permitidos-avion/</x:v>
      </x:c>
      <x:c r="B1038" s="1" t="str">
        <x:v>sky equipaje de mano</x:v>
      </x:c>
      <x:c r="C1038" s="1" t="str">
        <x:v>chl</x:v>
      </x:c>
      <x:c r="D1038" s="1" t="str">
        <x:v>Marca</x:v>
      </x:c>
      <x:c r="E1038" s="35" t="n">
        <x:v>2</x:v>
      </x:c>
      <x:c r="F1038" s="36" t="n">
        <x:v>1.31</x:v>
      </x:c>
      <x:c r="G1038" s="36" t="n">
        <x:f>IF(ISNUMBER(F1038),E1038*F1038,"")</x:f>
        <x:v>2.62</x:v>
      </x:c>
      <x:c r="H1038" s="37" t="d">
        <x:v>2026-10-15T00:00:00.000Z</x:v>
      </x:c>
      <x:c r="I1038" s="37" t="d">
        <x:v>2026-09-17T08:53:51.000Z</x:v>
      </x:c>
      <x:c r="J1038" s="1" t="n">
        <x:f>IF(ISNUMBER(F1038),E1038,0)</x:f>
        <x:v>2</x:v>
      </x:c>
      <x:c r="K1038" s="1"/>
      <x:c r="L1038" s="1" t="str">
        <x:v>https://blog.skyairline.com/aprender-ingles/</x:v>
      </x:c>
      <x:c r="M1038" s="1" t="n">
        <x:v>0</x:v>
      </x:c>
    </x:row>
    <x:row r="1039" ht="18.75" customHeight="1">
      <x:c r="A1039" s="1" t="str">
        <x:v>https://blog.skyairline.com/mitos-chilenos-cuentos-y-leyendas-de-nuestros-pueblos/</x:v>
      </x:c>
      <x:c r="B1039" s="1" t="str">
        <x:v>leyenda chilena</x:v>
      </x:c>
      <x:c r="C1039" s="1" t="str">
        <x:v>chl</x:v>
      </x:c>
      <x:c r="D1039" s="1" t="str">
        <x:v>Sin marca</x:v>
      </x:c>
      <x:c r="E1039" s="35" t="n">
        <x:v>2</x:v>
      </x:c>
      <x:c r="F1039" s="36" t="n">
        <x:v>0.38</x:v>
      </x:c>
      <x:c r="G1039" s="36" t="n">
        <x:f>IF(ISNUMBER(F1039),E1039*F1039,"")</x:f>
        <x:v>0.76</x:v>
      </x:c>
      <x:c r="H1039" s="37" t="d">
        <x:v>2026-10-15T00:00:00.000Z</x:v>
      </x:c>
      <x:c r="I1039" s="37" t="d">
        <x:v>2026-10-15T02:10:22.000Z</x:v>
      </x:c>
      <x:c r="J1039" s="1" t="n">
        <x:f>IF(ISNUMBER(F1039),E1039,0)</x:f>
        <x:v>2</x:v>
      </x:c>
      <x:c r="K1039" s="1"/>
      <x:c r="L1039" s="1" t="str">
        <x:v>https://blog.skyairline.com/aprender-portugues/</x:v>
      </x:c>
      <x:c r="M1039" s="1" t="n">
        <x:v>0</x:v>
      </x:c>
    </x:row>
    <x:row r="1040" ht="18.75" customHeight="1">
      <x:c r="A1040" s="1" t="str">
        <x:v>https://blog.skyairline.com/nevado-rajuntay/</x:v>
      </x:c>
      <x:c r="B1040" s="1" t="str">
        <x:v>rajuntay donde queda</x:v>
      </x:c>
      <x:c r="C1040" s="1" t="str">
        <x:v>per</x:v>
      </x:c>
      <x:c r="D1040" s="1" t="str">
        <x:v>Sin marca</x:v>
      </x:c>
      <x:c r="E1040" s="35" t="n">
        <x:v>2</x:v>
      </x:c>
      <x:c r="F1040" s="36"/>
      <x:c r="G1040" s="36" t="str">
        <x:f>IF(ISNUMBER(F1040),E1040*F1040,"")</x:f>
      </x:c>
      <x:c r="H1040" s="37" t="d">
        <x:v>2026-10-15T00:00:00.000Z</x:v>
      </x:c>
      <x:c r="I1040" s="37" t="d">
        <x:v>2026-09-14T20:21:58.000Z</x:v>
      </x:c>
      <x:c r="J1040" s="1" t="n">
        <x:f>IF(ISNUMBER(F1040),E1040,0)</x:f>
        <x:v>0</x:v>
      </x:c>
      <x:c r="K1040" s="1"/>
      <x:c r="L1040" s="1" t="str">
        <x:v>https://blog.skyairline.com/aquario-rio-de-janerio/</x:v>
      </x:c>
      <x:c r="M1040" s="1" t="n">
        <x:v>0</x:v>
      </x:c>
    </x:row>
    <x:row r="1041" ht="18.75" customHeight="1">
      <x:c r="A1041" s="1" t="str">
        <x:v>https://blog.skyairline.com/normas-para-viajar-en-avion/</x:v>
      </x:c>
      <x:c r="B1041" s="1" t="str">
        <x:v>sky embarazadas</x:v>
      </x:c>
      <x:c r="C1041" s="1" t="str">
        <x:v>chl</x:v>
      </x:c>
      <x:c r="D1041" s="1" t="str">
        <x:v>Marca</x:v>
      </x:c>
      <x:c r="E1041" s="35" t="n">
        <x:v>2</x:v>
      </x:c>
      <x:c r="F1041" s="36"/>
      <x:c r="G1041" s="36" t="str">
        <x:f>IF(ISNUMBER(F1041),E1041*F1041,"")</x:f>
      </x:c>
      <x:c r="H1041" s="37" t="d">
        <x:v>2026-10-15T00:00:00.000Z</x:v>
      </x:c>
      <x:c r="I1041" s="37" t="d">
        <x:v>2026-09-14T11:32:02.000Z</x:v>
      </x:c>
      <x:c r="J1041" s="1" t="n">
        <x:f>IF(ISNUMBER(F1041),E1041,0)</x:f>
        <x:v>0</x:v>
      </x:c>
      <x:c r="K1041" s="1"/>
      <x:c r="L1041" s="1" t="str">
        <x:v>https://blog.skyairline.com/arboles-nativos-de-chile-especies-y-caracteristicas/</x:v>
      </x:c>
      <x:c r="M1041" s="1" t="n">
        <x:v>0</x:v>
      </x:c>
    </x:row>
    <x:row r="1042" ht="18.75" customHeight="1">
      <x:c r="A1042" s="1" t="str">
        <x:v>https://blog.skyairline.com/normas-para-viajar-en-avion/</x:v>
      </x:c>
      <x:c r="B1042" s="1" t="str">
        <x:v>sky embarazadas</x:v>
      </x:c>
      <x:c r="C1042" s="1" t="str">
        <x:v>per</x:v>
      </x:c>
      <x:c r="D1042" s="1" t="str">
        <x:v>Marca</x:v>
      </x:c>
      <x:c r="E1042" s="35" t="n">
        <x:v>2</x:v>
      </x:c>
      <x:c r="F1042" s="36"/>
      <x:c r="G1042" s="36" t="str">
        <x:f>IF(ISNUMBER(F1042),E1042*F1042,"")</x:f>
      </x:c>
      <x:c r="H1042" s="37" t="d">
        <x:v>2026-10-15T00:00:00.000Z</x:v>
      </x:c>
      <x:c r="I1042" s="37" t="d">
        <x:v>2026-10-15T20:07:50.000Z</x:v>
      </x:c>
      <x:c r="J1042" s="1" t="n">
        <x:f>IF(ISNUMBER(F1042),E1042,0)</x:f>
        <x:v>0</x:v>
      </x:c>
      <x:c r="K1042" s="1"/>
      <x:c r="L1042" s="1" t="str">
        <x:v>https://blog.skyairline.com/arboles-nativos-del-sur-de-chile-especies-caracteristicas/</x:v>
      </x:c>
      <x:c r="M1042" s="1" t="n">
        <x:v>0</x:v>
      </x:c>
    </x:row>
    <x:row r="1043" ht="18.75" customHeight="1">
      <x:c r="A1043" s="1" t="str">
        <x:v>https://blog.skyairline.com/nuevo-programa-de-fidelizacion-exclusivo-para-clientes-corporativos-sky-plus-empresas/</x:v>
      </x:c>
      <x:c r="B1043" s="1" t="str">
        <x:v>sky corporate</x:v>
      </x:c>
      <x:c r="C1043" s="1" t="str">
        <x:v>chl</x:v>
      </x:c>
      <x:c r="D1043" s="1" t="str">
        <x:v>Marca</x:v>
      </x:c>
      <x:c r="E1043" s="35" t="n">
        <x:v>2</x:v>
      </x:c>
      <x:c r="F1043" s="36" t="n">
        <x:v>10.68</x:v>
      </x:c>
      <x:c r="G1043" s="36" t="n">
        <x:f>IF(ISNUMBER(F1043),E1043*F1043,"")</x:f>
        <x:v>21.36</x:v>
      </x:c>
      <x:c r="H1043" s="37" t="d">
        <x:v>2026-10-15T00:00:00.000Z</x:v>
      </x:c>
      <x:c r="I1043" s="37" t="d">
        <x:v>2026-09-14T18:20:32.000Z</x:v>
      </x:c>
      <x:c r="J1043" s="1" t="n">
        <x:f>IF(ISNUMBER(F1043),E1043,0)</x:f>
        <x:v>2</x:v>
      </x:c>
      <x:c r="K1043" s="1"/>
      <x:c r="L1043" s="1" t="str">
        <x:v>https://blog.skyairline.com/arboles-nativos-del-sur-de-chile-especies-y-caracteristicas</x:v>
      </x:c>
      <x:c r="M1043" s="1" t="n">
        <x:v>0</x:v>
      </x:c>
    </x:row>
    <x:row r="1044" ht="18.75" customHeight="1">
      <x:c r="A1044" s="1" t="str">
        <x:v>https://blog.skyairline.com/paises-baratos-para-viajar-desde-chile-con-sky/</x:v>
      </x:c>
      <x:c r="B1044" s="1" t="str">
        <x:v>destinos economicos para viajar</x:v>
      </x:c>
      <x:c r="C1044" s="1" t="str">
        <x:v>chl</x:v>
      </x:c>
      <x:c r="D1044" s="1" t="str">
        <x:v>Sin marca</x:v>
      </x:c>
      <x:c r="E1044" s="35" t="n">
        <x:v>2</x:v>
      </x:c>
      <x:c r="F1044" s="36" t="n">
        <x:v>0.83</x:v>
      </x:c>
      <x:c r="G1044" s="36" t="n">
        <x:f>IF(ISNUMBER(F1044),E1044*F1044,"")</x:f>
        <x:v>1.66</x:v>
      </x:c>
      <x:c r="H1044" s="37" t="d">
        <x:v>2026-10-15T00:00:00.000Z</x:v>
      </x:c>
      <x:c r="I1044" s="37" t="d">
        <x:v>2026-10-15T07:47:37.000Z</x:v>
      </x:c>
      <x:c r="J1044" s="1" t="n">
        <x:f>IF(ISNUMBER(F1044),E1044,0)</x:f>
        <x:v>2</x:v>
      </x:c>
      <x:c r="K1044" s="1"/>
      <x:c r="L1044" s="1" t="str">
        <x:v>https://blog.skyairline.com/arboles-nativos-del-sur-de-chile-species-y-caracteristicas/</x:v>
      </x:c>
      <x:c r="M1044" s="1" t="n">
        <x:v>0</x:v>
      </x:c>
    </x:row>
    <x:row r="1045" ht="18.75" customHeight="1">
      <x:c r="A1045" s="1" t="str">
        <x:v>https://blog.skyairline.com/paises-baratos-para-viajar-desde-chile-con-sky/</x:v>
      </x:c>
      <x:c r="B1045" s="1" t="str">
        <x:v>paises baratos para viajar</x:v>
      </x:c>
      <x:c r="C1045" s="1" t="str">
        <x:v>chl</x:v>
      </x:c>
      <x:c r="D1045" s="1" t="str">
        <x:v>Sin marca</x:v>
      </x:c>
      <x:c r="E1045" s="35" t="n">
        <x:v>2</x:v>
      </x:c>
      <x:c r="F1045" s="36" t="n">
        <x:v>0.55</x:v>
      </x:c>
      <x:c r="G1045" s="36" t="n">
        <x:f>IF(ISNUMBER(F1045),E1045*F1045,"")</x:f>
        <x:v>1.1</x:v>
      </x:c>
      <x:c r="H1045" s="37" t="d">
        <x:v>2026-10-15T00:00:00.000Z</x:v>
      </x:c>
      <x:c r="I1045" s="37" t="d">
        <x:v>2026-09-15T01:58:42.000Z</x:v>
      </x:c>
      <x:c r="J1045" s="1" t="n">
        <x:f>IF(ISNUMBER(F1045),E1045,0)</x:f>
        <x:v>2</x:v>
      </x:c>
      <x:c r="K1045" s="1"/>
      <x:c r="L1045" s="1" t="str">
        <x:v>https://blog.skyairline.com/area-costera-protegida-punta-curinanco/</x:v>
      </x:c>
      <x:c r="M1045" s="1" t="n">
        <x:v>0</x:v>
      </x:c>
    </x:row>
    <x:row r="1046" ht="18.75" customHeight="1">
      <x:c r="A1046" s="1" t="str">
        <x:v>https://blog.skyairline.com/paises-baratos-para-viajar-desde-chile-con-sky/</x:v>
      </x:c>
      <x:c r="B1046" s="1" t="str">
        <x:v>que pais es mas barato para viajar</x:v>
      </x:c>
      <x:c r="C1046" s="1" t="str">
        <x:v>chl</x:v>
      </x:c>
      <x:c r="D1046" s="1" t="str">
        <x:v>Sin marca</x:v>
      </x:c>
      <x:c r="E1046" s="35" t="n">
        <x:v>2</x:v>
      </x:c>
      <x:c r="F1046" s="36"/>
      <x:c r="G1046" s="36" t="str">
        <x:f>IF(ISNUMBER(F1046),E1046*F1046,"")</x:f>
      </x:c>
      <x:c r="H1046" s="37"/>
      <x:c r="I1046" s="37"/>
      <x:c r="J1046" s="1" t="n">
        <x:f>IF(ISNUMBER(F1046),E1046,0)</x:f>
        <x:v>0</x:v>
      </x:c>
      <x:c r="K1046" s="1"/>
      <x:c r="L1046" s="1" t="str">
        <x:v>https://blog.skyairline.com/arica</x:v>
      </x:c>
      <x:c r="M1046" s="1" t="n">
        <x:v>0</x:v>
      </x:c>
    </x:row>
    <x:row r="1047" ht="18.75" customHeight="1">
      <x:c r="A1047" s="1" t="str">
        <x:v>https://blog.skyairline.com/panoramas-para-ninos-en-santiago/</x:v>
      </x:c>
      <x:c r="B1047" s="1" t="str">
        <x:v>entretenimiento para niños en santiago</x:v>
      </x:c>
      <x:c r="C1047" s="1" t="str">
        <x:v>chl</x:v>
      </x:c>
      <x:c r="D1047" s="1" t="str">
        <x:v>Sin marca</x:v>
      </x:c>
      <x:c r="E1047" s="35" t="n">
        <x:v>2</x:v>
      </x:c>
      <x:c r="F1047" s="36"/>
      <x:c r="G1047" s="36" t="str">
        <x:f>IF(ISNUMBER(F1047),E1047*F1047,"")</x:f>
      </x:c>
      <x:c r="H1047" s="37" t="d">
        <x:v>2026-10-15T00:00:00.000Z</x:v>
      </x:c>
      <x:c r="I1047" s="37" t="d">
        <x:v>2026-06-14T18:14:54.000Z</x:v>
      </x:c>
      <x:c r="J1047" s="1" t="n">
        <x:f>IF(ISNUMBER(F1047),E1047,0)</x:f>
        <x:v>0</x:v>
      </x:c>
      <x:c r="K1047" s="1"/>
      <x:c r="L1047" s="1" t="str">
        <x:v>https://blog.skyairline.com/arica-y-parinacota-cuales-destinos-no--te-pierdas-en-esta-region/</x:v>
      </x:c>
      <x:c r="M1047" s="1" t="n">
        <x:v>0</x:v>
      </x:c>
    </x:row>
    <x:row r="1048" ht="18.75" customHeight="1">
      <x:c r="A1048" s="1" t="str">
        <x:v>https://blog.skyairline.com/panoramas-para-ninos-en-santiago/</x:v>
      </x:c>
      <x:c r="B1048" s="1" t="str">
        <x:v>panorama niños</x:v>
      </x:c>
      <x:c r="C1048" s="1" t="str">
        <x:v>chl</x:v>
      </x:c>
      <x:c r="D1048" s="1" t="str">
        <x:v>Sin marca</x:v>
      </x:c>
      <x:c r="E1048" s="35" t="n">
        <x:v>2</x:v>
      </x:c>
      <x:c r="F1048" s="36"/>
      <x:c r="G1048" s="36" t="str">
        <x:f>IF(ISNUMBER(F1048),E1048*F1048,"")</x:f>
      </x:c>
      <x:c r="H1048" s="37"/>
      <x:c r="I1048" s="37"/>
      <x:c r="J1048" s="1" t="n">
        <x:f>IF(ISNUMBER(F1048),E1048,0)</x:f>
        <x:v>0</x:v>
      </x:c>
      <x:c r="K1048" s="1"/>
      <x:c r="L1048" s="1" t="str">
        <x:v>https://blog.skyairline.com/arica/</x:v>
      </x:c>
      <x:c r="M1048" s="1" t="n">
        <x:v>0</x:v>
      </x:c>
    </x:row>
    <x:row r="1049" ht="18.75" customHeight="1">
      <x:c r="A1049" s="1" t="str">
        <x:v>https://blog.skyairline.com/panoramas-para-ninos-en-santiago/</x:v>
      </x:c>
      <x:c r="B1049" s="1" t="str">
        <x:v>panorama niños santiago</x:v>
      </x:c>
      <x:c r="C1049" s="1" t="str">
        <x:v>chl</x:v>
      </x:c>
      <x:c r="D1049" s="1" t="str">
        <x:v>Sin marca</x:v>
      </x:c>
      <x:c r="E1049" s="35" t="n">
        <x:v>2</x:v>
      </x:c>
      <x:c r="F1049" s="36"/>
      <x:c r="G1049" s="36" t="str">
        <x:f>IF(ISNUMBER(F1049),E1049*F1049,"")</x:f>
      </x:c>
      <x:c r="H1049" s="37"/>
      <x:c r="I1049" s="37"/>
      <x:c r="J1049" s="1" t="n">
        <x:f>IF(ISNUMBER(F1049),E1049,0)</x:f>
        <x:v>0</x:v>
      </x:c>
      <x:c r="K1049" s="1"/>
      <x:c r="L1049" s="1" t="str">
        <x:v>https://blog.skyairline.com/arriendo-de-auto-consejos/</x:v>
      </x:c>
      <x:c r="M1049" s="1" t="n">
        <x:v>0</x:v>
      </x:c>
    </x:row>
    <x:row r="1050" ht="18.75" customHeight="1">
      <x:c r="A1050" s="1" t="str">
        <x:v>https://blog.skyairline.com/panoramas-para-ninos-en-santiago/</x:v>
      </x:c>
      <x:c r="B1050" s="1" t="str">
        <x:v>panoramas santiago niños</x:v>
      </x:c>
      <x:c r="C1050" s="1" t="str">
        <x:v>chl</x:v>
      </x:c>
      <x:c r="D1050" s="1" t="str">
        <x:v>Sin marca</x:v>
      </x:c>
      <x:c r="E1050" s="35" t="n">
        <x:v>2</x:v>
      </x:c>
      <x:c r="F1050" s="36"/>
      <x:c r="G1050" s="36" t="str">
        <x:f>IF(ISNUMBER(F1050),E1050*F1050,"")</x:f>
      </x:c>
      <x:c r="H1050" s="37" t="d">
        <x:v>2026-10-15T00:00:00.000Z</x:v>
      </x:c>
      <x:c r="I1050" s="37" t="d">
        <x:v>2026-06-14T05:16:51.000Z</x:v>
      </x:c>
      <x:c r="J1050" s="1" t="n">
        <x:f>IF(ISNUMBER(F1050),E1050,0)</x:f>
        <x:v>0</x:v>
      </x:c>
      <x:c r="K1050" s="1"/>
      <x:c r="L1050" s="1" t="str">
        <x:v>https://blog.skyairline.com/arriendo-ropa-nieve/</x:v>
      </x:c>
      <x:c r="M1050" s="1" t="n">
        <x:v>0</x:v>
      </x:c>
    </x:row>
    <x:row r="1051" ht="18.75" customHeight="1">
      <x:c r="A1051" s="1" t="str">
        <x:v>https://blog.skyairline.com/panoramas-para-ninos-en-santiago/</x:v>
      </x:c>
      <x:c r="B1051" s="1" t="str">
        <x:v>que hacer hoy en santiago con niños</x:v>
      </x:c>
      <x:c r="C1051" s="1" t="str">
        <x:v>chl</x:v>
      </x:c>
      <x:c r="D1051" s="1" t="str">
        <x:v>Sin marca</x:v>
      </x:c>
      <x:c r="E1051" s="35" t="n">
        <x:v>2</x:v>
      </x:c>
      <x:c r="F1051" s="36"/>
      <x:c r="G1051" s="36" t="str">
        <x:f>IF(ISNUMBER(F1051),E1051*F1051,"")</x:f>
      </x:c>
      <x:c r="H1051" s="37" t="d">
        <x:v>2026-10-15T00:00:00.000Z</x:v>
      </x:c>
      <x:c r="I1051" s="37" t="d">
        <x:v>2026-06-17T08:56:49.000Z</x:v>
      </x:c>
      <x:c r="J1051" s="1" t="n">
        <x:f>IF(ISNUMBER(F1051),E1051,0)</x:f>
        <x:v>0</x:v>
      </x:c>
      <x:c r="K1051" s="1"/>
      <x:c r="L1051" s="1" t="str">
        <x:v>https://blog.skyairline.com/asistencia-para-viajes-internacionales/</x:v>
      </x:c>
      <x:c r="M1051" s="1" t="n">
        <x:v>0</x:v>
      </x:c>
    </x:row>
    <x:row r="1052" ht="18.75" customHeight="1">
      <x:c r="A1052" s="1" t="str">
        <x:v>https://blog.skyairline.com/paquete-de-viaje-en-sky/</x:v>
      </x:c>
      <x:c r="B1052" s="1" t="str">
        <x:v>sky paquetes</x:v>
      </x:c>
      <x:c r="C1052" s="1" t="str">
        <x:v>per</x:v>
      </x:c>
      <x:c r="D1052" s="1" t="str">
        <x:v>Marca</x:v>
      </x:c>
      <x:c r="E1052" s="35" t="n">
        <x:v>2</x:v>
      </x:c>
      <x:c r="F1052" s="36" t="n">
        <x:v>0.38</x:v>
      </x:c>
      <x:c r="G1052" s="36" t="n">
        <x:f>IF(ISNUMBER(F1052),E1052*F1052,"")</x:f>
        <x:v>0.76</x:v>
      </x:c>
      <x:c r="H1052" s="37" t="d">
        <x:v>2026-10-15T00:00:00.000Z</x:v>
      </x:c>
      <x:c r="I1052" s="37" t="d">
        <x:v>2026-09-17T23:17:39.000Z</x:v>
      </x:c>
      <x:c r="J1052" s="1" t="n">
        <x:f>IF(ISNUMBER(F1052),E1052,0)</x:f>
        <x:v>2</x:v>
      </x:c>
      <x:c r="K1052" s="1"/>
      <x:c r="L1052" s="1" t="str">
        <x:v>https://blog.skyairline.com/atracciones-destacadas-en-osorno-2/</x:v>
      </x:c>
      <x:c r="M1052" s="1" t="n">
        <x:v>0</x:v>
      </x:c>
    </x:row>
    <x:row r="1053" ht="18.75" customHeight="1">
      <x:c r="A1053" s="1" t="str">
        <x:v>https://blog.skyairline.com/paquetes-de-viaje/</x:v>
      </x:c>
      <x:c r="B1053" s="1" t="str">
        <x:v>paquetes de viajes</x:v>
      </x:c>
      <x:c r="C1053" s="1" t="str">
        <x:v>chl</x:v>
      </x:c>
      <x:c r="D1053" s="1" t="str">
        <x:v>Sin marca</x:v>
      </x:c>
      <x:c r="E1053" s="35" t="n">
        <x:v>2</x:v>
      </x:c>
      <x:c r="F1053" s="36" t="n">
        <x:v>0.78</x:v>
      </x:c>
      <x:c r="G1053" s="36" t="n">
        <x:f>IF(ISNUMBER(F1053),E1053*F1053,"")</x:f>
        <x:v>1.56</x:v>
      </x:c>
      <x:c r="H1053" s="37" t="d">
        <x:v>2026-10-15T00:00:00.000Z</x:v>
      </x:c>
      <x:c r="I1053" s="37" t="d">
        <x:v>2026-09-16T02:07:16.000Z</x:v>
      </x:c>
      <x:c r="J1053" s="1" t="n">
        <x:f>IF(ISNUMBER(F1053),E1053,0)</x:f>
        <x:v>2</x:v>
      </x:c>
      <x:c r="K1053" s="1"/>
      <x:c r="L1053" s="1" t="str">
        <x:v>https://blog.skyairline.com/atractivos-turisticos-en-valdivia/</x:v>
      </x:c>
      <x:c r="M1053" s="1" t="n">
        <x:v>0</x:v>
      </x:c>
    </x:row>
    <x:row r="1054" ht="18.75" customHeight="1">
      <x:c r="A1054" s="1" t="str">
        <x:v>https://blog.skyairline.com/paquetes-de-viaje/</x:v>
      </x:c>
      <x:c r="B1054" s="1" t="str">
        <x:v>sky paquetes</x:v>
      </x:c>
      <x:c r="C1054" s="1" t="str">
        <x:v>per</x:v>
      </x:c>
      <x:c r="D1054" s="1" t="str">
        <x:v>Marca</x:v>
      </x:c>
      <x:c r="E1054" s="35" t="n">
        <x:v>2</x:v>
      </x:c>
      <x:c r="F1054" s="36" t="n">
        <x:v>0.38</x:v>
      </x:c>
      <x:c r="G1054" s="36" t="n">
        <x:f>IF(ISNUMBER(F1054),E1054*F1054,"")</x:f>
        <x:v>0.76</x:v>
      </x:c>
      <x:c r="H1054" s="37" t="d">
        <x:v>2026-10-15T00:00:00.000Z</x:v>
      </x:c>
      <x:c r="I1054" s="37" t="d">
        <x:v>2026-09-17T23:17:39.000Z</x:v>
      </x:c>
      <x:c r="J1054" s="1" t="n">
        <x:f>IF(ISNUMBER(F1054),E1054,0)</x:f>
        <x:v>2</x:v>
      </x:c>
      <x:c r="K1054" s="1"/>
      <x:c r="L1054" s="1" t="str">
        <x:v>https://blog.skyairline.com/auroras-aurstrales-en-chile-cuando-y-donde-verlas/</x:v>
      </x:c>
      <x:c r="M1054" s="1" t="n">
        <x:v>0</x:v>
      </x:c>
    </x:row>
    <x:row r="1055" ht="18.75" customHeight="1">
      <x:c r="A1055" s="1" t="str">
        <x:v>https://blog.skyairline.com/parques-y-atracciones-naturales-de-osorno/</x:v>
      </x:c>
      <x:c r="B1055" s="1" t="str">
        <x:v>parque osorno</x:v>
      </x:c>
      <x:c r="C1055" s="1" t="str">
        <x:v>chl</x:v>
      </x:c>
      <x:c r="D1055" s="1" t="str">
        <x:v>Sin marca</x:v>
      </x:c>
      <x:c r="E1055" s="35" t="n">
        <x:v>2</x:v>
      </x:c>
      <x:c r="F1055" s="36" t="n">
        <x:v>0.05</x:v>
      </x:c>
      <x:c r="G1055" s="36" t="n">
        <x:f>IF(ISNUMBER(F1055),E1055*F1055,"")</x:f>
        <x:v>0.1</x:v>
      </x:c>
      <x:c r="H1055" s="37" t="d">
        <x:v>2026-10-15T00:00:00.000Z</x:v>
      </x:c>
      <x:c r="I1055" s="37" t="d">
        <x:v>2026-09-13T03:08:44.000Z</x:v>
      </x:c>
      <x:c r="J1055" s="1" t="n">
        <x:f>IF(ISNUMBER(F1055),E1055,0)</x:f>
        <x:v>2</x:v>
      </x:c>
      <x:c r="K1055" s="1"/>
      <x:c r="L1055" s="1" t="str">
        <x:v>https://blog.skyairline.com/auroras-australes-chile-cuando-donde-verlas/</x:v>
      </x:c>
      <x:c r="M1055" s="1" t="n">
        <x:v>0</x:v>
      </x:c>
    </x:row>
    <x:row r="1056" ht="18.75" customHeight="1">
      <x:c r="A1056" s="1" t="str">
        <x:v>https://blog.skyairline.com/pasaje-en-linea/</x:v>
      </x:c>
      <x:c r="B1056" s="1" t="str">
        <x:v>como pagar sky con tarjeta de credito</x:v>
      </x:c>
      <x:c r="C1056" s="1" t="str">
        <x:v>chl</x:v>
      </x:c>
      <x:c r="D1056" s="1" t="str">
        <x:v>Marca</x:v>
      </x:c>
      <x:c r="E1056" s="35" t="n">
        <x:v>2</x:v>
      </x:c>
      <x:c r="F1056" s="36"/>
      <x:c r="G1056" s="36" t="str">
        <x:f>IF(ISNUMBER(F1056),E1056*F1056,"")</x:f>
      </x:c>
      <x:c r="H1056" s="37"/>
      <x:c r="I1056" s="37"/>
      <x:c r="J1056" s="1" t="n">
        <x:f>IF(ISNUMBER(F1056),E1056,0)</x:f>
        <x:v>0</x:v>
      </x:c>
      <x:c r="K1056" s="1"/>
      <x:c r="L1056" s="1" t="str">
        <x:v>https://blog.skyairline.com/auroras-australes-chile-cuando-y-donde-verlas</x:v>
      </x:c>
      <x:c r="M1056" s="1" t="n">
        <x:v>0</x:v>
      </x:c>
    </x:row>
    <x:row r="1057" ht="18.75" customHeight="1">
      <x:c r="A1057" s="1" t="str">
        <x:v>https://blog.skyairline.com/pasaje-en-linea/</x:v>
      </x:c>
      <x:c r="B1057" s="1" t="str">
        <x:v>como pagar sky en linea</x:v>
      </x:c>
      <x:c r="C1057" s="1" t="str">
        <x:v>per</x:v>
      </x:c>
      <x:c r="D1057" s="1" t="str">
        <x:v>Marca</x:v>
      </x:c>
      <x:c r="E1057" s="35" t="n">
        <x:v>2</x:v>
      </x:c>
      <x:c r="F1057" s="36"/>
      <x:c r="G1057" s="36" t="str">
        <x:f>IF(ISNUMBER(F1057),E1057*F1057,"")</x:f>
      </x:c>
      <x:c r="H1057" s="37"/>
      <x:c r="I1057" s="37"/>
      <x:c r="J1057" s="1" t="n">
        <x:f>IF(ISNUMBER(F1057),E1057,0)</x:f>
        <x:v>0</x:v>
      </x:c>
      <x:c r="K1057" s="1"/>
      <x:c r="L1057" s="1" t="str">
        <x:v>https://blog.skyairline.com/auroras-australes-chile-cuando-y-donde-verlas/</x:v>
      </x:c>
      <x:c r="M1057" s="1" t="n">
        <x:v>0</x:v>
      </x:c>
    </x:row>
    <x:row r="1058" ht="18.75" customHeight="1">
      <x:c r="A1058" s="1" t="str">
        <x:v>https://blog.skyairline.com/pasaje-en-linea/</x:v>
      </x:c>
      <x:c r="B1058" s="1" t="str">
        <x:v>sky pasajes</x:v>
      </x:c>
      <x:c r="C1058" s="1" t="str">
        <x:v>chl</x:v>
      </x:c>
      <x:c r="D1058" s="1" t="str">
        <x:v>Marca</x:v>
      </x:c>
      <x:c r="E1058" s="35" t="n">
        <x:v>2</x:v>
      </x:c>
      <x:c r="F1058" s="36" t="n">
        <x:v>0.32</x:v>
      </x:c>
      <x:c r="G1058" s="36" t="n">
        <x:f>IF(ISNUMBER(F1058),E1058*F1058,"")</x:f>
        <x:v>0.64</x:v>
      </x:c>
      <x:c r="H1058" s="37" t="d">
        <x:v>2026-10-15T00:00:00.000Z</x:v>
      </x:c>
      <x:c r="I1058" s="37" t="d">
        <x:v>2026-09-14T03:55:42.000Z</x:v>
      </x:c>
      <x:c r="J1058" s="1" t="n">
        <x:f>IF(ISNUMBER(F1058),E1058,0)</x:f>
        <x:v>2</x:v>
      </x:c>
      <x:c r="K1058" s="1"/>
      <x:c r="L1058" s="1" t="str">
        <x:v>https://blog.skyairline.com/auroras-australes-en-Chile-cuando-y-donde-verlas/</x:v>
      </x:c>
      <x:c r="M1058" s="1" t="n">
        <x:v>0</x:v>
      </x:c>
    </x:row>
    <x:row r="1059" ht="18.75" customHeight="1">
      <x:c r="A1059" s="1" t="str">
        <x:v>https://blog.skyairline.com/platos-tipicos-de-lima/</x:v>
      </x:c>
      <x:c r="B1059" s="1" t="str">
        <x:v>comida tipica lima</x:v>
      </x:c>
      <x:c r="C1059" s="1" t="str">
        <x:v>per</x:v>
      </x:c>
      <x:c r="D1059" s="1" t="str">
        <x:v>Sin marca</x:v>
      </x:c>
      <x:c r="E1059" s="35" t="n">
        <x:v>2</x:v>
      </x:c>
      <x:c r="F1059" s="36"/>
      <x:c r="G1059" s="36" t="str">
        <x:f>IF(ISNUMBER(F1059),E1059*F1059,"")</x:f>
      </x:c>
      <x:c r="H1059" s="37" t="d">
        <x:v>2026-10-15T00:00:00.000Z</x:v>
      </x:c>
      <x:c r="I1059" s="37" t="d">
        <x:v>2026-09-16T16:36:39.000Z</x:v>
      </x:c>
      <x:c r="J1059" s="1" t="n">
        <x:f>IF(ISNUMBER(F1059),E1059,0)</x:f>
        <x:v>0</x:v>
      </x:c>
      <x:c r="K1059" s="1"/>
      <x:c r="L1059" s="1" t="str">
        <x:v>https://blog.skyairline.com/auroras-australes-en-chile-cuando-y-d%C3%B3nde-verlas/</x:v>
      </x:c>
      <x:c r="M1059" s="1" t="n">
        <x:v>0</x:v>
      </x:c>
    </x:row>
    <x:row r="1060" ht="18.75" customHeight="1">
      <x:c r="A1060" s="1" t="str">
        <x:v>https://blog.skyairline.com/platos-tipicos-de-lima/</x:v>
      </x:c>
      <x:c r="B1060" s="1" t="str">
        <x:v>comida típica de lima perú</x:v>
      </x:c>
      <x:c r="C1060" s="1" t="str">
        <x:v>per</x:v>
      </x:c>
      <x:c r="D1060" s="1" t="str">
        <x:v>Sin marca</x:v>
      </x:c>
      <x:c r="E1060" s="35" t="n">
        <x:v>2</x:v>
      </x:c>
      <x:c r="F1060" s="36"/>
      <x:c r="G1060" s="36" t="str">
        <x:f>IF(ISNUMBER(F1060),E1060*F1060,"")</x:f>
      </x:c>
      <x:c r="H1060" s="37"/>
      <x:c r="I1060" s="37"/>
      <x:c r="J1060" s="1" t="n">
        <x:f>IF(ISNUMBER(F1060),E1060,0)</x:f>
        <x:v>0</x:v>
      </x:c>
      <x:c r="K1060" s="1"/>
      <x:c r="L1060" s="1" t="str">
        <x:v>https://blog.skyairline.com/auroras-australes-en-chile-cuando-y-donde-ver-auroras-australes-en-chile</x:v>
      </x:c>
      <x:c r="M1060" s="1" t="n">
        <x:v>0</x:v>
      </x:c>
    </x:row>
    <x:row r="1061" ht="18.75" customHeight="1">
      <x:c r="A1061" s="1" t="str">
        <x:v>https://blog.skyairline.com/platos-tipicos-de-lima/</x:v>
      </x:c>
      <x:c r="B1061" s="1" t="str">
        <x:v>comida típica de perú lima</x:v>
      </x:c>
      <x:c r="C1061" s="1" t="str">
        <x:v>per</x:v>
      </x:c>
      <x:c r="D1061" s="1" t="str">
        <x:v>Sin marca</x:v>
      </x:c>
      <x:c r="E1061" s="35" t="n">
        <x:v>2</x:v>
      </x:c>
      <x:c r="F1061" s="36"/>
      <x:c r="G1061" s="36" t="str">
        <x:f>IF(ISNUMBER(F1061),E1061*F1061,"")</x:f>
      </x:c>
      <x:c r="H1061" s="37" t="d">
        <x:v>2026-10-15T00:00:00.000Z</x:v>
      </x:c>
      <x:c r="I1061" s="37" t="d">
        <x:v>2026-09-15T16:54:35.000Z</x:v>
      </x:c>
      <x:c r="J1061" s="1" t="n">
        <x:f>IF(ISNUMBER(F1061),E1061,0)</x:f>
        <x:v>0</x:v>
      </x:c>
      <x:c r="K1061" s="1"/>
      <x:c r="L1061" s="1" t="str">
        <x:v>https://blog.skyairline.com/auroras-australes-en-chile-cuando-y-donde-verlas</x:v>
      </x:c>
      <x:c r="M1061" s="1" t="n">
        <x:v>0</x:v>
      </x:c>
    </x:row>
    <x:row r="1062" ht="18.75" customHeight="1">
      <x:c r="A1062" s="1" t="str">
        <x:v>https://blog.skyairline.com/platos-tipicos-de-lima/</x:v>
      </x:c>
      <x:c r="B1062" s="1" t="str">
        <x:v>comidas tipicas de lima</x:v>
      </x:c>
      <x:c r="C1062" s="1" t="str">
        <x:v>per</x:v>
      </x:c>
      <x:c r="D1062" s="1" t="str">
        <x:v>Sin marca</x:v>
      </x:c>
      <x:c r="E1062" s="35" t="n">
        <x:v>2</x:v>
      </x:c>
      <x:c r="F1062" s="36"/>
      <x:c r="G1062" s="36" t="str">
        <x:f>IF(ISNUMBER(F1062),E1062*F1062,"")</x:f>
      </x:c>
      <x:c r="H1062" s="37" t="d">
        <x:v>2026-10-15T00:00:00.000Z</x:v>
      </x:c>
      <x:c r="I1062" s="37" t="d">
        <x:v>2026-09-15T13:04:46.000Z</x:v>
      </x:c>
      <x:c r="J1062" s="1" t="n">
        <x:f>IF(ISNUMBER(F1062),E1062,0)</x:f>
        <x:v>0</x:v>
      </x:c>
      <x:c r="K1062" s="1"/>
      <x:c r="L1062" s="1" t="str">
        <x:v>https://blog.skyairline.com/auroras-australes-en-chile-cuando-y-donde-verlas-sky-airline-blog</x:v>
      </x:c>
      <x:c r="M1062" s="1" t="n">
        <x:v>0</x:v>
      </x:c>
    </x:row>
    <x:row r="1063" ht="18.75" customHeight="1">
      <x:c r="A1063" s="1" t="str">
        <x:v>https://blog.skyairline.com/platos-tipicos-de-lima/</x:v>
      </x:c>
      <x:c r="B1063" s="1" t="str">
        <x:v>platos de lima peru</x:v>
      </x:c>
      <x:c r="C1063" s="1" t="str">
        <x:v>per</x:v>
      </x:c>
      <x:c r="D1063" s="1" t="str">
        <x:v>Sin marca</x:v>
      </x:c>
      <x:c r="E1063" s="35" t="n">
        <x:v>2</x:v>
      </x:c>
      <x:c r="F1063" s="36"/>
      <x:c r="G1063" s="36" t="str">
        <x:f>IF(ISNUMBER(F1063),E1063*F1063,"")</x:f>
      </x:c>
      <x:c r="H1063" s="37"/>
      <x:c r="I1063" s="37"/>
      <x:c r="J1063" s="1" t="n">
        <x:f>IF(ISNUMBER(F1063),E1063,0)</x:f>
        <x:v>0</x:v>
      </x:c>
      <x:c r="K1063" s="1"/>
      <x:c r="L1063" s="1" t="str">
        <x:v>https://blog.skyairline.com/auroras-australes-en-chile-cuando-y-verlas/</x:v>
      </x:c>
      <x:c r="M1063" s="1" t="n">
        <x:v>0</x:v>
      </x:c>
    </x:row>
    <x:row r="1064" ht="18.75" customHeight="1">
      <x:c r="A1064" s="1" t="str">
        <x:v>https://blog.skyairline.com/platos-tipicos-de-lima/</x:v>
      </x:c>
      <x:c r="B1064" s="1" t="str">
        <x:v>platos típicos de lima perú</x:v>
      </x:c>
      <x:c r="C1064" s="1" t="str">
        <x:v>per</x:v>
      </x:c>
      <x:c r="D1064" s="1" t="str">
        <x:v>Sin marca</x:v>
      </x:c>
      <x:c r="E1064" s="35" t="n">
        <x:v>2</x:v>
      </x:c>
      <x:c r="F1064" s="36"/>
      <x:c r="G1064" s="36" t="str">
        <x:f>IF(ISNUMBER(F1064),E1064*F1064,"")</x:f>
      </x:c>
      <x:c r="H1064" s="37"/>
      <x:c r="I1064" s="37"/>
      <x:c r="J1064" s="1" t="n">
        <x:f>IF(ISNUMBER(F1064),E1064,0)</x:f>
        <x:v>0</x:v>
      </x:c>
      <x:c r="K1064" s="1"/>
      <x:c r="L1064" s="1" t="str">
        <x:v>https://blog.skyairline.com/auroras-boreales-chile-se-pen-ver-en-el-pais/</x:v>
      </x:c>
      <x:c r="M1064" s="1" t="n">
        <x:v>0</x:v>
      </x:c>
    </x:row>
    <x:row r="1065" ht="18.75" customHeight="1">
      <x:c r="A1065" s="1" t="str">
        <x:v>https://blog.skyairline.com/playa-los-yuyos/</x:v>
      </x:c>
      <x:c r="B1065" s="1" t="str">
        <x:v>playa los yuyos</x:v>
      </x:c>
      <x:c r="C1065" s="1" t="str">
        <x:v>per</x:v>
      </x:c>
      <x:c r="D1065" s="1" t="str">
        <x:v>Sin marca</x:v>
      </x:c>
      <x:c r="E1065" s="35" t="n">
        <x:v>2</x:v>
      </x:c>
      <x:c r="F1065" s="36" t="n">
        <x:v>0.11</x:v>
      </x:c>
      <x:c r="G1065" s="36" t="n">
        <x:f>IF(ISNUMBER(F1065),E1065*F1065,"")</x:f>
        <x:v>0.22</x:v>
      </x:c>
      <x:c r="H1065" s="37" t="d">
        <x:v>2026-10-15T00:00:00.000Z</x:v>
      </x:c>
      <x:c r="I1065" s="37" t="d">
        <x:v>2026-09-12T19:21:40.000Z</x:v>
      </x:c>
      <x:c r="J1065" s="1" t="n">
        <x:f>IF(ISNUMBER(F1065),E1065,0)</x:f>
        <x:v>2</x:v>
      </x:c>
      <x:c r="K1065" s="1"/>
      <x:c r="L1065" s="1" t="str">
        <x:v>https://blog.skyairline.com/auroras-boreales-chile-se-pueden-ver-en-el-pais/</x:v>
      </x:c>
      <x:c r="M1065" s="1" t="n">
        <x:v>0</x:v>
      </x:c>
    </x:row>
    <x:row r="1066" ht="18.75" customHeight="1">
      <x:c r="A1066" s="1" t="str">
        <x:v>https://blog.skyairline.com/playas-cerca-santiago/</x:v>
      </x:c>
      <x:c r="B1066" s="1" t="str">
        <x:v>playas de chile cerca de santiago</x:v>
      </x:c>
      <x:c r="C1066" s="1" t="str">
        <x:v>chl</x:v>
      </x:c>
      <x:c r="D1066" s="1" t="str">
        <x:v>Sin marca</x:v>
      </x:c>
      <x:c r="E1066" s="35" t="n">
        <x:v>2</x:v>
      </x:c>
      <x:c r="F1066" s="36" t="n">
        <x:v>1.23</x:v>
      </x:c>
      <x:c r="G1066" s="36" t="n">
        <x:f>IF(ISNUMBER(F1066),E1066*F1066,"")</x:f>
        <x:v>2.46</x:v>
      </x:c>
      <x:c r="H1066" s="37" t="d">
        <x:v>2026-10-15T00:00:00.000Z</x:v>
      </x:c>
      <x:c r="I1066" s="37" t="d">
        <x:v>2026-09-14T19:27:59.000Z</x:v>
      </x:c>
      <x:c r="J1066" s="1" t="n">
        <x:f>IF(ISNUMBER(F1066),E1066,0)</x:f>
        <x:v>2</x:v>
      </x:c>
      <x:c r="K1066" s="1"/>
      <x:c r="L1066" s="1" t="str">
        <x:v>https://blog.skyairline.com/auroras-boreales-en-chile-se-pen-ver-en-el-pais/</x:v>
      </x:c>
      <x:c r="M1066" s="1" t="n">
        <x:v>0</x:v>
      </x:c>
    </x:row>
    <x:row r="1067" ht="18.75" customHeight="1">
      <x:c r="A1067" s="1" t="str">
        <x:v>https://blog.skyairline.com/puerto-montt-a-puerto-varas/</x:v>
      </x:c>
      <x:c r="B1067" s="1" t="str">
        <x:v>distancia entre puerto montt y puerto varas</x:v>
      </x:c>
      <x:c r="C1067" s="1" t="str">
        <x:v>chl</x:v>
      </x:c>
      <x:c r="D1067" s="1" t="str">
        <x:v>Sin marca</x:v>
      </x:c>
      <x:c r="E1067" s="35" t="n">
        <x:v>2</x:v>
      </x:c>
      <x:c r="F1067" s="36"/>
      <x:c r="G1067" s="36" t="str">
        <x:f>IF(ISNUMBER(F1067),E1067*F1067,"")</x:f>
      </x:c>
      <x:c r="H1067" s="37" t="d">
        <x:v>2026-10-15T00:00:00.000Z</x:v>
      </x:c>
      <x:c r="I1067" s="37" t="d">
        <x:v>2026-09-13T13:47:35.000Z</x:v>
      </x:c>
      <x:c r="J1067" s="1" t="n">
        <x:f>IF(ISNUMBER(F1067),E1067,0)</x:f>
        <x:v>0</x:v>
      </x:c>
      <x:c r="K1067" s="1"/>
      <x:c r="L1067" s="1" t="str">
        <x:v>https://blog.skyairline.com/auroras-boreales-en-chile-se-pueden-ver-en-pas/</x:v>
      </x:c>
      <x:c r="M1067" s="1" t="n">
        <x:v>0</x:v>
      </x:c>
    </x:row>
    <x:row r="1068" ht="18.75" customHeight="1">
      <x:c r="A1068" s="1" t="str">
        <x:v>https://blog.skyairline.com/puerto-natales-a-punta-arenas/</x:v>
      </x:c>
      <x:c r="B1068" s="1" t="str">
        <x:v>distancia de punta arenas a puerto natales</x:v>
      </x:c>
      <x:c r="C1068" s="1" t="str">
        <x:v>chl</x:v>
      </x:c>
      <x:c r="D1068" s="1" t="str">
        <x:v>Sin marca</x:v>
      </x:c>
      <x:c r="E1068" s="35" t="n">
        <x:v>2</x:v>
      </x:c>
      <x:c r="F1068" s="36" t="n">
        <x:v>1.42</x:v>
      </x:c>
      <x:c r="G1068" s="36" t="n">
        <x:f>IF(ISNUMBER(F1068),E1068*F1068,"")</x:f>
        <x:v>2.84</x:v>
      </x:c>
      <x:c r="H1068" s="37" t="d">
        <x:v>2026-10-15T00:00:00.000Z</x:v>
      </x:c>
      <x:c r="I1068" s="37" t="d">
        <x:v>2026-09-17T08:41:05.000Z</x:v>
      </x:c>
      <x:c r="J1068" s="1" t="n">
        <x:f>IF(ISNUMBER(F1068),E1068,0)</x:f>
        <x:v>2</x:v>
      </x:c>
      <x:c r="K1068" s="1"/>
      <x:c r="L1068" s="1" t="str">
        <x:v>https://blog.skyairline.com/auroras-boreales-en-chile-se-pueden-ver-en-the-pais/</x:v>
      </x:c>
      <x:c r="M1068" s="1" t="n">
        <x:v>0</x:v>
      </x:c>
    </x:row>
    <x:row r="1069" ht="18.75" customHeight="1">
      <x:c r="A1069" s="1" t="str">
        <x:v>https://blog.skyairline.com/puerto-natales-a-torres-del-paine/</x:v>
      </x:c>
      <x:c r="B1069" s="1" t="str">
        <x:v>distancia de puerto natales a torres del paine</x:v>
      </x:c>
      <x:c r="C1069" s="1" t="str">
        <x:v>chl</x:v>
      </x:c>
      <x:c r="D1069" s="1" t="str">
        <x:v>Sin marca</x:v>
      </x:c>
      <x:c r="E1069" s="35" t="n">
        <x:v>2</x:v>
      </x:c>
      <x:c r="F1069" s="36" t="n">
        <x:v>1.42</x:v>
      </x:c>
      <x:c r="G1069" s="36" t="n">
        <x:f>IF(ISNUMBER(F1069),E1069*F1069,"")</x:f>
        <x:v>2.84</x:v>
      </x:c>
      <x:c r="H1069" s="37" t="d">
        <x:v>2026-10-15T00:00:00.000Z</x:v>
      </x:c>
      <x:c r="I1069" s="37" t="d">
        <x:v>2026-09-13T22:09:30.000Z</x:v>
      </x:c>
      <x:c r="J1069" s="1" t="n">
        <x:f>IF(ISNUMBER(F1069),E1069,0)</x:f>
        <x:v>2</x:v>
      </x:c>
      <x:c r="K1069" s="1"/>
      <x:c r="L1069" s="1" t="str">
        <x:v>https://blog.skyairline.com/auroras-in-chile</x:v>
      </x:c>
      <x:c r="M1069" s="1" t="n">
        <x:v>0</x:v>
      </x:c>
    </x:row>
    <x:row r="1070" ht="18.75" customHeight="1">
      <x:c r="A1070" s="1" t="str">
        <x:v>https://blog.skyairline.com/punta-cana-en-temporada-baja/</x:v>
      </x:c>
      <x:c r="B1070" s="1" t="str">
        <x:v>temporada baja punta cana</x:v>
      </x:c>
      <x:c r="C1070" s="1" t="str">
        <x:v>chl</x:v>
      </x:c>
      <x:c r="D1070" s="1" t="str">
        <x:v>Sin marca</x:v>
      </x:c>
      <x:c r="E1070" s="35" t="n">
        <x:v>2</x:v>
      </x:c>
      <x:c r="F1070" s="36" t="n">
        <x:v>1.64</x:v>
      </x:c>
      <x:c r="G1070" s="36" t="n">
        <x:f>IF(ISNUMBER(F1070),E1070*F1070,"")</x:f>
        <x:v>3.28</x:v>
      </x:c>
      <x:c r="H1070" s="37" t="d">
        <x:v>2026-10-15T00:00:00.000Z</x:v>
      </x:c>
      <x:c r="I1070" s="37" t="d">
        <x:v>2026-09-16T02:26:09.000Z</x:v>
      </x:c>
      <x:c r="J1070" s="1" t="n">
        <x:f>IF(ISNUMBER(F1070),E1070,0)</x:f>
        <x:v>2</x:v>
      </x:c>
      <x:c r="K1070" s="1"/>
      <x:c r="L1070" s="1" t="str">
        <x:v>https://blog.skyairline.com/author/administrador/</x:v>
      </x:c>
      <x:c r="M1070" s="1" t="n">
        <x:v>0</x:v>
      </x:c>
    </x:row>
    <x:row r="1071" ht="18.75" customHeight="1">
      <x:c r="A1071" s="1" t="str">
        <x:v>https://blog.skyairline.com/punta-del-este-montevideo/</x:v>
      </x:c>
      <x:c r="B1071" s="1" t="str">
        <x:v>como ir de montevideo a punta del este</x:v>
      </x:c>
      <x:c r="C1071" s="1" t="str">
        <x:v>arg</x:v>
      </x:c>
      <x:c r="D1071" s="1" t="str">
        <x:v>Sin marca</x:v>
      </x:c>
      <x:c r="E1071" s="35" t="n">
        <x:v>2</x:v>
      </x:c>
      <x:c r="F1071" s="36"/>
      <x:c r="G1071" s="36" t="str">
        <x:f>IF(ISNUMBER(F1071),E1071*F1071,"")</x:f>
      </x:c>
      <x:c r="H1071" s="37"/>
      <x:c r="I1071" s="37"/>
      <x:c r="J1071" s="1" t="n">
        <x:f>IF(ISNUMBER(F1071),E1071,0)</x:f>
        <x:v>0</x:v>
      </x:c>
      <x:c r="K1071" s="1"/>
      <x:c r="L1071" s="1" t="str">
        <x:v>https://blog.skyairline.com/author/administrador/page/100/</x:v>
      </x:c>
      <x:c r="M1071" s="1" t="n">
        <x:v>0</x:v>
      </x:c>
    </x:row>
    <x:row r="1072" ht="18.75" customHeight="1">
      <x:c r="A1072" s="1" t="str">
        <x:v>https://blog.skyairline.com/punta-sal/</x:v>
      </x:c>
      <x:c r="B1072" s="1" t="str">
        <x:v>como llegar a punta sal desde chile</x:v>
      </x:c>
      <x:c r="C1072" s="1" t="str">
        <x:v>chl</x:v>
      </x:c>
      <x:c r="D1072" s="1" t="str">
        <x:v>Sin marca</x:v>
      </x:c>
      <x:c r="E1072" s="35" t="n">
        <x:v>2</x:v>
      </x:c>
      <x:c r="F1072" s="36" t="n">
        <x:v>0.25</x:v>
      </x:c>
      <x:c r="G1072" s="36" t="n">
        <x:f>IF(ISNUMBER(F1072),E1072*F1072,"")</x:f>
        <x:v>0.5</x:v>
      </x:c>
      <x:c r="H1072" s="37" t="d">
        <x:v>2026-10-15T00:00:00.000Z</x:v>
      </x:c>
      <x:c r="I1072" s="37" t="d">
        <x:v>2026-10-15T19:46:00.000Z</x:v>
      </x:c>
      <x:c r="J1072" s="1" t="n">
        <x:f>IF(ISNUMBER(F1072),E1072,0)</x:f>
        <x:v>2</x:v>
      </x:c>
      <x:c r="K1072" s="1"/>
      <x:c r="L1072" s="1" t="str">
        <x:v>https://blog.skyairline.com/author/administrador/page/101/</x:v>
      </x:c>
      <x:c r="M1072" s="1" t="n">
        <x:v>0</x:v>
      </x:c>
    </x:row>
    <x:row r="1073" ht="18.75" customHeight="1">
      <x:c r="A1073" s="1" t="str">
        <x:v>https://blog.skyairline.com/punta-sal/</x:v>
      </x:c>
      <x:c r="B1073" s="1" t="str">
        <x:v>como llegar a punta sal desde lima</x:v>
      </x:c>
      <x:c r="C1073" s="1" t="str">
        <x:v>chl</x:v>
      </x:c>
      <x:c r="D1073" s="1" t="str">
        <x:v>Sin marca</x:v>
      </x:c>
      <x:c r="E1073" s="35" t="n">
        <x:v>2</x:v>
      </x:c>
      <x:c r="F1073" s="36"/>
      <x:c r="G1073" s="36" t="str">
        <x:f>IF(ISNUMBER(F1073),E1073*F1073,"")</x:f>
      </x:c>
      <x:c r="H1073" s="37" t="d">
        <x:v>2026-10-15T00:00:00.000Z</x:v>
      </x:c>
      <x:c r="I1073" s="37" t="d">
        <x:v>2026-09-12T23:09:27.000Z</x:v>
      </x:c>
      <x:c r="J1073" s="1" t="n">
        <x:f>IF(ISNUMBER(F1073),E1073,0)</x:f>
        <x:v>0</x:v>
      </x:c>
      <x:c r="K1073" s="1"/>
      <x:c r="L1073" s="1" t="str">
        <x:v>https://blog.skyairline.com/author/administrador/page/104/</x:v>
      </x:c>
      <x:c r="M1073" s="1" t="n">
        <x:v>0</x:v>
      </x:c>
    </x:row>
    <x:row r="1074" ht="18.75" customHeight="1">
      <x:c r="A1074" s="1" t="str">
        <x:v>https://blog.skyairline.com/punta-sal/</x:v>
      </x:c>
      <x:c r="B1074" s="1" t="str">
        <x:v>punta sal</x:v>
      </x:c>
      <x:c r="C1074" s="1" t="str">
        <x:v>per</x:v>
      </x:c>
      <x:c r="D1074" s="1" t="str">
        <x:v>Sin marca</x:v>
      </x:c>
      <x:c r="E1074" s="35" t="n">
        <x:v>2</x:v>
      </x:c>
      <x:c r="F1074" s="36" t="n">
        <x:v>0.48</x:v>
      </x:c>
      <x:c r="G1074" s="36" t="n">
        <x:f>IF(ISNUMBER(F1074),E1074*F1074,"")</x:f>
        <x:v>0.96</x:v>
      </x:c>
      <x:c r="H1074" s="37" t="d">
        <x:v>2026-10-15T00:00:00.000Z</x:v>
      </x:c>
      <x:c r="I1074" s="37" t="d">
        <x:v>2026-09-17T11:31:47.000Z</x:v>
      </x:c>
      <x:c r="J1074" s="1" t="n">
        <x:f>IF(ISNUMBER(F1074),E1074,0)</x:f>
        <x:v>2</x:v>
      </x:c>
      <x:c r="K1074" s="1"/>
      <x:c r="L1074" s="1" t="str">
        <x:v>https://blog.skyairline.com/author/administrador/page/105/</x:v>
      </x:c>
      <x:c r="M1074" s="1" t="n">
        <x:v>0</x:v>
      </x:c>
    </x:row>
    <x:row r="1075" ht="18.75" customHeight="1">
      <x:c r="A1075" s="1" t="str">
        <x:v>https://blog.skyairline.com/que-es-el-check-in/</x:v>
      </x:c>
      <x:c r="B1075" s="1" t="str">
        <x:v>en que consiste el check in de un vuelo</x:v>
      </x:c>
      <x:c r="C1075" s="1" t="str">
        <x:v>per</x:v>
      </x:c>
      <x:c r="D1075" s="1" t="str">
        <x:v>Sin marca</x:v>
      </x:c>
      <x:c r="E1075" s="35" t="n">
        <x:v>2</x:v>
      </x:c>
      <x:c r="F1075" s="36"/>
      <x:c r="G1075" s="36" t="str">
        <x:f>IF(ISNUMBER(F1075),E1075*F1075,"")</x:f>
      </x:c>
      <x:c r="H1075" s="37"/>
      <x:c r="I1075" s="37"/>
      <x:c r="J1075" s="1" t="n">
        <x:f>IF(ISNUMBER(F1075),E1075,0)</x:f>
        <x:v>0</x:v>
      </x:c>
      <x:c r="K1075" s="1"/>
      <x:c r="L1075" s="1" t="str">
        <x:v>https://blog.skyairline.com/author/administrador/page/106/</x:v>
      </x:c>
      <x:c r="M1075" s="1" t="n">
        <x:v>0</x:v>
      </x:c>
    </x:row>
    <x:row r="1076" ht="18.75" customHeight="1">
      <x:c r="A1076" s="1" t="str">
        <x:v>https://blog.skyairline.com/que-es-el-check-in/</x:v>
      </x:c>
      <x:c r="B1076" s="1" t="str">
        <x:v>que es el check in</x:v>
      </x:c>
      <x:c r="C1076" s="1" t="str">
        <x:v>chl</x:v>
      </x:c>
      <x:c r="D1076" s="1" t="str">
        <x:v>Sin marca</x:v>
      </x:c>
      <x:c r="E1076" s="35" t="n">
        <x:v>2</x:v>
      </x:c>
      <x:c r="F1076" s="36" t="n">
        <x:v>0.23</x:v>
      </x:c>
      <x:c r="G1076" s="36" t="n">
        <x:f>IF(ISNUMBER(F1076),E1076*F1076,"")</x:f>
        <x:v>0.46</x:v>
      </x:c>
      <x:c r="H1076" s="37" t="d">
        <x:v>2026-10-15T00:00:00.000Z</x:v>
      </x:c>
      <x:c r="I1076" s="37" t="d">
        <x:v>2026-09-13T01:07:05.000Z</x:v>
      </x:c>
      <x:c r="J1076" s="1" t="n">
        <x:f>IF(ISNUMBER(F1076),E1076,0)</x:f>
        <x:v>2</x:v>
      </x:c>
      <x:c r="K1076" s="1"/>
      <x:c r="L1076" s="1" t="str">
        <x:v>https://blog.skyairline.com/author/administrador/page/107/</x:v>
      </x:c>
      <x:c r="M1076" s="1" t="n">
        <x:v>0</x:v>
      </x:c>
    </x:row>
    <x:row r="1077" ht="18.75" customHeight="1">
      <x:c r="A1077" s="1" t="str">
        <x:v>https://blog.skyairline.com/que-es-el-equipaje-documentado/</x:v>
      </x:c>
      <x:c r="B1077" s="1" t="str">
        <x:v>que es equipaje documentado</x:v>
      </x:c>
      <x:c r="C1077" s="1" t="str">
        <x:v>col</x:v>
      </x:c>
      <x:c r="D1077" s="1" t="str">
        <x:v>Sin marca</x:v>
      </x:c>
      <x:c r="E1077" s="35" t="n">
        <x:v>2</x:v>
      </x:c>
      <x:c r="F1077" s="36"/>
      <x:c r="G1077" s="36" t="str">
        <x:f>IF(ISNUMBER(F1077),E1077*F1077,"")</x:f>
      </x:c>
      <x:c r="H1077" s="37"/>
      <x:c r="I1077" s="37"/>
      <x:c r="J1077" s="1" t="n">
        <x:f>IF(ISNUMBER(F1077),E1077,0)</x:f>
        <x:v>0</x:v>
      </x:c>
      <x:c r="K1077" s="1"/>
      <x:c r="L1077" s="1" t="str">
        <x:v>https://blog.skyairline.com/author/administrador/page/109/</x:v>
      </x:c>
      <x:c r="M1077" s="1" t="n">
        <x:v>0</x:v>
      </x:c>
    </x:row>
    <x:row r="1078" ht="18.75" customHeight="1">
      <x:c r="A1078" s="1" t="str">
        <x:v>https://blog.skyairline.com/que-es-hostal/</x:v>
      </x:c>
      <x:c r="B1078" s="1" t="str">
        <x:v>que es un hostal y para que sirve</x:v>
      </x:c>
      <x:c r="C1078" s="1" t="str">
        <x:v>chl</x:v>
      </x:c>
      <x:c r="D1078" s="1" t="str">
        <x:v>Sin marca</x:v>
      </x:c>
      <x:c r="E1078" s="35" t="n">
        <x:v>2</x:v>
      </x:c>
      <x:c r="F1078" s="36"/>
      <x:c r="G1078" s="36" t="str">
        <x:f>IF(ISNUMBER(F1078),E1078*F1078,"")</x:f>
      </x:c>
      <x:c r="H1078" s="37" t="d">
        <x:v>2026-10-15T00:00:00.000Z</x:v>
      </x:c>
      <x:c r="I1078" s="37" t="d">
        <x:v>2026-09-17T02:09:00.000Z</x:v>
      </x:c>
      <x:c r="J1078" s="1" t="n">
        <x:f>IF(ISNUMBER(F1078),E1078,0)</x:f>
        <x:v>0</x:v>
      </x:c>
      <x:c r="K1078" s="1"/>
      <x:c r="L1078" s="1" t="str">
        <x:v>https://blog.skyairline.com/author/administrador/page/111/</x:v>
      </x:c>
      <x:c r="M1078" s="1" t="n">
        <x:v>0</x:v>
      </x:c>
    </x:row>
    <x:row r="1079" ht="18.75" customHeight="1">
      <x:c r="A1079" s="1" t="str">
        <x:v>https://blog.skyairline.com/que-es-hostal/</x:v>
      </x:c>
      <x:c r="B1079" s="1" t="str">
        <x:v>que es un hostal y para que sirve</x:v>
      </x:c>
      <x:c r="C1079" s="1" t="str">
        <x:v>mex</x:v>
      </x:c>
      <x:c r="D1079" s="1" t="str">
        <x:v>Sin marca</x:v>
      </x:c>
      <x:c r="E1079" s="35" t="n">
        <x:v>2</x:v>
      </x:c>
      <x:c r="F1079" s="36"/>
      <x:c r="G1079" s="36" t="str">
        <x:f>IF(ISNUMBER(F1079),E1079*F1079,"")</x:f>
      </x:c>
      <x:c r="H1079" s="37"/>
      <x:c r="I1079" s="37"/>
      <x:c r="J1079" s="1" t="n">
        <x:f>IF(ISNUMBER(F1079),E1079,0)</x:f>
        <x:v>0</x:v>
      </x:c>
      <x:c r="K1079" s="1"/>
      <x:c r="L1079" s="1" t="str">
        <x:v>https://blog.skyairline.com/author/administrador/page/112/</x:v>
      </x:c>
      <x:c r="M1079" s="1" t="n">
        <x:v>0</x:v>
      </x:c>
    </x:row>
    <x:row r="1080" ht="18.75" customHeight="1">
      <x:c r="A1080" s="1" t="str">
        <x:v>https://blog.skyairline.com/que-estudia-tripulante-cabina/</x:v>
      </x:c>
      <x:c r="B1080" s="1" t="str">
        <x:v>academia tripulante de cabina sky</x:v>
      </x:c>
      <x:c r="C1080" s="1" t="str">
        <x:v>chl</x:v>
      </x:c>
      <x:c r="D1080" s="1" t="str">
        <x:v>Marca</x:v>
      </x:c>
      <x:c r="E1080" s="35" t="n">
        <x:v>2</x:v>
      </x:c>
      <x:c r="F1080" s="36"/>
      <x:c r="G1080" s="36" t="str">
        <x:f>IF(ISNUMBER(F1080),E1080*F1080,"")</x:f>
      </x:c>
      <x:c r="H1080" s="37"/>
      <x:c r="I1080" s="37"/>
      <x:c r="J1080" s="1" t="n">
        <x:f>IF(ISNUMBER(F1080),E1080,0)</x:f>
        <x:v>0</x:v>
      </x:c>
      <x:c r="K1080" s="1"/>
      <x:c r="L1080" s="1" t="str">
        <x:v>https://blog.skyairline.com/author/administrador/page/113/</x:v>
      </x:c>
      <x:c r="M1080" s="1" t="n">
        <x:v>0</x:v>
      </x:c>
    </x:row>
    <x:row r="1081" ht="18.75" customHeight="1">
      <x:c r="A1081" s="1" t="str">
        <x:v>https://blog.skyairline.com/que-estudia-tripulante-cabina/</x:v>
      </x:c>
      <x:c r="B1081" s="1" t="str">
        <x:v>que se estudia para ser azafata</x:v>
      </x:c>
      <x:c r="C1081" s="1" t="str">
        <x:v>chl</x:v>
      </x:c>
      <x:c r="D1081" s="1" t="str">
        <x:v>Sin marca</x:v>
      </x:c>
      <x:c r="E1081" s="35" t="n">
        <x:v>2</x:v>
      </x:c>
      <x:c r="F1081" s="36" t="n">
        <x:v>0.46</x:v>
      </x:c>
      <x:c r="G1081" s="36" t="n">
        <x:f>IF(ISNUMBER(F1081),E1081*F1081,"")</x:f>
        <x:v>0.92</x:v>
      </x:c>
      <x:c r="H1081" s="37" t="d">
        <x:v>2026-10-15T00:00:00.000Z</x:v>
      </x:c>
      <x:c r="I1081" s="37" t="d">
        <x:v>2026-10-15T07:51:40.000Z</x:v>
      </x:c>
      <x:c r="J1081" s="1" t="n">
        <x:f>IF(ISNUMBER(F1081),E1081,0)</x:f>
        <x:v>2</x:v>
      </x:c>
      <x:c r="K1081" s="1"/>
      <x:c r="L1081" s="1" t="str">
        <x:v>https://blog.skyairline.com/author/administrador/page/115/</x:v>
      </x:c>
      <x:c r="M1081" s="1" t="n">
        <x:v>0</x:v>
      </x:c>
    </x:row>
    <x:row r="1082" ht="18.75" customHeight="1">
      <x:c r="A1082" s="1" t="str">
        <x:v>https://blog.skyairline.com/requisitos-para-entrar-a-chile/</x:v>
      </x:c>
      <x:c r="B1082" s="1" t="str">
        <x:v>requisitos para viajar a chile en avión</x:v>
      </x:c>
      <x:c r="C1082" s="1" t="str">
        <x:v>chl</x:v>
      </x:c>
      <x:c r="D1082" s="1" t="str">
        <x:v>Sin marca</x:v>
      </x:c>
      <x:c r="E1082" s="35" t="n">
        <x:v>2</x:v>
      </x:c>
      <x:c r="F1082" s="36"/>
      <x:c r="G1082" s="36" t="str">
        <x:f>IF(ISNUMBER(F1082),E1082*F1082,"")</x:f>
      </x:c>
      <x:c r="H1082" s="37" t="d">
        <x:v>2026-10-15T00:00:00.000Z</x:v>
      </x:c>
      <x:c r="I1082" s="37" t="d">
        <x:v>2026-09-17T05:59:30.000Z</x:v>
      </x:c>
      <x:c r="J1082" s="1" t="n">
        <x:f>IF(ISNUMBER(F1082),E1082,0)</x:f>
        <x:v>0</x:v>
      </x:c>
      <x:c r="K1082" s="1"/>
      <x:c r="L1082" s="1" t="str">
        <x:v>https://blog.skyairline.com/author/administrador/page/116/</x:v>
      </x:c>
      <x:c r="M1082" s="1" t="n">
        <x:v>0</x:v>
      </x:c>
    </x:row>
    <x:row r="1083" ht="18.75" customHeight="1">
      <x:c r="A1083" s="1" t="str">
        <x:v>https://blog.skyairline.com/requisitos-para-viajar-a-mexico-desde-chile/</x:v>
      </x:c>
      <x:c r="B1083" s="1" t="str">
        <x:v>requisitos para viajar a méxico desde chile</x:v>
      </x:c>
      <x:c r="C1083" s="1" t="str">
        <x:v>chl</x:v>
      </x:c>
      <x:c r="D1083" s="1" t="str">
        <x:v>Sin marca</x:v>
      </x:c>
      <x:c r="E1083" s="35" t="n">
        <x:v>2</x:v>
      </x:c>
      <x:c r="F1083" s="36" t="n">
        <x:v>0.27</x:v>
      </x:c>
      <x:c r="G1083" s="36" t="n">
        <x:f>IF(ISNUMBER(F1083),E1083*F1083,"")</x:f>
        <x:v>0.54</x:v>
      </x:c>
      <x:c r="H1083" s="37" t="d">
        <x:v>2026-10-15T00:00:00.000Z</x:v>
      </x:c>
      <x:c r="I1083" s="37" t="d">
        <x:v>2026-09-15T06:38:14.000Z</x:v>
      </x:c>
      <x:c r="J1083" s="1" t="n">
        <x:f>IF(ISNUMBER(F1083),E1083,0)</x:f>
        <x:v>2</x:v>
      </x:c>
      <x:c r="K1083" s="1"/>
      <x:c r="L1083" s="1" t="str">
        <x:v>https://blog.skyairline.com/author/administrador/page/117/</x:v>
      </x:c>
      <x:c r="M1083" s="1" t="n">
        <x:v>0</x:v>
      </x:c>
    </x:row>
    <x:row r="1084" ht="18.75" customHeight="1">
      <x:c r="A1084" s="1" t="str">
        <x:v>https://blog.skyairline.com/sargazo-en-punta-cana/</x:v>
      </x:c>
      <x:c r="B1084" s="1" t="str">
        <x:v>hay sargazo en octubre en punta cana</x:v>
      </x:c>
      <x:c r="C1084" s="1" t="str">
        <x:v>chl</x:v>
      </x:c>
      <x:c r="D1084" s="1" t="str">
        <x:v>Sin marca</x:v>
      </x:c>
      <x:c r="E1084" s="35" t="n">
        <x:v>2</x:v>
      </x:c>
      <x:c r="F1084" s="36"/>
      <x:c r="G1084" s="36" t="str">
        <x:f>IF(ISNUMBER(F1084),E1084*F1084,"")</x:f>
      </x:c>
      <x:c r="H1084" s="37"/>
      <x:c r="I1084" s="37"/>
      <x:c r="J1084" s="1" t="n">
        <x:f>IF(ISNUMBER(F1084),E1084,0)</x:f>
        <x:v>0</x:v>
      </x:c>
      <x:c r="K1084" s="1"/>
      <x:c r="L1084" s="1" t="str">
        <x:v>https://blog.skyairline.com/author/administrador/page/12/</x:v>
      </x:c>
      <x:c r="M1084" s="1" t="n">
        <x:v>0</x:v>
      </x:c>
    </x:row>
    <x:row r="1085" ht="18.75" customHeight="1">
      <x:c r="A1085" s="1" t="str">
        <x:v>https://blog.skyairline.com/se-puede-llegar-en-avion-a-pucon/</x:v>
      </x:c>
      <x:c r="B1085" s="1" t="str">
        <x:v>pucon aeropuerto</x:v>
      </x:c>
      <x:c r="C1085" s="1" t="str">
        <x:v>chl</x:v>
      </x:c>
      <x:c r="D1085" s="1" t="str">
        <x:v>Sin marca</x:v>
      </x:c>
      <x:c r="E1085" s="35" t="n">
        <x:v>2</x:v>
      </x:c>
      <x:c r="F1085" s="36" t="n">
        <x:v>0.83</x:v>
      </x:c>
      <x:c r="G1085" s="36" t="n">
        <x:f>IF(ISNUMBER(F1085),E1085*F1085,"")</x:f>
        <x:v>1.66</x:v>
      </x:c>
      <x:c r="H1085" s="37" t="d">
        <x:v>2026-10-15T00:00:00.000Z</x:v>
      </x:c>
      <x:c r="I1085" s="37" t="d">
        <x:v>2026-09-13T12:19:33.999Z</x:v>
      </x:c>
      <x:c r="J1085" s="1" t="n">
        <x:f>IF(ISNUMBER(F1085),E1085,0)</x:f>
        <x:v>2</x:v>
      </x:c>
      <x:c r="K1085" s="1"/>
      <x:c r="L1085" s="1" t="str">
        <x:v>https://blog.skyairline.com/author/administrador/page/123/</x:v>
      </x:c>
      <x:c r="M1085" s="1" t="n">
        <x:v>0</x:v>
      </x:c>
    </x:row>
    <x:row r="1086" ht="18.75" customHeight="1">
      <x:c r="A1086" s="1" t="str">
        <x:v>https://blog.skyairline.com/se-puede-llegar-en-avion-a-pucon/</x:v>
      </x:c>
      <x:c r="B1086" s="1" t="str">
        <x:v>que aeropuerto queda cerca de pucon</x:v>
      </x:c>
      <x:c r="C1086" s="1" t="str">
        <x:v>chl</x:v>
      </x:c>
      <x:c r="D1086" s="1" t="str">
        <x:v>Sin marca</x:v>
      </x:c>
      <x:c r="E1086" s="35" t="n">
        <x:v>2</x:v>
      </x:c>
      <x:c r="F1086" s="36"/>
      <x:c r="G1086" s="36" t="str">
        <x:f>IF(ISNUMBER(F1086),E1086*F1086,"")</x:f>
      </x:c>
      <x:c r="H1086" s="37"/>
      <x:c r="I1086" s="37"/>
      <x:c r="J1086" s="1" t="n">
        <x:f>IF(ISNUMBER(F1086),E1086,0)</x:f>
        <x:v>0</x:v>
      </x:c>
      <x:c r="K1086" s="1"/>
      <x:c r="L1086" s="1" t="str">
        <x:v>https://blog.skyairline.com/author/administrador/page/126/</x:v>
      </x:c>
      <x:c r="M1086" s="1" t="n">
        <x:v>0</x:v>
      </x:c>
    </x:row>
    <x:row r="1087" ht="18.75" customHeight="1">
      <x:c r="A1087" s="1" t="str">
        <x:v>https://blog.skyairline.com/sky-airline-2/</x:v>
      </x:c>
      <x:c r="B1087" s="1" t="str">
        <x:v>billetera sky como funciona</x:v>
      </x:c>
      <x:c r="C1087" s="1" t="str">
        <x:v>per</x:v>
      </x:c>
      <x:c r="D1087" s="1" t="str">
        <x:v>Marca</x:v>
      </x:c>
      <x:c r="E1087" s="35" t="n">
        <x:v>2</x:v>
      </x:c>
      <x:c r="F1087" s="36"/>
      <x:c r="G1087" s="36" t="str">
        <x:f>IF(ISNUMBER(F1087),E1087*F1087,"")</x:f>
      </x:c>
      <x:c r="H1087" s="37" t="d">
        <x:v>2026-10-15T00:00:00.000Z</x:v>
      </x:c>
      <x:c r="I1087" s="37" t="d">
        <x:v>2026-09-17T00:23:30.000Z</x:v>
      </x:c>
      <x:c r="J1087" s="1" t="n">
        <x:f>IF(ISNUMBER(F1087),E1087,0)</x:f>
        <x:v>0</x:v>
      </x:c>
      <x:c r="K1087" s="1"/>
      <x:c r="L1087" s="1" t="str">
        <x:v>https://blog.skyairline.com/author/administrador/page/129/</x:v>
      </x:c>
      <x:c r="M1087" s="1" t="n">
        <x:v>0</x:v>
      </x:c>
    </x:row>
    <x:row r="1088" ht="18.75" customHeight="1">
      <x:c r="A1088" s="1" t="str">
        <x:v>https://blog.skyairline.com/sky-airline-anuncia-la-llegada-de-cuatro-nuevos-aviones-airbus-a320/</x:v>
      </x:c>
      <x:c r="B1088" s="1" t="str">
        <x:v>airbus a321xlr sky airline</x:v>
      </x:c>
      <x:c r="C1088" s="1" t="str">
        <x:v>chl</x:v>
      </x:c>
      <x:c r="D1088" s="1" t="str">
        <x:v>Marca</x:v>
      </x:c>
      <x:c r="E1088" s="35" t="n">
        <x:v>2</x:v>
      </x:c>
      <x:c r="F1088" s="36"/>
      <x:c r="G1088" s="36" t="str">
        <x:f>IF(ISNUMBER(F1088),E1088*F1088,"")</x:f>
      </x:c>
      <x:c r="H1088" s="37"/>
      <x:c r="I1088" s="37"/>
      <x:c r="J1088" s="1" t="n">
        <x:f>IF(ISNUMBER(F1088),E1088,0)</x:f>
        <x:v>0</x:v>
      </x:c>
      <x:c r="K1088" s="1"/>
      <x:c r="L1088" s="1" t="str">
        <x:v>https://blog.skyairline.com/author/administrador/page/13/</x:v>
      </x:c>
      <x:c r="M1088" s="1" t="n">
        <x:v>0</x:v>
      </x:c>
    </x:row>
    <x:row r="1089" ht="18.75" customHeight="1">
      <x:c r="A1089" s="1" t="str">
        <x:v>https://blog.skyairline.com/sky-aviones/</x:v>
      </x:c>
      <x:c r="B1089" s="1" t="str">
        <x:v>aviones de sky airline</x:v>
      </x:c>
      <x:c r="C1089" s="1" t="str">
        <x:v>ury</x:v>
      </x:c>
      <x:c r="D1089" s="1" t="str">
        <x:v>Marca</x:v>
      </x:c>
      <x:c r="E1089" s="35" t="n">
        <x:v>2</x:v>
      </x:c>
      <x:c r="F1089" s="36"/>
      <x:c r="G1089" s="36" t="str">
        <x:f>IF(ISNUMBER(F1089),E1089*F1089,"")</x:f>
      </x:c>
      <x:c r="H1089" s="37"/>
      <x:c r="I1089" s="37"/>
      <x:c r="J1089" s="1" t="n">
        <x:f>IF(ISNUMBER(F1089),E1089,0)</x:f>
        <x:v>0</x:v>
      </x:c>
      <x:c r="K1089" s="1"/>
      <x:c r="L1089" s="1" t="str">
        <x:v>https://blog.skyairline.com/author/administrador/page/137/</x:v>
      </x:c>
      <x:c r="M1089" s="1" t="n">
        <x:v>0</x:v>
      </x:c>
    </x:row>
    <x:row r="1090" ht="18.75" customHeight="1">
      <x:c r="A1090" s="1" t="str">
        <x:v>https://blog.skyairline.com/sky-aviones/</x:v>
      </x:c>
      <x:c r="B1090" s="1" t="str">
        <x:v>aviones sky airlines</x:v>
      </x:c>
      <x:c r="C1090" s="1" t="str">
        <x:v>chl</x:v>
      </x:c>
      <x:c r="D1090" s="1" t="str">
        <x:v>Marca</x:v>
      </x:c>
      <x:c r="E1090" s="35" t="n">
        <x:v>2</x:v>
      </x:c>
      <x:c r="F1090" s="36" t="n">
        <x:v>0.31</x:v>
      </x:c>
      <x:c r="G1090" s="36" t="n">
        <x:f>IF(ISNUMBER(F1090),E1090*F1090,"")</x:f>
        <x:v>0.62</x:v>
      </x:c>
      <x:c r="H1090" s="37" t="d">
        <x:v>2026-10-15T00:00:00.000Z</x:v>
      </x:c>
      <x:c r="I1090" s="37" t="d">
        <x:v>2026-09-15T22:17:03.000Z</x:v>
      </x:c>
      <x:c r="J1090" s="1" t="n">
        <x:f>IF(ISNUMBER(F1090),E1090,0)</x:f>
        <x:v>2</x:v>
      </x:c>
      <x:c r="K1090" s="1"/>
      <x:c r="L1090" s="1" t="str">
        <x:v>https://blog.skyairline.com/author/administrador/page/140/</x:v>
      </x:c>
      <x:c r="M1090" s="1" t="n">
        <x:v>0</x:v>
      </x:c>
    </x:row>
    <x:row r="1091" ht="18.75" customHeight="1">
      <x:c r="A1091" s="1" t="str">
        <x:v>https://blog.skyairline.com/sky-aviones/</x:v>
      </x:c>
      <x:c r="B1091" s="1" t="str">
        <x:v>que aviones usa sky airlines</x:v>
      </x:c>
      <x:c r="C1091" s="1" t="str">
        <x:v>chl</x:v>
      </x:c>
      <x:c r="D1091" s="1" t="str">
        <x:v>Marca</x:v>
      </x:c>
      <x:c r="E1091" s="35" t="n">
        <x:v>2</x:v>
      </x:c>
      <x:c r="F1091" s="36"/>
      <x:c r="G1091" s="36" t="str">
        <x:f>IF(ISNUMBER(F1091),E1091*F1091,"")</x:f>
      </x:c>
      <x:c r="H1091" s="37" t="d">
        <x:v>2026-10-15T00:00:00.000Z</x:v>
      </x:c>
      <x:c r="I1091" s="37" t="d">
        <x:v>2026-09-14T16:08:41.000Z</x:v>
      </x:c>
      <x:c r="J1091" s="1" t="n">
        <x:f>IF(ISNUMBER(F1091),E1091,0)</x:f>
        <x:v>0</x:v>
      </x:c>
      <x:c r="K1091" s="1"/>
      <x:c r="L1091" s="1" t="str">
        <x:v>https://blog.skyairline.com/author/administrador/page/15/</x:v>
      </x:c>
      <x:c r="M1091" s="1" t="n">
        <x:v>0</x:v>
      </x:c>
    </x:row>
    <x:row r="1092" ht="18.75" customHeight="1">
      <x:c r="A1092" s="1" t="str">
        <x:v>https://blog.skyairline.com/sky-fortalece-su-propuesta-de-valor-para-sus-pasajeros-con-economy-premier/</x:v>
      </x:c>
      <x:c r="B1092" s="1" t="str">
        <x:v>economy premier sky airline</x:v>
      </x:c>
      <x:c r="C1092" s="1" t="str">
        <x:v>usa</x:v>
      </x:c>
      <x:c r="D1092" s="1" t="str">
        <x:v>Marca</x:v>
      </x:c>
      <x:c r="E1092" s="35" t="n">
        <x:v>2</x:v>
      </x:c>
      <x:c r="F1092" s="36"/>
      <x:c r="G1092" s="36" t="str">
        <x:f>IF(ISNUMBER(F1092),E1092*F1092,"")</x:f>
      </x:c>
      <x:c r="H1092" s="37"/>
      <x:c r="I1092" s="37"/>
      <x:c r="J1092" s="1" t="n">
        <x:f>IF(ISNUMBER(F1092),E1092,0)</x:f>
        <x:v>0</x:v>
      </x:c>
      <x:c r="K1092" s="1"/>
      <x:c r="L1092" s="1" t="str">
        <x:v>https://blog.skyairline.com/author/administrador/page/17/</x:v>
      </x:c>
      <x:c r="M1092" s="1" t="n">
        <x:v>0</x:v>
      </x:c>
    </x:row>
    <x:row r="1093" ht="18.75" customHeight="1">
      <x:c r="A1093" s="1" t="str">
        <x:v>https://blog.skyairline.com/sky-fortalece-su-propuesta-de-valor-para-sus-pasajeros-con-economy-premier/</x:v>
      </x:c>
      <x:c r="B1093" s="1" t="str">
        <x:v>sky economy</x:v>
      </x:c>
      <x:c r="C1093" s="1" t="str">
        <x:v>chl</x:v>
      </x:c>
      <x:c r="D1093" s="1" t="str">
        <x:v>Marca</x:v>
      </x:c>
      <x:c r="E1093" s="35" t="n">
        <x:v>2</x:v>
      </x:c>
      <x:c r="F1093" s="36"/>
      <x:c r="G1093" s="36" t="str">
        <x:f>IF(ISNUMBER(F1093),E1093*F1093,"")</x:f>
      </x:c>
      <x:c r="H1093" s="37"/>
      <x:c r="I1093" s="37"/>
      <x:c r="J1093" s="1" t="n">
        <x:f>IF(ISNUMBER(F1093),E1093,0)</x:f>
        <x:v>0</x:v>
      </x:c>
      <x:c r="K1093" s="1"/>
      <x:c r="L1093" s="1" t="str">
        <x:v>https://blog.skyairline.com/author/administrador/page/2/</x:v>
      </x:c>
      <x:c r="M1093" s="1" t="n">
        <x:v>0</x:v>
      </x:c>
    </x:row>
    <x:row r="1094" ht="18.75" customHeight="1">
      <x:c r="A1094" s="1" t="str">
        <x:v>https://blog.skyairline.com/sky-fortalece-su-propuesta-de-valor-para-sus-pasajeros-con-economy-premier/</x:v>
      </x:c>
      <x:c r="B1094" s="1" t="str">
        <x:v>sky premium economy</x:v>
      </x:c>
      <x:c r="C1094" s="1" t="str">
        <x:v>per</x:v>
      </x:c>
      <x:c r="D1094" s="1" t="str">
        <x:v>Marca</x:v>
      </x:c>
      <x:c r="E1094" s="35" t="n">
        <x:v>2</x:v>
      </x:c>
      <x:c r="F1094" s="36"/>
      <x:c r="G1094" s="36" t="str">
        <x:f>IF(ISNUMBER(F1094),E1094*F1094,"")</x:f>
      </x:c>
      <x:c r="H1094" s="37"/>
      <x:c r="I1094" s="37"/>
      <x:c r="J1094" s="1" t="n">
        <x:f>IF(ISNUMBER(F1094),E1094,0)</x:f>
        <x:v>0</x:v>
      </x:c>
      <x:c r="K1094" s="1"/>
      <x:c r="L1094" s="1" t="str">
        <x:v>https://blog.skyairline.com/author/administrador/page/22/</x:v>
      </x:c>
      <x:c r="M1094" s="1" t="n">
        <x:v>0</x:v>
      </x:c>
    </x:row>
    <x:row r="1095" ht="18.75" customHeight="1">
      <x:c r="A1095" s="1" t="str">
        <x:v>https://blog.skyairline.com/sky-fortalece-su-red-internacional-desde-peru-con-nuevas-rutas-a-chile-y-brasil/</x:v>
      </x:c>
      <x:c r="B1095" s="1" t="str">
        <x:v>sky airline incrementa su oferta de vuelos directos conectando perú con brasil y chile</x:v>
      </x:c>
      <x:c r="C1095" s="1" t="str">
        <x:v>per</x:v>
      </x:c>
      <x:c r="D1095" s="1" t="str">
        <x:v>Marca</x:v>
      </x:c>
      <x:c r="E1095" s="35" t="n">
        <x:v>2</x:v>
      </x:c>
      <x:c r="F1095" s="36"/>
      <x:c r="G1095" s="36" t="str">
        <x:f>IF(ISNUMBER(F1095),E1095*F1095,"")</x:f>
      </x:c>
      <x:c r="H1095" s="37"/>
      <x:c r="I1095" s="37"/>
      <x:c r="J1095" s="1" t="n">
        <x:f>IF(ISNUMBER(F1095),E1095,0)</x:f>
        <x:v>0</x:v>
      </x:c>
      <x:c r="K1095" s="1"/>
      <x:c r="L1095" s="1" t="str">
        <x:v>https://blog.skyairline.com/author/administrador/page/24/</x:v>
      </x:c>
      <x:c r="M1095" s="1" t="n">
        <x:v>0</x:v>
      </x:c>
    </x:row>
    <x:row r="1096" ht="18.75" customHeight="1">
      <x:c r="A1096" s="1" t="str">
        <x:v>https://blog.skyairline.com/sky-plus/</x:v>
      </x:c>
      <x:c r="B1096" s="1" t="str">
        <x:v>400 puntos sky plus</x:v>
      </x:c>
      <x:c r="C1096" s="1" t="str">
        <x:v>chl</x:v>
      </x:c>
      <x:c r="D1096" s="1" t="str">
        <x:v>Marca</x:v>
      </x:c>
      <x:c r="E1096" s="35" t="n">
        <x:v>2</x:v>
      </x:c>
      <x:c r="F1096" s="36"/>
      <x:c r="G1096" s="36" t="str">
        <x:f>IF(ISNUMBER(F1096),E1096*F1096,"")</x:f>
      </x:c>
      <x:c r="H1096" s="37" t="d">
        <x:v>2026-10-15T00:00:00.000Z</x:v>
      </x:c>
      <x:c r="I1096" s="37" t="d">
        <x:v>2026-09-16T15:47:43.000Z</x:v>
      </x:c>
      <x:c r="J1096" s="1" t="n">
        <x:f>IF(ISNUMBER(F1096),E1096,0)</x:f>
        <x:v>0</x:v>
      </x:c>
      <x:c r="K1096" s="1"/>
      <x:c r="L1096" s="1" t="str">
        <x:v>https://blog.skyairline.com/author/administrador/page/25/</x:v>
      </x:c>
      <x:c r="M1096" s="1" t="n">
        <x:v>0</x:v>
      </x:c>
    </x:row>
    <x:row r="1097" ht="18.75" customHeight="1">
      <x:c r="A1097" s="1" t="str">
        <x:v>https://blog.skyairline.com/sky-plus/</x:v>
      </x:c>
      <x:c r="B1097" s="1" t="str">
        <x:v>beneficios sky plus platino</x:v>
      </x:c>
      <x:c r="C1097" s="1" t="str">
        <x:v>chl</x:v>
      </x:c>
      <x:c r="D1097" s="1" t="str">
        <x:v>Marca</x:v>
      </x:c>
      <x:c r="E1097" s="35" t="n">
        <x:v>2</x:v>
      </x:c>
      <x:c r="F1097" s="36" t="n">
        <x:v>1.7</x:v>
      </x:c>
      <x:c r="G1097" s="36" t="n">
        <x:f>IF(ISNUMBER(F1097),E1097*F1097,"")</x:f>
        <x:v>3.4</x:v>
      </x:c>
      <x:c r="H1097" s="37" t="d">
        <x:v>2026-10-15T00:00:00.000Z</x:v>
      </x:c>
      <x:c r="I1097" s="37" t="d">
        <x:v>2026-09-16T05:01:50.000Z</x:v>
      </x:c>
      <x:c r="J1097" s="1" t="n">
        <x:f>IF(ISNUMBER(F1097),E1097,0)</x:f>
        <x:v>2</x:v>
      </x:c>
      <x:c r="K1097" s="1"/>
      <x:c r="L1097" s="1" t="str">
        <x:v>https://blog.skyairline.com/author/administrador/page/26/</x:v>
      </x:c>
      <x:c r="M1097" s="1" t="n">
        <x:v>0</x:v>
      </x:c>
    </x:row>
    <x:row r="1098" ht="18.75" customHeight="1">
      <x:c r="A1098" s="1" t="str">
        <x:v>https://blog.skyairline.com/sky-plus/</x:v>
      </x:c>
      <x:c r="B1098" s="1" t="str">
        <x:v>canje puntos sky</x:v>
      </x:c>
      <x:c r="C1098" s="1" t="str">
        <x:v>chl</x:v>
      </x:c>
      <x:c r="D1098" s="1" t="str">
        <x:v>Marca</x:v>
      </x:c>
      <x:c r="E1098" s="35" t="n">
        <x:v>2</x:v>
      </x:c>
      <x:c r="F1098" s="36"/>
      <x:c r="G1098" s="36" t="str">
        <x:f>IF(ISNUMBER(F1098),E1098*F1098,"")</x:f>
      </x:c>
      <x:c r="H1098" s="37"/>
      <x:c r="I1098" s="37"/>
      <x:c r="J1098" s="1" t="n">
        <x:f>IF(ISNUMBER(F1098),E1098,0)</x:f>
        <x:v>0</x:v>
      </x:c>
      <x:c r="K1098" s="1"/>
      <x:c r="L1098" s="1" t="str">
        <x:v>https://blog.skyairline.com/author/administrador/page/27/</x:v>
      </x:c>
      <x:c r="M1098" s="1" t="n">
        <x:v>0</x:v>
      </x:c>
    </x:row>
    <x:row r="1099" ht="18.75" customHeight="1">
      <x:c r="A1099" s="1" t="str">
        <x:v>https://blog.skyairline.com/sky-plus/</x:v>
      </x:c>
      <x:c r="B1099" s="1" t="str">
        <x:v>canjear puntos sky</x:v>
      </x:c>
      <x:c r="C1099" s="1" t="str">
        <x:v>chl</x:v>
      </x:c>
      <x:c r="D1099" s="1" t="str">
        <x:v>Marca</x:v>
      </x:c>
      <x:c r="E1099" s="35" t="n">
        <x:v>2</x:v>
      </x:c>
      <x:c r="F1099" s="36" t="n">
        <x:v>0.53</x:v>
      </x:c>
      <x:c r="G1099" s="36" t="n">
        <x:f>IF(ISNUMBER(F1099),E1099*F1099,"")</x:f>
        <x:v>1.06</x:v>
      </x:c>
      <x:c r="H1099" s="37" t="d">
        <x:v>2026-10-15T00:00:00.000Z</x:v>
      </x:c>
      <x:c r="I1099" s="37" t="d">
        <x:v>2026-10-15T14:26:02.999Z</x:v>
      </x:c>
      <x:c r="J1099" s="1" t="n">
        <x:f>IF(ISNUMBER(F1099),E1099,0)</x:f>
        <x:v>2</x:v>
      </x:c>
      <x:c r="K1099" s="1"/>
      <x:c r="L1099" s="1" t="str">
        <x:v>https://blog.skyairline.com/author/administrador/page/28/</x:v>
      </x:c>
      <x:c r="M1099" s="1" t="n">
        <x:v>0</x:v>
      </x:c>
    </x:row>
    <x:row r="1100" ht="18.75" customHeight="1">
      <x:c r="A1100" s="1" t="str">
        <x:v>https://blog.skyairline.com/sky-plus/</x:v>
      </x:c>
      <x:c r="B1100" s="1" t="str">
        <x:v>como canjear puntos sky plus</x:v>
      </x:c>
      <x:c r="C1100" s="1" t="str">
        <x:v>chl</x:v>
      </x:c>
      <x:c r="D1100" s="1" t="str">
        <x:v>Marca</x:v>
      </x:c>
      <x:c r="E1100" s="35" t="n">
        <x:v>2</x:v>
      </x:c>
      <x:c r="F1100" s="36"/>
      <x:c r="G1100" s="36" t="str">
        <x:f>IF(ISNUMBER(F1100),E1100*F1100,"")</x:f>
      </x:c>
      <x:c r="H1100" s="37"/>
      <x:c r="I1100" s="37"/>
      <x:c r="J1100" s="1" t="n">
        <x:f>IF(ISNUMBER(F1100),E1100,0)</x:f>
        <x:v>0</x:v>
      </x:c>
      <x:c r="K1100" s="1"/>
      <x:c r="L1100" s="1" t="str">
        <x:v>https://blog.skyairline.com/author/administrador/page/29/</x:v>
      </x:c>
      <x:c r="M1100" s="1" t="n">
        <x:v>0</x:v>
      </x:c>
    </x:row>
    <x:row r="1101" ht="18.75" customHeight="1">
      <x:c r="A1101" s="1" t="str">
        <x:v>https://blog.skyairline.com/sky-plus/</x:v>
      </x:c>
      <x:c r="B1101" s="1" t="str">
        <x:v>como ser sky plus</x:v>
      </x:c>
      <x:c r="C1101" s="1" t="str">
        <x:v>chl</x:v>
      </x:c>
      <x:c r="D1101" s="1" t="str">
        <x:v>Marca</x:v>
      </x:c>
      <x:c r="E1101" s="35" t="n">
        <x:v>2</x:v>
      </x:c>
      <x:c r="F1101" s="36"/>
      <x:c r="G1101" s="36" t="str">
        <x:f>IF(ISNUMBER(F1101),E1101*F1101,"")</x:f>
      </x:c>
      <x:c r="H1101" s="37"/>
      <x:c r="I1101" s="37"/>
      <x:c r="J1101" s="1" t="n">
        <x:f>IF(ISNUMBER(F1101),E1101,0)</x:f>
        <x:v>0</x:v>
      </x:c>
      <x:c r="K1101" s="1"/>
      <x:c r="L1101" s="1" t="str">
        <x:v>https://blog.skyairline.com/author/administrador/page/30/</x:v>
      </x:c>
      <x:c r="M1101" s="1" t="n">
        <x:v>0</x:v>
      </x:c>
    </x:row>
    <x:row r="1102" ht="18.75" customHeight="1">
      <x:c r="A1102" s="1" t="str">
        <x:v>https://blog.skyairline.com/sky-plus/</x:v>
      </x:c>
      <x:c r="B1102" s="1" t="str">
        <x:v>programa sky</x:v>
      </x:c>
      <x:c r="C1102" s="1" t="str">
        <x:v>chl</x:v>
      </x:c>
      <x:c r="D1102" s="1" t="str">
        <x:v>Marca</x:v>
      </x:c>
      <x:c r="E1102" s="35" t="n">
        <x:v>2</x:v>
      </x:c>
      <x:c r="F1102" s="36"/>
      <x:c r="G1102" s="36" t="str">
        <x:f>IF(ISNUMBER(F1102),E1102*F1102,"")</x:f>
      </x:c>
      <x:c r="H1102" s="37"/>
      <x:c r="I1102" s="37"/>
      <x:c r="J1102" s="1" t="n">
        <x:f>IF(ISNUMBER(F1102),E1102,0)</x:f>
        <x:v>0</x:v>
      </x:c>
      <x:c r="K1102" s="1"/>
      <x:c r="L1102" s="1" t="str">
        <x:v>https://blog.skyairline.com/author/administrador/page/33/</x:v>
      </x:c>
      <x:c r="M1102" s="1" t="n">
        <x:v>0</x:v>
      </x:c>
    </x:row>
    <x:row r="1103" ht="18.75" customHeight="1">
      <x:c r="A1103" s="1" t="str">
        <x:v>https://blog.skyairline.com/sky-plus/</x:v>
      </x:c>
      <x:c r="B1103" s="1" t="str">
        <x:v>programa sky plus</x:v>
      </x:c>
      <x:c r="C1103" s="1" t="str">
        <x:v>chl</x:v>
      </x:c>
      <x:c r="D1103" s="1" t="str">
        <x:v>Marca</x:v>
      </x:c>
      <x:c r="E1103" s="35" t="n">
        <x:v>2</x:v>
      </x:c>
      <x:c r="F1103" s="36"/>
      <x:c r="G1103" s="36" t="str">
        <x:f>IF(ISNUMBER(F1103),E1103*F1103,"")</x:f>
      </x:c>
      <x:c r="H1103" s="37"/>
      <x:c r="I1103" s="37"/>
      <x:c r="J1103" s="1" t="n">
        <x:f>IF(ISNUMBER(F1103),E1103,0)</x:f>
        <x:v>0</x:v>
      </x:c>
      <x:c r="K1103" s="1"/>
      <x:c r="L1103" s="1" t="str">
        <x:v>https://blog.skyairline.com/author/administrador/page/36/</x:v>
      </x:c>
      <x:c r="M1103" s="1" t="n">
        <x:v>0</x:v>
      </x:c>
    </x:row>
    <x:row r="1104" ht="18.75" customHeight="1">
      <x:c r="A1104" s="1" t="str">
        <x:v>https://blog.skyairline.com/sky-plus/</x:v>
      </x:c>
      <x:c r="B1104" s="1" t="str">
        <x:v>puntos sky plus para que sirven</x:v>
      </x:c>
      <x:c r="C1104" s="1" t="str">
        <x:v>chl</x:v>
      </x:c>
      <x:c r="D1104" s="1" t="str">
        <x:v>Marca</x:v>
      </x:c>
      <x:c r="E1104" s="35" t="n">
        <x:v>2</x:v>
      </x:c>
      <x:c r="F1104" s="36"/>
      <x:c r="G1104" s="36" t="str">
        <x:f>IF(ISNUMBER(F1104),E1104*F1104,"")</x:f>
      </x:c>
      <x:c r="H1104" s="37"/>
      <x:c r="I1104" s="37"/>
      <x:c r="J1104" s="1" t="n">
        <x:f>IF(ISNUMBER(F1104),E1104,0)</x:f>
        <x:v>0</x:v>
      </x:c>
      <x:c r="K1104" s="1"/>
      <x:c r="L1104" s="1" t="str">
        <x:v>https://blog.skyairline.com/author/administrador/page/38/</x:v>
      </x:c>
      <x:c r="M1104" s="1" t="n">
        <x:v>0</x:v>
      </x:c>
    </x:row>
    <x:row r="1105" ht="18.75" customHeight="1">
      <x:c r="A1105" s="1" t="str">
        <x:v>https://blog.skyairline.com/sky-plus/</x:v>
      </x:c>
      <x:c r="B1105" s="1" t="str">
        <x:v>que es sky plus</x:v>
      </x:c>
      <x:c r="C1105" s="1" t="str">
        <x:v>chl</x:v>
      </x:c>
      <x:c r="D1105" s="1" t="str">
        <x:v>Marca</x:v>
      </x:c>
      <x:c r="E1105" s="35" t="n">
        <x:v>2</x:v>
      </x:c>
      <x:c r="F1105" s="36"/>
      <x:c r="G1105" s="36" t="str">
        <x:f>IF(ISNUMBER(F1105),E1105*F1105,"")</x:f>
      </x:c>
      <x:c r="H1105" s="37"/>
      <x:c r="I1105" s="37"/>
      <x:c r="J1105" s="1" t="n">
        <x:f>IF(ISNUMBER(F1105),E1105,0)</x:f>
        <x:v>0</x:v>
      </x:c>
      <x:c r="K1105" s="1"/>
      <x:c r="L1105" s="1" t="str">
        <x:v>https://blog.skyairline.com/author/administrador/page/41/</x:v>
      </x:c>
      <x:c r="M1105" s="1" t="n">
        <x:v>0</x:v>
      </x:c>
    </x:row>
    <x:row r="1106" ht="18.75" customHeight="1">
      <x:c r="A1106" s="1" t="str">
        <x:v>https://blog.skyairline.com/sky-plus/</x:v>
      </x:c>
      <x:c r="B1106" s="1" t="str">
        <x:v>sky membresia</x:v>
      </x:c>
      <x:c r="C1106" s="1" t="str">
        <x:v>chl</x:v>
      </x:c>
      <x:c r="D1106" s="1" t="str">
        <x:v>Marca</x:v>
      </x:c>
      <x:c r="E1106" s="35" t="n">
        <x:v>2</x:v>
      </x:c>
      <x:c r="F1106" s="36"/>
      <x:c r="G1106" s="36" t="str">
        <x:f>IF(ISNUMBER(F1106),E1106*F1106,"")</x:f>
      </x:c>
      <x:c r="H1106" s="37"/>
      <x:c r="I1106" s="37"/>
      <x:c r="J1106" s="1" t="n">
        <x:f>IF(ISNUMBER(F1106),E1106,0)</x:f>
        <x:v>0</x:v>
      </x:c>
      <x:c r="K1106" s="1"/>
      <x:c r="L1106" s="1" t="str">
        <x:v>https://blog.skyairline.com/author/administrador/page/42/</x:v>
      </x:c>
      <x:c r="M1106" s="1" t="n">
        <x:v>0</x:v>
      </x:c>
    </x:row>
    <x:row r="1107" ht="18.75" customHeight="1">
      <x:c r="A1107" s="1" t="str">
        <x:v>https://blog.skyairline.com/sky-plus/</x:v>
      </x:c>
      <x:c r="B1107" s="1" t="str">
        <x:v>sky plus maleta gratis</x:v>
      </x:c>
      <x:c r="C1107" s="1" t="str">
        <x:v>chl</x:v>
      </x:c>
      <x:c r="D1107" s="1" t="str">
        <x:v>Marca</x:v>
      </x:c>
      <x:c r="E1107" s="35" t="n">
        <x:v>2</x:v>
      </x:c>
      <x:c r="F1107" s="36"/>
      <x:c r="G1107" s="36" t="str">
        <x:f>IF(ISNUMBER(F1107),E1107*F1107,"")</x:f>
      </x:c>
      <x:c r="H1107" s="37" t="d">
        <x:v>2026-10-15T00:00:00.000Z</x:v>
      </x:c>
      <x:c r="I1107" s="37" t="d">
        <x:v>2026-09-17T20:40:10.000Z</x:v>
      </x:c>
      <x:c r="J1107" s="1" t="n">
        <x:f>IF(ISNUMBER(F1107),E1107,0)</x:f>
        <x:v>0</x:v>
      </x:c>
      <x:c r="K1107" s="1"/>
      <x:c r="L1107" s="1" t="str">
        <x:v>https://blog.skyairline.com/author/administrador/page/48/</x:v>
      </x:c>
      <x:c r="M1107" s="1" t="n">
        <x:v>0</x:v>
      </x:c>
    </x:row>
    <x:row r="1108" ht="18.75" customHeight="1">
      <x:c r="A1108" s="1" t="str">
        <x:v>https://blog.skyairline.com/sky-plus/</x:v>
      </x:c>
      <x:c r="B1108" s="1" t="str">
        <x:v>sky plus numero de pasajero frecuente</x:v>
      </x:c>
      <x:c r="C1108" s="1" t="str">
        <x:v>chl</x:v>
      </x:c>
      <x:c r="D1108" s="1" t="str">
        <x:v>Marca</x:v>
      </x:c>
      <x:c r="E1108" s="35" t="n">
        <x:v>2</x:v>
      </x:c>
      <x:c r="F1108" s="36"/>
      <x:c r="G1108" s="36" t="str">
        <x:f>IF(ISNUMBER(F1108),E1108*F1108,"")</x:f>
      </x:c>
      <x:c r="H1108" s="37"/>
      <x:c r="I1108" s="37"/>
      <x:c r="J1108" s="1" t="n">
        <x:f>IF(ISNUMBER(F1108),E1108,0)</x:f>
        <x:v>0</x:v>
      </x:c>
      <x:c r="K1108" s="1"/>
      <x:c r="L1108" s="1" t="str">
        <x:v>https://blog.skyairline.com/author/administrador/page/51/</x:v>
      </x:c>
      <x:c r="M1108" s="1" t="n">
        <x:v>0</x:v>
      </x:c>
    </x:row>
    <x:row r="1109" ht="18.75" customHeight="1">
      <x:c r="A1109" s="1" t="str">
        <x:v>https://blog.skyairline.com/sky-plus/</x:v>
      </x:c>
      <x:c r="B1109" s="1" t="str">
        <x:v>sky plus que es</x:v>
      </x:c>
      <x:c r="C1109" s="1" t="str">
        <x:v>chl</x:v>
      </x:c>
      <x:c r="D1109" s="1" t="str">
        <x:v>Marca</x:v>
      </x:c>
      <x:c r="E1109" s="35" t="n">
        <x:v>2</x:v>
      </x:c>
      <x:c r="F1109" s="36"/>
      <x:c r="G1109" s="36" t="str">
        <x:f>IF(ISNUMBER(F1109),E1109*F1109,"")</x:f>
      </x:c>
      <x:c r="H1109" s="37"/>
      <x:c r="I1109" s="37"/>
      <x:c r="J1109" s="1" t="n">
        <x:f>IF(ISNUMBER(F1109),E1109,0)</x:f>
        <x:v>0</x:v>
      </x:c>
      <x:c r="K1109" s="1"/>
      <x:c r="L1109" s="1" t="str">
        <x:v>https://blog.skyairline.com/author/administrador/page/52/</x:v>
      </x:c>
      <x:c r="M1109" s="1" t="n">
        <x:v>0</x:v>
      </x:c>
    </x:row>
    <x:row r="1110" ht="18.75" customHeight="1">
      <x:c r="A1110" s="1" t="str">
        <x:v>https://blog.skyairline.com/sky-plus/</x:v>
      </x:c>
      <x:c r="B1110" s="1" t="str">
        <x:v>sky suscripción</x:v>
      </x:c>
      <x:c r="C1110" s="1" t="str">
        <x:v>chl</x:v>
      </x:c>
      <x:c r="D1110" s="1" t="str">
        <x:v>Marca</x:v>
      </x:c>
      <x:c r="E1110" s="35" t="n">
        <x:v>2</x:v>
      </x:c>
      <x:c r="F1110" s="36"/>
      <x:c r="G1110" s="36" t="str">
        <x:f>IF(ISNUMBER(F1110),E1110*F1110,"")</x:f>
      </x:c>
      <x:c r="H1110" s="37"/>
      <x:c r="I1110" s="37"/>
      <x:c r="J1110" s="1" t="n">
        <x:f>IF(ISNUMBER(F1110),E1110,0)</x:f>
        <x:v>0</x:v>
      </x:c>
      <x:c r="K1110" s="1"/>
      <x:c r="L1110" s="1" t="str">
        <x:v>https://blog.skyairline.com/author/administrador/page/54/</x:v>
      </x:c>
      <x:c r="M1110" s="1" t="n">
        <x:v>0</x:v>
      </x:c>
    </x:row>
    <x:row r="1111" ht="18.75" customHeight="1">
      <x:c r="A1111" s="1" t="str">
        <x:v>https://blog.skyairline.com/sky-plus/</x:v>
      </x:c>
      <x:c r="B1111" s="1" t="str">
        <x:v>skyplus beneficios</x:v>
      </x:c>
      <x:c r="C1111" s="1" t="str">
        <x:v>chl</x:v>
      </x:c>
      <x:c r="D1111" s="1" t="str">
        <x:v>Sin marca</x:v>
      </x:c>
      <x:c r="E1111" s="35" t="n">
        <x:v>2</x:v>
      </x:c>
      <x:c r="F1111" s="36" t="n">
        <x:v>0.79</x:v>
      </x:c>
      <x:c r="G1111" s="36" t="n">
        <x:f>IF(ISNUMBER(F1111),E1111*F1111,"")</x:f>
        <x:v>1.58</x:v>
      </x:c>
      <x:c r="H1111" s="37" t="d">
        <x:v>2026-10-15T00:00:00.000Z</x:v>
      </x:c>
      <x:c r="I1111" s="37" t="d">
        <x:v>2026-09-16T04:01:37.000Z</x:v>
      </x:c>
      <x:c r="J1111" s="1" t="n">
        <x:f>IF(ISNUMBER(F1111),E1111,0)</x:f>
        <x:v>2</x:v>
      </x:c>
      <x:c r="K1111" s="1"/>
      <x:c r="L1111" s="1" t="str">
        <x:v>https://blog.skyairline.com/author/administrador/page/56/</x:v>
      </x:c>
      <x:c r="M1111" s="1" t="n">
        <x:v>0</x:v>
      </x:c>
    </x:row>
    <x:row r="1112" ht="18.75" customHeight="1">
      <x:c r="A1112" s="1" t="str">
        <x:v>https://blog.skyairline.com/sky-plus/</x:v>
      </x:c>
      <x:c r="B1112" s="1" t="str">
        <x:v>skyplus chile</x:v>
      </x:c>
      <x:c r="C1112" s="1" t="str">
        <x:v>chl</x:v>
      </x:c>
      <x:c r="D1112" s="1" t="str">
        <x:v>Sin marca</x:v>
      </x:c>
      <x:c r="E1112" s="35" t="n">
        <x:v>2</x:v>
      </x:c>
      <x:c r="F1112" s="36" t="n">
        <x:v>0.39</x:v>
      </x:c>
      <x:c r="G1112" s="36" t="n">
        <x:f>IF(ISNUMBER(F1112),E1112*F1112,"")</x:f>
        <x:v>0.78</x:v>
      </x:c>
      <x:c r="H1112" s="37" t="d">
        <x:v>2026-10-15T00:00:00.000Z</x:v>
      </x:c>
      <x:c r="I1112" s="37" t="d">
        <x:v>2026-09-17T00:56:28.000Z</x:v>
      </x:c>
      <x:c r="J1112" s="1" t="n">
        <x:f>IF(ISNUMBER(F1112),E1112,0)</x:f>
        <x:v>2</x:v>
      </x:c>
      <x:c r="K1112" s="1"/>
      <x:c r="L1112" s="1" t="str">
        <x:v>https://blog.skyairline.com/author/administrador/page/57/</x:v>
      </x:c>
      <x:c r="M1112" s="1" t="n">
        <x:v>0</x:v>
      </x:c>
    </x:row>
    <x:row r="1113" ht="18.75" customHeight="1">
      <x:c r="A1113" s="1" t="str">
        <x:v>https://blog.skyairline.com/sky-suma-a-cajamarca-y-talara-a-su-red-de-destinos</x:v>
      </x:c>
      <x:c r="B1113" s="1" t="str">
        <x:v>nueva aerolinea en cajamarca</x:v>
      </x:c>
      <x:c r="C1113" s="1" t="str">
        <x:v>per</x:v>
      </x:c>
      <x:c r="D1113" s="1" t="str">
        <x:v>Sin marca</x:v>
      </x:c>
      <x:c r="E1113" s="35" t="n">
        <x:v>2</x:v>
      </x:c>
      <x:c r="F1113" s="36"/>
      <x:c r="G1113" s="36" t="str">
        <x:f>IF(ISNUMBER(F1113),E1113*F1113,"")</x:f>
      </x:c>
      <x:c r="H1113" s="37"/>
      <x:c r="I1113" s="37"/>
      <x:c r="J1113" s="1" t="n">
        <x:f>IF(ISNUMBER(F1113),E1113,0)</x:f>
        <x:v>0</x:v>
      </x:c>
      <x:c r="K1113" s="1"/>
      <x:c r="L1113" s="1" t="str">
        <x:v>https://blog.skyairline.com/author/administrador/page/58/</x:v>
      </x:c>
      <x:c r="M1113" s="1" t="n">
        <x:v>0</x:v>
      </x:c>
    </x:row>
    <x:row r="1114" ht="18.75" customHeight="1">
      <x:c r="A1114" s="1" t="str">
        <x:v>https://blog.skyairline.com/sur-argentino/</x:v>
      </x:c>
      <x:c r="B1114" s="1" t="str">
        <x:v>ciudades del sur argentino</x:v>
      </x:c>
      <x:c r="C1114" s="1" t="str">
        <x:v>arg</x:v>
      </x:c>
      <x:c r="D1114" s="1" t="str">
        <x:v>Sin marca</x:v>
      </x:c>
      <x:c r="E1114" s="35" t="n">
        <x:v>2</x:v>
      </x:c>
      <x:c r="F1114" s="36"/>
      <x:c r="G1114" s="36" t="str">
        <x:f>IF(ISNUMBER(F1114),E1114*F1114,"")</x:f>
      </x:c>
      <x:c r="H1114" s="37"/>
      <x:c r="I1114" s="37"/>
      <x:c r="J1114" s="1" t="n">
        <x:f>IF(ISNUMBER(F1114),E1114,0)</x:f>
        <x:v>0</x:v>
      </x:c>
      <x:c r="K1114" s="1"/>
      <x:c r="L1114" s="1" t="str">
        <x:v>https://blog.skyairline.com/author/administrador/page/59/</x:v>
      </x:c>
      <x:c r="M1114" s="1" t="n">
        <x:v>0</x:v>
      </x:c>
    </x:row>
    <x:row r="1115" ht="18.75" customHeight="1">
      <x:c r="A1115" s="1" t="str">
        <x:v>https://blog.skyairline.com/sur-argentino/</x:v>
      </x:c>
      <x:c r="B1115" s="1" t="str">
        <x:v>destinos del sur argentino</x:v>
      </x:c>
      <x:c r="C1115" s="1" t="str">
        <x:v>arg</x:v>
      </x:c>
      <x:c r="D1115" s="1" t="str">
        <x:v>Sin marca</x:v>
      </x:c>
      <x:c r="E1115" s="35" t="n">
        <x:v>2</x:v>
      </x:c>
      <x:c r="F1115" s="36"/>
      <x:c r="G1115" s="36" t="str">
        <x:f>IF(ISNUMBER(F1115),E1115*F1115,"")</x:f>
      </x:c>
      <x:c r="H1115" s="37"/>
      <x:c r="I1115" s="37"/>
      <x:c r="J1115" s="1" t="n">
        <x:f>IF(ISNUMBER(F1115),E1115,0)</x:f>
        <x:v>0</x:v>
      </x:c>
      <x:c r="K1115" s="1"/>
      <x:c r="L1115" s="1" t="str">
        <x:v>https://blog.skyairline.com/author/administrador/page/61/</x:v>
      </x:c>
      <x:c r="M1115" s="1" t="n">
        <x:v>0</x:v>
      </x:c>
    </x:row>
    <x:row r="1116" ht="18.75" customHeight="1">
      <x:c r="A1116" s="1" t="str">
        <x:v>https://blog.skyairline.com/sur-argentino/</x:v>
      </x:c>
      <x:c r="B1116" s="1" t="str">
        <x:v>lugares del sur argentino para visitar</x:v>
      </x:c>
      <x:c r="C1116" s="1" t="str">
        <x:v>arg</x:v>
      </x:c>
      <x:c r="D1116" s="1" t="str">
        <x:v>Sin marca</x:v>
      </x:c>
      <x:c r="E1116" s="35" t="n">
        <x:v>2</x:v>
      </x:c>
      <x:c r="F1116" s="36"/>
      <x:c r="G1116" s="36" t="str">
        <x:f>IF(ISNUMBER(F1116),E1116*F1116,"")</x:f>
      </x:c>
      <x:c r="H1116" s="37"/>
      <x:c r="I1116" s="37"/>
      <x:c r="J1116" s="1" t="n">
        <x:f>IF(ISNUMBER(F1116),E1116,0)</x:f>
        <x:v>0</x:v>
      </x:c>
      <x:c r="K1116" s="1"/>
      <x:c r="L1116" s="1" t="str">
        <x:v>https://blog.skyairline.com/author/administrador/page/62/</x:v>
      </x:c>
      <x:c r="M1116" s="1" t="n">
        <x:v>0</x:v>
      </x:c>
    </x:row>
    <x:row r="1117" ht="18.75" customHeight="1">
      <x:c r="A1117" s="1" t="str">
        <x:v>https://blog.skyairline.com/sur-argentino/</x:v>
      </x:c>
      <x:c r="B1117" s="1" t="str">
        <x:v>lugares del sur para conocer</x:v>
      </x:c>
      <x:c r="C1117" s="1" t="str">
        <x:v>arg</x:v>
      </x:c>
      <x:c r="D1117" s="1" t="str">
        <x:v>Sin marca</x:v>
      </x:c>
      <x:c r="E1117" s="35" t="n">
        <x:v>2</x:v>
      </x:c>
      <x:c r="F1117" s="36"/>
      <x:c r="G1117" s="36" t="str">
        <x:f>IF(ISNUMBER(F1117),E1117*F1117,"")</x:f>
      </x:c>
      <x:c r="H1117" s="37"/>
      <x:c r="I1117" s="37"/>
      <x:c r="J1117" s="1" t="n">
        <x:f>IF(ISNUMBER(F1117),E1117,0)</x:f>
        <x:v>0</x:v>
      </x:c>
      <x:c r="K1117" s="1"/>
      <x:c r="L1117" s="1" t="str">
        <x:v>https://blog.skyairline.com/author/administrador/page/63/</x:v>
      </x:c>
      <x:c r="M1117" s="1" t="n">
        <x:v>0</x:v>
      </x:c>
    </x:row>
    <x:row r="1118" ht="18.75" customHeight="1">
      <x:c r="A1118" s="1" t="str">
        <x:v>https://blog.skyairline.com/sur-argentino/</x:v>
      </x:c>
      <x:c r="B1118" s="1" t="str">
        <x:v>lugares del sur para vacacionar</x:v>
      </x:c>
      <x:c r="C1118" s="1" t="str">
        <x:v>arg</x:v>
      </x:c>
      <x:c r="D1118" s="1" t="str">
        <x:v>Sin marca</x:v>
      </x:c>
      <x:c r="E1118" s="35" t="n">
        <x:v>2</x:v>
      </x:c>
      <x:c r="F1118" s="36"/>
      <x:c r="G1118" s="36" t="str">
        <x:f>IF(ISNUMBER(F1118),E1118*F1118,"")</x:f>
      </x:c>
      <x:c r="H1118" s="37"/>
      <x:c r="I1118" s="37"/>
      <x:c r="J1118" s="1" t="n">
        <x:f>IF(ISNUMBER(F1118),E1118,0)</x:f>
        <x:v>0</x:v>
      </x:c>
      <x:c r="K1118" s="1"/>
      <x:c r="L1118" s="1" t="str">
        <x:v>https://blog.skyairline.com/author/administrador/page/66/</x:v>
      </x:c>
      <x:c r="M1118" s="1" t="n">
        <x:v>0</x:v>
      </x:c>
    </x:row>
    <x:row r="1119" ht="18.75" customHeight="1">
      <x:c r="A1119" s="1" t="str">
        <x:v>https://blog.skyairline.com/sur-argentino/</x:v>
      </x:c>
      <x:c r="B1119" s="1" t="str">
        <x:v>lugares en el sur de argentina para visitar</x:v>
      </x:c>
      <x:c r="C1119" s="1" t="str">
        <x:v>arg</x:v>
      </x:c>
      <x:c r="D1119" s="1" t="str">
        <x:v>Sin marca</x:v>
      </x:c>
      <x:c r="E1119" s="35" t="n">
        <x:v>2</x:v>
      </x:c>
      <x:c r="F1119" s="36"/>
      <x:c r="G1119" s="36" t="str">
        <x:f>IF(ISNUMBER(F1119),E1119*F1119,"")</x:f>
      </x:c>
      <x:c r="H1119" s="37"/>
      <x:c r="I1119" s="37"/>
      <x:c r="J1119" s="1" t="n">
        <x:f>IF(ISNUMBER(F1119),E1119,0)</x:f>
        <x:v>0</x:v>
      </x:c>
      <x:c r="K1119" s="1"/>
      <x:c r="L1119" s="1" t="str">
        <x:v>https://blog.skyairline.com/author/administrador/page/67/</x:v>
      </x:c>
      <x:c r="M1119" s="1" t="n">
        <x:v>0</x:v>
      </x:c>
    </x:row>
    <x:row r="1120" ht="18.75" customHeight="1">
      <x:c r="A1120" s="1" t="str">
        <x:v>https://blog.skyairline.com/sur-argentino/</x:v>
      </x:c>
      <x:c r="B1120" s="1" t="str">
        <x:v>lugares turisticos del sur argentino</x:v>
      </x:c>
      <x:c r="C1120" s="1" t="str">
        <x:v>arg</x:v>
      </x:c>
      <x:c r="D1120" s="1" t="str">
        <x:v>Sin marca</x:v>
      </x:c>
      <x:c r="E1120" s="35" t="n">
        <x:v>2</x:v>
      </x:c>
      <x:c r="F1120" s="36"/>
      <x:c r="G1120" s="36" t="str">
        <x:f>IF(ISNUMBER(F1120),E1120*F1120,"")</x:f>
      </x:c>
      <x:c r="H1120" s="37"/>
      <x:c r="I1120" s="37"/>
      <x:c r="J1120" s="1" t="n">
        <x:f>IF(ISNUMBER(F1120),E1120,0)</x:f>
        <x:v>0</x:v>
      </x:c>
      <x:c r="K1120" s="1"/>
      <x:c r="L1120" s="1" t="str">
        <x:v>https://blog.skyairline.com/author/administrador/page/71/</x:v>
      </x:c>
      <x:c r="M1120" s="1" t="n">
        <x:v>0</x:v>
      </x:c>
    </x:row>
    <x:row r="1121" ht="18.75" customHeight="1">
      <x:c r="A1121" s="1" t="str">
        <x:v>https://blog.skyairline.com/sur-argentino/</x:v>
      </x:c>
      <x:c r="B1121" s="1" t="str">
        <x:v>sur de argentina lugares para visitar</x:v>
      </x:c>
      <x:c r="C1121" s="1" t="str">
        <x:v>ury</x:v>
      </x:c>
      <x:c r="D1121" s="1" t="str">
        <x:v>Sin marca</x:v>
      </x:c>
      <x:c r="E1121" s="35" t="n">
        <x:v>2</x:v>
      </x:c>
      <x:c r="F1121" s="36"/>
      <x:c r="G1121" s="36" t="str">
        <x:f>IF(ISNUMBER(F1121),E1121*F1121,"")</x:f>
      </x:c>
      <x:c r="H1121" s="37"/>
      <x:c r="I1121" s="37"/>
      <x:c r="J1121" s="1" t="n">
        <x:f>IF(ISNUMBER(F1121),E1121,0)</x:f>
        <x:v>0</x:v>
      </x:c>
      <x:c r="K1121" s="1"/>
      <x:c r="L1121" s="1" t="str">
        <x:v>https://blog.skyairline.com/author/administrador/page/72/</x:v>
      </x:c>
      <x:c r="M1121" s="1" t="n">
        <x:v>0</x:v>
      </x:c>
    </x:row>
    <x:row r="1122" ht="18.75" customHeight="1">
      <x:c r="A1122" s="1" t="str">
        <x:v>https://blog.skyairline.com/tiempo-de-chile-a-brasil/</x:v>
      </x:c>
      <x:c r="B1122" s="1" t="str">
        <x:v>cuantas horas son de santiago a brasil en avión</x:v>
      </x:c>
      <x:c r="C1122" s="1" t="str">
        <x:v>chl</x:v>
      </x:c>
      <x:c r="D1122" s="1" t="str">
        <x:v>Sin marca</x:v>
      </x:c>
      <x:c r="E1122" s="35" t="n">
        <x:v>2</x:v>
      </x:c>
      <x:c r="F1122" s="36"/>
      <x:c r="G1122" s="36" t="str">
        <x:f>IF(ISNUMBER(F1122),E1122*F1122,"")</x:f>
      </x:c>
      <x:c r="H1122" s="37" t="d">
        <x:v>2026-10-15T00:00:00.000Z</x:v>
      </x:c>
      <x:c r="I1122" s="37" t="d">
        <x:v>2026-10-15T06:01:16.000Z</x:v>
      </x:c>
      <x:c r="J1122" s="1" t="n">
        <x:f>IF(ISNUMBER(F1122),E1122,0)</x:f>
        <x:v>0</x:v>
      </x:c>
      <x:c r="K1122" s="1"/>
      <x:c r="L1122" s="1" t="str">
        <x:v>https://blog.skyairline.com/author/administrador/page/75/</x:v>
      </x:c>
      <x:c r="M1122" s="1" t="n">
        <x:v>0</x:v>
      </x:c>
    </x:row>
    <x:row r="1123" ht="18.75" customHeight="1">
      <x:c r="A1123" s="1" t="str">
        <x:v>https://blog.skyairline.com/tiempo-de-chile-a-brasil/</x:v>
      </x:c>
      <x:c r="B1123" s="1" t="str">
        <x:v>cuanto dura el viaje a brasil en avion</x:v>
      </x:c>
      <x:c r="C1123" s="1" t="str">
        <x:v>chl</x:v>
      </x:c>
      <x:c r="D1123" s="1" t="str">
        <x:v>Sin marca</x:v>
      </x:c>
      <x:c r="E1123" s="35" t="n">
        <x:v>2</x:v>
      </x:c>
      <x:c r="F1123" s="36"/>
      <x:c r="G1123" s="36" t="str">
        <x:f>IF(ISNUMBER(F1123),E1123*F1123,"")</x:f>
      </x:c>
      <x:c r="H1123" s="37"/>
      <x:c r="I1123" s="37"/>
      <x:c r="J1123" s="1" t="n">
        <x:f>IF(ISNUMBER(F1123),E1123,0)</x:f>
        <x:v>0</x:v>
      </x:c>
      <x:c r="K1123" s="1"/>
      <x:c r="L1123" s="1" t="str">
        <x:v>https://blog.skyairline.com/author/administrador/page/78/</x:v>
      </x:c>
      <x:c r="M1123" s="1" t="n">
        <x:v>0</x:v>
      </x:c>
    </x:row>
    <x:row r="1124" ht="18.75" customHeight="1">
      <x:c r="A1124" s="1" t="str">
        <x:v>https://blog.skyairline.com/tiempo-de-chile-a-brasil/</x:v>
      </x:c>
      <x:c r="B1124" s="1" t="str">
        <x:v>de chile a brasil cuantas horas son</x:v>
      </x:c>
      <x:c r="C1124" s="1" t="str">
        <x:v>chl</x:v>
      </x:c>
      <x:c r="D1124" s="1" t="str">
        <x:v>Sin marca</x:v>
      </x:c>
      <x:c r="E1124" s="35" t="n">
        <x:v>2</x:v>
      </x:c>
      <x:c r="F1124" s="36" t="n">
        <x:v>0.09</x:v>
      </x:c>
      <x:c r="G1124" s="36" t="n">
        <x:f>IF(ISNUMBER(F1124),E1124*F1124,"")</x:f>
        <x:v>0.18</x:v>
      </x:c>
      <x:c r="H1124" s="37" t="d">
        <x:v>2026-10-15T00:00:00.000Z</x:v>
      </x:c>
      <x:c r="I1124" s="37" t="d">
        <x:v>2026-09-17T20:24:56.000Z</x:v>
      </x:c>
      <x:c r="J1124" s="1" t="n">
        <x:f>IF(ISNUMBER(F1124),E1124,0)</x:f>
        <x:v>2</x:v>
      </x:c>
      <x:c r="K1124" s="1"/>
      <x:c r="L1124" s="1" t="str">
        <x:v>https://blog.skyairline.com/author/administrador/page/79/</x:v>
      </x:c>
      <x:c r="M1124" s="1" t="n">
        <x:v>0</x:v>
      </x:c>
    </x:row>
    <x:row r="1125" ht="18.75" customHeight="1">
      <x:c r="A1125" s="1" t="str">
        <x:v>https://blog.skyairline.com/tiempo-de-chile-a-brasil/</x:v>
      </x:c>
      <x:c r="B1125" s="1" t="str">
        <x:v>de santiago a brasil cuantas horas son</x:v>
      </x:c>
      <x:c r="C1125" s="1" t="str">
        <x:v>chl</x:v>
      </x:c>
      <x:c r="D1125" s="1" t="str">
        <x:v>Sin marca</x:v>
      </x:c>
      <x:c r="E1125" s="35" t="n">
        <x:v>2</x:v>
      </x:c>
      <x:c r="F1125" s="36" t="n">
        <x:v>1.16</x:v>
      </x:c>
      <x:c r="G1125" s="36" t="n">
        <x:f>IF(ISNUMBER(F1125),E1125*F1125,"")</x:f>
        <x:v>2.32</x:v>
      </x:c>
      <x:c r="H1125" s="37" t="d">
        <x:v>2026-10-15T00:00:00.000Z</x:v>
      </x:c>
      <x:c r="I1125" s="37" t="d">
        <x:v>2026-09-13T00:57:12.999Z</x:v>
      </x:c>
      <x:c r="J1125" s="1" t="n">
        <x:f>IF(ISNUMBER(F1125),E1125,0)</x:f>
        <x:v>2</x:v>
      </x:c>
      <x:c r="K1125" s="1"/>
      <x:c r="L1125" s="1" t="str">
        <x:v>https://blog.skyairline.com/author/administrador/page/83/</x:v>
      </x:c>
      <x:c r="M1125" s="1" t="n">
        <x:v>0</x:v>
      </x:c>
    </x:row>
    <x:row r="1126" ht="18.75" customHeight="1">
      <x:c r="A1126" s="1" t="str">
        <x:v>https://blog.skyairline.com/tiempo-de-chile-a-brasil/</x:v>
      </x:c>
      <x:c r="B1126" s="1" t="str">
        <x:v>tiempo de vuelo a sao paulo</x:v>
      </x:c>
      <x:c r="C1126" s="1" t="str">
        <x:v>chl</x:v>
      </x:c>
      <x:c r="D1126" s="1" t="str">
        <x:v>Sin marca</x:v>
      </x:c>
      <x:c r="E1126" s="35" t="n">
        <x:v>2</x:v>
      </x:c>
      <x:c r="F1126" s="36"/>
      <x:c r="G1126" s="36" t="str">
        <x:f>IF(ISNUMBER(F1126),E1126*F1126,"")</x:f>
      </x:c>
      <x:c r="H1126" s="37"/>
      <x:c r="I1126" s="37"/>
      <x:c r="J1126" s="1" t="n">
        <x:f>IF(ISNUMBER(F1126),E1126,0)</x:f>
        <x:v>0</x:v>
      </x:c>
      <x:c r="K1126" s="1"/>
      <x:c r="L1126" s="1" t="str">
        <x:v>https://blog.skyairline.com/author/administrador/page/86/</x:v>
      </x:c>
      <x:c r="M1126" s="1" t="n">
        <x:v>0</x:v>
      </x:c>
    </x:row>
    <x:row r="1127" ht="18.75" customHeight="1">
      <x:c r="A1127" s="1" t="str">
        <x:v>https://blog.skyairline.com/tipos-de-equipaje/</x:v>
      </x:c>
      <x:c r="B1127" s="1" t="str">
        <x:v>agregar equipaje sky</x:v>
      </x:c>
      <x:c r="C1127" s="1" t="str">
        <x:v>chl</x:v>
      </x:c>
      <x:c r="D1127" s="1" t="str">
        <x:v>Marca</x:v>
      </x:c>
      <x:c r="E1127" s="35" t="n">
        <x:v>2</x:v>
      </x:c>
      <x:c r="F1127" s="36" t="n">
        <x:v>0.77</x:v>
      </x:c>
      <x:c r="G1127" s="36" t="n">
        <x:f>IF(ISNUMBER(F1127),E1127*F1127,"")</x:f>
        <x:v>1.54</x:v>
      </x:c>
      <x:c r="H1127" s="37" t="d">
        <x:v>2026-10-15T00:00:00.000Z</x:v>
      </x:c>
      <x:c r="I1127" s="37" t="d">
        <x:v>2026-09-15T04:37:49.000Z</x:v>
      </x:c>
      <x:c r="J1127" s="1" t="n">
        <x:f>IF(ISNUMBER(F1127),E1127,0)</x:f>
        <x:v>2</x:v>
      </x:c>
      <x:c r="K1127" s="1"/>
      <x:c r="L1127" s="1" t="str">
        <x:v>https://blog.skyairline.com/author/administrador/page/87/</x:v>
      </x:c>
      <x:c r="M1127" s="1" t="n">
        <x:v>0</x:v>
      </x:c>
    </x:row>
    <x:row r="1128" ht="18.75" customHeight="1">
      <x:c r="A1128" s="1" t="str">
        <x:v>https://blog.skyairline.com/tipos-de-equipaje/</x:v>
      </x:c>
      <x:c r="B1128" s="1" t="str">
        <x:v>articulo personal sky airlines</x:v>
      </x:c>
      <x:c r="C1128" s="1" t="str">
        <x:v>per</x:v>
      </x:c>
      <x:c r="D1128" s="1" t="str">
        <x:v>Marca</x:v>
      </x:c>
      <x:c r="E1128" s="35" t="n">
        <x:v>2</x:v>
      </x:c>
      <x:c r="F1128" s="36"/>
      <x:c r="G1128" s="36" t="str">
        <x:f>IF(ISNUMBER(F1128),E1128*F1128,"")</x:f>
      </x:c>
      <x:c r="H1128" s="37"/>
      <x:c r="I1128" s="37"/>
      <x:c r="J1128" s="1" t="n">
        <x:f>IF(ISNUMBER(F1128),E1128,0)</x:f>
        <x:v>0</x:v>
      </x:c>
      <x:c r="K1128" s="1"/>
      <x:c r="L1128" s="1" t="str">
        <x:v>https://blog.skyairline.com/author/administrador/page/88/</x:v>
      </x:c>
      <x:c r="M1128" s="1" t="n">
        <x:v>0</x:v>
      </x:c>
    </x:row>
    <x:row r="1129" ht="18.75" customHeight="1">
      <x:c r="A1129" s="1" t="str">
        <x:v>https://blog.skyairline.com/tipos-de-equipaje/</x:v>
      </x:c>
      <x:c r="B1129" s="1" t="str">
        <x:v>bolso de mano sky airlines</x:v>
      </x:c>
      <x:c r="C1129" s="1" t="str">
        <x:v>chl</x:v>
      </x:c>
      <x:c r="D1129" s="1" t="str">
        <x:v>Marca</x:v>
      </x:c>
      <x:c r="E1129" s="35" t="n">
        <x:v>2</x:v>
      </x:c>
      <x:c r="F1129" s="36" t="n">
        <x:v>0.33</x:v>
      </x:c>
      <x:c r="G1129" s="36" t="n">
        <x:f>IF(ISNUMBER(F1129),E1129*F1129,"")</x:f>
        <x:v>0.66</x:v>
      </x:c>
      <x:c r="H1129" s="37" t="d">
        <x:v>2026-10-15T00:00:00.000Z</x:v>
      </x:c>
      <x:c r="I1129" s="37" t="d">
        <x:v>2026-09-17T13:49:37.000Z</x:v>
      </x:c>
      <x:c r="J1129" s="1" t="n">
        <x:f>IF(ISNUMBER(F1129),E1129,0)</x:f>
        <x:v>2</x:v>
      </x:c>
      <x:c r="K1129" s="1"/>
      <x:c r="L1129" s="1" t="str">
        <x:v>https://blog.skyairline.com/author/administrador/page/9/</x:v>
      </x:c>
      <x:c r="M1129" s="1" t="n">
        <x:v>0</x:v>
      </x:c>
    </x:row>
    <x:row r="1130" ht="18.75" customHeight="1">
      <x:c r="A1130" s="1" t="str">
        <x:v>https://blog.skyairline.com/tipos-de-equipaje/</x:v>
      </x:c>
      <x:c r="B1130" s="1" t="str">
        <x:v>equipaje de bodega sky</x:v>
      </x:c>
      <x:c r="C1130" s="1" t="str">
        <x:v>chl</x:v>
      </x:c>
      <x:c r="D1130" s="1" t="str">
        <x:v>Marca</x:v>
      </x:c>
      <x:c r="E1130" s="35" t="n">
        <x:v>2</x:v>
      </x:c>
      <x:c r="F1130" s="36"/>
      <x:c r="G1130" s="36" t="str">
        <x:f>IF(ISNUMBER(F1130),E1130*F1130,"")</x:f>
      </x:c>
      <x:c r="H1130" s="37" t="d">
        <x:v>2026-10-15T00:00:00.000Z</x:v>
      </x:c>
      <x:c r="I1130" s="37" t="d">
        <x:v>2026-09-13T10:51:40.000Z</x:v>
      </x:c>
      <x:c r="J1130" s="1" t="n">
        <x:f>IF(ISNUMBER(F1130),E1130,0)</x:f>
        <x:v>0</x:v>
      </x:c>
      <x:c r="K1130" s="1"/>
      <x:c r="L1130" s="1" t="str">
        <x:v>https://blog.skyairline.com/author/administrador/page/90/</x:v>
      </x:c>
      <x:c r="M1130" s="1" t="n">
        <x:v>0</x:v>
      </x:c>
    </x:row>
    <x:row r="1131" ht="18.75" customHeight="1">
      <x:c r="A1131" s="1" t="str">
        <x:v>https://blog.skyairline.com/tipos-de-equipaje/</x:v>
      </x:c>
      <x:c r="B1131" s="1" t="str">
        <x:v>equipaje de bodega sky</x:v>
      </x:c>
      <x:c r="C1131" s="1" t="str">
        <x:v>per</x:v>
      </x:c>
      <x:c r="D1131" s="1" t="str">
        <x:v>Marca</x:v>
      </x:c>
      <x:c r="E1131" s="35" t="n">
        <x:v>2</x:v>
      </x:c>
      <x:c r="F1131" s="36"/>
      <x:c r="G1131" s="36" t="str">
        <x:f>IF(ISNUMBER(F1131),E1131*F1131,"")</x:f>
      </x:c>
      <x:c r="H1131" s="37" t="d">
        <x:v>2026-10-15T00:00:00.000Z</x:v>
      </x:c>
      <x:c r="I1131" s="37" t="d">
        <x:v>2026-09-15T11:40:31.000Z</x:v>
      </x:c>
      <x:c r="J1131" s="1" t="n">
        <x:f>IF(ISNUMBER(F1131),E1131,0)</x:f>
        <x:v>0</x:v>
      </x:c>
      <x:c r="K1131" s="1"/>
      <x:c r="L1131" s="1" t="str">
        <x:v>https://blog.skyairline.com/author/administrador/page/91/</x:v>
      </x:c>
      <x:c r="M1131" s="1" t="n">
        <x:v>0</x:v>
      </x:c>
    </x:row>
    <x:row r="1132" ht="18.75" customHeight="1">
      <x:c r="A1132" s="1" t="str">
        <x:v>https://blog.skyairline.com/tipos-de-equipaje/</x:v>
      </x:c>
      <x:c r="B1132" s="1" t="str">
        <x:v>equipaje de mano sky</x:v>
      </x:c>
      <x:c r="C1132" s="1" t="str">
        <x:v>arg</x:v>
      </x:c>
      <x:c r="D1132" s="1" t="str">
        <x:v>Marca</x:v>
      </x:c>
      <x:c r="E1132" s="35" t="n">
        <x:v>2</x:v>
      </x:c>
      <x:c r="F1132" s="36"/>
      <x:c r="G1132" s="36" t="str">
        <x:f>IF(ISNUMBER(F1132),E1132*F1132,"")</x:f>
      </x:c>
      <x:c r="H1132" s="37"/>
      <x:c r="I1132" s="37"/>
      <x:c r="J1132" s="1" t="n">
        <x:f>IF(ISNUMBER(F1132),E1132,0)</x:f>
        <x:v>0</x:v>
      </x:c>
      <x:c r="K1132" s="1"/>
      <x:c r="L1132" s="1" t="str">
        <x:v>https://blog.skyairline.com/author/administrador/page/92/</x:v>
      </x:c>
      <x:c r="M1132" s="1" t="n">
        <x:v>0</x:v>
      </x:c>
    </x:row>
    <x:row r="1133" ht="18.75" customHeight="1">
      <x:c r="A1133" s="1" t="str">
        <x:v>https://blog.skyairline.com/tipos-de-equipaje/</x:v>
      </x:c>
      <x:c r="B1133" s="1" t="str">
        <x:v>equipaje de mano sky airlines</x:v>
      </x:c>
      <x:c r="C1133" s="1" t="str">
        <x:v>esp</x:v>
      </x:c>
      <x:c r="D1133" s="1" t="str">
        <x:v>Marca</x:v>
      </x:c>
      <x:c r="E1133" s="35" t="n">
        <x:v>2</x:v>
      </x:c>
      <x:c r="F1133" s="36"/>
      <x:c r="G1133" s="36" t="str">
        <x:f>IF(ISNUMBER(F1133),E1133*F1133,"")</x:f>
      </x:c>
      <x:c r="H1133" s="37"/>
      <x:c r="I1133" s="37"/>
      <x:c r="J1133" s="1" t="n">
        <x:f>IF(ISNUMBER(F1133),E1133,0)</x:f>
        <x:v>0</x:v>
      </x:c>
      <x:c r="K1133" s="1"/>
      <x:c r="L1133" s="1" t="str">
        <x:v>https://blog.skyairline.com/author/administrador/page/94/</x:v>
      </x:c>
      <x:c r="M1133" s="1" t="n">
        <x:v>0</x:v>
      </x:c>
    </x:row>
    <x:row r="1134" ht="18.75" customHeight="1">
      <x:c r="A1134" s="1" t="str">
        <x:v>https://blog.skyairline.com/tipos-de-equipaje/</x:v>
      </x:c>
      <x:c r="B1134" s="1" t="str">
        <x:v>equipaje en cabina sky</x:v>
      </x:c>
      <x:c r="C1134" s="1" t="str">
        <x:v>chl</x:v>
      </x:c>
      <x:c r="D1134" s="1" t="str">
        <x:v>Marca</x:v>
      </x:c>
      <x:c r="E1134" s="35" t="n">
        <x:v>2</x:v>
      </x:c>
      <x:c r="F1134" s="36"/>
      <x:c r="G1134" s="36" t="str">
        <x:f>IF(ISNUMBER(F1134),E1134*F1134,"")</x:f>
      </x:c>
      <x:c r="H1134" s="37" t="d">
        <x:v>2026-10-15T00:00:00.000Z</x:v>
      </x:c>
      <x:c r="I1134" s="37" t="d">
        <x:v>2026-09-14T12:50:03.000Z</x:v>
      </x:c>
      <x:c r="J1134" s="1" t="n">
        <x:f>IF(ISNUMBER(F1134),E1134,0)</x:f>
        <x:v>0</x:v>
      </x:c>
      <x:c r="K1134" s="1"/>
      <x:c r="L1134" s="1" t="str">
        <x:v>https://blog.skyairline.com/author/administrador/page/96/</x:v>
      </x:c>
      <x:c r="M1134" s="1" t="n">
        <x:v>0</x:v>
      </x:c>
    </x:row>
    <x:row r="1135" ht="18.75" customHeight="1">
      <x:c r="A1135" s="1" t="str">
        <x:v>https://blog.skyairline.com/tipos-de-equipaje/</x:v>
      </x:c>
      <x:c r="B1135" s="1" t="str">
        <x:v>equipaje en cabina sky medidas</x:v>
      </x:c>
      <x:c r="C1135" s="1" t="str">
        <x:v>per</x:v>
      </x:c>
      <x:c r="D1135" s="1" t="str">
        <x:v>Marca</x:v>
      </x:c>
      <x:c r="E1135" s="35" t="n">
        <x:v>2</x:v>
      </x:c>
      <x:c r="F1135" s="36" t="n">
        <x:v>0.96</x:v>
      </x:c>
      <x:c r="G1135" s="36" t="n">
        <x:f>IF(ISNUMBER(F1135),E1135*F1135,"")</x:f>
        <x:v>1.92</x:v>
      </x:c>
      <x:c r="H1135" s="37" t="d">
        <x:v>2026-10-15T00:00:00.000Z</x:v>
      </x:c>
      <x:c r="I1135" s="37" t="d">
        <x:v>2026-09-12T22:22:16.000Z</x:v>
      </x:c>
      <x:c r="J1135" s="1" t="n">
        <x:f>IF(ISNUMBER(F1135),E1135,0)</x:f>
        <x:v>2</x:v>
      </x:c>
      <x:c r="K1135" s="1"/>
      <x:c r="L1135" s="1" t="str">
        <x:v>https://blog.skyairline.com/author/administrador/page/97/</x:v>
      </x:c>
      <x:c r="M1135" s="1" t="n">
        <x:v>0</x:v>
      </x:c>
    </x:row>
    <x:row r="1136" ht="18.75" customHeight="1">
      <x:c r="A1136" s="1" t="str">
        <x:v>https://blog.skyairline.com/tipos-de-equipaje/</x:v>
      </x:c>
      <x:c r="B1136" s="1" t="str">
        <x:v>equipaje en sky airlines</x:v>
      </x:c>
      <x:c r="C1136" s="1" t="str">
        <x:v>arg</x:v>
      </x:c>
      <x:c r="D1136" s="1" t="str">
        <x:v>Marca</x:v>
      </x:c>
      <x:c r="E1136" s="35" t="n">
        <x:v>2</x:v>
      </x:c>
      <x:c r="F1136" s="36"/>
      <x:c r="G1136" s="36" t="str">
        <x:f>IF(ISNUMBER(F1136),E1136*F1136,"")</x:f>
      </x:c>
      <x:c r="H1136" s="37"/>
      <x:c r="I1136" s="37"/>
      <x:c r="J1136" s="1" t="n">
        <x:f>IF(ISNUMBER(F1136),E1136,0)</x:f>
        <x:v>0</x:v>
      </x:c>
      <x:c r="K1136" s="1"/>
      <x:c r="L1136" s="1" t="str">
        <x:v>https://blog.skyairline.com/author/administrador/page/98/</x:v>
      </x:c>
      <x:c r="M1136" s="1" t="n">
        <x:v>0</x:v>
      </x:c>
    </x:row>
    <x:row r="1137" ht="18.75" customHeight="1">
      <x:c r="A1137" s="1" t="str">
        <x:v>https://blog.skyairline.com/tipos-de-equipaje/</x:v>
      </x:c>
      <x:c r="B1137" s="1" t="str">
        <x:v>equipaje en sky airlines</x:v>
      </x:c>
      <x:c r="C1137" s="1" t="str">
        <x:v>ury</x:v>
      </x:c>
      <x:c r="D1137" s="1" t="str">
        <x:v>Marca</x:v>
      </x:c>
      <x:c r="E1137" s="35" t="n">
        <x:v>2</x:v>
      </x:c>
      <x:c r="F1137" s="36"/>
      <x:c r="G1137" s="36" t="str">
        <x:f>IF(ISNUMBER(F1137),E1137*F1137,"")</x:f>
      </x:c>
      <x:c r="H1137" s="37"/>
      <x:c r="I1137" s="37"/>
      <x:c r="J1137" s="1" t="n">
        <x:f>IF(ISNUMBER(F1137),E1137,0)</x:f>
        <x:v>0</x:v>
      </x:c>
      <x:c r="K1137" s="1"/>
      <x:c r="L1137" s="1" t="str">
        <x:v>https://blog.skyairline.com/author/administrador/page/99/</x:v>
      </x:c>
      <x:c r="M1137" s="1" t="n">
        <x:v>0</x:v>
      </x:c>
    </x:row>
    <x:row r="1138" ht="18.75" customHeight="1">
      <x:c r="A1138" s="1" t="str">
        <x:v>https://blog.skyairline.com/tipos-de-equipaje/</x:v>
      </x:c>
      <x:c r="B1138" s="1" t="str">
        <x:v>equipaje mano sky</x:v>
      </x:c>
      <x:c r="C1138" s="1" t="str">
        <x:v>chl</x:v>
      </x:c>
      <x:c r="D1138" s="1" t="str">
        <x:v>Marca</x:v>
      </x:c>
      <x:c r="E1138" s="35" t="n">
        <x:v>2</x:v>
      </x:c>
      <x:c r="F1138" s="36"/>
      <x:c r="G1138" s="36" t="str">
        <x:f>IF(ISNUMBER(F1138),E1138*F1138,"")</x:f>
      </x:c>
      <x:c r="H1138" s="37" t="d">
        <x:v>2026-10-15T00:00:00.000Z</x:v>
      </x:c>
      <x:c r="I1138" s="37" t="d">
        <x:v>2026-09-16T07:05:11.000Z</x:v>
      </x:c>
      <x:c r="J1138" s="1" t="n">
        <x:f>IF(ISNUMBER(F1138),E1138,0)</x:f>
        <x:v>0</x:v>
      </x:c>
      <x:c r="K1138" s="1"/>
      <x:c r="L1138" s="1" t="str">
        <x:v>https://blog.skyairline.com/author/natalia-ortiz/</x:v>
      </x:c>
      <x:c r="M1138" s="1" t="n">
        <x:v>0</x:v>
      </x:c>
    </x:row>
    <x:row r="1139" ht="18.75" customHeight="1">
      <x:c r="A1139" s="1" t="str">
        <x:v>https://blog.skyairline.com/tipos-de-equipaje/</x:v>
      </x:c>
      <x:c r="B1139" s="1" t="str">
        <x:v>equipaje sky airlines</x:v>
      </x:c>
      <x:c r="C1139" s="1" t="str">
        <x:v>chl</x:v>
      </x:c>
      <x:c r="D1139" s="1" t="str">
        <x:v>Marca</x:v>
      </x:c>
      <x:c r="E1139" s="35" t="n">
        <x:v>2</x:v>
      </x:c>
      <x:c r="F1139" s="36" t="n">
        <x:v>1.22</x:v>
      </x:c>
      <x:c r="G1139" s="36" t="n">
        <x:f>IF(ISNUMBER(F1139),E1139*F1139,"")</x:f>
        <x:v>2.44</x:v>
      </x:c>
      <x:c r="H1139" s="37" t="d">
        <x:v>2026-10-15T00:00:00.000Z</x:v>
      </x:c>
      <x:c r="I1139" s="37" t="d">
        <x:v>2026-09-13T11:46:09.000Z</x:v>
      </x:c>
      <x:c r="J1139" s="1" t="n">
        <x:f>IF(ISNUMBER(F1139),E1139,0)</x:f>
        <x:v>2</x:v>
      </x:c>
      <x:c r="K1139" s="1"/>
      <x:c r="L1139" s="1" t="str">
        <x:v>https://blog.skyairline.com/author/natalia-ortiz/page/2/</x:v>
      </x:c>
      <x:c r="M1139" s="1" t="n">
        <x:v>0</x:v>
      </x:c>
    </x:row>
    <x:row r="1140" ht="18.75" customHeight="1">
      <x:c r="A1140" s="1" t="str">
        <x:v>https://blog.skyairline.com/tipos-de-equipaje/</x:v>
      </x:c>
      <x:c r="B1140" s="1" t="str">
        <x:v>equipaje sky airlines</x:v>
      </x:c>
      <x:c r="C1140" s="1" t="str">
        <x:v>col</x:v>
      </x:c>
      <x:c r="D1140" s="1" t="str">
        <x:v>Marca</x:v>
      </x:c>
      <x:c r="E1140" s="35" t="n">
        <x:v>2</x:v>
      </x:c>
      <x:c r="F1140" s="36"/>
      <x:c r="G1140" s="36" t="str">
        <x:f>IF(ISNUMBER(F1140),E1140*F1140,"")</x:f>
      </x:c>
      <x:c r="H1140" s="37"/>
      <x:c r="I1140" s="37"/>
      <x:c r="J1140" s="1" t="n">
        <x:f>IF(ISNUMBER(F1140),E1140,0)</x:f>
        <x:v>0</x:v>
      </x:c>
      <x:c r="K1140" s="1"/>
      <x:c r="L1140" s="1" t="str">
        <x:v>https://blog.skyairline.com/author/natalia-ortiz/page/3/</x:v>
      </x:c>
      <x:c r="M1140" s="1" t="n">
        <x:v>0</x:v>
      </x:c>
    </x:row>
    <x:row r="1141" ht="18.75" customHeight="1">
      <x:c r="A1141" s="1" t="str">
        <x:v>https://blog.skyairline.com/tipos-de-equipaje/</x:v>
      </x:c>
      <x:c r="B1141" s="1" t="str">
        <x:v>equipaje sky medidas</x:v>
      </x:c>
      <x:c r="C1141" s="1" t="str">
        <x:v>per</x:v>
      </x:c>
      <x:c r="D1141" s="1" t="str">
        <x:v>Marca</x:v>
      </x:c>
      <x:c r="E1141" s="35" t="n">
        <x:v>2</x:v>
      </x:c>
      <x:c r="F1141" s="36"/>
      <x:c r="G1141" s="36" t="str">
        <x:f>IF(ISNUMBER(F1141),E1141*F1141,"")</x:f>
      </x:c>
      <x:c r="H1141" s="37" t="d">
        <x:v>2026-10-15T00:00:00.000Z</x:v>
      </x:c>
      <x:c r="I1141" s="37" t="d">
        <x:v>2026-09-17T03:56:27.000Z</x:v>
      </x:c>
      <x:c r="J1141" s="1" t="n">
        <x:f>IF(ISNUMBER(F1141),E1141,0)</x:f>
        <x:v>0</x:v>
      </x:c>
      <x:c r="K1141" s="1"/>
      <x:c r="L1141" s="1" t="str">
        <x:v>https://blog.skyairline.com/author/natalia-ortiz/page/4/</x:v>
      </x:c>
      <x:c r="M1141" s="1" t="n">
        <x:v>0</x:v>
      </x:c>
    </x:row>
    <x:row r="1142" ht="18.75" customHeight="1">
      <x:c r="A1142" s="1" t="str">
        <x:v>https://blog.skyairline.com/tipos-de-equipaje/</x:v>
      </x:c>
      <x:c r="B1142" s="1" t="str">
        <x:v>medidas articulo personal sky</x:v>
      </x:c>
      <x:c r="C1142" s="1" t="str">
        <x:v>per</x:v>
      </x:c>
      <x:c r="D1142" s="1" t="str">
        <x:v>Marca</x:v>
      </x:c>
      <x:c r="E1142" s="35" t="n">
        <x:v>2</x:v>
      </x:c>
      <x:c r="F1142" s="36"/>
      <x:c r="G1142" s="36" t="str">
        <x:f>IF(ISNUMBER(F1142),E1142*F1142,"")</x:f>
      </x:c>
      <x:c r="H1142" s="37"/>
      <x:c r="I1142" s="37"/>
      <x:c r="J1142" s="1" t="n">
        <x:f>IF(ISNUMBER(F1142),E1142,0)</x:f>
        <x:v>0</x:v>
      </x:c>
      <x:c r="K1142" s="1"/>
      <x:c r="L1142" s="1" t="str">
        <x:v>https://blog.skyairline.com/author/natalia-ortiz/page/6/</x:v>
      </x:c>
      <x:c r="M1142" s="1" t="n">
        <x:v>0</x:v>
      </x:c>
    </x:row>
    <x:row r="1143" ht="18.75" customHeight="1">
      <x:c r="A1143" s="1" t="str">
        <x:v>https://blog.skyairline.com/tipos-de-equipaje/</x:v>
      </x:c>
      <x:c r="B1143" s="1" t="str">
        <x:v>medidas equipaje sky</x:v>
      </x:c>
      <x:c r="C1143" s="1" t="str">
        <x:v>per</x:v>
      </x:c>
      <x:c r="D1143" s="1" t="str">
        <x:v>Marca</x:v>
      </x:c>
      <x:c r="E1143" s="35" t="n">
        <x:v>2</x:v>
      </x:c>
      <x:c r="F1143" s="36"/>
      <x:c r="G1143" s="36" t="str">
        <x:f>IF(ISNUMBER(F1143),E1143*F1143,"")</x:f>
      </x:c>
      <x:c r="H1143" s="37" t="d">
        <x:v>2026-10-15T00:00:00.000Z</x:v>
      </x:c>
      <x:c r="I1143" s="37" t="d">
        <x:v>2026-10-15T09:37:34.999Z</x:v>
      </x:c>
      <x:c r="J1143" s="1" t="n">
        <x:f>IF(ISNUMBER(F1143),E1143,0)</x:f>
        <x:v>0</x:v>
      </x:c>
      <x:c r="K1143" s="1"/>
      <x:c r="L1143" s="1" t="str">
        <x:v>https://blog.skyairline.com/bahia-blanca/</x:v>
      </x:c>
      <x:c r="M1143" s="1" t="n">
        <x:v>0</x:v>
      </x:c>
    </x:row>
    <x:row r="1144" ht="18.75" customHeight="1">
      <x:c r="A1144" s="1" t="str">
        <x:v>https://blog.skyairline.com/tipos-de-equipaje/</x:v>
      </x:c>
      <x:c r="B1144" s="1" t="str">
        <x:v>medidas equipaje sky airline</x:v>
      </x:c>
      <x:c r="C1144" s="1" t="str">
        <x:v>ury</x:v>
      </x:c>
      <x:c r="D1144" s="1" t="str">
        <x:v>Marca</x:v>
      </x:c>
      <x:c r="E1144" s="35" t="n">
        <x:v>2</x:v>
      </x:c>
      <x:c r="F1144" s="36"/>
      <x:c r="G1144" s="36" t="str">
        <x:f>IF(ISNUMBER(F1144),E1144*F1144,"")</x:f>
      </x:c>
      <x:c r="H1144" s="37"/>
      <x:c r="I1144" s="37"/>
      <x:c r="J1144" s="1" t="n">
        <x:f>IF(ISNUMBER(F1144),E1144,0)</x:f>
        <x:v>0</x:v>
      </x:c>
      <x:c r="K1144" s="1"/>
      <x:c r="L1144" s="1" t="str">
        <x:v>https://blog.skyairline.com/bahia-inglesa/</x:v>
      </x:c>
      <x:c r="M1144" s="1" t="n">
        <x:v>0</x:v>
      </x:c>
    </x:row>
    <x:row r="1145" ht="18.75" customHeight="1">
      <x:c r="A1145" s="1" t="str">
        <x:v>https://blog.skyairline.com/tipos-de-equipaje/</x:v>
      </x:c>
      <x:c r="B1145" s="1" t="str">
        <x:v>medidas maleta cabina sky</x:v>
      </x:c>
      <x:c r="C1145" s="1" t="str">
        <x:v>arg</x:v>
      </x:c>
      <x:c r="D1145" s="1" t="str">
        <x:v>Marca</x:v>
      </x:c>
      <x:c r="E1145" s="35" t="n">
        <x:v>2</x:v>
      </x:c>
      <x:c r="F1145" s="36"/>
      <x:c r="G1145" s="36" t="str">
        <x:f>IF(ISNUMBER(F1145),E1145*F1145,"")</x:f>
      </x:c>
      <x:c r="H1145" s="37"/>
      <x:c r="I1145" s="37"/>
      <x:c r="J1145" s="1" t="n">
        <x:f>IF(ISNUMBER(F1145),E1145,0)</x:f>
        <x:v>0</x:v>
      </x:c>
      <x:c r="K1145" s="1"/>
      <x:c r="L1145" s="1" t="str">
        <x:v>https://blog.skyairline.com/bahia-principe-guia-de-hoteles-y-experiences-en-el-caribe/</x:v>
      </x:c>
      <x:c r="M1145" s="1" t="n">
        <x:v>0</x:v>
      </x:c>
    </x:row>
    <x:row r="1146" ht="18.75" customHeight="1">
      <x:c r="A1146" s="1" t="str">
        <x:v>https://blog.skyairline.com/tipos-de-equipaje/</x:v>
      </x:c>
      <x:c r="B1146" s="1" t="str">
        <x:v>medidas maleta sky</x:v>
      </x:c>
      <x:c r="C1146" s="1" t="str">
        <x:v>per</x:v>
      </x:c>
      <x:c r="D1146" s="1" t="str">
        <x:v>Marca</x:v>
      </x:c>
      <x:c r="E1146" s="35" t="n">
        <x:v>2</x:v>
      </x:c>
      <x:c r="F1146" s="36"/>
      <x:c r="G1146" s="36" t="str">
        <x:f>IF(ISNUMBER(F1146),E1146*F1146,"")</x:f>
      </x:c>
      <x:c r="H1146" s="37"/>
      <x:c r="I1146" s="37"/>
      <x:c r="J1146" s="1" t="n">
        <x:f>IF(ISNUMBER(F1146),E1146,0)</x:f>
        <x:v>0</x:v>
      </x:c>
      <x:c r="K1146" s="1"/>
      <x:c r="L1146" s="1" t="str">
        <x:v>https://blog.skyairline.com/bahia-principe-guia-de-hoteles-y-experiencias-en-le-caribe/</x:v>
      </x:c>
      <x:c r="M1146" s="1" t="n">
        <x:v>0</x:v>
      </x:c>
    </x:row>
    <x:row r="1147" ht="18.75" customHeight="1">
      <x:c r="A1147" s="1" t="str">
        <x:v>https://blog.skyairline.com/tipos-de-equipaje/</x:v>
      </x:c>
      <x:c r="B1147" s="1" t="str">
        <x:v>medidas sky</x:v>
      </x:c>
      <x:c r="C1147" s="1" t="str">
        <x:v>chl</x:v>
      </x:c>
      <x:c r="D1147" s="1" t="str">
        <x:v>Marca</x:v>
      </x:c>
      <x:c r="E1147" s="35" t="n">
        <x:v>2</x:v>
      </x:c>
      <x:c r="F1147" s="36"/>
      <x:c r="G1147" s="36" t="str">
        <x:f>IF(ISNUMBER(F1147),E1147*F1147,"")</x:f>
      </x:c>
      <x:c r="H1147" s="37"/>
      <x:c r="I1147" s="37"/>
      <x:c r="J1147" s="1" t="n">
        <x:f>IF(ISNUMBER(F1147),E1147,0)</x:f>
        <x:v>0</x:v>
      </x:c>
      <x:c r="K1147" s="1"/>
      <x:c r="L1147" s="1" t="str">
        <x:v>https://blog.skyairline.com/bahia-principe-guia-de-hoteles-y-experyencias-en-el-caribe/</x:v>
      </x:c>
      <x:c r="M1147" s="1" t="n">
        <x:v>0</x:v>
      </x:c>
    </x:row>
    <x:row r="1148" ht="18.75" customHeight="1">
      <x:c r="A1148" s="1" t="str">
        <x:v>https://blog.skyairline.com/tipos-de-equipaje/</x:v>
      </x:c>
      <x:c r="B1148" s="1" t="str">
        <x:v>mochila sky airlines</x:v>
      </x:c>
      <x:c r="C1148" s="1" t="str">
        <x:v>chl</x:v>
      </x:c>
      <x:c r="D1148" s="1" t="str">
        <x:v>Marca</x:v>
      </x:c>
      <x:c r="E1148" s="35" t="n">
        <x:v>2</x:v>
      </x:c>
      <x:c r="F1148" s="36"/>
      <x:c r="G1148" s="36" t="str">
        <x:f>IF(ISNUMBER(F1148),E1148*F1148,"")</x:f>
      </x:c>
      <x:c r="H1148" s="37" t="d">
        <x:v>2026-10-15T00:00:00.000Z</x:v>
      </x:c>
      <x:c r="I1148" s="37" t="d">
        <x:v>2026-09-14T10:59:28.000Z</x:v>
      </x:c>
      <x:c r="J1148" s="1" t="n">
        <x:f>IF(ISNUMBER(F1148),E1148,0)</x:f>
        <x:v>0</x:v>
      </x:c>
      <x:c r="K1148" s="1"/>
      <x:c r="L1148" s="1" t="str">
        <x:v>https://blog.skyairline.com/bahia-vizcaina/</x:v>
      </x:c>
      <x:c r="M1148" s="1" t="n">
        <x:v>0</x:v>
      </x:c>
    </x:row>
    <x:row r="1149" ht="18.75" customHeight="1">
      <x:c r="A1149" s="1" t="str">
        <x:v>https://blog.skyairline.com/tipos-de-equipaje/</x:v>
      </x:c>
      <x:c r="B1149" s="1" t="str">
        <x:v>sky airline equipaje</x:v>
      </x:c>
      <x:c r="C1149" s="1" t="str">
        <x:v>esp</x:v>
      </x:c>
      <x:c r="D1149" s="1" t="str">
        <x:v>Marca</x:v>
      </x:c>
      <x:c r="E1149" s="35" t="n">
        <x:v>2</x:v>
      </x:c>
      <x:c r="F1149" s="36"/>
      <x:c r="G1149" s="36" t="str">
        <x:f>IF(ISNUMBER(F1149),E1149*F1149,"")</x:f>
      </x:c>
      <x:c r="H1149" s="37"/>
      <x:c r="I1149" s="37"/>
      <x:c r="J1149" s="1" t="n">
        <x:f>IF(ISNUMBER(F1149),E1149,0)</x:f>
        <x:v>0</x:v>
      </x:c>
      <x:c r="K1149" s="1"/>
      <x:c r="L1149" s="1" t="str">
        <x:v>https://blog.skyairline.com/bail-tipicos-chile</x:v>
      </x:c>
      <x:c r="M1149" s="1" t="n">
        <x:v>0</x:v>
      </x:c>
    </x:row>
    <x:row r="1150" ht="18.75" customHeight="1">
      <x:c r="A1150" s="1" t="str">
        <x:v>https://blog.skyairline.com/tipos-de-equipaje/</x:v>
      </x:c>
      <x:c r="B1150" s="1" t="str">
        <x:v>sky airlines bolso de mano medidas</x:v>
      </x:c>
      <x:c r="C1150" s="1" t="str">
        <x:v>ury</x:v>
      </x:c>
      <x:c r="D1150" s="1" t="str">
        <x:v>Marca</x:v>
      </x:c>
      <x:c r="E1150" s="35" t="n">
        <x:v>2</x:v>
      </x:c>
      <x:c r="F1150" s="36"/>
      <x:c r="G1150" s="36" t="str">
        <x:f>IF(ISNUMBER(F1150),E1150*F1150,"")</x:f>
      </x:c>
      <x:c r="H1150" s="37"/>
      <x:c r="I1150" s="37"/>
      <x:c r="J1150" s="1" t="n">
        <x:f>IF(ISNUMBER(F1150),E1150,0)</x:f>
        <x:v>0</x:v>
      </x:c>
      <x:c r="K1150" s="1"/>
      <x:c r="L1150" s="1" t="str">
        <x:v>https://blog.skyairline.com/bailes-chilenos-de-chile/</x:v>
      </x:c>
      <x:c r="M1150" s="1" t="n">
        <x:v>0</x:v>
      </x:c>
    </x:row>
    <x:row r="1151" ht="18.75" customHeight="1">
      <x:c r="A1151" s="1" t="str">
        <x:v>https://blog.skyairline.com/tipos-de-equipaje/</x:v>
      </x:c>
      <x:c r="B1151" s="1" t="str">
        <x:v>sky airlines equipaje</x:v>
      </x:c>
      <x:c r="C1151" s="1" t="str">
        <x:v>ury</x:v>
      </x:c>
      <x:c r="D1151" s="1" t="str">
        <x:v>Marca</x:v>
      </x:c>
      <x:c r="E1151" s="35" t="n">
        <x:v>2</x:v>
      </x:c>
      <x:c r="F1151" s="36"/>
      <x:c r="G1151" s="36" t="str">
        <x:f>IF(ISNUMBER(F1151),E1151*F1151,"")</x:f>
      </x:c>
      <x:c r="H1151" s="37"/>
      <x:c r="I1151" s="37"/>
      <x:c r="J1151" s="1" t="n">
        <x:f>IF(ISNUMBER(F1151),E1151,0)</x:f>
        <x:v>0</x:v>
      </x:c>
      <x:c r="K1151" s="1"/>
      <x:c r="L1151" s="1" t="str">
        <x:v>https://blog.skyairline.com/bailes-de-chile-cueca-y-otros-ritmos</x:v>
      </x:c>
      <x:c r="M1151" s="1" t="n">
        <x:v>0</x:v>
      </x:c>
    </x:row>
    <x:row r="1152" ht="18.75" customHeight="1">
      <x:c r="A1152" s="1" t="str">
        <x:v>https://blog.skyairline.com/tipos-de-equipaje/</x:v>
      </x:c>
      <x:c r="B1152" s="1" t="str">
        <x:v>sky airlines equipaje</x:v>
      </x:c>
      <x:c r="C1152" s="1" t="str">
        <x:v>usa</x:v>
      </x:c>
      <x:c r="D1152" s="1" t="str">
        <x:v>Marca</x:v>
      </x:c>
      <x:c r="E1152" s="35" t="n">
        <x:v>2</x:v>
      </x:c>
      <x:c r="F1152" s="36"/>
      <x:c r="G1152" s="36" t="str">
        <x:f>IF(ISNUMBER(F1152),E1152*F1152,"")</x:f>
      </x:c>
      <x:c r="H1152" s="37"/>
      <x:c r="I1152" s="37"/>
      <x:c r="J1152" s="1" t="n">
        <x:f>IF(ISNUMBER(F1152),E1152,0)</x:f>
        <x:v>0</x:v>
      </x:c>
      <x:c r="K1152" s="1"/>
      <x:c r="L1152" s="1" t="str">
        <x:v>https://blog.skyairline.com/bailes-de-chile-cueca-y-otros-ritmos/</x:v>
      </x:c>
      <x:c r="M1152" s="1" t="n">
        <x:v>0</x:v>
      </x:c>
    </x:row>
    <x:row r="1153" ht="18.75" customHeight="1">
      <x:c r="A1153" s="1" t="str">
        <x:v>https://blog.skyairline.com/tipos-de-equipaje/</x:v>
      </x:c>
      <x:c r="B1153" s="1" t="str">
        <x:v>sky airlines equipaje permitido</x:v>
      </x:c>
      <x:c r="C1153" s="1" t="str">
        <x:v>arg</x:v>
      </x:c>
      <x:c r="D1153" s="1" t="str">
        <x:v>Marca</x:v>
      </x:c>
      <x:c r="E1153" s="35" t="n">
        <x:v>2</x:v>
      </x:c>
      <x:c r="F1153" s="36"/>
      <x:c r="G1153" s="36" t="str">
        <x:f>IF(ISNUMBER(F1153),E1153*F1153,"")</x:f>
      </x:c>
      <x:c r="H1153" s="37"/>
      <x:c r="I1153" s="37"/>
      <x:c r="J1153" s="1" t="n">
        <x:f>IF(ISNUMBER(F1153),E1153,0)</x:f>
        <x:v>0</x:v>
      </x:c>
      <x:c r="K1153" s="1"/>
      <x:c r="L1153" s="1" t="str">
        <x:v>https://blog.skyairline.com/bailes-de-chile/</x:v>
      </x:c>
      <x:c r="M1153" s="1" t="n">
        <x:v>0</x:v>
      </x:c>
    </x:row>
    <x:row r="1154" ht="18.75" customHeight="1">
      <x:c r="A1154" s="1" t="str">
        <x:v>https://blog.skyairline.com/tipos-de-equipaje/</x:v>
      </x:c>
      <x:c r="B1154" s="1" t="str">
        <x:v>sky airlines equipaje precio</x:v>
      </x:c>
      <x:c r="C1154" s="1" t="str">
        <x:v>arg</x:v>
      </x:c>
      <x:c r="D1154" s="1" t="str">
        <x:v>Marca</x:v>
      </x:c>
      <x:c r="E1154" s="35" t="n">
        <x:v>2</x:v>
      </x:c>
      <x:c r="F1154" s="36"/>
      <x:c r="G1154" s="36" t="str">
        <x:f>IF(ISNUMBER(F1154),E1154*F1154,"")</x:f>
      </x:c>
      <x:c r="H1154" s="37"/>
      <x:c r="I1154" s="37"/>
      <x:c r="J1154" s="1" t="n">
        <x:f>IF(ISNUMBER(F1154),E1154,0)</x:f>
        <x:v>0</x:v>
      </x:c>
      <x:c r="K1154" s="1"/>
      <x:c r="L1154" s="1" t="str">
        <x:v>https://blog.skyairline.com/bailes-peruanos</x:v>
      </x:c>
      <x:c r="M1154" s="1" t="n">
        <x:v>0</x:v>
      </x:c>
    </x:row>
    <x:row r="1155" ht="18.75" customHeight="1">
      <x:c r="A1155" s="1" t="str">
        <x:v>https://blog.skyairline.com/tipos-de-equipaje/</x:v>
      </x:c>
      <x:c r="B1155" s="1" t="str">
        <x:v>sky airlines equipaje precio</x:v>
      </x:c>
      <x:c r="C1155" s="1" t="str">
        <x:v>usa</x:v>
      </x:c>
      <x:c r="D1155" s="1" t="str">
        <x:v>Marca</x:v>
      </x:c>
      <x:c r="E1155" s="35" t="n">
        <x:v>2</x:v>
      </x:c>
      <x:c r="F1155" s="36"/>
      <x:c r="G1155" s="36" t="str">
        <x:f>IF(ISNUMBER(F1155),E1155*F1155,"")</x:f>
      </x:c>
      <x:c r="H1155" s="37"/>
      <x:c r="I1155" s="37"/>
      <x:c r="J1155" s="1" t="n">
        <x:f>IF(ISNUMBER(F1155),E1155,0)</x:f>
        <x:v>0</x:v>
      </x:c>
      <x:c r="K1155" s="1"/>
      <x:c r="L1155" s="1" t="str">
        <x:v>https://blog.skyairline.com/bailes-peruanos-mujer</x:v>
      </x:c>
      <x:c r="M1155" s="1" t="n">
        <x:v>0</x:v>
      </x:c>
    </x:row>
    <x:row r="1156" ht="18.75" customHeight="1">
      <x:c r="A1156" s="1" t="str">
        <x:v>https://blog.skyairline.com/tipos-de-equipaje/</x:v>
      </x:c>
      <x:c r="B1156" s="1" t="str">
        <x:v>sky airlines maletas</x:v>
      </x:c>
      <x:c r="C1156" s="1" t="str">
        <x:v>per</x:v>
      </x:c>
      <x:c r="D1156" s="1" t="str">
        <x:v>Marca</x:v>
      </x:c>
      <x:c r="E1156" s="35" t="n">
        <x:v>2</x:v>
      </x:c>
      <x:c r="F1156" s="36"/>
      <x:c r="G1156" s="36" t="str">
        <x:f>IF(ISNUMBER(F1156),E1156*F1156,"")</x:f>
      </x:c>
      <x:c r="H1156" s="37"/>
      <x:c r="I1156" s="37"/>
      <x:c r="J1156" s="1" t="n">
        <x:f>IF(ISNUMBER(F1156),E1156,0)</x:f>
        <x:v>0</x:v>
      </x:c>
      <x:c r="K1156" s="1"/>
      <x:c r="L1156" s="1" t="str">
        <x:v>https://blog.skyairline.com/bailes-t%C3%ADpicos-de-chile/</x:v>
      </x:c>
      <x:c r="M1156" s="1" t="n">
        <x:v>0</x:v>
      </x:c>
    </x:row>
    <x:row r="1157" ht="18.75" customHeight="1">
      <x:c r="A1157" s="1" t="str">
        <x:v>https://blog.skyairline.com/tipos-de-equipaje/</x:v>
      </x:c>
      <x:c r="B1157" s="1" t="str">
        <x:v>sky airlines medidas equipaje</x:v>
      </x:c>
      <x:c r="C1157" s="1" t="str">
        <x:v>chl</x:v>
      </x:c>
      <x:c r="D1157" s="1" t="str">
        <x:v>Marca</x:v>
      </x:c>
      <x:c r="E1157" s="35" t="n">
        <x:v>2</x:v>
      </x:c>
      <x:c r="F1157" s="36"/>
      <x:c r="G1157" s="36" t="str">
        <x:f>IF(ISNUMBER(F1157),E1157*F1157,"")</x:f>
      </x:c>
      <x:c r="H1157" s="37" t="d">
        <x:v>2026-10-15T00:00:00.000Z</x:v>
      </x:c>
      <x:c r="I1157" s="37" t="d">
        <x:v>2026-09-16T10:55:50.000Z</x:v>
      </x:c>
      <x:c r="J1157" s="1" t="n">
        <x:f>IF(ISNUMBER(F1157),E1157,0)</x:f>
        <x:v>0</x:v>
      </x:c>
      <x:c r="K1157" s="1"/>
      <x:c r="L1157" s="1" t="str">
        <x:v>https://blog.skyairline.com/bailes-tipicios-chile/</x:v>
      </x:c>
      <x:c r="M1157" s="1" t="n">
        <x:v>0</x:v>
      </x:c>
    </x:row>
    <x:row r="1158" ht="18.75" customHeight="1">
      <x:c r="A1158" s="1" t="str">
        <x:v>https://blog.skyairline.com/tipos-de-equipaje/</x:v>
      </x:c>
      <x:c r="B1158" s="1" t="str">
        <x:v>sky equipaje</x:v>
      </x:c>
      <x:c r="C1158" s="1" t="str">
        <x:v>col</x:v>
      </x:c>
      <x:c r="D1158" s="1" t="str">
        <x:v>Marca</x:v>
      </x:c>
      <x:c r="E1158" s="35" t="n">
        <x:v>2</x:v>
      </x:c>
      <x:c r="F1158" s="36"/>
      <x:c r="G1158" s="36" t="str">
        <x:f>IF(ISNUMBER(F1158),E1158*F1158,"")</x:f>
      </x:c>
      <x:c r="H1158" s="37"/>
      <x:c r="I1158" s="37"/>
      <x:c r="J1158" s="1" t="n">
        <x:f>IF(ISNUMBER(F1158),E1158,0)</x:f>
        <x:v>0</x:v>
      </x:c>
      <x:c r="K1158" s="1"/>
      <x:c r="L1158" s="1" t="str">
        <x:v>https://blog.skyairline.com/bailes-tipicos-chile-cueca-y-otros-ritmos/</x:v>
      </x:c>
      <x:c r="M1158" s="1" t="n">
        <x:v>0</x:v>
      </x:c>
    </x:row>
    <x:row r="1159" ht="18.75" customHeight="1">
      <x:c r="A1159" s="1" t="str">
        <x:v>https://blog.skyairline.com/tipos-de-equipaje/</x:v>
      </x:c>
      <x:c r="B1159" s="1" t="str">
        <x:v>sky equipaje</x:v>
      </x:c>
      <x:c r="C1159" s="1" t="str">
        <x:v>usa</x:v>
      </x:c>
      <x:c r="D1159" s="1" t="str">
        <x:v>Marca</x:v>
      </x:c>
      <x:c r="E1159" s="35" t="n">
        <x:v>2</x:v>
      </x:c>
      <x:c r="F1159" s="36"/>
      <x:c r="G1159" s="36" t="str">
        <x:f>IF(ISNUMBER(F1159),E1159*F1159,"")</x:f>
      </x:c>
      <x:c r="H1159" s="37"/>
      <x:c r="I1159" s="37"/>
      <x:c r="J1159" s="1" t="n">
        <x:f>IF(ISNUMBER(F1159),E1159,0)</x:f>
        <x:v>0</x:v>
      </x:c>
      <x:c r="K1159" s="1"/>
      <x:c r="L1159" s="1" t="str">
        <x:v>https://blog.skyairline.com/bailes-tipicos-chile/</x:v>
      </x:c>
      <x:c r="M1159" s="1" t="n">
        <x:v>0</x:v>
      </x:c>
    </x:row>
    <x:row r="1160" ht="18.75" customHeight="1">
      <x:c r="A1160" s="1" t="str">
        <x:v>https://blog.skyairline.com/tipos-de-equipaje/</x:v>
      </x:c>
      <x:c r="B1160" s="1" t="str">
        <x:v>sky equipaje de bodega</x:v>
      </x:c>
      <x:c r="C1160" s="1" t="str">
        <x:v>chl</x:v>
      </x:c>
      <x:c r="D1160" s="1" t="str">
        <x:v>Marca</x:v>
      </x:c>
      <x:c r="E1160" s="35" t="n">
        <x:v>2</x:v>
      </x:c>
      <x:c r="F1160" s="36"/>
      <x:c r="G1160" s="36" t="str">
        <x:f>IF(ISNUMBER(F1160),E1160*F1160,"")</x:f>
      </x:c>
      <x:c r="H1160" s="37" t="d">
        <x:v>2026-10-15T00:00:00.000Z</x:v>
      </x:c>
      <x:c r="I1160" s="37" t="d">
        <x:v>2026-09-12T18:38:11.000Z</x:v>
      </x:c>
      <x:c r="J1160" s="1" t="n">
        <x:f>IF(ISNUMBER(F1160),E1160,0)</x:f>
        <x:v>0</x:v>
      </x:c>
      <x:c r="K1160" s="1"/>
      <x:c r="L1160" s="1" t="str">
        <x:v>https://blog.skyairline.com/bailes-tipicos-de-chile</x:v>
      </x:c>
      <x:c r="M1160" s="1" t="n">
        <x:v>0</x:v>
      </x:c>
    </x:row>
    <x:row r="1161" ht="18.75" customHeight="1">
      <x:c r="A1161" s="1" t="str">
        <x:v>https://blog.skyairline.com/tipos-de-equipaje/</x:v>
      </x:c>
      <x:c r="B1161" s="1" t="str">
        <x:v>sky equipaje de mano</x:v>
      </x:c>
      <x:c r="C1161" s="1" t="str">
        <x:v>ury</x:v>
      </x:c>
      <x:c r="D1161" s="1" t="str">
        <x:v>Marca</x:v>
      </x:c>
      <x:c r="E1161" s="35" t="n">
        <x:v>2</x:v>
      </x:c>
      <x:c r="F1161" s="36"/>
      <x:c r="G1161" s="36" t="str">
        <x:f>IF(ISNUMBER(F1161),E1161*F1161,"")</x:f>
      </x:c>
      <x:c r="H1161" s="37"/>
      <x:c r="I1161" s="37"/>
      <x:c r="J1161" s="1" t="n">
        <x:f>IF(ISNUMBER(F1161),E1161,0)</x:f>
        <x:v>0</x:v>
      </x:c>
      <x:c r="K1161" s="1"/>
      <x:c r="L1161" s="1" t="str">
        <x:v>https://blog.skyairline.com/bailes-tipicos-de-chile-cueca-y-otros-ritmos-que-deberian-conocer-%E2%80%E2%80%93-sky-airline-%E2%80%E2%80%93-blog</x:v>
      </x:c>
      <x:c r="M1161" s="1" t="n">
        <x:v>0</x:v>
      </x:c>
    </x:row>
    <x:row r="1162" ht="18.75" customHeight="1">
      <x:c r="A1162" s="1" t="str">
        <x:v>https://blog.skyairline.com/tipos-de-equipaje/</x:v>
      </x:c>
      <x:c r="B1162" s="1" t="str">
        <x:v>sky maleta cabina</x:v>
      </x:c>
      <x:c r="C1162" s="1" t="str">
        <x:v>chl</x:v>
      </x:c>
      <x:c r="D1162" s="1" t="str">
        <x:v>Marca</x:v>
      </x:c>
      <x:c r="E1162" s="35" t="n">
        <x:v>2</x:v>
      </x:c>
      <x:c r="F1162" s="36"/>
      <x:c r="G1162" s="36" t="str">
        <x:f>IF(ISNUMBER(F1162),E1162*F1162,"")</x:f>
      </x:c>
      <x:c r="H1162" s="37"/>
      <x:c r="I1162" s="37"/>
      <x:c r="J1162" s="1" t="n">
        <x:f>IF(ISNUMBER(F1162),E1162,0)</x:f>
        <x:v>0</x:v>
      </x:c>
      <x:c r="K1162" s="1"/>
      <x:c r="L1162" s="1" t="str">
        <x:v>https://blog.skyairline.com/bailes-tipicos-de-chile-cueca-y-otros-ritmos-que-deberias-conocer</x:v>
      </x:c>
      <x:c r="M1162" s="1" t="n">
        <x:v>0</x:v>
      </x:c>
    </x:row>
    <x:row r="1163" ht="18.75" customHeight="1">
      <x:c r="A1163" s="1" t="str">
        <x:v>https://blog.skyairline.com/tipos-de-equipaje/</x:v>
      </x:c>
      <x:c r="B1163" s="1" t="str">
        <x:v>sky medidas</x:v>
      </x:c>
      <x:c r="C1163" s="1" t="str">
        <x:v>chl</x:v>
      </x:c>
      <x:c r="D1163" s="1" t="str">
        <x:v>Marca</x:v>
      </x:c>
      <x:c r="E1163" s="35" t="n">
        <x:v>2</x:v>
      </x:c>
      <x:c r="F1163" s="36"/>
      <x:c r="G1163" s="36" t="str">
        <x:f>IF(ISNUMBER(F1163),E1163*F1163,"")</x:f>
      </x:c>
      <x:c r="H1163" s="37"/>
      <x:c r="I1163" s="37"/>
      <x:c r="J1163" s="1" t="n">
        <x:f>IF(ISNUMBER(F1163),E1163,0)</x:f>
        <x:v>0</x:v>
      </x:c>
      <x:c r="K1163" s="1"/>
      <x:c r="L1163" s="1" t="str">
        <x:v>https://blog.skyairline.com/bailes-tipicos-de-chile-cueca-y-otros-ritmos-que-deberias-conocer/</x:v>
      </x:c>
      <x:c r="M1163" s="1" t="n">
        <x:v>0</x:v>
      </x:c>
    </x:row>
    <x:row r="1164" ht="18.75" customHeight="1">
      <x:c r="A1164" s="1" t="str">
        <x:v>https://blog.skyairline.com/tipos-de-equipaje/</x:v>
      </x:c>
      <x:c r="B1164" s="1" t="str">
        <x:v>sky medidas maletas</x:v>
      </x:c>
      <x:c r="C1164" s="1" t="str">
        <x:v>per</x:v>
      </x:c>
      <x:c r="D1164" s="1" t="str">
        <x:v>Marca</x:v>
      </x:c>
      <x:c r="E1164" s="35" t="n">
        <x:v>2</x:v>
      </x:c>
      <x:c r="F1164" s="36"/>
      <x:c r="G1164" s="36" t="str">
        <x:f>IF(ISNUMBER(F1164),E1164*F1164,"")</x:f>
      </x:c>
      <x:c r="H1164" s="37" t="d">
        <x:v>2026-10-15T00:00:00.000Z</x:v>
      </x:c>
      <x:c r="I1164" s="37" t="d">
        <x:v>2026-09-13T15:16:55.000Z</x:v>
      </x:c>
      <x:c r="J1164" s="1" t="n">
        <x:f>IF(ISNUMBER(F1164),E1164,0)</x:f>
        <x:v>0</x:v>
      </x:c>
      <x:c r="K1164" s="1"/>
      <x:c r="L1164" s="1" t="str">
        <x:v>https://blog.skyairline.com/bailes-tipicos-de-de-chile</x:v>
      </x:c>
      <x:c r="M1164" s="1" t="n">
        <x:v>0</x:v>
      </x:c>
    </x:row>
    <x:row r="1165" ht="18.75" customHeight="1">
      <x:c r="A1165" s="1" t="str">
        <x:v>https://blog.skyairline.com/tipos-de-equipaje/</x:v>
      </x:c>
      <x:c r="B1165" s="1" t="str">
        <x:v>tipos de equipaje en avion</x:v>
      </x:c>
      <x:c r="C1165" s="1" t="str">
        <x:v>chl</x:v>
      </x:c>
      <x:c r="D1165" s="1" t="str">
        <x:v>Sin marca</x:v>
      </x:c>
      <x:c r="E1165" s="35" t="n">
        <x:v>2</x:v>
      </x:c>
      <x:c r="F1165" s="36"/>
      <x:c r="G1165" s="36" t="str">
        <x:f>IF(ISNUMBER(F1165),E1165*F1165,"")</x:f>
      </x:c>
      <x:c r="H1165" s="37"/>
      <x:c r="I1165" s="37"/>
      <x:c r="J1165" s="1" t="n">
        <x:f>IF(ISNUMBER(F1165),E1165,0)</x:f>
        <x:v>0</x:v>
      </x:c>
      <x:c r="K1165" s="1"/>
      <x:c r="L1165" s="1" t="str">
        <x:v>https://blog.skyairline.com/bailes-tipicos-de-de-chile/</x:v>
      </x:c>
      <x:c r="M1165" s="1" t="n">
        <x:v>0</x:v>
      </x:c>
    </x:row>
    <x:row r="1166" ht="18.75" customHeight="1">
      <x:c r="A1166" s="1" t="str">
        <x:v>https://blog.skyairline.com/vacunas-brasil/</x:v>
      </x:c>
      <x:c r="B1166" s="1" t="str">
        <x:v>vacuna para ir a brasil</x:v>
      </x:c>
      <x:c r="C1166" s="1" t="str">
        <x:v>chl</x:v>
      </x:c>
      <x:c r="D1166" s="1" t="str">
        <x:v>Sin marca</x:v>
      </x:c>
      <x:c r="E1166" s="35" t="n">
        <x:v>2</x:v>
      </x:c>
      <x:c r="F1166" s="36" t="n">
        <x:v>0.24</x:v>
      </x:c>
      <x:c r="G1166" s="36" t="n">
        <x:f>IF(ISNUMBER(F1166),E1166*F1166,"")</x:f>
        <x:v>0.48</x:v>
      </x:c>
      <x:c r="H1166" s="37" t="d">
        <x:v>2026-10-15T00:00:00.000Z</x:v>
      </x:c>
      <x:c r="I1166" s="37" t="d">
        <x:v>2026-09-16T04:14:28.000Z</x:v>
      </x:c>
      <x:c r="J1166" s="1" t="n">
        <x:f>IF(ISNUMBER(F1166),E1166,0)</x:f>
        <x:v>2</x:v>
      </x:c>
      <x:c r="K1166" s="1"/>
      <x:c r="L1166" s="1" t="str">
        <x:v>https://blog.skyairline.com/bailes-tipicos-de-skyairline/</x:v>
      </x:c>
      <x:c r="M1166" s="1" t="n">
        <x:v>0</x:v>
      </x:c>
    </x:row>
    <x:row r="1167" ht="18.75" customHeight="1">
      <x:c r="A1167" s="1" t="str">
        <x:v>https://blog.skyairline.com/vacunas-brasil/</x:v>
      </x:c>
      <x:c r="B1167" s="1" t="str">
        <x:v>vacunas obligatorias para viajar a brasil</x:v>
      </x:c>
      <x:c r="C1167" s="1" t="str">
        <x:v>chl</x:v>
      </x:c>
      <x:c r="D1167" s="1" t="str">
        <x:v>Sin marca</x:v>
      </x:c>
      <x:c r="E1167" s="35" t="n">
        <x:v>2</x:v>
      </x:c>
      <x:c r="F1167" s="36"/>
      <x:c r="G1167" s="36" t="str">
        <x:f>IF(ISNUMBER(F1167),E1167*F1167,"")</x:f>
      </x:c>
      <x:c r="H1167" s="37" t="d">
        <x:v>2026-10-15T00:00:00.000Z</x:v>
      </x:c>
      <x:c r="I1167" s="37" t="d">
        <x:v>2026-09-15T00:46:30.000Z</x:v>
      </x:c>
      <x:c r="J1167" s="1" t="n">
        <x:f>IF(ISNUMBER(F1167),E1167,0)</x:f>
        <x:v>0</x:v>
      </x:c>
      <x:c r="K1167" s="1"/>
      <x:c r="L1167" s="1" t="str">
        <x:v>https://blog.skyairline.com/bailes-tipicos-den-peru/</x:v>
      </x:c>
      <x:c r="M1167" s="1" t="n">
        <x:v>0</x:v>
      </x:c>
    </x:row>
    <x:row r="1168" ht="18.75" customHeight="1">
      <x:c r="A1168" s="1" t="str">
        <x:v>https://blog.skyairline.com/viajar-con-bebes/</x:v>
      </x:c>
      <x:c r="B1168" s="1" t="str">
        <x:v>los bebes pagan pasaje de avion</x:v>
      </x:c>
      <x:c r="C1168" s="1" t="str">
        <x:v>per</x:v>
      </x:c>
      <x:c r="D1168" s="1" t="str">
        <x:v>Sin marca</x:v>
      </x:c>
      <x:c r="E1168" s="35" t="n">
        <x:v>2</x:v>
      </x:c>
      <x:c r="F1168" s="36"/>
      <x:c r="G1168" s="36" t="str">
        <x:f>IF(ISNUMBER(F1168),E1168*F1168,"")</x:f>
      </x:c>
      <x:c r="H1168" s="37"/>
      <x:c r="I1168" s="37"/>
      <x:c r="J1168" s="1" t="n">
        <x:f>IF(ISNUMBER(F1168),E1168,0)</x:f>
        <x:v>0</x:v>
      </x:c>
      <x:c r="K1168" s="1"/>
      <x:c r="L1168" s="1" t="str">
        <x:v>https://blog.skyairline.com/bailes-tipicos-peru/</x:v>
      </x:c>
      <x:c r="M1168" s="1" t="n">
        <x:v>0</x:v>
      </x:c>
    </x:row>
    <x:row r="1169" ht="18.75" customHeight="1">
      <x:c r="A1169" s="1" t="str">
        <x:v>https://blog.skyairline.com/viajar-con-bebes/</x:v>
      </x:c>
      <x:c r="B1169" s="1" t="str">
        <x:v>menores de 2 años pagan pasaje en avion</x:v>
      </x:c>
      <x:c r="C1169" s="1" t="str">
        <x:v>per</x:v>
      </x:c>
      <x:c r="D1169" s="1" t="str">
        <x:v>Sin marca</x:v>
      </x:c>
      <x:c r="E1169" s="35" t="n">
        <x:v>2</x:v>
      </x:c>
      <x:c r="F1169" s="36"/>
      <x:c r="G1169" s="36" t="str">
        <x:f>IF(ISNUMBER(F1169),E1169*F1169,"")</x:f>
      </x:c>
      <x:c r="H1169" s="37"/>
      <x:c r="I1169" s="37"/>
      <x:c r="J1169" s="1" t="n">
        <x:f>IF(ISNUMBER(F1169),E1169,0)</x:f>
        <x:v>0</x:v>
      </x:c>
      <x:c r="K1169" s="1"/>
      <x:c r="L1169" s="1" t="str">
        <x:v>https://blog.skyairline.com/bailes-tipicos-zona-centro/</x:v>
      </x:c>
      <x:c r="M1169" s="1" t="n">
        <x:v>0</x:v>
      </x:c>
    </x:row>
    <x:row r="1170" ht="18.75" customHeight="1">
      <x:c r="A1170" s="1" t="str">
        <x:v>https://blog.skyairline.com/viajar-con-bebes/</x:v>
      </x:c>
      <x:c r="B1170" s="1" t="str">
        <x:v>niño de 3 años paga pasaje en avion</x:v>
      </x:c>
      <x:c r="C1170" s="1" t="str">
        <x:v>per</x:v>
      </x:c>
      <x:c r="D1170" s="1" t="str">
        <x:v>Sin marca</x:v>
      </x:c>
      <x:c r="E1170" s="35" t="n">
        <x:v>2</x:v>
      </x:c>
      <x:c r="F1170" s="36"/>
      <x:c r="G1170" s="36" t="str">
        <x:f>IF(ISNUMBER(F1170),E1170*F1170,"")</x:f>
      </x:c>
      <x:c r="H1170" s="37"/>
      <x:c r="I1170" s="37"/>
      <x:c r="J1170" s="1" t="n">
        <x:f>IF(ISNUMBER(F1170),E1170,0)</x:f>
        <x:v>0</x:v>
      </x:c>
      <x:c r="K1170" s="1"/>
      <x:c r="L1170" s="1" t="str">
        <x:v>https://blog.skyairline.com/bailes-tipicos-zona-norte/</x:v>
      </x:c>
      <x:c r="M1170" s="1" t="n">
        <x:v>0</x:v>
      </x:c>
    </x:row>
    <x:row r="1171" ht="18.75" customHeight="1">
      <x:c r="A1171" s="1" t="str">
        <x:v>https://blog.skyairline.com/viajar-con-bebes/</x:v>
      </x:c>
      <x:c r="B1171" s="1" t="str">
        <x:v>niños pagan pasaje en avion</x:v>
      </x:c>
      <x:c r="C1171" s="1" t="str">
        <x:v>per</x:v>
      </x:c>
      <x:c r="D1171" s="1" t="str">
        <x:v>Sin marca</x:v>
      </x:c>
      <x:c r="E1171" s="35" t="n">
        <x:v>2</x:v>
      </x:c>
      <x:c r="F1171" s="36"/>
      <x:c r="G1171" s="36" t="str">
        <x:f>IF(ISNUMBER(F1171),E1171*F1171,"")</x:f>
      </x:c>
      <x:c r="H1171" s="37"/>
      <x:c r="I1171" s="37"/>
      <x:c r="J1171" s="1" t="n">
        <x:f>IF(ISNUMBER(F1171),E1171,0)</x:f>
        <x:v>0</x:v>
      </x:c>
      <x:c r="K1171" s="1"/>
      <x:c r="L1171" s="1" t="str">
        <x:v>https://blog.skyairline.com/bailes-totpicos-de-chile/</x:v>
      </x:c>
      <x:c r="M1171" s="1" t="n">
        <x:v>0</x:v>
      </x:c>
    </x:row>
    <x:row r="1172" ht="18.75" customHeight="1">
      <x:c r="A1172" s="1" t="str">
        <x:v>https://blog.skyairline.com/viajar-con-perros/</x:v>
      </x:c>
      <x:c r="B1172" s="1" t="str">
        <x:v>aerolineas pet friendly</x:v>
      </x:c>
      <x:c r="C1172" s="1" t="str">
        <x:v>chl</x:v>
      </x:c>
      <x:c r="D1172" s="1" t="str">
        <x:v>Sin marca</x:v>
      </x:c>
      <x:c r="E1172" s="35" t="n">
        <x:v>2</x:v>
      </x:c>
      <x:c r="F1172" s="36" t="n">
        <x:v>0.19</x:v>
      </x:c>
      <x:c r="G1172" s="36" t="n">
        <x:f>IF(ISNUMBER(F1172),E1172*F1172,"")</x:f>
        <x:v>0.38</x:v>
      </x:c>
      <x:c r="H1172" s="37" t="d">
        <x:v>2026-10-15T00:00:00.000Z</x:v>
      </x:c>
      <x:c r="I1172" s="37" t="d">
        <x:v>2026-09-14T00:39:33.000Z</x:v>
      </x:c>
      <x:c r="J1172" s="1" t="n">
        <x:f>IF(ISNUMBER(F1172),E1172,0)</x:f>
        <x:v>2</x:v>
      </x:c>
      <x:c r="K1172" s="1"/>
      <x:c r="L1172" s="1" t="str">
        <x:v>https://blog.skyairline.com/ballenas/</x:v>
      </x:c>
      <x:c r="M1172" s="1" t="n">
        <x:v>0</x:v>
      </x:c>
    </x:row>
    <x:row r="1173" ht="18.75" customHeight="1">
      <x:c r="A1173" s="1" t="str">
        <x:v>https://blog.skyairline.com/viajar-con-perros/</x:v>
      </x:c>
      <x:c r="B1173" s="1" t="str">
        <x:v>mascota en bodega sky</x:v>
      </x:c>
      <x:c r="C1173" s="1" t="str">
        <x:v>chl</x:v>
      </x:c>
      <x:c r="D1173" s="1" t="str">
        <x:v>Marca</x:v>
      </x:c>
      <x:c r="E1173" s="35" t="n">
        <x:v>2</x:v>
      </x:c>
      <x:c r="F1173" s="36"/>
      <x:c r="G1173" s="36" t="str">
        <x:f>IF(ISNUMBER(F1173),E1173*F1173,"")</x:f>
      </x:c>
      <x:c r="H1173" s="37" t="d">
        <x:v>2026-10-15T00:00:00.000Z</x:v>
      </x:c>
      <x:c r="I1173" s="37" t="d">
        <x:v>2026-09-12T20:15:13.000Z</x:v>
      </x:c>
      <x:c r="J1173" s="1" t="n">
        <x:f>IF(ISNUMBER(F1173),E1173,0)</x:f>
        <x:v>0</x:v>
      </x:c>
      <x:c r="K1173" s="1"/>
      <x:c r="L1173" s="1" t="str">
        <x:v>https://blog.skyairline.com/balneario-costa-oro-canelones/</x:v>
      </x:c>
      <x:c r="M1173" s="1" t="n">
        <x:v>0</x:v>
      </x:c>
    </x:row>
    <x:row r="1174" ht="18.75" customHeight="1">
      <x:c r="A1174" s="1" t="str">
        <x:v>https://blog.skyairline.com/viajar-con-perros/</x:v>
      </x:c>
      <x:c r="B1174" s="1" t="str">
        <x:v>pet sky</x:v>
      </x:c>
      <x:c r="C1174" s="1" t="str">
        <x:v>chl</x:v>
      </x:c>
      <x:c r="D1174" s="1" t="str">
        <x:v>Marca</x:v>
      </x:c>
      <x:c r="E1174" s="35" t="n">
        <x:v>2</x:v>
      </x:c>
      <x:c r="F1174" s="36"/>
      <x:c r="G1174" s="36" t="str">
        <x:f>IF(ISNUMBER(F1174),E1174*F1174,"")</x:f>
      </x:c>
      <x:c r="H1174" s="37"/>
      <x:c r="I1174" s="37"/>
      <x:c r="J1174" s="1" t="n">
        <x:f>IF(ISNUMBER(F1174),E1174,0)</x:f>
        <x:v>0</x:v>
      </x:c>
      <x:c r="K1174" s="1"/>
      <x:c r="L1174" s="1" t="str">
        <x:v>https://blog.skyairline.com/balnearios-costa-oro-canelones</x:v>
      </x:c>
      <x:c r="M1174" s="1" t="n">
        <x:v>0</x:v>
      </x:c>
    </x:row>
    <x:row r="1175" ht="18.75" customHeight="1">
      <x:c r="A1175" s="1" t="str">
        <x:v>https://blog.skyairline.com/viajar-con-perros/</x:v>
      </x:c>
      <x:c r="B1175" s="1" t="str">
        <x:v>sky airlines mascotas</x:v>
      </x:c>
      <x:c r="C1175" s="1" t="str">
        <x:v>mex</x:v>
      </x:c>
      <x:c r="D1175" s="1" t="str">
        <x:v>Marca</x:v>
      </x:c>
      <x:c r="E1175" s="35" t="n">
        <x:v>2</x:v>
      </x:c>
      <x:c r="F1175" s="36"/>
      <x:c r="G1175" s="36" t="str">
        <x:f>IF(ISNUMBER(F1175),E1175*F1175,"")</x:f>
      </x:c>
      <x:c r="H1175" s="37"/>
      <x:c r="I1175" s="37"/>
      <x:c r="J1175" s="1" t="n">
        <x:f>IF(ISNUMBER(F1175),E1175,0)</x:f>
        <x:v>0</x:v>
      </x:c>
      <x:c r="K1175" s="1"/>
      <x:c r="L1175" s="1" t="str">
        <x:v>https://blog.skyairline.com/banos-termales-de-calientes-pachia</x:v>
      </x:c>
      <x:c r="M1175" s="1" t="n">
        <x:v>0</x:v>
      </x:c>
    </x:row>
    <x:row r="1176" ht="18.75" customHeight="1">
      <x:c r="A1176" s="1" t="str">
        <x:v>https://blog.skyairline.com/viajar-con-perros/</x:v>
      </x:c>
      <x:c r="B1176" s="1" t="str">
        <x:v>sky airlines mascotas en cabina</x:v>
      </x:c>
      <x:c r="C1176" s="1" t="str">
        <x:v>per</x:v>
      </x:c>
      <x:c r="D1176" s="1" t="str">
        <x:v>Marca</x:v>
      </x:c>
      <x:c r="E1176" s="35" t="n">
        <x:v>2</x:v>
      </x:c>
      <x:c r="F1176" s="36"/>
      <x:c r="G1176" s="36" t="str">
        <x:f>IF(ISNUMBER(F1176),E1176*F1176,"")</x:f>
      </x:c>
      <x:c r="H1176" s="37" t="d">
        <x:v>2026-10-15T00:00:00.000Z</x:v>
      </x:c>
      <x:c r="I1176" s="37" t="d">
        <x:v>2026-09-14T22:22:33.000Z</x:v>
      </x:c>
      <x:c r="J1176" s="1" t="n">
        <x:f>IF(ISNUMBER(F1176),E1176,0)</x:f>
        <x:v>0</x:v>
      </x:c>
      <x:c r="K1176" s="1"/>
      <x:c r="L1176" s="1" t="str">
        <x:v>https://blog.skyairline.com/banos-termales-de-tacna/</x:v>
      </x:c>
      <x:c r="M1176" s="1" t="n">
        <x:v>0</x:v>
      </x:c>
    </x:row>
    <x:row r="1177" ht="18.75" customHeight="1">
      <x:c r="A1177" s="1" t="str">
        <x:v>https://blog.skyairline.com/viajar-con-perros/</x:v>
      </x:c>
      <x:c r="B1177" s="1" t="str">
        <x:v>sky mascota</x:v>
      </x:c>
      <x:c r="C1177" s="1" t="str">
        <x:v>per</x:v>
      </x:c>
      <x:c r="D1177" s="1" t="str">
        <x:v>Marca</x:v>
      </x:c>
      <x:c r="E1177" s="35" t="n">
        <x:v>2</x:v>
      </x:c>
      <x:c r="F1177" s="36"/>
      <x:c r="G1177" s="36" t="str">
        <x:f>IF(ISNUMBER(F1177),E1177*F1177,"")</x:f>
      </x:c>
      <x:c r="H1177" s="37"/>
      <x:c r="I1177" s="37"/>
      <x:c r="J1177" s="1" t="n">
        <x:f>IF(ISNUMBER(F1177),E1177,0)</x:f>
        <x:v>0</x:v>
      </x:c>
      <x:c r="K1177" s="1"/>
      <x:c r="L1177" s="1" t="str">
        <x:v>https://blog.skyairline.com/banos-termales-en-ticaco</x:v>
      </x:c>
      <x:c r="M1177" s="1" t="n">
        <x:v>0</x:v>
      </x:c>
    </x:row>
    <x:row r="1178" ht="18.75" customHeight="1">
      <x:c r="A1178" s="1" t="str">
        <x:v>https://blog.skyairline.com/viajar-con-perros/</x:v>
      </x:c>
      <x:c r="B1178" s="1" t="str">
        <x:v>sky perros</x:v>
      </x:c>
      <x:c r="C1178" s="1" t="str">
        <x:v>chl</x:v>
      </x:c>
      <x:c r="D1178" s="1" t="str">
        <x:v>Marca</x:v>
      </x:c>
      <x:c r="E1178" s="35" t="n">
        <x:v>2</x:v>
      </x:c>
      <x:c r="F1178" s="36"/>
      <x:c r="G1178" s="36" t="str">
        <x:f>IF(ISNUMBER(F1178),E1178*F1178,"")</x:f>
      </x:c>
      <x:c r="H1178" s="37" t="d">
        <x:v>2026-10-15T00:00:00.000Z</x:v>
      </x:c>
      <x:c r="I1178" s="37" t="d">
        <x:v>2026-09-15T08:37:06.000Z</x:v>
      </x:c>
      <x:c r="J1178" s="1" t="n">
        <x:f>IF(ISNUMBER(F1178),E1178,0)</x:f>
        <x:v>0</x:v>
      </x:c>
      <x:c r="K1178" s="1"/>
      <x:c r="L1178" s="1" t="str">
        <x:v>https://blog.skyairline.com/bariloche-en-verano/</x:v>
      </x:c>
      <x:c r="M1178" s="1" t="n">
        <x:v>0</x:v>
      </x:c>
    </x:row>
    <x:row r="1179" ht="18.75" customHeight="1">
      <x:c r="A1179" s="1" t="str">
        <x:v>https://blog.skyairline.com/viajar-con-perros/</x:v>
      </x:c>
      <x:c r="B1179" s="1" t="str">
        <x:v>sky transporte de mascotas</x:v>
      </x:c>
      <x:c r="C1179" s="1" t="str">
        <x:v>per</x:v>
      </x:c>
      <x:c r="D1179" s="1" t="str">
        <x:v>Marca</x:v>
      </x:c>
      <x:c r="E1179" s="35" t="n">
        <x:v>2</x:v>
      </x:c>
      <x:c r="F1179" s="36" t="n">
        <x:v>0.33</x:v>
      </x:c>
      <x:c r="G1179" s="36" t="n">
        <x:f>IF(ISNUMBER(F1179),E1179*F1179,"")</x:f>
        <x:v>0.66</x:v>
      </x:c>
      <x:c r="H1179" s="37" t="d">
        <x:v>2026-10-15T00:00:00.000Z</x:v>
      </x:c>
      <x:c r="I1179" s="37" t="d">
        <x:v>2026-09-15T18:06:42.000Z</x:v>
      </x:c>
      <x:c r="J1179" s="1" t="n">
        <x:f>IF(ISNUMBER(F1179),E1179,0)</x:f>
        <x:v>2</x:v>
      </x:c>
      <x:c r="K1179" s="1"/>
      <x:c r="L1179" s="1" t="str">
        <x:v>https://blog.skyairline.com/barra-da-lagoa-el-corazon-de-florianopolis-</x:v>
      </x:c>
      <x:c r="M1179" s="1" t="n">
        <x:v>0</x:v>
      </x:c>
    </x:row>
    <x:row r="1180" ht="18.75" customHeight="1">
      <x:c r="A1180" s="1" t="str">
        <x:v>https://blog.skyairline.com/viajar-solo-con-equipaje-de-mano/</x:v>
      </x:c>
      <x:c r="B1180" s="1" t="str">
        <x:v>sky equipaje de mano</x:v>
      </x:c>
      <x:c r="C1180" s="1" t="str">
        <x:v>chl</x:v>
      </x:c>
      <x:c r="D1180" s="1" t="str">
        <x:v>Marca</x:v>
      </x:c>
      <x:c r="E1180" s="35" t="n">
        <x:v>2</x:v>
      </x:c>
      <x:c r="F1180" s="36" t="n">
        <x:v>1.31</x:v>
      </x:c>
      <x:c r="G1180" s="36" t="n">
        <x:f>IF(ISNUMBER(F1180),E1180*F1180,"")</x:f>
        <x:v>2.62</x:v>
      </x:c>
      <x:c r="H1180" s="37" t="d">
        <x:v>2026-10-15T00:00:00.000Z</x:v>
      </x:c>
      <x:c r="I1180" s="37" t="d">
        <x:v>2026-09-17T08:53:51.000Z</x:v>
      </x:c>
      <x:c r="J1180" s="1" t="n">
        <x:f>IF(ISNUMBER(F1180),E1180,0)</x:f>
        <x:v>2</x:v>
      </x:c>
      <x:c r="K1180" s="1"/>
      <x:c r="L1180" s="1" t="str">
        <x:v>https://blog.skyairline.com/bavaro-punta-cana/</x:v>
      </x:c>
      <x:c r="M1180" s="1" t="n">
        <x:v>0</x:v>
      </x:c>
    </x:row>
    <x:row r="1181" ht="18.75" customHeight="1">
      <x:c r="A1181" s="1" t="str">
        <x:v>https://blog.skyairline.com/viaje-a-brasil-3/</x:v>
      </x:c>
      <x:c r="B1181" s="1" t="str">
        <x:v>documentos para viajar a brasil</x:v>
      </x:c>
      <x:c r="C1181" s="1" t="str">
        <x:v>chl</x:v>
      </x:c>
      <x:c r="D1181" s="1" t="str">
        <x:v>Sin marca</x:v>
      </x:c>
      <x:c r="E1181" s="35" t="n">
        <x:v>2</x:v>
      </x:c>
      <x:c r="F1181" s="36" t="n">
        <x:v>0.07</x:v>
      </x:c>
      <x:c r="G1181" s="36" t="n">
        <x:f>IF(ISNUMBER(F1181),E1181*F1181,"")</x:f>
        <x:v>0.14</x:v>
      </x:c>
      <x:c r="H1181" s="37" t="d">
        <x:v>2026-10-15T00:00:00.000Z</x:v>
      </x:c>
      <x:c r="I1181" s="37" t="d">
        <x:v>2026-09-15T15:20:06.000Z</x:v>
      </x:c>
      <x:c r="J1181" s="1" t="n">
        <x:f>IF(ISNUMBER(F1181),E1181,0)</x:f>
        <x:v>2</x:v>
      </x:c>
      <x:c r="K1181" s="1"/>
      <x:c r="L1181" s="1" t="str">
        <x:v>https://blog.skyairline.com/bebes</x:v>
      </x:c>
      <x:c r="M1181" s="1" t="n">
        <x:v>0</x:v>
      </x:c>
    </x:row>
    <x:row r="1182" ht="18.75" customHeight="1">
      <x:c r="A1182" s="1" t="str">
        <x:v>https://blog.skyairline.com/viaje-a-brasil-3/</x:v>
      </x:c>
      <x:c r="B1182" s="1" t="str">
        <x:v>necesito pasaporte para ir a brasil</x:v>
      </x:c>
      <x:c r="C1182" s="1" t="str">
        <x:v>chl</x:v>
      </x:c>
      <x:c r="D1182" s="1" t="str">
        <x:v>Sin marca</x:v>
      </x:c>
      <x:c r="E1182" s="35" t="n">
        <x:v>2</x:v>
      </x:c>
      <x:c r="F1182" s="36"/>
      <x:c r="G1182" s="36" t="str">
        <x:f>IF(ISNUMBER(F1182),E1182*F1182,"")</x:f>
      </x:c>
      <x:c r="H1182" s="37"/>
      <x:c r="I1182" s="37"/>
      <x:c r="J1182" s="1" t="n">
        <x:f>IF(ISNUMBER(F1182),E1182,0)</x:f>
        <x:v>0</x:v>
      </x:c>
      <x:c r="K1182" s="1"/>
      <x:c r="L1182" s="1" t="str">
        <x:v>https://blog.skyairline.com/belo-horizonte-brasil/</x:v>
      </x:c>
      <x:c r="M1182" s="1" t="n">
        <x:v>0</x:v>
      </x:c>
    </x:row>
    <x:row r="1183" ht="18.75" customHeight="1">
      <x:c r="A1183" s="1" t="str">
        <x:v>https://blog.skyairline.com/viaje-a-brasil-3/</x:v>
      </x:c>
      <x:c r="B1183" s="1" t="str">
        <x:v>que se necesita para viajar a brasil</x:v>
      </x:c>
      <x:c r="C1183" s="1" t="str">
        <x:v>chl</x:v>
      </x:c>
      <x:c r="D1183" s="1" t="str">
        <x:v>Sin marca</x:v>
      </x:c>
      <x:c r="E1183" s="35" t="n">
        <x:v>2</x:v>
      </x:c>
      <x:c r="F1183" s="36"/>
      <x:c r="G1183" s="36" t="str">
        <x:f>IF(ISNUMBER(F1183),E1183*F1183,"")</x:f>
      </x:c>
      <x:c r="H1183" s="37"/>
      <x:c r="I1183" s="37"/>
      <x:c r="J1183" s="1" t="n">
        <x:f>IF(ISNUMBER(F1183),E1183,0)</x:f>
        <x:v>0</x:v>
      </x:c>
      <x:c r="K1183" s="1"/>
      <x:c r="L1183" s="1" t="str">
        <x:v>https://blog.skyairline.com/beto-carrero-santa-catarina-parque-tematico/</x:v>
      </x:c>
      <x:c r="M1183" s="1" t="n">
        <x:v>0</x:v>
      </x:c>
    </x:row>
    <x:row r="1184" ht="18.75" customHeight="1">
      <x:c r="A1184" s="1" t="str">
        <x:v>https://blog.skyairline.com/viaje-a-brasil-3/</x:v>
      </x:c>
      <x:c r="B1184" s="1" t="str">
        <x:v>que se necesita para viajar a brasil desde chile</x:v>
      </x:c>
      <x:c r="C1184" s="1" t="str">
        <x:v>chl</x:v>
      </x:c>
      <x:c r="D1184" s="1" t="str">
        <x:v>Sin marca</x:v>
      </x:c>
      <x:c r="E1184" s="35" t="n">
        <x:v>2</x:v>
      </x:c>
      <x:c r="F1184" s="36" t="n">
        <x:v>0.24</x:v>
      </x:c>
      <x:c r="G1184" s="36" t="n">
        <x:f>IF(ISNUMBER(F1184),E1184*F1184,"")</x:f>
        <x:v>0.48</x:v>
      </x:c>
      <x:c r="H1184" s="37" t="d">
        <x:v>2026-10-15T00:00:00.000Z</x:v>
      </x:c>
      <x:c r="I1184" s="37" t="d">
        <x:v>2026-09-16T00:58:11.999Z</x:v>
      </x:c>
      <x:c r="J1184" s="1" t="n">
        <x:f>IF(ISNUMBER(F1184),E1184,0)</x:f>
        <x:v>2</x:v>
      </x:c>
      <x:c r="K1184" s="1"/>
      <x:c r="L1184" s="1" t="str">
        <x:v>https://blog.skyairline.com/biodiversidad/</x:v>
      </x:c>
      <x:c r="M1184" s="1" t="n">
        <x:v>0</x:v>
      </x:c>
    </x:row>
    <x:row r="1185" ht="18.75" customHeight="1">
      <x:c r="A1185" s="1" t="str">
        <x:v>https://blog.skyairline.com/viaje-a-brasil-3/</x:v>
      </x:c>
      <x:c r="B1185" s="1" t="str">
        <x:v>requisitos para viajar a brasil</x:v>
      </x:c>
      <x:c r="C1185" s="1" t="str">
        <x:v>per</x:v>
      </x:c>
      <x:c r="D1185" s="1" t="str">
        <x:v>Sin marca</x:v>
      </x:c>
      <x:c r="E1185" s="35" t="n">
        <x:v>2</x:v>
      </x:c>
      <x:c r="F1185" s="36" t="n">
        <x:v>0.45</x:v>
      </x:c>
      <x:c r="G1185" s="36" t="n">
        <x:f>IF(ISNUMBER(F1185),E1185*F1185,"")</x:f>
        <x:v>0.9</x:v>
      </x:c>
      <x:c r="H1185" s="37" t="d">
        <x:v>2026-10-15T00:00:00.000Z</x:v>
      </x:c>
      <x:c r="I1185" s="37" t="d">
        <x:v>2026-09-17T13:34:35.000Z</x:v>
      </x:c>
      <x:c r="J1185" s="1" t="n">
        <x:f>IF(ISNUMBER(F1185),E1185,0)</x:f>
        <x:v>2</x:v>
      </x:c>
      <x:c r="K1185" s="1"/>
      <x:c r="L1185" s="1" t="str">
        <x:v>https://blog.skyairline.com/blog-destinos/playas-uruguay</x:v>
      </x:c>
      <x:c r="M1185" s="1" t="n">
        <x:v>0</x:v>
      </x:c>
    </x:row>
    <x:row r="1186" ht="18.75" customHeight="1">
      <x:c r="A1186" s="1" t="str">
        <x:v>https://blog.skyairline.com/viaje-a-ushuaia/</x:v>
      </x:c>
      <x:c r="B1186" s="1" t="str">
        <x:v>como llegar a ushuaia</x:v>
      </x:c>
      <x:c r="C1186" s="1" t="str">
        <x:v>chl</x:v>
      </x:c>
      <x:c r="D1186" s="1" t="str">
        <x:v>Sin marca</x:v>
      </x:c>
      <x:c r="E1186" s="35" t="n">
        <x:v>2</x:v>
      </x:c>
      <x:c r="F1186" s="36" t="n">
        <x:v>1.09</x:v>
      </x:c>
      <x:c r="G1186" s="36" t="n">
        <x:f>IF(ISNUMBER(F1186),E1186*F1186,"")</x:f>
        <x:v>2.18</x:v>
      </x:c>
      <x:c r="H1186" s="37" t="d">
        <x:v>2026-10-15T00:00:00.000Z</x:v>
      </x:c>
      <x:c r="I1186" s="37" t="d">
        <x:v>2026-09-16T05:45:12.000Z</x:v>
      </x:c>
      <x:c r="J1186" s="1" t="n">
        <x:f>IF(ISNUMBER(F1186),E1186,0)</x:f>
        <x:v>2</x:v>
      </x:c>
      <x:c r="K1186" s="1"/>
      <x:c r="L1186" s="1" t="str">
        <x:v>https://blog.skyairline.com/blog-posts/10-cosas-que-hacer-en-caminito/</x:v>
      </x:c>
      <x:c r="M1186" s="1" t="n">
        <x:v>0</x:v>
      </x:c>
    </x:row>
    <x:row r="1187" ht="18.75" customHeight="1">
      <x:c r="A1187" s="1" t="str">
        <x:v>https://blog.skyairline.com/viajes-avion/</x:v>
      </x:c>
      <x:c r="B1187" s="1" t="str">
        <x:v>cuanto tiempo antes debo estar en el aeropuerto vuelo nacional</x:v>
      </x:c>
      <x:c r="C1187" s="1" t="str">
        <x:v>chl</x:v>
      </x:c>
      <x:c r="D1187" s="1" t="str">
        <x:v>Sin marca</x:v>
      </x:c>
      <x:c r="E1187" s="35" t="n">
        <x:v>2</x:v>
      </x:c>
      <x:c r="F1187" s="36" t="n">
        <x:v>0.18</x:v>
      </x:c>
      <x:c r="G1187" s="36" t="n">
        <x:f>IF(ISNUMBER(F1187),E1187*F1187,"")</x:f>
        <x:v>0.36</x:v>
      </x:c>
      <x:c r="H1187" s="37" t="d">
        <x:v>2026-10-15T00:00:00.000Z</x:v>
      </x:c>
      <x:c r="I1187" s="37" t="d">
        <x:v>2026-09-14T20:41:33.000Z</x:v>
      </x:c>
      <x:c r="J1187" s="1" t="n">
        <x:f>IF(ISNUMBER(F1187),E1187,0)</x:f>
        <x:v>2</x:v>
      </x:c>
      <x:c r="K1187" s="1"/>
      <x:c r="L1187" s="1" t="str">
        <x:v>https://blog.skyairline.com/blog-sky-airline-bailes-tipicos-de-chile</x:v>
      </x:c>
      <x:c r="M1187" s="1" t="n">
        <x:v>0</x:v>
      </x:c>
    </x:row>
    <x:row r="1188" ht="18.75" customHeight="1">
      <x:c r="A1188" s="1" t="str">
        <x:v>https://blog.skyairline.com/viajes-avion/</x:v>
      </x:c>
      <x:c r="B1188" s="1" t="str">
        <x:v>sky instrumentos musicales</x:v>
      </x:c>
      <x:c r="C1188" s="1" t="str">
        <x:v>chl</x:v>
      </x:c>
      <x:c r="D1188" s="1" t="str">
        <x:v>Marca</x:v>
      </x:c>
      <x:c r="E1188" s="35" t="n">
        <x:v>2</x:v>
      </x:c>
      <x:c r="F1188" s="36"/>
      <x:c r="G1188" s="36" t="str">
        <x:f>IF(ISNUMBER(F1188),E1188*F1188,"")</x:f>
      </x:c>
      <x:c r="H1188" s="37" t="d">
        <x:v>2026-10-15T00:00:00.000Z</x:v>
      </x:c>
      <x:c r="I1188" s="37" t="d">
        <x:v>2026-09-13T22:19:42.000Z</x:v>
      </x:c>
      <x:c r="J1188" s="1" t="n">
        <x:f>IF(ISNUMBER(F1188),E1188,0)</x:f>
        <x:v>0</x:v>
      </x:c>
      <x:c r="K1188" s="1"/>
      <x:c r="L1188" s="1" t="str">
        <x:v>https://blog.skyairline.com/blog-sky-airline-com-terminal-sur-santiago/</x:v>
      </x:c>
      <x:c r="M1188" s="1" t="n">
        <x:v>0</x:v>
      </x:c>
    </x:row>
    <x:row r="1189" ht="18.75" customHeight="1">
      <x:c r="A1189" s="1" t="str">
        <x:v>https://blog.skyairline.com/villa-de-leyva-desde-bogota/</x:v>
      </x:c>
      <x:c r="B1189" s="1" t="str">
        <x:v>distancia bogota villa de leyva</x:v>
      </x:c>
      <x:c r="C1189" s="1" t="str">
        <x:v>col</x:v>
      </x:c>
      <x:c r="D1189" s="1" t="str">
        <x:v>Sin marca</x:v>
      </x:c>
      <x:c r="E1189" s="35" t="n">
        <x:v>2</x:v>
      </x:c>
      <x:c r="F1189" s="36"/>
      <x:c r="G1189" s="36" t="str">
        <x:f>IF(ISNUMBER(F1189),E1189*F1189,"")</x:f>
      </x:c>
      <x:c r="H1189" s="37"/>
      <x:c r="I1189" s="37"/>
      <x:c r="J1189" s="1" t="n">
        <x:f>IF(ISNUMBER(F1189),E1189,0)</x:f>
        <x:v>0</x:v>
      </x:c>
      <x:c r="K1189" s="1"/>
      <x:c r="L1189" s="1" t="str">
        <x:v>https://blog.skyairline.com/blog-sur-santiago/</x:v>
      </x:c>
      <x:c r="M1189" s="1" t="n">
        <x:v>0</x:v>
      </x:c>
    </x:row>
    <x:row r="1190" ht="18.75" customHeight="1">
      <x:c r="A1190" s="1" t="str">
        <x:v>https://blog.skyairline.com/volcanes-en-puerto-montt-cuales-visitar-y-como-llegar/</x:v>
      </x:c>
      <x:c r="B1190" s="1" t="str">
        <x:v>volcan puerto montt</x:v>
      </x:c>
      <x:c r="C1190" s="1" t="str">
        <x:v>chl</x:v>
      </x:c>
      <x:c r="D1190" s="1" t="str">
        <x:v>Sin marca</x:v>
      </x:c>
      <x:c r="E1190" s="35" t="n">
        <x:v>2</x:v>
      </x:c>
      <x:c r="F1190" s="36"/>
      <x:c r="G1190" s="36" t="str">
        <x:f>IF(ISNUMBER(F1190),E1190*F1190,"")</x:f>
      </x:c>
      <x:c r="H1190" s="37" t="d">
        <x:v>2026-10-15T00:00:00.000Z</x:v>
      </x:c>
      <x:c r="I1190" s="37" t="d">
        <x:v>2026-09-16T07:59:24.000Z</x:v>
      </x:c>
      <x:c r="J1190" s="1" t="n">
        <x:f>IF(ISNUMBER(F1190),E1190,0)</x:f>
        <x:v>0</x:v>
      </x:c>
      <x:c r="K1190" s="1"/>
      <x:c r="L1190" s="1" t="str">
        <x:v>https://blog.skyairline.com/blog.skyairline.com/</x:v>
      </x:c>
      <x:c r="M1190" s="1" t="n">
        <x:v>0</x:v>
      </x:c>
    </x:row>
    <x:row r="1191" ht="18.75" customHeight="1">
      <x:c r="A1191" s="1" t="str">
        <x:v>https://blog.skyairline.com/volcanes-en-puerto-montt-cuales-visitar-y-como-llegar/</x:v>
      </x:c>
      <x:c r="B1191" s="1" t="str">
        <x:v>volcanes de puerto montt</x:v>
      </x:c>
      <x:c r="C1191" s="1" t="str">
        <x:v>chl</x:v>
      </x:c>
      <x:c r="D1191" s="1" t="str">
        <x:v>Sin marca</x:v>
      </x:c>
      <x:c r="E1191" s="35" t="n">
        <x:v>2</x:v>
      </x:c>
      <x:c r="F1191" s="36"/>
      <x:c r="G1191" s="36" t="str">
        <x:f>IF(ISNUMBER(F1191),E1191*F1191,"")</x:f>
      </x:c>
      <x:c r="H1191" s="37" t="d">
        <x:v>2026-10-15T00:00:00.000Z</x:v>
      </x:c>
      <x:c r="I1191" s="37" t="d">
        <x:v>2026-09-13T03:55:30.000Z</x:v>
      </x:c>
      <x:c r="J1191" s="1" t="n">
        <x:f>IF(ISNUMBER(F1191),E1191,0)</x:f>
        <x:v>0</x:v>
      </x:c>
      <x:c r="K1191" s="1"/>
      <x:c r="L1191" s="1" t="str">
        <x:v>https://blog.skyairline.com/blog.skyairline.com/2026/08/20/el-terminal-sur-de-santiago-todo-lo-que-necesitas-saber-del-mayor-terminal-de/</x:v>
      </x:c>
      <x:c r="M1191" s="1" t="n">
        <x:v>0</x:v>
      </x:c>
    </x:row>
    <x:row r="1192" ht="18.75" customHeight="1">
      <x:c r="A1192" s="1" t="str">
        <x:v>https://blog.skyairline.com/</x:v>
      </x:c>
      <x:c r="B1192" s="1" t="str">
        <x:v>blog sky</x:v>
      </x:c>
      <x:c r="C1192" s="1" t="str">
        <x:v>arg</x:v>
      </x:c>
      <x:c r="D1192" s="1" t="str">
        <x:v>Marca</x:v>
      </x:c>
      <x:c r="E1192" s="35" t="n">
        <x:v>1</x:v>
      </x:c>
      <x:c r="F1192" s="36"/>
      <x:c r="G1192" s="36" t="str">
        <x:f>IF(ISNUMBER(F1192),E1192*F1192,"")</x:f>
      </x:c>
      <x:c r="H1192" s="37"/>
      <x:c r="I1192" s="37"/>
      <x:c r="J1192" s="1" t="n">
        <x:f>IF(ISNUMBER(F1192),E1192,0)</x:f>
        <x:v>0</x:v>
      </x:c>
      <x:c r="K1192" s="1"/>
      <x:c r="L1192" s="1" t="str">
        <x:v>https://blog.skyairline.com/blog.skyairline.com/aeropuertos-en-buenos-aires/</x:v>
      </x:c>
      <x:c r="M1192" s="1" t="n">
        <x:v>0</x:v>
      </x:c>
    </x:row>
    <x:row r="1193" ht="18.75" customHeight="1">
      <x:c r="A1193" s="1" t="str">
        <x:v>https://blog.skyairline.com/</x:v>
      </x:c>
      <x:c r="B1193" s="1" t="str">
        <x:v>blog sky</x:v>
      </x:c>
      <x:c r="C1193" s="1" t="str">
        <x:v>chl</x:v>
      </x:c>
      <x:c r="D1193" s="1" t="str">
        <x:v>Marca</x:v>
      </x:c>
      <x:c r="E1193" s="35" t="n">
        <x:v>1</x:v>
      </x:c>
      <x:c r="F1193" s="36"/>
      <x:c r="G1193" s="36" t="str">
        <x:f>IF(ISNUMBER(F1193),E1193*F1193,"")</x:f>
      </x:c>
      <x:c r="H1193" s="37" t="d">
        <x:v>2026-10-15T00:00:00.000Z</x:v>
      </x:c>
      <x:c r="I1193" s="37" t="d">
        <x:v>2026-09-14T15:31:27.000Z</x:v>
      </x:c>
      <x:c r="J1193" s="1" t="n">
        <x:f>IF(ISNUMBER(F1193),E1193,0)</x:f>
        <x:v>0</x:v>
      </x:c>
      <x:c r="K1193" s="1"/>
      <x:c r="L1193" s="1" t="str">
        <x:v>https://blog.skyairline.com/blog.skyairline.com/auroras-australes-en-chile-cuando-y-donde-verlas</x:v>
      </x:c>
      <x:c r="M1193" s="1" t="n">
        <x:v>0</x:v>
      </x:c>
    </x:row>
    <x:row r="1194" ht="18.75" customHeight="1">
      <x:c r="A1194" s="1" t="str">
        <x:v>https://blog.skyairline.com/</x:v>
      </x:c>
      <x:c r="B1194" s="1" t="str">
        <x:v>sky postulaciones tripulante de cabina</x:v>
      </x:c>
      <x:c r="C1194" s="1" t="str">
        <x:v>chl</x:v>
      </x:c>
      <x:c r="D1194" s="1" t="str">
        <x:v>Marca</x:v>
      </x:c>
      <x:c r="E1194" s="35" t="n">
        <x:v>1</x:v>
      </x:c>
      <x:c r="F1194" s="36" t="n">
        <x:v>0.62</x:v>
      </x:c>
      <x:c r="G1194" s="36" t="n">
        <x:f>IF(ISNUMBER(F1194),E1194*F1194,"")</x:f>
        <x:v>0.62</x:v>
      </x:c>
      <x:c r="H1194" s="37" t="d">
        <x:v>2026-10-15T00:00:00.000Z</x:v>
      </x:c>
      <x:c r="I1194" s="37" t="d">
        <x:v>2026-09-13T22:26:24.000Z</x:v>
      </x:c>
      <x:c r="J1194" s="1" t="n">
        <x:f>IF(ISNUMBER(F1194),E1194,0)</x:f>
        <x:v>1</x:v>
      </x:c>
      <x:c r="K1194" s="1"/>
      <x:c r="L1194" s="1" t="str">
        <x:v>https://blog.skyairline.com/blog.skyairline.com/cerro-santa-lucia/</x:v>
      </x:c>
      <x:c r="M1194" s="1" t="n">
        <x:v>0</x:v>
      </x:c>
    </x:row>
    <x:row r="1195" ht="18.75" customHeight="1">
      <x:c r="A1195" s="1" t="str">
        <x:v>https://blog.skyairline.com/</x:v>
      </x:c>
      <x:c r="B1195" s="1" t="str">
        <x:v>sky que puedo llevar en equipaje de mano</x:v>
      </x:c>
      <x:c r="C1195" s="1" t="str">
        <x:v>chl</x:v>
      </x:c>
      <x:c r="D1195" s="1" t="str">
        <x:v>Marca</x:v>
      </x:c>
      <x:c r="E1195" s="35" t="n">
        <x:v>1</x:v>
      </x:c>
      <x:c r="F1195" s="36"/>
      <x:c r="G1195" s="36" t="str">
        <x:f>IF(ISNUMBER(F1195),E1195*F1195,"")</x:f>
      </x:c>
      <x:c r="H1195" s="37" t="d">
        <x:v>2026-10-15T00:00:00.000Z</x:v>
      </x:c>
      <x:c r="I1195" s="37" t="d">
        <x:v>2026-10-15T17:22:03.000Z</x:v>
      </x:c>
      <x:c r="J1195" s="1" t="n">
        <x:f>IF(ISNUMBER(F1195),E1195,0)</x:f>
        <x:v>0</x:v>
      </x:c>
      <x:c r="K1195" s="1"/>
      <x:c r="L1195" s="1" t="str">
        <x:v>https://blog.skyairline.com/blog.skyairline.com/chile-a-cancun-options-and-recommendations</x:v>
      </x:c>
      <x:c r="M1195" s="1" t="n">
        <x:v>0</x:v>
      </x:c>
    </x:row>
    <x:row r="1196" ht="18.75" customHeight="1">
      <x:c r="A1196" s="1" t="str">
        <x:v>https://blog.skyairline.com/10-cosas-que-hacer-en-caminito/</x:v>
      </x:c>
      <x:c r="B1196" s="1" t="str">
        <x:v>barrio caminito</x:v>
      </x:c>
      <x:c r="C1196" s="1" t="str">
        <x:v>chl</x:v>
      </x:c>
      <x:c r="D1196" s="1" t="str">
        <x:v>Sin marca</x:v>
      </x:c>
      <x:c r="E1196" s="35" t="n">
        <x:v>1</x:v>
      </x:c>
      <x:c r="F1196" s="36"/>
      <x:c r="G1196" s="36" t="str">
        <x:f>IF(ISNUMBER(F1196),E1196*F1196,"")</x:f>
      </x:c>
      <x:c r="H1196" s="37"/>
      <x:c r="I1196" s="37"/>
      <x:c r="J1196" s="1" t="n">
        <x:f>IF(ISNUMBER(F1196),E1196,0)</x:f>
        <x:v>0</x:v>
      </x:c>
      <x:c r="K1196" s="1"/>
      <x:c r="L1196" s="1" t="str">
        <x:v>https://blog.skyairline.com/blog.skyairline.com/clima-en-salvador-de-bahia-temperatura-y-mejor-epoca-para-viajar</x:v>
      </x:c>
      <x:c r="M1196" s="1" t="n">
        <x:v>0</x:v>
      </x:c>
    </x:row>
    <x:row r="1197" ht="18.75" customHeight="1">
      <x:c r="A1197" s="1" t="str">
        <x:v>https://blog.skyairline.com/10-cosas-que-hacer-en-caminito/</x:v>
      </x:c>
      <x:c r="B1197" s="1" t="str">
        <x:v>calle caminito buenos aires</x:v>
      </x:c>
      <x:c r="C1197" s="1" t="str">
        <x:v>esp</x:v>
      </x:c>
      <x:c r="D1197" s="1" t="str">
        <x:v>Sin marca</x:v>
      </x:c>
      <x:c r="E1197" s="35" t="n">
        <x:v>1</x:v>
      </x:c>
      <x:c r="F1197" s="36"/>
      <x:c r="G1197" s="36" t="str">
        <x:f>IF(ISNUMBER(F1197),E1197*F1197,"")</x:f>
      </x:c>
      <x:c r="H1197" s="37"/>
      <x:c r="I1197" s="37"/>
      <x:c r="J1197" s="1" t="n">
        <x:f>IF(ISNUMBER(F1197),E1197,0)</x:f>
        <x:v>0</x:v>
      </x:c>
      <x:c r="K1197" s="1"/>
      <x:c r="L1197" s="1" t="str">
        <x:v>https://blog.skyairline.com/blog.skyairline.com/como-llegar-al-terminal-sur</x:v>
      </x:c>
      <x:c r="M1197" s="1" t="n">
        <x:v>0</x:v>
      </x:c>
    </x:row>
    <x:row r="1198" ht="18.75" customHeight="1">
      <x:c r="A1198" s="1" t="str">
        <x:v>https://blog.skyairline.com/10-cosas-que-hacer-en-caminito/</x:v>
      </x:c>
      <x:c r="B1198" s="1" t="str">
        <x:v>caminito</x:v>
      </x:c>
      <x:c r="C1198" s="1" t="str">
        <x:v>ecu</x:v>
      </x:c>
      <x:c r="D1198" s="1" t="str">
        <x:v>Sin marca</x:v>
      </x:c>
      <x:c r="E1198" s="35" t="n">
        <x:v>1</x:v>
      </x:c>
      <x:c r="F1198" s="36"/>
      <x:c r="G1198" s="36" t="str">
        <x:f>IF(ISNUMBER(F1198),E1198*F1198,"")</x:f>
      </x:c>
      <x:c r="H1198" s="37"/>
      <x:c r="I1198" s="37"/>
      <x:c r="J1198" s="1" t="n">
        <x:f>IF(ISNUMBER(F1198),E1198,0)</x:f>
        <x:v>0</x:v>
      </x:c>
      <x:c r="K1198" s="1"/>
      <x:c r="L1198" s="1" t="str">
        <x:v>https://blog.skyairline.com/blog.skyairline.com/es/angra-dos-reis-que-hacer-islas-imperdibles-y-como-planificar</x:v>
      </x:c>
      <x:c r="M1198" s="1" t="n">
        <x:v>0</x:v>
      </x:c>
    </x:row>
    <x:row r="1199" ht="18.75" customHeight="1">
      <x:c r="A1199" s="1" t="str">
        <x:v>https://blog.skyairline.com/10-cosas-que-hacer-en-caminito/</x:v>
      </x:c>
      <x:c r="B1199" s="1" t="str">
        <x:v>caminito buenos aires</x:v>
      </x:c>
      <x:c r="C1199" s="1" t="str">
        <x:v>arg</x:v>
      </x:c>
      <x:c r="D1199" s="1" t="str">
        <x:v>Sin marca</x:v>
      </x:c>
      <x:c r="E1199" s="35" t="n">
        <x:v>1</x:v>
      </x:c>
      <x:c r="F1199" s="36"/>
      <x:c r="G1199" s="36" t="str">
        <x:f>IF(ISNUMBER(F1199),E1199*F1199,"")</x:f>
      </x:c>
      <x:c r="H1199" s="37"/>
      <x:c r="I1199" s="37"/>
      <x:c r="J1199" s="1" t="n">
        <x:f>IF(ISNUMBER(F1199),E1199,0)</x:f>
        <x:v>0</x:v>
      </x:c>
      <x:c r="K1199" s="1"/>
      <x:c r="L1199" s="1" t="str">
        <x:v>https://blog.skyairline.com/blog.skyairline.com/estacionamiento-aeropuerto-santiago/</x:v>
      </x:c>
      <x:c r="M1199" s="1" t="n">
        <x:v>0</x:v>
      </x:c>
    </x:row>
    <x:row r="1200" ht="18.75" customHeight="1">
      <x:c r="A1200" s="1" t="str">
        <x:v>https://blog.skyairline.com/10-cosas-que-hacer-en-caminito/</x:v>
      </x:c>
      <x:c r="B1200" s="1" t="str">
        <x:v>caminito buenos aires horario</x:v>
      </x:c>
      <x:c r="C1200" s="1" t="str">
        <x:v>chl</x:v>
      </x:c>
      <x:c r="D1200" s="1" t="str">
        <x:v>Sin marca</x:v>
      </x:c>
      <x:c r="E1200" s="35" t="n">
        <x:v>1</x:v>
      </x:c>
      <x:c r="F1200" s="36"/>
      <x:c r="G1200" s="36" t="str">
        <x:f>IF(ISNUMBER(F1200),E1200*F1200,"")</x:f>
      </x:c>
      <x:c r="H1200" s="37" t="d">
        <x:v>2026-10-15T00:00:00.000Z</x:v>
      </x:c>
      <x:c r="I1200" s="37" t="d">
        <x:v>2026-09-16T04:24:51.000Z</x:v>
      </x:c>
      <x:c r="J1200" s="1" t="n">
        <x:f>IF(ISNUMBER(F1200),E1200,0)</x:f>
        <x:v>0</x:v>
      </x:c>
      <x:c r="K1200" s="1"/>
      <x:c r="L1200" s="1" t="str">
        <x:v>https://blog.skyairline.com/blog.skyairline.com/fiestas-patrias-de-chile-2/</x:v>
      </x:c>
      <x:c r="M1200" s="1" t="n">
        <x:v>0</x:v>
      </x:c>
    </x:row>
    <x:row r="1201" ht="18.75" customHeight="1">
      <x:c r="A1201" s="1" t="str">
        <x:v>https://blog.skyairline.com/10-cosas-que-hacer-en-caminito/</x:v>
      </x:c>
      <x:c r="B1201" s="1" t="str">
        <x:v>caminito la boca</x:v>
      </x:c>
      <x:c r="C1201" s="1" t="str">
        <x:v>chl</x:v>
      </x:c>
      <x:c r="D1201" s="1" t="str">
        <x:v>Sin marca</x:v>
      </x:c>
      <x:c r="E1201" s="35" t="n">
        <x:v>1</x:v>
      </x:c>
      <x:c r="F1201" s="36" t="n">
        <x:v>0.4</x:v>
      </x:c>
      <x:c r="G1201" s="36" t="n">
        <x:f>IF(ISNUMBER(F1201),E1201*F1201,"")</x:f>
        <x:v>0.4</x:v>
      </x:c>
      <x:c r="H1201" s="37" t="d">
        <x:v>2026-10-15T00:00:00.000Z</x:v>
      </x:c>
      <x:c r="I1201" s="37" t="d">
        <x:v>2026-09-13T21:20:50.000Z</x:v>
      </x:c>
      <x:c r="J1201" s="1" t="n">
        <x:f>IF(ISNUMBER(F1201),E1201,0)</x:f>
        <x:v>1</x:v>
      </x:c>
      <x:c r="K1201" s="1"/>
      <x:c r="L1201" s="1" t="str">
        <x:v>https://blog.skyairline.com/blog.skyairline.com/mejores-epocas-para-ir-de-puerto-montt-a-santiago-en-avion/</x:v>
      </x:c>
      <x:c r="M1201" s="1" t="n">
        <x:v>0</x:v>
      </x:c>
    </x:row>
    <x:row r="1202" ht="18.75" customHeight="1">
      <x:c r="A1202" s="1" t="str">
        <x:v>https://blog.skyairline.com/10-cosas-que-hacer-en-caminito/</x:v>
      </x:c>
      <x:c r="B1202" s="1" t="str">
        <x:v>caminito la boca horarios</x:v>
      </x:c>
      <x:c r="C1202" s="1" t="str">
        <x:v>arg</x:v>
      </x:c>
      <x:c r="D1202" s="1" t="str">
        <x:v>Sin marca</x:v>
      </x:c>
      <x:c r="E1202" s="35" t="n">
        <x:v>1</x:v>
      </x:c>
      <x:c r="F1202" s="36"/>
      <x:c r="G1202" s="36" t="str">
        <x:f>IF(ISNUMBER(F1202),E1202*F1202,"")</x:f>
      </x:c>
      <x:c r="H1202" s="37"/>
      <x:c r="I1202" s="37"/>
      <x:c r="J1202" s="1" t="n">
        <x:f>IF(ISNUMBER(F1202),E1202,0)</x:f>
        <x:v>0</x:v>
      </x:c>
      <x:c r="K1202" s="1"/>
      <x:c r="L1202" s="1" t="str">
        <x:v>https://blog.skyairline.com/blog.skyairline.com/playas-cerca-de-sao-paulo</x:v>
      </x:c>
      <x:c r="M1202" s="1" t="n">
        <x:v>0</x:v>
      </x:c>
    </x:row>
    <x:row r="1203" ht="18.75" customHeight="1">
      <x:c r="A1203" s="1" t="str">
        <x:v>https://blog.skyairline.com/10-cosas-que-hacer-en-caminito/</x:v>
      </x:c>
      <x:c r="B1203" s="1" t="str">
        <x:v>ciudad de la boca</x:v>
      </x:c>
      <x:c r="C1203" s="1" t="str">
        <x:v>arg</x:v>
      </x:c>
      <x:c r="D1203" s="1" t="str">
        <x:v>Sin marca</x:v>
      </x:c>
      <x:c r="E1203" s="35" t="n">
        <x:v>1</x:v>
      </x:c>
      <x:c r="F1203" s="36"/>
      <x:c r="G1203" s="36" t="str">
        <x:f>IF(ISNUMBER(F1203),E1203*F1203,"")</x:f>
      </x:c>
      <x:c r="H1203" s="37"/>
      <x:c r="I1203" s="37"/>
      <x:c r="J1203" s="1" t="n">
        <x:f>IF(ISNUMBER(F1203),E1203,0)</x:f>
        <x:v>0</x:v>
      </x:c>
      <x:c r="K1203" s="1"/>
      <x:c r="L1203" s="1" t="str">
        <x:v>https://blog.skyairline.com/blog.skyairline.com/pueblos-originarios-del-norte-de-chile-historia-y-cultura/</x:v>
      </x:c>
      <x:c r="M1203" s="1" t="n">
        <x:v>0</x:v>
      </x:c>
    </x:row>
    <x:row r="1204" ht="18.75" customHeight="1">
      <x:c r="A1204" s="1" t="str">
        <x:v>https://blog.skyairline.com/10-cosas-que-hacer-en-caminito/</x:v>
      </x:c>
      <x:c r="B1204" s="1" t="str">
        <x:v>el caminito buenos aires</x:v>
      </x:c>
      <x:c r="C1204" s="1" t="str">
        <x:v>chl</x:v>
      </x:c>
      <x:c r="D1204" s="1" t="str">
        <x:v>Sin marca</x:v>
      </x:c>
      <x:c r="E1204" s="35" t="n">
        <x:v>1</x:v>
      </x:c>
      <x:c r="F1204" s="36" t="n">
        <x:v>0.7</x:v>
      </x:c>
      <x:c r="G1204" s="36" t="n">
        <x:f>IF(ISNUMBER(F1204),E1204*F1204,"")</x:f>
        <x:v>0.7</x:v>
      </x:c>
      <x:c r="H1204" s="37" t="d">
        <x:v>2026-10-15T00:00:00.000Z</x:v>
      </x:c>
      <x:c r="I1204" s="37" t="d">
        <x:v>2026-09-16T15:57:34.000Z</x:v>
      </x:c>
      <x:c r="J1204" s="1" t="n">
        <x:f>IF(ISNUMBER(F1204),E1204,0)</x:f>
        <x:v>1</x:v>
      </x:c>
      <x:c r="K1204" s="1"/>
      <x:c r="L1204" s="1" t="str">
        <x:v>https://blog.skyairline.com/blog.skyairline.com/terminal-sur-santiago/</x:v>
      </x:c>
      <x:c r="M1204" s="1" t="n">
        <x:v>0</x:v>
      </x:c>
    </x:row>
    <x:row r="1205" ht="18.75" customHeight="1">
      <x:c r="A1205" s="1" t="str">
        <x:v>https://blog.skyairline.com/10-cosas-que-hacer-en-caminito/</x:v>
      </x:c>
      <x:c r="B1205" s="1" t="str">
        <x:v>el caminito buenos aires</x:v>
      </x:c>
      <x:c r="C1205" s="1" t="str">
        <x:v>gtm</x:v>
      </x:c>
      <x:c r="D1205" s="1" t="str">
        <x:v>Sin marca</x:v>
      </x:c>
      <x:c r="E1205" s="35" t="n">
        <x:v>1</x:v>
      </x:c>
      <x:c r="F1205" s="36"/>
      <x:c r="G1205" s="36" t="str">
        <x:f>IF(ISNUMBER(F1205),E1205*F1205,"")</x:f>
      </x:c>
      <x:c r="H1205" s="37"/>
      <x:c r="I1205" s="37"/>
      <x:c r="J1205" s="1" t="n">
        <x:f>IF(ISNUMBER(F1205),E1205,0)</x:f>
        <x:v>0</x:v>
      </x:c>
      <x:c r="K1205" s="1"/>
      <x:c r="L1205" s="1" t="str">
        <x:v>https://blog.skyairline.com/blog.skyairline.com/youtubers-viajeros/</x:v>
      </x:c>
      <x:c r="M1205" s="1" t="n">
        <x:v>0</x:v>
      </x:c>
    </x:row>
    <x:row r="1206" ht="18.75" customHeight="1">
      <x:c r="A1206" s="1" t="str">
        <x:v>https://blog.skyairline.com/10-cosas-que-hacer-en-caminito/</x:v>
      </x:c>
      <x:c r="B1206" s="1" t="str">
        <x:v>la boca caminito</x:v>
      </x:c>
      <x:c r="C1206" s="1" t="str">
        <x:v>arg</x:v>
      </x:c>
      <x:c r="D1206" s="1" t="str">
        <x:v>Sin marca</x:v>
      </x:c>
      <x:c r="E1206" s="35" t="n">
        <x:v>1</x:v>
      </x:c>
      <x:c r="F1206" s="36"/>
      <x:c r="G1206" s="36" t="str">
        <x:f>IF(ISNUMBER(F1206),E1206*F1206,"")</x:f>
      </x:c>
      <x:c r="H1206" s="37"/>
      <x:c r="I1206" s="37"/>
      <x:c r="J1206" s="1" t="n">
        <x:f>IF(ISNUMBER(F1206),E1206,0)</x:f>
        <x:v>0</x:v>
      </x:c>
      <x:c r="K1206" s="1"/>
      <x:c r="L1206" s="1" t="str">
        <x:v>https://blog.skyairline.com/blog/-/blogs/mejores-playas-del-sur-de-chile</x:v>
      </x:c>
      <x:c r="M1206" s="1" t="n">
        <x:v>0</x:v>
      </x:c>
    </x:row>
    <x:row r="1207" ht="18.75" customHeight="1">
      <x:c r="A1207" s="1" t="str">
        <x:v>https://blog.skyairline.com/10-cosas-que-hacer-en-caminito/</x:v>
      </x:c>
      <x:c r="B1207" s="1" t="str">
        <x:v>que hacer en caminito</x:v>
      </x:c>
      <x:c r="C1207" s="1" t="str">
        <x:v>per</x:v>
      </x:c>
      <x:c r="D1207" s="1" t="str">
        <x:v>Sin marca</x:v>
      </x:c>
      <x:c r="E1207" s="35" t="n">
        <x:v>1</x:v>
      </x:c>
      <x:c r="F1207" s="36"/>
      <x:c r="G1207" s="36" t="str">
        <x:f>IF(ISNUMBER(F1207),E1207*F1207,"")</x:f>
      </x:c>
      <x:c r="H1207" s="37" t="d">
        <x:v>2026-10-15T00:00:00.000Z</x:v>
      </x:c>
      <x:c r="I1207" s="37" t="d">
        <x:v>2026-09-17T04:34:13.000Z</x:v>
      </x:c>
      <x:c r="J1207" s="1" t="n">
        <x:f>IF(ISNUMBER(F1207),E1207,0)</x:f>
        <x:v>0</x:v>
      </x:c>
      <x:c r="K1207" s="1"/>
      <x:c r="L1207" s="1" t="str">
        <x:v>https://blog.skyairline.com/blog/10-lugares-imperdibles-para-hacer-turismo-en-el-norte-de-chile/</x:v>
      </x:c>
      <x:c r="M1207" s="1" t="n">
        <x:v>0</x:v>
      </x:c>
    </x:row>
    <x:row r="1208" ht="18.75" customHeight="1">
      <x:c r="A1208" s="1" t="str">
        <x:v>https://blog.skyairline.com/10-cosas-que-hacer-en-caminito/</x:v>
      </x:c>
      <x:c r="B1208" s="1" t="str">
        <x:v>que hacer en caminito buenos aires</x:v>
      </x:c>
      <x:c r="C1208" s="1" t="str">
        <x:v>chl</x:v>
      </x:c>
      <x:c r="D1208" s="1" t="str">
        <x:v>Sin marca</x:v>
      </x:c>
      <x:c r="E1208" s="35" t="n">
        <x:v>1</x:v>
      </x:c>
      <x:c r="F1208" s="36"/>
      <x:c r="G1208" s="36" t="str">
        <x:f>IF(ISNUMBER(F1208),E1208*F1208,"")</x:f>
      </x:c>
      <x:c r="H1208" s="37" t="d">
        <x:v>2026-10-15T00:00:00.000Z</x:v>
      </x:c>
      <x:c r="I1208" s="37" t="d">
        <x:v>2026-09-15T14:03:08.000Z</x:v>
      </x:c>
      <x:c r="J1208" s="1" t="n">
        <x:f>IF(ISNUMBER(F1208),E1208,0)</x:f>
        <x:v>0</x:v>
      </x:c>
      <x:c r="K1208" s="1"/>
      <x:c r="L1208" s="1" t="str">
        <x:v>https://blog.skyairline.com/blog/2025/05/19/zona-centro-sur-de-chile-geografia-clima-y-turismo/</x:v>
      </x:c>
      <x:c r="M1208" s="1" t="n">
        <x:v>0</x:v>
      </x:c>
    </x:row>
    <x:row r="1209" ht="18.75" customHeight="1">
      <x:c r="A1209" s="1" t="str">
        <x:v>https://blog.skyairline.com/10-cosas-que-hacer-en-caminito/</x:v>
      </x:c>
      <x:c r="B1209" s="1" t="str">
        <x:v>que hacer en caminito buenos aires</x:v>
      </x:c>
      <x:c r="C1209" s="1" t="str">
        <x:v>col</x:v>
      </x:c>
      <x:c r="D1209" s="1" t="str">
        <x:v>Sin marca</x:v>
      </x:c>
      <x:c r="E1209" s="35" t="n">
        <x:v>1</x:v>
      </x:c>
      <x:c r="F1209" s="36"/>
      <x:c r="G1209" s="36" t="str">
        <x:f>IF(ISNUMBER(F1209),E1209*F1209,"")</x:f>
      </x:c>
      <x:c r="H1209" s="37"/>
      <x:c r="I1209" s="37"/>
      <x:c r="J1209" s="1" t="n">
        <x:f>IF(ISNUMBER(F1209),E1209,0)</x:f>
        <x:v>0</x:v>
      </x:c>
      <x:c r="K1209" s="1"/>
      <x:c r="L1209" s="1" t="str">
        <x:v>https://blog.skyairline.com/blog/aeropuertos-internacionales/</x:v>
      </x:c>
      <x:c r="M1209" s="1" t="n">
        <x:v>0</x:v>
      </x:c>
    </x:row>
    <x:row r="1210" ht="18.75" customHeight="1">
      <x:c r="A1210" s="1" t="str">
        <x:v>https://blog.skyairline.com/10-cosas-que-hacer-en-caminito/</x:v>
      </x:c>
      <x:c r="B1210" s="1" t="str">
        <x:v>que hacer en caminito buenos aires</x:v>
      </x:c>
      <x:c r="C1210" s="1" t="str">
        <x:v>ury</x:v>
      </x:c>
      <x:c r="D1210" s="1" t="str">
        <x:v>Sin marca</x:v>
      </x:c>
      <x:c r="E1210" s="35" t="n">
        <x:v>1</x:v>
      </x:c>
      <x:c r="F1210" s="36"/>
      <x:c r="G1210" s="36" t="str">
        <x:f>IF(ISNUMBER(F1210),E1210*F1210,"")</x:f>
      </x:c>
      <x:c r="H1210" s="37"/>
      <x:c r="I1210" s="37"/>
      <x:c r="J1210" s="1" t="n">
        <x:f>IF(ISNUMBER(F1210),E1210,0)</x:f>
        <x:v>0</x:v>
      </x:c>
      <x:c r="K1210" s="1"/>
      <x:c r="L1210" s="1" t="str">
        <x:v>https://blog.skyairline.com/blog/argentina-culture-guide</x:v>
      </x:c>
      <x:c r="M1210" s="1" t="n">
        <x:v>0</x:v>
      </x:c>
    </x:row>
    <x:row r="1211" ht="18.75" customHeight="1">
      <x:c r="A1211" s="1" t="str">
        <x:v>https://blog.skyairline.com/10-cosas-que-hacer-en-caminito/</x:v>
      </x:c>
      <x:c r="B1211" s="1" t="str">
        <x:v>que hacer en la boca</x:v>
      </x:c>
      <x:c r="C1211" s="1" t="str">
        <x:v>chl</x:v>
      </x:c>
      <x:c r="D1211" s="1" t="str">
        <x:v>Sin marca</x:v>
      </x:c>
      <x:c r="E1211" s="35" t="n">
        <x:v>1</x:v>
      </x:c>
      <x:c r="F1211" s="36"/>
      <x:c r="G1211" s="36" t="str">
        <x:f>IF(ISNUMBER(F1211),E1211*F1211,"")</x:f>
      </x:c>
      <x:c r="H1211" s="37" t="d">
        <x:v>2026-10-15T00:00:00.000Z</x:v>
      </x:c>
      <x:c r="I1211" s="37" t="d">
        <x:v>2026-09-16T04:34:40.000Z</x:v>
      </x:c>
      <x:c r="J1211" s="1" t="n">
        <x:f>IF(ISNUMBER(F1211),E1211,0)</x:f>
        <x:v>0</x:v>
      </x:c>
      <x:c r="K1211" s="1"/>
      <x:c r="L1211" s="1" t="str">
        <x:v>https://blog.skyairline.com/blog/argentina-es-uno-de-los-pocos-paises-que-mantiene-prohibidos-la-mayoria-de-los-vuelos-locales-e-internacionales/</x:v>
      </x:c>
      <x:c r="M1211" s="1" t="n">
        <x:v>0</x:v>
      </x:c>
    </x:row>
    <x:row r="1212" ht="18.75" customHeight="1">
      <x:c r="A1212" s="1" t="str">
        <x:v>https://blog.skyairline.com/10-cosas-que-hacer-en-caminito/</x:v>
      </x:c>
      <x:c r="B1212" s="1" t="str">
        <x:v>que hacer en la boca caminito</x:v>
      </x:c>
      <x:c r="C1212" s="1" t="str">
        <x:v>arg</x:v>
      </x:c>
      <x:c r="D1212" s="1" t="str">
        <x:v>Sin marca</x:v>
      </x:c>
      <x:c r="E1212" s="35" t="n">
        <x:v>1</x:v>
      </x:c>
      <x:c r="F1212" s="36"/>
      <x:c r="G1212" s="36" t="str">
        <x:f>IF(ISNUMBER(F1212),E1212*F1212,"")</x:f>
      </x:c>
      <x:c r="H1212" s="37"/>
      <x:c r="I1212" s="37"/>
      <x:c r="J1212" s="1" t="n">
        <x:f>IF(ISNUMBER(F1212),E1212,0)</x:f>
        <x:v>0</x:v>
      </x:c>
      <x:c r="K1212" s="1"/>
      <x:c r="L1212" s="1" t="str">
        <x:v>https://blog.skyairline.com/blog/auroras-australes-en-chile-cuando-y-donde-verlas/</x:v>
      </x:c>
      <x:c r="M1212" s="1" t="n">
        <x:v>0</x:v>
      </x:c>
    </x:row>
    <x:row r="1213" ht="18.75" customHeight="1">
      <x:c r="A1213" s="1" t="str">
        <x:v>https://blog.skyairline.com/10-cosas-que-hacer-en-caminito/</x:v>
      </x:c>
      <x:c r="B1213" s="1" t="str">
        <x:v>que hay en caminito buenos aires</x:v>
      </x:c>
      <x:c r="C1213" s="1" t="str">
        <x:v>arg</x:v>
      </x:c>
      <x:c r="D1213" s="1" t="str">
        <x:v>Sin marca</x:v>
      </x:c>
      <x:c r="E1213" s="35" t="n">
        <x:v>1</x:v>
      </x:c>
      <x:c r="F1213" s="36"/>
      <x:c r="G1213" s="36" t="str">
        <x:f>IF(ISNUMBER(F1213),E1213*F1213,"")</x:f>
      </x:c>
      <x:c r="H1213" s="37"/>
      <x:c r="I1213" s="37"/>
      <x:c r="J1213" s="1" t="n">
        <x:f>IF(ISNUMBER(F1213),E1213,0)</x:f>
        <x:v>0</x:v>
      </x:c>
      <x:c r="K1213" s="1"/>
      <x:c r="L1213" s="1" t="str">
        <x:v>https://blog.skyairline.com/blog/bahia-principe-guia-de-hoteles-y-experiencias-en-el-caribe/</x:v>
      </x:c>
      <x:c r="M1213" s="1" t="n">
        <x:v>0</x:v>
      </x:c>
    </x:row>
    <x:row r="1214" ht="18.75" customHeight="1">
      <x:c r="A1214" s="1" t="str">
        <x:v>https://blog.skyairline.com/10-cosas-que-hacer-en-caminito/</x:v>
      </x:c>
      <x:c r="B1214" s="1" t="str">
        <x:v>que hay en caminito buenos aires</x:v>
      </x:c>
      <x:c r="C1214" s="1" t="str">
        <x:v>chl</x:v>
      </x:c>
      <x:c r="D1214" s="1" t="str">
        <x:v>Sin marca</x:v>
      </x:c>
      <x:c r="E1214" s="35" t="n">
        <x:v>1</x:v>
      </x:c>
      <x:c r="F1214" s="36"/>
      <x:c r="G1214" s="36" t="str">
        <x:f>IF(ISNUMBER(F1214),E1214*F1214,"")</x:f>
      </x:c>
      <x:c r="H1214" s="37"/>
      <x:c r="I1214" s="37"/>
      <x:c r="J1214" s="1" t="n">
        <x:f>IF(ISNUMBER(F1214),E1214,0)</x:f>
        <x:v>0</x:v>
      </x:c>
      <x:c r="K1214" s="1"/>
      <x:c r="L1214" s="1" t="str">
        <x:v>https://blog.skyairline.com/blog/bailes-tipicos-de-chile-cueca-y-otros-ritmos-que-deberian-conocer/</x:v>
      </x:c>
      <x:c r="M1214" s="1" t="n">
        <x:v>0</x:v>
      </x:c>
    </x:row>
    <x:row r="1215" ht="18.75" customHeight="1">
      <x:c r="A1215" s="1" t="str">
        <x:v>https://blog.skyairline.com/10-cosas-que-hacer-en-caminito/</x:v>
      </x:c>
      <x:c r="B1215" s="1" t="str">
        <x:v>que ver en caminito buenos aires</x:v>
      </x:c>
      <x:c r="C1215" s="1" t="str">
        <x:v>esp</x:v>
      </x:c>
      <x:c r="D1215" s="1" t="str">
        <x:v>Sin marca</x:v>
      </x:c>
      <x:c r="E1215" s="35" t="n">
        <x:v>1</x:v>
      </x:c>
      <x:c r="F1215" s="36"/>
      <x:c r="G1215" s="36" t="str">
        <x:f>IF(ISNUMBER(F1215),E1215*F1215,"")</x:f>
      </x:c>
      <x:c r="H1215" s="37"/>
      <x:c r="I1215" s="37"/>
      <x:c r="J1215" s="1" t="n">
        <x:f>IF(ISNUMBER(F1215),E1215,0)</x:f>
        <x:v>0</x:v>
      </x:c>
      <x:c r="K1215" s="1"/>
      <x:c r="L1215" s="1" t="str">
        <x:v>https://blog.skyairline.com/blog/bailes-tipicos-de-chile-cueca-y-otros-ritmos-que-deberias-</x:v>
      </x:c>
      <x:c r="M1215" s="1" t="n">
        <x:v>0</x:v>
      </x:c>
    </x:row>
    <x:row r="1216" ht="18.75" customHeight="1">
      <x:c r="A1216" s="1" t="str">
        <x:v>https://blog.skyairline.com/10-cosas-que-hacer-en-caminito/</x:v>
      </x:c>
      <x:c r="B1216" s="1" t="str">
        <x:v>que ver en caminito la boca</x:v>
      </x:c>
      <x:c r="C1216" s="1" t="str">
        <x:v>esp</x:v>
      </x:c>
      <x:c r="D1216" s="1" t="str">
        <x:v>Sin marca</x:v>
      </x:c>
      <x:c r="E1216" s="35" t="n">
        <x:v>1</x:v>
      </x:c>
      <x:c r="F1216" s="36"/>
      <x:c r="G1216" s="36" t="str">
        <x:f>IF(ISNUMBER(F1216),E1216*F1216,"")</x:f>
      </x:c>
      <x:c r="H1216" s="37"/>
      <x:c r="I1216" s="37"/>
      <x:c r="J1216" s="1" t="n">
        <x:f>IF(ISNUMBER(F1216),E1216,0)</x:f>
        <x:v>0</x:v>
      </x:c>
      <x:c r="K1216" s="1"/>
      <x:c r="L1216" s="1" t="str">
        <x:v>https://blog.skyairline.com/blog/bailes-tipicos-de-chile/</x:v>
      </x:c>
      <x:c r="M1216" s="1" t="n">
        <x:v>0</x:v>
      </x:c>
    </x:row>
    <x:row r="1217" ht="18.75" customHeight="1">
      <x:c r="A1217" s="1" t="str">
        <x:v>https://blog.skyairline.com/6-parques-acuaticos-en-miami-de-fama-mundial/</x:v>
      </x:c>
      <x:c r="B1217" s="1" t="str">
        <x:v>parque de agua miami</x:v>
      </x:c>
      <x:c r="C1217" s="1" t="str">
        <x:v>usa</x:v>
      </x:c>
      <x:c r="D1217" s="1" t="str">
        <x:v>Sin marca</x:v>
      </x:c>
      <x:c r="E1217" s="35" t="n">
        <x:v>1</x:v>
      </x:c>
      <x:c r="F1217" s="36"/>
      <x:c r="G1217" s="36" t="str">
        <x:f>IF(ISNUMBER(F1217),E1217*F1217,"")</x:f>
      </x:c>
      <x:c r="H1217" s="37"/>
      <x:c r="I1217" s="37"/>
      <x:c r="J1217" s="1" t="n">
        <x:f>IF(ISNUMBER(F1217),E1217,0)</x:f>
        <x:v>0</x:v>
      </x:c>
      <x:c r="K1217" s="1"/>
      <x:c r="L1217" s="1" t="str">
        <x:v>https://blog.skyairline.com/blog/bebidas-tipicas-peru/</x:v>
      </x:c>
      <x:c r="M1217" s="1" t="n">
        <x:v>0</x:v>
      </x:c>
    </x:row>
    <x:row r="1218" ht="18.75" customHeight="1">
      <x:c r="A1218" s="1" t="str">
        <x:v>https://blog.skyairline.com/6-parques-acuaticos-en-miami-de-fama-mundial/</x:v>
      </x:c>
      <x:c r="B1218" s="1" t="str">
        <x:v>parques acuaticos miami</x:v>
      </x:c>
      <x:c r="C1218" s="1" t="str">
        <x:v>usa</x:v>
      </x:c>
      <x:c r="D1218" s="1" t="str">
        <x:v>Sin marca</x:v>
      </x:c>
      <x:c r="E1218" s="35" t="n">
        <x:v>1</x:v>
      </x:c>
      <x:c r="F1218" s="36"/>
      <x:c r="G1218" s="36" t="str">
        <x:f>IF(ISNUMBER(F1218),E1218*F1218,"")</x:f>
      </x:c>
      <x:c r="H1218" s="37"/>
      <x:c r="I1218" s="37"/>
      <x:c r="J1218" s="1" t="n">
        <x:f>IF(ISNUMBER(F1218),E1218,0)</x:f>
        <x:v>0</x:v>
      </x:c>
      <x:c r="K1218" s="1"/>
      <x:c r="L1218" s="1" t="str">
        <x:v>https://blog.skyairline.com/blog/bosques-del-sur-de-chile-naturaleza-senderos-y-biodiversidad/</x:v>
      </x:c>
      <x:c r="M1218" s="1" t="n">
        <x:v>0</x:v>
      </x:c>
    </x:row>
    <x:row r="1219" ht="18.75" customHeight="1">
      <x:c r="A1219" s="1" t="str">
        <x:v>https://blog.skyairline.com/a-donde-ir-en-balmaceda/</x:v>
      </x:c>
      <x:c r="B1219" s="1" t="str">
        <x:v>balmaceda coyhaique</x:v>
      </x:c>
      <x:c r="C1219" s="1" t="str">
        <x:v>chl</x:v>
      </x:c>
      <x:c r="D1219" s="1" t="str">
        <x:v>Sin marca</x:v>
      </x:c>
      <x:c r="E1219" s="35" t="n">
        <x:v>1</x:v>
      </x:c>
      <x:c r="F1219" s="36" t="n">
        <x:v>1.13</x:v>
      </x:c>
      <x:c r="G1219" s="36" t="n">
        <x:f>IF(ISNUMBER(F1219),E1219*F1219,"")</x:f>
        <x:v>1.13</x:v>
      </x:c>
      <x:c r="H1219" s="37" t="d">
        <x:v>2026-10-15T00:00:00.000Z</x:v>
      </x:c>
      <x:c r="I1219" s="37" t="d">
        <x:v>2026-10-15T18:01:44.000Z</x:v>
      </x:c>
      <x:c r="J1219" s="1" t="n">
        <x:f>IF(ISNUMBER(F1219),E1219,0)</x:f>
        <x:v>1</x:v>
      </x:c>
      <x:c r="K1219" s="1"/>
      <x:c r="L1219" s="1" t="str">
        <x:v>https://blog.skyairline.com/blog/botiquin-basico-de-viaje/</x:v>
      </x:c>
      <x:c r="M1219" s="1" t="n">
        <x:v>0</x:v>
      </x:c>
    </x:row>
    <x:row r="1220" ht="18.75" customHeight="1">
      <x:c r="A1220" s="1" t="str">
        <x:v>https://blog.skyairline.com/a-que-paises-puedo-viajar-sin-pasaporte-desde-chile/</x:v>
      </x:c>
      <x:c r="B1220" s="1" t="str">
        <x:v>a que paises puedo viajar sin pasaporte</x:v>
      </x:c>
      <x:c r="C1220" s="1" t="str">
        <x:v>chl</x:v>
      </x:c>
      <x:c r="D1220" s="1" t="str">
        <x:v>Sin marca</x:v>
      </x:c>
      <x:c r="E1220" s="35" t="n">
        <x:v>1</x:v>
      </x:c>
      <x:c r="F1220" s="36"/>
      <x:c r="G1220" s="36" t="str">
        <x:f>IF(ISNUMBER(F1220),E1220*F1220,"")</x:f>
      </x:c>
      <x:c r="H1220" s="37"/>
      <x:c r="I1220" s="37"/>
      <x:c r="J1220" s="1" t="n">
        <x:f>IF(ISNUMBER(F1220),E1220,0)</x:f>
        <x:v>0</x:v>
      </x:c>
      <x:c r="K1220" s="1"/>
      <x:c r="L1220" s="1" t="str">
        <x:v>https://blog.skyairline.com/blog/brunch/</x:v>
      </x:c>
      <x:c r="M1220" s="1" t="n">
        <x:v>0</x:v>
      </x:c>
    </x:row>
    <x:row r="1221" ht="18.75" customHeight="1">
      <x:c r="A1221" s="1" t="str">
        <x:v>https://blog.skyairline.com/a-que-paises-puedo-viajar-sin-pasaporte-desde-chile/</x:v>
      </x:c>
      <x:c r="B1221" s="1" t="str">
        <x:v>a que paises se puede viajar sin pasaporte desde chile</x:v>
      </x:c>
      <x:c r="C1221" s="1" t="str">
        <x:v>chl</x:v>
      </x:c>
      <x:c r="D1221" s="1" t="str">
        <x:v>Sin marca</x:v>
      </x:c>
      <x:c r="E1221" s="35" t="n">
        <x:v>1</x:v>
      </x:c>
      <x:c r="F1221" s="36"/>
      <x:c r="G1221" s="36" t="str">
        <x:f>IF(ISNUMBER(F1221),E1221*F1221,"")</x:f>
      </x:c>
      <x:c r="H1221" s="37"/>
      <x:c r="I1221" s="37"/>
      <x:c r="J1221" s="1" t="n">
        <x:f>IF(ISNUMBER(F1221),E1221,0)</x:f>
        <x:v>0</x:v>
      </x:c>
      <x:c r="K1221" s="1"/>
      <x:c r="L1221" s="1" t="str">
        <x:v>https://blog.skyairline.com/blog/canasvieiras</x:v>
      </x:c>
      <x:c r="M1221" s="1" t="n">
        <x:v>0</x:v>
      </x:c>
    </x:row>
    <x:row r="1222" ht="18.75" customHeight="1">
      <x:c r="A1222" s="1" t="str">
        <x:v>https://blog.skyairline.com/a-que-paises-puedo-viajar-sin-pasaporte-desde-chile/</x:v>
      </x:c>
      <x:c r="B1222" s="1" t="str">
        <x:v>paises donde no se necesita pasaporte</x:v>
      </x:c>
      <x:c r="C1222" s="1" t="str">
        <x:v>chl</x:v>
      </x:c>
      <x:c r="D1222" s="1" t="str">
        <x:v>Sin marca</x:v>
      </x:c>
      <x:c r="E1222" s="35" t="n">
        <x:v>1</x:v>
      </x:c>
      <x:c r="F1222" s="36"/>
      <x:c r="G1222" s="36" t="str">
        <x:f>IF(ISNUMBER(F1222),E1222*F1222,"")</x:f>
      </x:c>
      <x:c r="H1222" s="37"/>
      <x:c r="I1222" s="37"/>
      <x:c r="J1222" s="1" t="n">
        <x:f>IF(ISNUMBER(F1222),E1222,0)</x:f>
        <x:v>0</x:v>
      </x:c>
      <x:c r="K1222" s="1"/>
      <x:c r="L1222" s="1" t="str">
        <x:v>https://blog.skyairline.com/blog/centro-sur-de-chile-geografia-clima-y-turismo/</x:v>
      </x:c>
      <x:c r="M1222" s="1" t="n">
        <x:v>0</x:v>
      </x:c>
    </x:row>
    <x:row r="1223" ht="18.75" customHeight="1">
      <x:c r="A1223" s="1" t="str">
        <x:v>https://blog.skyairline.com/a-que-paises-puedo-viajar-sin-pasaporte-desde-chile/</x:v>
      </x:c>
      <x:c r="B1223" s="1" t="str">
        <x:v>paises sin pasaporte</x:v>
      </x:c>
      <x:c r="C1223" s="1" t="str">
        <x:v>chl</x:v>
      </x:c>
      <x:c r="D1223" s="1" t="str">
        <x:v>Sin marca</x:v>
      </x:c>
      <x:c r="E1223" s="35" t="n">
        <x:v>1</x:v>
      </x:c>
      <x:c r="F1223" s="36"/>
      <x:c r="G1223" s="36" t="str">
        <x:f>IF(ISNUMBER(F1223),E1223*F1223,"")</x:f>
      </x:c>
      <x:c r="H1223" s="37"/>
      <x:c r="I1223" s="37"/>
      <x:c r="J1223" s="1" t="n">
        <x:f>IF(ISNUMBER(F1223),E1223,0)</x:f>
        <x:v>0</x:v>
      </x:c>
      <x:c r="K1223" s="1"/>
      <x:c r="L1223" s="1" t="str">
        <x:v>https://blog.skyairline.com/blog/chile-vs-peru/</x:v>
      </x:c>
      <x:c r="M1223" s="1" t="n">
        <x:v>0</x:v>
      </x:c>
    </x:row>
    <x:row r="1224" ht="18.75" customHeight="1">
      <x:c r="A1224" s="1" t="str">
        <x:v>https://blog.skyairline.com/a-que-paises-puedo-viajar-sin-pasaporte-desde-chile/</x:v>
      </x:c>
      <x:c r="B1224" s="1" t="str">
        <x:v>que paises se puede viajar sin pasaporte</x:v>
      </x:c>
      <x:c r="C1224" s="1" t="str">
        <x:v>chl</x:v>
      </x:c>
      <x:c r="D1224" s="1" t="str">
        <x:v>Sin marca</x:v>
      </x:c>
      <x:c r="E1224" s="35" t="n">
        <x:v>1</x:v>
      </x:c>
      <x:c r="F1224" s="36"/>
      <x:c r="G1224" s="36" t="str">
        <x:f>IF(ISNUMBER(F1224),E1224*F1224,"")</x:f>
      </x:c>
      <x:c r="H1224" s="37"/>
      <x:c r="I1224" s="37"/>
      <x:c r="J1224" s="1" t="n">
        <x:f>IF(ISNUMBER(F1224),E1224,0)</x:f>
        <x:v>0</x:v>
      </x:c>
      <x:c r="K1224" s="1"/>
      <x:c r="L1224" s="1" t="str">
        <x:v>https://blog.skyairline.com/blog/chile/bailes-tipicos-de-chile-cueca-y-otros-ritmos-que-deberias-conocer</x:v>
      </x:c>
      <x:c r="M1224" s="1" t="n">
        <x:v>0</x:v>
      </x:c>
    </x:row>
    <x:row r="1225" ht="18.75" customHeight="1">
      <x:c r="A1225" s="1" t="str">
        <x:v>https://blog.skyairline.com/a-que-paises-puedo-viajar-sin-pasaporte-desde-chile/</x:v>
      </x:c>
      <x:c r="B1225" s="1" t="str">
        <x:v>si no tengo pasaporte puedo viajar en avion</x:v>
      </x:c>
      <x:c r="C1225" s="1" t="str">
        <x:v>chl</x:v>
      </x:c>
      <x:c r="D1225" s="1" t="str">
        <x:v>Sin marca</x:v>
      </x:c>
      <x:c r="E1225" s="35" t="n">
        <x:v>1</x:v>
      </x:c>
      <x:c r="F1225" s="36"/>
      <x:c r="G1225" s="36" t="str">
        <x:f>IF(ISNUMBER(F1225),E1225*F1225,"")</x:f>
      </x:c>
      <x:c r="H1225" s="37"/>
      <x:c r="I1225" s="37"/>
      <x:c r="J1225" s="1" t="n">
        <x:f>IF(ISNUMBER(F1225),E1225,0)</x:f>
        <x:v>0</x:v>
      </x:c>
      <x:c r="K1225" s="1"/>
      <x:c r="L1225" s="1" t="str">
        <x:v>https://blog.skyairline.com/blog/clima-de-la-zona-norte-de-chile-temperaturas-y-estaciones</x:v>
      </x:c>
      <x:c r="M1225" s="1" t="n">
        <x:v>0</x:v>
      </x:c>
    </x:row>
    <x:row r="1226" ht="18.75" customHeight="1">
      <x:c r="A1226" s="1" t="str">
        <x:v>https://blog.skyairline.com/administra-tu-vuelo-sky/</x:v>
      </x:c>
      <x:c r="B1226" s="1" t="str">
        <x:v>adelantar vuelo sky</x:v>
      </x:c>
      <x:c r="C1226" s="1" t="str">
        <x:v>chl</x:v>
      </x:c>
      <x:c r="D1226" s="1" t="str">
        <x:v>Marca</x:v>
      </x:c>
      <x:c r="E1226" s="35" t="n">
        <x:v>1</x:v>
      </x:c>
      <x:c r="F1226" s="36"/>
      <x:c r="G1226" s="36" t="str">
        <x:f>IF(ISNUMBER(F1226),E1226*F1226,"")</x:f>
      </x:c>
      <x:c r="H1226" s="37" t="d">
        <x:v>2026-10-15T00:00:00.000Z</x:v>
      </x:c>
      <x:c r="I1226" s="37" t="d">
        <x:v>2026-09-14T22:46:46.000Z</x:v>
      </x:c>
      <x:c r="J1226" s="1" t="n">
        <x:f>IF(ISNUMBER(F1226),E1226,0)</x:f>
        <x:v>0</x:v>
      </x:c>
      <x:c r="K1226" s="1"/>
      <x:c r="L1226" s="1" t="str">
        <x:v>https://blog.skyairline.com/blog/clima-en-rio-de-janeiro-cual-es-la-mejor-epoca-para-viajar</x:v>
      </x:c>
      <x:c r="M1226" s="1" t="n">
        <x:v>0</x:v>
      </x:c>
    </x:row>
    <x:row r="1227" ht="18.75" customHeight="1">
      <x:c r="A1227" s="1" t="str">
        <x:v>https://blog.skyairline.com/administra-tu-vuelo-sky/</x:v>
      </x:c>
      <x:c r="B1227" s="1" t="str">
        <x:v>administra tu vuelo sky</x:v>
      </x:c>
      <x:c r="C1227" s="1" t="str">
        <x:v>per</x:v>
      </x:c>
      <x:c r="D1227" s="1" t="str">
        <x:v>Marca</x:v>
      </x:c>
      <x:c r="E1227" s="35" t="n">
        <x:v>1</x:v>
      </x:c>
      <x:c r="F1227" s="36" t="n">
        <x:v>0.98</x:v>
      </x:c>
      <x:c r="G1227" s="36" t="n">
        <x:f>IF(ISNUMBER(F1227),E1227*F1227,"")</x:f>
        <x:v>0.98</x:v>
      </x:c>
      <x:c r="H1227" s="37" t="d">
        <x:v>2026-10-15T00:00:00.000Z</x:v>
      </x:c>
      <x:c r="I1227" s="37" t="d">
        <x:v>2026-09-15T15:53:15.000Z</x:v>
      </x:c>
      <x:c r="J1227" s="1" t="n">
        <x:f>IF(ISNUMBER(F1227),E1227,0)</x:f>
        <x:v>1</x:v>
      </x:c>
      <x:c r="K1227" s="1"/>
      <x:c r="L1227" s="1" t="str">
        <x:v>https://blog.skyairline.com/blog/comida-tipica-del-18-de-septiembre</x:v>
      </x:c>
      <x:c r="M1227" s="1" t="n">
        <x:v>0</x:v>
      </x:c>
    </x:row>
    <x:row r="1228" ht="18.75" customHeight="1">
      <x:c r="A1228" s="1" t="str">
        <x:v>https://blog.skyairline.com/administra-tu-vuelo-sky/</x:v>
      </x:c>
      <x:c r="B1228" s="1" t="str">
        <x:v>agregar equipaje</x:v>
      </x:c>
      <x:c r="C1228" s="1" t="str">
        <x:v>chl</x:v>
      </x:c>
      <x:c r="D1228" s="1" t="str">
        <x:v>Sin marca</x:v>
      </x:c>
      <x:c r="E1228" s="35" t="n">
        <x:v>1</x:v>
      </x:c>
      <x:c r="F1228" s="36"/>
      <x:c r="G1228" s="36" t="str">
        <x:f>IF(ISNUMBER(F1228),E1228*F1228,"")</x:f>
      </x:c>
      <x:c r="H1228" s="37"/>
      <x:c r="I1228" s="37"/>
      <x:c r="J1228" s="1" t="n">
        <x:f>IF(ISNUMBER(F1228),E1228,0)</x:f>
        <x:v>0</x:v>
      </x:c>
      <x:c r="K1228" s="1"/>
      <x:c r="L1228" s="1" t="str">
        <x:v>https://blog.skyairline.com/blog/comidas-y-bebidas-tipicas-del-18-de-septiembre/</x:v>
      </x:c>
      <x:c r="M1228" s="1" t="n">
        <x:v>0</x:v>
      </x:c>
    </x:row>
    <x:row r="1229" ht="18.75" customHeight="1">
      <x:c r="A1229" s="1" t="str">
        <x:v>https://blog.skyairline.com/administra-tu-vuelo-sky/</x:v>
      </x:c>
      <x:c r="B1229" s="1" t="str">
        <x:v>aun no</x:v>
      </x:c>
      <x:c r="C1229" s="1" t="str">
        <x:v>per</x:v>
      </x:c>
      <x:c r="D1229" s="1" t="str">
        <x:v>Sin marca</x:v>
      </x:c>
      <x:c r="E1229" s="35" t="n">
        <x:v>1</x:v>
      </x:c>
      <x:c r="F1229" s="36"/>
      <x:c r="G1229" s="36" t="str">
        <x:f>IF(ISNUMBER(F1229),E1229*F1229,"")</x:f>
      </x:c>
      <x:c r="H1229" s="37"/>
      <x:c r="I1229" s="37"/>
      <x:c r="J1229" s="1" t="n">
        <x:f>IF(ISNUMBER(F1229),E1229,0)</x:f>
        <x:v>0</x:v>
      </x:c>
      <x:c r="K1229" s="1"/>
      <x:c r="L1229" s="1" t="str">
        <x:v>https://blog.skyairline.com/blog/como-ir-de-rio-a-buzios-en-2026/</x:v>
      </x:c>
      <x:c r="M1229" s="1" t="n">
        <x:v>0</x:v>
      </x:c>
    </x:row>
    <x:row r="1230" ht="18.75" customHeight="1">
      <x:c r="A1230" s="1" t="str">
        <x:v>https://blog.skyairline.com/administra-tu-vuelo-sky/</x:v>
      </x:c>
      <x:c r="B1230" s="1" t="str">
        <x:v>comprar maleta sky</x:v>
      </x:c>
      <x:c r="C1230" s="1" t="str">
        <x:v>chl</x:v>
      </x:c>
      <x:c r="D1230" s="1" t="str">
        <x:v>Marca</x:v>
      </x:c>
      <x:c r="E1230" s="35" t="n">
        <x:v>1</x:v>
      </x:c>
      <x:c r="F1230" s="36" t="n">
        <x:v>0.27</x:v>
      </x:c>
      <x:c r="G1230" s="36" t="n">
        <x:f>IF(ISNUMBER(F1230),E1230*F1230,"")</x:f>
        <x:v>0.27</x:v>
      </x:c>
      <x:c r="H1230" s="37" t="d">
        <x:v>2026-10-15T00:00:00.000Z</x:v>
      </x:c>
      <x:c r="I1230" s="37" t="d">
        <x:v>2026-09-15T05:21:07.000Z</x:v>
      </x:c>
      <x:c r="J1230" s="1" t="n">
        <x:f>IF(ISNUMBER(F1230),E1230,0)</x:f>
        <x:v>1</x:v>
      </x:c>
      <x:c r="K1230" s="1"/>
      <x:c r="L1230" s="1" t="str">
        <x:v>https://blog.skyairline.com/blog/conoce-los-balnearios-de-la-costa-de-oro-en-canelones-15-11-2023</x:v>
      </x:c>
      <x:c r="M1230" s="1" t="n">
        <x:v>0</x:v>
      </x:c>
    </x:row>
    <x:row r="1231" ht="18.75" customHeight="1">
      <x:c r="A1231" s="1" t="str">
        <x:v>https://blog.skyairline.com/administra-tu-vuelo-sky/</x:v>
      </x:c>
      <x:c r="B1231" s="1" t="str">
        <x:v>sky agregar maleta</x:v>
      </x:c>
      <x:c r="C1231" s="1" t="str">
        <x:v>bra</x:v>
      </x:c>
      <x:c r="D1231" s="1" t="str">
        <x:v>Marca</x:v>
      </x:c>
      <x:c r="E1231" s="35" t="n">
        <x:v>1</x:v>
      </x:c>
      <x:c r="F1231" s="36"/>
      <x:c r="G1231" s="36" t="str">
        <x:f>IF(ISNUMBER(F1231),E1231*F1231,"")</x:f>
      </x:c>
      <x:c r="H1231" s="37"/>
      <x:c r="I1231" s="37"/>
      <x:c r="J1231" s="1" t="n">
        <x:f>IF(ISNUMBER(F1231),E1231,0)</x:f>
        <x:v>0</x:v>
      </x:c>
      <x:c r="K1231" s="1"/>
      <x:c r="L1231" s="1" t="str">
        <x:v>https://blog.skyairline.com/blog/cultura-de-miami/</x:v>
      </x:c>
      <x:c r="M1231" s="1" t="n">
        <x:v>0</x:v>
      </x:c>
    </x:row>
    <x:row r="1232" ht="18.75" customHeight="1">
      <x:c r="A1232" s="1" t="str">
        <x:v>https://blog.skyairline.com/administra-tu-vuelo-sky/</x:v>
      </x:c>
      <x:c r="B1232" s="1" t="str">
        <x:v>sky airline</x:v>
      </x:c>
      <x:c r="C1232" s="1" t="str">
        <x:v>arg</x:v>
      </x:c>
      <x:c r="D1232" s="1" t="str">
        <x:v>Marca</x:v>
      </x:c>
      <x:c r="E1232" s="35" t="n">
        <x:v>1</x:v>
      </x:c>
      <x:c r="F1232" s="36"/>
      <x:c r="G1232" s="36" t="str">
        <x:f>IF(ISNUMBER(F1232),E1232*F1232,"")</x:f>
      </x:c>
      <x:c r="H1232" s="37"/>
      <x:c r="I1232" s="37"/>
      <x:c r="J1232" s="1" t="n">
        <x:f>IF(ISNUMBER(F1232),E1232,0)</x:f>
        <x:v>0</x:v>
      </x:c>
      <x:c r="K1232" s="1"/>
      <x:c r="L1232" s="1" t="str">
        <x:v>https://blog.skyairline.com/blog/cusco-bajo-presupuesto/</x:v>
      </x:c>
      <x:c r="M1232" s="1" t="n">
        <x:v>0</x:v>
      </x:c>
    </x:row>
    <x:row r="1233" ht="18.75" customHeight="1">
      <x:c r="A1233" s="1" t="str">
        <x:v>https://blog.skyairline.com/administra-tu-vuelo-sky/</x:v>
      </x:c>
      <x:c r="B1233" s="1" t="str">
        <x:v>sky mis reservas</x:v>
      </x:c>
      <x:c r="C1233" s="1" t="str">
        <x:v>chl</x:v>
      </x:c>
      <x:c r="D1233" s="1" t="str">
        <x:v>Marca</x:v>
      </x:c>
      <x:c r="E1233" s="35" t="n">
        <x:v>1</x:v>
      </x:c>
      <x:c r="F1233" s="36"/>
      <x:c r="G1233" s="36" t="str">
        <x:f>IF(ISNUMBER(F1233),E1233*F1233,"")</x:f>
      </x:c>
      <x:c r="H1233" s="37"/>
      <x:c r="I1233" s="37"/>
      <x:c r="J1233" s="1" t="n">
        <x:f>IF(ISNUMBER(F1233),E1233,0)</x:f>
        <x:v>0</x:v>
      </x:c>
      <x:c r="K1233" s="1"/>
      <x:c r="L1233" s="1" t="str">
        <x:v>https://blog.skyairline.com/blog/destinos/america/requisitos-para-viajar-a-argentina-desde-chile/</x:v>
      </x:c>
      <x:c r="M1233" s="1" t="n">
        <x:v>0</x:v>
      </x:c>
    </x:row>
    <x:row r="1234" ht="18.75" customHeight="1">
      <x:c r="A1234" s="1" t="str">
        <x:v>https://blog.skyairline.com/aerolinea-moderna-y-flexible/</x:v>
      </x:c>
      <x:c r="B1234" s="1" t="str">
        <x:v>tarifa max flex sky</x:v>
      </x:c>
      <x:c r="C1234" s="1" t="str">
        <x:v>ury</x:v>
      </x:c>
      <x:c r="D1234" s="1" t="str">
        <x:v>Marca</x:v>
      </x:c>
      <x:c r="E1234" s="35" t="n">
        <x:v>1</x:v>
      </x:c>
      <x:c r="F1234" s="36"/>
      <x:c r="G1234" s="36" t="str">
        <x:f>IF(ISNUMBER(F1234),E1234*F1234,"")</x:f>
      </x:c>
      <x:c r="H1234" s="37"/>
      <x:c r="I1234" s="37"/>
      <x:c r="J1234" s="1" t="n">
        <x:f>IF(ISNUMBER(F1234),E1234,0)</x:f>
        <x:v>0</x:v>
      </x:c>
      <x:c r="K1234" s="1"/>
      <x:c r="L1234" s="1" t="str">
        <x:v>https://blog.skyairline.com/blog/donde-ver-nieve-en-chile-si-no-quieres-o-no-sabes-esquiar/</x:v>
      </x:c>
      <x:c r="M1234" s="1" t="n">
        <x:v>0</x:v>
      </x:c>
    </x:row>
    <x:row r="1235" ht="18.75" customHeight="1">
      <x:c r="A1235" s="1" t="str">
        <x:v>https://blog.skyairline.com/aerolinea-moderna-y-flexible/</x:v>
      </x:c>
      <x:c r="B1235" s="1" t="str">
        <x:v>tarifa max sky</x:v>
      </x:c>
      <x:c r="C1235" s="1" t="str">
        <x:v>per</x:v>
      </x:c>
      <x:c r="D1235" s="1" t="str">
        <x:v>Marca</x:v>
      </x:c>
      <x:c r="E1235" s="35" t="n">
        <x:v>1</x:v>
      </x:c>
      <x:c r="F1235" s="36"/>
      <x:c r="G1235" s="36" t="str">
        <x:f>IF(ISNUMBER(F1235),E1235*F1235,"")</x:f>
      </x:c>
      <x:c r="H1235" s="37"/>
      <x:c r="I1235" s="37"/>
      <x:c r="J1235" s="1" t="n">
        <x:f>IF(ISNUMBER(F1235),E1235,0)</x:f>
        <x:v>0</x:v>
      </x:c>
      <x:c r="K1235" s="1"/>
      <x:c r="L1235" s="1" t="str">
        <x:v>https://blog.skyairline.com/blog/equipaje-de-cabina/</x:v>
      </x:c>
      <x:c r="M1235" s="1" t="n">
        <x:v>0</x:v>
      </x:c>
    </x:row>
    <x:row r="1236" ht="18.75" customHeight="1">
      <x:c r="A1236" s="1" t="str">
        <x:v>https://blog.skyairline.com/aerolinea-moderna-y-flexible/</x:v>
      </x:c>
      <x:c r="B1236" s="1" t="str">
        <x:v>tarifa zero sky</x:v>
      </x:c>
      <x:c r="C1236" s="1" t="str">
        <x:v>chl</x:v>
      </x:c>
      <x:c r="D1236" s="1" t="str">
        <x:v>Marca</x:v>
      </x:c>
      <x:c r="E1236" s="35" t="n">
        <x:v>1</x:v>
      </x:c>
      <x:c r="F1236" s="36"/>
      <x:c r="G1236" s="36" t="str">
        <x:f>IF(ISNUMBER(F1236),E1236*F1236,"")</x:f>
      </x:c>
      <x:c r="H1236" s="37" t="d">
        <x:v>2026-10-15T00:00:00.000Z</x:v>
      </x:c>
      <x:c r="I1236" s="37" t="d">
        <x:v>2026-09-12T21:15:44.000Z</x:v>
      </x:c>
      <x:c r="J1236" s="1" t="n">
        <x:f>IF(ISNUMBER(F1236),E1236,0)</x:f>
        <x:v>0</x:v>
      </x:c>
      <x:c r="K1236" s="1"/>
      <x:c r="L1236" s="1" t="str">
        <x:v>https://blog.skyairline.com/blog/estacionamiento-aeropuerto-santiago/</x:v>
      </x:c>
      <x:c r="M1236" s="1" t="n">
        <x:v>0</x:v>
      </x:c>
    </x:row>
    <x:row r="1237" ht="18.75" customHeight="1">
      <x:c r="A1237" s="1" t="str">
        <x:v>https://blog.skyairline.com/aerolinea-moderna-y-flexible/</x:v>
      </x:c>
      <x:c r="B1237" s="1" t="str">
        <x:v>zero</x:v>
      </x:c>
      <x:c r="C1237" s="1" t="str">
        <x:v>chl</x:v>
      </x:c>
      <x:c r="D1237" s="1" t="str">
        <x:v>Sin marca</x:v>
      </x:c>
      <x:c r="E1237" s="35" t="n">
        <x:v>1</x:v>
      </x:c>
      <x:c r="F1237" s="36" t="n">
        <x:v>0.14</x:v>
      </x:c>
      <x:c r="G1237" s="36" t="n">
        <x:f>IF(ISNUMBER(F1237),E1237*F1237,"")</x:f>
        <x:v>0.14</x:v>
      </x:c>
      <x:c r="H1237" s="37" t="d">
        <x:v>2026-10-15T00:00:00.000Z</x:v>
      </x:c>
      <x:c r="I1237" s="37" t="d">
        <x:v>2026-09-14T04:43:05.000Z</x:v>
      </x:c>
      <x:c r="J1237" s="1" t="n">
        <x:f>IF(ISNUMBER(F1237),E1237,0)</x:f>
        <x:v>1</x:v>
      </x:c>
      <x:c r="K1237" s="1"/>
      <x:c r="L1237" s="1" t="str">
        <x:v>https://blog.skyairline.com/blog/estaciones-en-chile/</x:v>
      </x:c>
      <x:c r="M1237" s="1" t="n">
        <x:v>0</x:v>
      </x:c>
    </x:row>
    <x:row r="1238" ht="18.75" customHeight="1">
      <x:c r="A1238" s="1" t="str">
        <x:v>https://blog.skyairline.com/aerolinea-moderna-y-flexible/</x:v>
      </x:c>
      <x:c r="B1238" s="1" t="str">
        <x:v>zero</x:v>
      </x:c>
      <x:c r="C1238" s="1" t="str">
        <x:v>per</x:v>
      </x:c>
      <x:c r="D1238" s="1" t="str">
        <x:v>Sin marca</x:v>
      </x:c>
      <x:c r="E1238" s="35" t="n">
        <x:v>1</x:v>
      </x:c>
      <x:c r="F1238" s="36"/>
      <x:c r="G1238" s="36" t="str">
        <x:f>IF(ISNUMBER(F1238),E1238*F1238,"")</x:f>
      </x:c>
      <x:c r="H1238" s="37" t="d">
        <x:v>2026-10-15T00:00:00.000Z</x:v>
      </x:c>
      <x:c r="I1238" s="37" t="d">
        <x:v>2026-09-13T03:57:55.999Z</x:v>
      </x:c>
      <x:c r="J1238" s="1" t="n">
        <x:f>IF(ISNUMBER(F1238),E1238,0)</x:f>
        <x:v>0</x:v>
      </x:c>
      <x:c r="K1238" s="1"/>
      <x:c r="L1238" s="1" t="str">
        <x:v>https://blog.skyairline.com/blog/experiencias/playas-de-republica-dominicana-las-mejores-para-disfrutar-del-caribe/</x:v>
      </x:c>
      <x:c r="M1238" s="1" t="n">
        <x:v>0</x:v>
      </x:c>
    </x:row>
    <x:row r="1239" ht="18.75" customHeight="1">
      <x:c r="A1239" s="1" t="str">
        <x:v>https://blog.skyairline.com/aerolinea-sky-inicia-vuelos-a-chiclayo-y-cajamarca/</x:v>
      </x:c>
      <x:c r="B1239" s="1" t="str">
        <x:v>sky cajamarca</x:v>
      </x:c>
      <x:c r="C1239" s="1" t="str">
        <x:v>per</x:v>
      </x:c>
      <x:c r="D1239" s="1" t="str">
        <x:v>Marca</x:v>
      </x:c>
      <x:c r="E1239" s="35" t="n">
        <x:v>1</x:v>
      </x:c>
      <x:c r="F1239" s="36" t="n">
        <x:v>0.13</x:v>
      </x:c>
      <x:c r="G1239" s="36" t="n">
        <x:f>IF(ISNUMBER(F1239),E1239*F1239,"")</x:f>
        <x:v>0.13</x:v>
      </x:c>
      <x:c r="H1239" s="37" t="d">
        <x:v>2026-10-15T00:00:00.000Z</x:v>
      </x:c>
      <x:c r="I1239" s="37" t="d">
        <x:v>2026-09-16T04:22:25.000Z</x:v>
      </x:c>
      <x:c r="J1239" s="1" t="n">
        <x:f>IF(ISNUMBER(F1239),E1239,0)</x:f>
        <x:v>1</x:v>
      </x:c>
      <x:c r="K1239" s="1"/>
      <x:c r="L1239" s="1" t="str">
        <x:v>https://blog.skyairline.com/blog/geografia-clima-y-turismo/</x:v>
      </x:c>
      <x:c r="M1239" s="1" t="n">
        <x:v>0</x:v>
      </x:c>
    </x:row>
    <x:row r="1240" ht="18.75" customHeight="1">
      <x:c r="A1240" s="1" t="str">
        <x:v>https://blog.skyairline.com/aerolineas-low-cost/</x:v>
      </x:c>
      <x:c r="B1240" s="1" t="str">
        <x:v>que es low cost en vuelos</x:v>
      </x:c>
      <x:c r="C1240" s="1" t="str">
        <x:v>per</x:v>
      </x:c>
      <x:c r="D1240" s="1" t="str">
        <x:v>Sin marca</x:v>
      </x:c>
      <x:c r="E1240" s="35" t="n">
        <x:v>1</x:v>
      </x:c>
      <x:c r="F1240" s="36"/>
      <x:c r="G1240" s="36" t="str">
        <x:f>IF(ISNUMBER(F1240),E1240*F1240,"")</x:f>
      </x:c>
      <x:c r="H1240" s="37" t="d">
        <x:v>2026-10-15T00:00:00.000Z</x:v>
      </x:c>
      <x:c r="I1240" s="37" t="d">
        <x:v>2026-09-15T00:50:26.999Z</x:v>
      </x:c>
      <x:c r="J1240" s="1" t="n">
        <x:f>IF(ISNUMBER(F1240),E1240,0)</x:f>
        <x:v>0</x:v>
      </x:c>
      <x:c r="K1240" s="1"/>
      <x:c r="L1240" s="1" t="str">
        <x:v>https://blog.skyairline.com/blog/las-playas-mas-cercanas-desde-buenos-aires/</x:v>
      </x:c>
      <x:c r="M1240" s="1" t="n">
        <x:v>0</x:v>
      </x:c>
    </x:row>
    <x:row r="1241" ht="18.75" customHeight="1">
      <x:c r="A1241" s="1" t="str">
        <x:v>https://blog.skyairline.com/aeropuerto-chiloe/</x:v>
      </x:c>
      <x:c r="B1241" s="1" t="str">
        <x:v>aerodromo mocopulli</x:v>
      </x:c>
      <x:c r="C1241" s="1" t="str">
        <x:v>chl</x:v>
      </x:c>
      <x:c r="D1241" s="1" t="str">
        <x:v>Sin marca</x:v>
      </x:c>
      <x:c r="E1241" s="35" t="n">
        <x:v>1</x:v>
      </x:c>
      <x:c r="F1241" s="36" t="n">
        <x:v>0.46</x:v>
      </x:c>
      <x:c r="G1241" s="36" t="n">
        <x:f>IF(ISNUMBER(F1241),E1241*F1241,"")</x:f>
        <x:v>0.46</x:v>
      </x:c>
      <x:c r="H1241" s="37" t="d">
        <x:v>2026-10-15T00:00:00.000Z</x:v>
      </x:c>
      <x:c r="I1241" s="37" t="d">
        <x:v>2026-09-13T08:09:52.000Z</x:v>
      </x:c>
      <x:c r="J1241" s="1" t="n">
        <x:f>IF(ISNUMBER(F1241),E1241,0)</x:f>
        <x:v>1</x:v>
      </x:c>
      <x:c r="K1241" s="1"/>
      <x:c r="L1241" s="1" t="str">
        <x:v>https://blog.skyairline.com/blog/patagonia-chilena-o-argentina-cual-elegir-para-tu-viaje/</x:v>
      </x:c>
      <x:c r="M1241" s="1" t="n">
        <x:v>0</x:v>
      </x:c>
    </x:row>
    <x:row r="1242" ht="18.75" customHeight="1">
      <x:c r="A1242" s="1" t="str">
        <x:v>https://blog.skyairline.com/aeropuerto-chiloe/</x:v>
      </x:c>
      <x:c r="B1242" s="1" t="str">
        <x:v>aerodromo quellon</x:v>
      </x:c>
      <x:c r="C1242" s="1" t="str">
        <x:v>chl</x:v>
      </x:c>
      <x:c r="D1242" s="1" t="str">
        <x:v>Sin marca</x:v>
      </x:c>
      <x:c r="E1242" s="35" t="n">
        <x:v>1</x:v>
      </x:c>
      <x:c r="F1242" s="36"/>
      <x:c r="G1242" s="36" t="str">
        <x:f>IF(ISNUMBER(F1242),E1242*F1242,"")</x:f>
      </x:c>
      <x:c r="H1242" s="37" t="d">
        <x:v>2026-10-15T00:00:00.000Z</x:v>
      </x:c>
      <x:c r="I1242" s="37" t="d">
        <x:v>2026-09-12T20:36:57.000Z</x:v>
      </x:c>
      <x:c r="J1242" s="1" t="n">
        <x:f>IF(ISNUMBER(F1242),E1242,0)</x:f>
        <x:v>0</x:v>
      </x:c>
      <x:c r="K1242" s="1"/>
      <x:c r="L1242" s="1" t="str">
        <x:v>https://blog.skyairline.com/blog/playa-lobitos/</x:v>
      </x:c>
      <x:c r="M1242" s="1" t="n">
        <x:v>0</x:v>
      </x:c>
    </x:row>
    <x:row r="1243" ht="18.75" customHeight="1">
      <x:c r="A1243" s="1" t="str">
        <x:v>https://blog.skyairline.com/aeropuerto-chiloe/</x:v>
      </x:c>
      <x:c r="B1243" s="1" t="str">
        <x:v>aeropuerto castro chiloe</x:v>
      </x:c>
      <x:c r="C1243" s="1" t="str">
        <x:v>per</x:v>
      </x:c>
      <x:c r="D1243" s="1" t="str">
        <x:v>Sin marca</x:v>
      </x:c>
      <x:c r="E1243" s="35" t="n">
        <x:v>1</x:v>
      </x:c>
      <x:c r="F1243" s="36"/>
      <x:c r="G1243" s="36" t="str">
        <x:f>IF(ISNUMBER(F1243),E1243*F1243,"")</x:f>
      </x:c>
      <x:c r="H1243" s="37"/>
      <x:c r="I1243" s="37"/>
      <x:c r="J1243" s="1" t="n">
        <x:f>IF(ISNUMBER(F1243),E1243,0)</x:f>
        <x:v>0</x:v>
      </x:c>
      <x:c r="K1243" s="1"/>
      <x:c r="L1243" s="1" t="str">
        <x:v>https://blog.skyairline.com/blog/playas-al-norte-de-chile-7-destinos-imperdibles</x:v>
      </x:c>
      <x:c r="M1243" s="1" t="n">
        <x:v>0</x:v>
      </x:c>
    </x:row>
    <x:row r="1244" ht="18.75" customHeight="1">
      <x:c r="A1244" s="1" t="str">
        <x:v>https://blog.skyairline.com/aeropuerto-chiloe/</x:v>
      </x:c>
      <x:c r="B1244" s="1" t="str">
        <x:v>aeropuerto cerca de chiloe</x:v>
      </x:c>
      <x:c r="C1244" s="1" t="str">
        <x:v>chl</x:v>
      </x:c>
      <x:c r="D1244" s="1" t="str">
        <x:v>Sin marca</x:v>
      </x:c>
      <x:c r="E1244" s="35" t="n">
        <x:v>1</x:v>
      </x:c>
      <x:c r="F1244" s="36" t="n">
        <x:v>0.52</x:v>
      </x:c>
      <x:c r="G1244" s="36" t="n">
        <x:f>IF(ISNUMBER(F1244),E1244*F1244,"")</x:f>
        <x:v>0.52</x:v>
      </x:c>
      <x:c r="H1244" s="37" t="d">
        <x:v>2026-10-15T00:00:00.000Z</x:v>
      </x:c>
      <x:c r="I1244" s="37" t="d">
        <x:v>2026-09-16T17:25:54.999Z</x:v>
      </x:c>
      <x:c r="J1244" s="1" t="n">
        <x:f>IF(ISNUMBER(F1244),E1244,0)</x:f>
        <x:v>1</x:v>
      </x:c>
      <x:c r="K1244" s="1"/>
      <x:c r="L1244" s="1" t="str">
        <x:v>https://blog.skyairline.com/blog/playas-para-ir-con-ninos/</x:v>
      </x:c>
      <x:c r="M1244" s="1" t="n">
        <x:v>0</x:v>
      </x:c>
    </x:row>
    <x:row r="1245" ht="18.75" customHeight="1">
      <x:c r="A1245" s="1" t="str">
        <x:v>https://blog.skyairline.com/aeropuerto-chiloe/</x:v>
      </x:c>
      <x:c r="B1245" s="1" t="str">
        <x:v>aeropuerto chiloe</x:v>
      </x:c>
      <x:c r="C1245" s="1" t="str">
        <x:v>esp</x:v>
      </x:c>
      <x:c r="D1245" s="1" t="str">
        <x:v>Sin marca</x:v>
      </x:c>
      <x:c r="E1245" s="35" t="n">
        <x:v>1</x:v>
      </x:c>
      <x:c r="F1245" s="36"/>
      <x:c r="G1245" s="36" t="str">
        <x:f>IF(ISNUMBER(F1245),E1245*F1245,"")</x:f>
      </x:c>
      <x:c r="H1245" s="37"/>
      <x:c r="I1245" s="37"/>
      <x:c r="J1245" s="1" t="n">
        <x:f>IF(ISNUMBER(F1245),E1245,0)</x:f>
        <x:v>0</x:v>
      </x:c>
      <x:c r="K1245" s="1"/>
      <x:c r="L1245" s="1" t="str">
        <x:v>https://blog.skyairline.com/blog/relieve-zona-sur-de-chile/</x:v>
      </x:c>
      <x:c r="M1245" s="1" t="n">
        <x:v>0</x:v>
      </x:c>
    </x:row>
    <x:row r="1246" ht="18.75" customHeight="1">
      <x:c r="A1246" s="1" t="str">
        <x:v>https://blog.skyairline.com/aeropuerto-chiloe/</x:v>
      </x:c>
      <x:c r="B1246" s="1" t="str">
        <x:v>aeropuerto chiloe castro</x:v>
      </x:c>
      <x:c r="C1246" s="1" t="str">
        <x:v>chl</x:v>
      </x:c>
      <x:c r="D1246" s="1" t="str">
        <x:v>Sin marca</x:v>
      </x:c>
      <x:c r="E1246" s="35" t="n">
        <x:v>1</x:v>
      </x:c>
      <x:c r="F1246" s="36" t="n">
        <x:v>1.7</x:v>
      </x:c>
      <x:c r="G1246" s="36" t="n">
        <x:f>IF(ISNUMBER(F1246),E1246*F1246,"")</x:f>
        <x:v>1.7</x:v>
      </x:c>
      <x:c r="H1246" s="37" t="d">
        <x:v>2026-10-15T00:00:00.000Z</x:v>
      </x:c>
      <x:c r="I1246" s="37" t="d">
        <x:v>2026-09-17T19:24:30.000Z</x:v>
      </x:c>
      <x:c r="J1246" s="1" t="n">
        <x:f>IF(ISNUMBER(F1246),E1246,0)</x:f>
        <x:v>1</x:v>
      </x:c>
      <x:c r="K1246" s="1"/>
      <x:c r="L1246" s="1" t="str">
        <x:v>https://blog.skyairline.com/blog/sky-airline-plataforma-de-viajes</x:v>
      </x:c>
      <x:c r="M1246" s="1" t="n">
        <x:v>0</x:v>
      </x:c>
    </x:row>
    <x:row r="1247" ht="18.75" customHeight="1">
      <x:c r="A1247" s="1" t="str">
        <x:v>https://blog.skyairline.com/aeropuerto-chiloe/</x:v>
      </x:c>
      <x:c r="B1247" s="1" t="str">
        <x:v>aeropuerto de chiloe</x:v>
      </x:c>
      <x:c r="C1247" s="1" t="str">
        <x:v>per</x:v>
      </x:c>
      <x:c r="D1247" s="1" t="str">
        <x:v>Sin marca</x:v>
      </x:c>
      <x:c r="E1247" s="35" t="n">
        <x:v>1</x:v>
      </x:c>
      <x:c r="F1247" s="36"/>
      <x:c r="G1247" s="36" t="str">
        <x:f>IF(ISNUMBER(F1247),E1247*F1247,"")</x:f>
      </x:c>
      <x:c r="H1247" s="37"/>
      <x:c r="I1247" s="37"/>
      <x:c r="J1247" s="1" t="n">
        <x:f>IF(ISNUMBER(F1247),E1247,0)</x:f>
        <x:v>0</x:v>
      </x:c>
      <x:c r="K1247" s="1"/>
      <x:c r="L1247" s="1" t="str">
        <x:v>https://blog.skyairline.com/blog/sky-airline/terminal-sur-santiago/</x:v>
      </x:c>
      <x:c r="M1247" s="1" t="n">
        <x:v>0</x:v>
      </x:c>
    </x:row>
    <x:row r="1248" ht="18.75" customHeight="1">
      <x:c r="A1248" s="1" t="str">
        <x:v>https://blog.skyairline.com/aeropuerto-chiloe/</x:v>
      </x:c>
      <x:c r="B1248" s="1" t="str">
        <x:v>aeropuerto en chiloe</x:v>
      </x:c>
      <x:c r="C1248" s="1" t="str">
        <x:v>chl</x:v>
      </x:c>
      <x:c r="D1248" s="1" t="str">
        <x:v>Sin marca</x:v>
      </x:c>
      <x:c r="E1248" s="35" t="n">
        <x:v>1</x:v>
      </x:c>
      <x:c r="F1248" s="36" t="n">
        <x:v>1.47</x:v>
      </x:c>
      <x:c r="G1248" s="36" t="n">
        <x:f>IF(ISNUMBER(F1248),E1248*F1248,"")</x:f>
        <x:v>1.47</x:v>
      </x:c>
      <x:c r="H1248" s="37" t="d">
        <x:v>2026-10-15T00:00:00.000Z</x:v>
      </x:c>
      <x:c r="I1248" s="37" t="d">
        <x:v>2026-09-17T12:02:42.000Z</x:v>
      </x:c>
      <x:c r="J1248" s="1" t="n">
        <x:f>IF(ISNUMBER(F1248),E1248,0)</x:f>
        <x:v>1</x:v>
      </x:c>
      <x:c r="K1248" s="1"/>
      <x:c r="L1248" s="1" t="str">
        <x:v>https://blog.skyairline.com/blog/sky-en-la-mira-concepcion-temuco-valdivia-y-puerto-montt-las-puertas-de-la-patagonia/</x:v>
      </x:c>
      <x:c r="M1248" s="1" t="n">
        <x:v>0</x:v>
      </x:c>
    </x:row>
    <x:row r="1249" ht="18.75" customHeight="1">
      <x:c r="A1249" s="1" t="str">
        <x:v>https://blog.skyairline.com/aeropuerto-chiloe/</x:v>
      </x:c>
      <x:c r="B1249" s="1" t="str">
        <x:v>castro aeropuerto</x:v>
      </x:c>
      <x:c r="C1249" s="1" t="str">
        <x:v>chl</x:v>
      </x:c>
      <x:c r="D1249" s="1" t="str">
        <x:v>Sin marca</x:v>
      </x:c>
      <x:c r="E1249" s="35" t="n">
        <x:v>1</x:v>
      </x:c>
      <x:c r="F1249" s="36" t="n">
        <x:v>2.21</x:v>
      </x:c>
      <x:c r="G1249" s="36" t="n">
        <x:f>IF(ISNUMBER(F1249),E1249*F1249,"")</x:f>
        <x:v>2.21</x:v>
      </x:c>
      <x:c r="H1249" s="37" t="d">
        <x:v>2026-10-15T00:00:00.000Z</x:v>
      </x:c>
      <x:c r="I1249" s="37" t="d">
        <x:v>2026-09-16T02:37:38.000Z</x:v>
      </x:c>
      <x:c r="J1249" s="1" t="n">
        <x:f>IF(ISNUMBER(F1249),E1249,0)</x:f>
        <x:v>1</x:v>
      </x:c>
      <x:c r="K1249" s="1"/>
      <x:c r="L1249" s="1" t="str">
        <x:v>https://blog.skyairline.com/blog/skyairline-com-3/</x:v>
      </x:c>
      <x:c r="M1249" s="1" t="n">
        <x:v>0</x:v>
      </x:c>
    </x:row>
    <x:row r="1250" ht="18.75" customHeight="1">
      <x:c r="A1250" s="1" t="str">
        <x:v>https://blog.skyairline.com/aeropuerto-chiloe/</x:v>
      </x:c>
      <x:c r="B1250" s="1" t="str">
        <x:v>chiloe tiene aeropuerto</x:v>
      </x:c>
      <x:c r="C1250" s="1" t="str">
        <x:v>arg</x:v>
      </x:c>
      <x:c r="D1250" s="1" t="str">
        <x:v>Sin marca</x:v>
      </x:c>
      <x:c r="E1250" s="35" t="n">
        <x:v>1</x:v>
      </x:c>
      <x:c r="F1250" s="36"/>
      <x:c r="G1250" s="36" t="str">
        <x:f>IF(ISNUMBER(F1250),E1250*F1250,"")</x:f>
      </x:c>
      <x:c r="H1250" s="37"/>
      <x:c r="I1250" s="37"/>
      <x:c r="J1250" s="1" t="n">
        <x:f>IF(ISNUMBER(F1250),E1250,0)</x:f>
        <x:v>0</x:v>
      </x:c>
      <x:c r="K1250" s="1"/>
      <x:c r="L1250" s="1" t="str">
        <x:v>https://blog.skyairline.com/blog/skyairline-com/aeropuertos-en-buenos-aires:-a-cual-te-conviene-llegar?/</x:v>
      </x:c>
      <x:c r="M1250" s="1" t="n">
        <x:v>0</x:v>
      </x:c>
    </x:row>
    <x:row r="1251" ht="18.75" customHeight="1">
      <x:c r="A1251" s="1" t="str">
        <x:v>https://blog.skyairline.com/aeropuerto-chiloe/</x:v>
      </x:c>
      <x:c r="B1251" s="1" t="str">
        <x:v>hay aeropuerto en chiloe</x:v>
      </x:c>
      <x:c r="C1251" s="1" t="str">
        <x:v>chl</x:v>
      </x:c>
      <x:c r="D1251" s="1" t="str">
        <x:v>Sin marca</x:v>
      </x:c>
      <x:c r="E1251" s="35" t="n">
        <x:v>1</x:v>
      </x:c>
      <x:c r="F1251" s="36" t="n">
        <x:v>1.61</x:v>
      </x:c>
      <x:c r="G1251" s="36" t="n">
        <x:f>IF(ISNUMBER(F1251),E1251*F1251,"")</x:f>
        <x:v>1.61</x:v>
      </x:c>
      <x:c r="H1251" s="37" t="d">
        <x:v>2026-10-15T00:00:00.000Z</x:v>
      </x:c>
      <x:c r="I1251" s="37" t="d">
        <x:v>2026-09-13T05:48:18.000Z</x:v>
      </x:c>
      <x:c r="J1251" s="1" t="n">
        <x:f>IF(ISNUMBER(F1251),E1251,0)</x:f>
        <x:v>1</x:v>
      </x:c>
      <x:c r="K1251" s="1"/>
      <x:c r="L1251" s="1" t="str">
        <x:v>https://blog.skyairline.com/blog/skyairline-com/frutos-del-sur-de-chile-variedades-y-beneficios/</x:v>
      </x:c>
      <x:c r="M1251" s="1" t="n">
        <x:v>0</x:v>
      </x:c>
    </x:row>
    <x:row r="1252" ht="18.75" customHeight="1">
      <x:c r="A1252" s="1" t="str">
        <x:v>https://blog.skyairline.com/aeropuerto-chiloe/</x:v>
      </x:c>
      <x:c r="B1252" s="1" t="str">
        <x:v>mocopulli</x:v>
      </x:c>
      <x:c r="C1252" s="1" t="str">
        <x:v>chl</x:v>
      </x:c>
      <x:c r="D1252" s="1" t="str">
        <x:v>Sin marca</x:v>
      </x:c>
      <x:c r="E1252" s="35" t="n">
        <x:v>1</x:v>
      </x:c>
      <x:c r="F1252" s="36"/>
      <x:c r="G1252" s="36" t="str">
        <x:f>IF(ISNUMBER(F1252),E1252*F1252,"")</x:f>
      </x:c>
      <x:c r="H1252" s="37"/>
      <x:c r="I1252" s="37"/>
      <x:c r="J1252" s="1" t="n">
        <x:f>IF(ISNUMBER(F1252),E1252,0)</x:f>
        <x:v>0</x:v>
      </x:c>
      <x:c r="K1252" s="1"/>
      <x:c r="L1252" s="1" t="str">
        <x:v>https://blog.skyairline.com/blog/skyairline-como-es-el-relieve-de-la-zona-sur-de-chile-y-por-que-es-tan-especial/</x:v>
      </x:c>
      <x:c r="M1252" s="1" t="n">
        <x:v>0</x:v>
      </x:c>
    </x:row>
    <x:row r="1253" ht="18.75" customHeight="1">
      <x:c r="A1253" s="1" t="str">
        <x:v>https://blog.skyairline.com/aeropuerto-de-balmaceda/</x:v>
      </x:c>
      <x:c r="B1253" s="1" t="str">
        <x:v>aeropuerto de balmaceda</x:v>
      </x:c>
      <x:c r="C1253" s="1" t="str">
        <x:v>chl</x:v>
      </x:c>
      <x:c r="D1253" s="1" t="str">
        <x:v>Sin marca</x:v>
      </x:c>
      <x:c r="E1253" s="35" t="n">
        <x:v>1</x:v>
      </x:c>
      <x:c r="F1253" s="36" t="n">
        <x:v>2.27</x:v>
      </x:c>
      <x:c r="G1253" s="36" t="n">
        <x:f>IF(ISNUMBER(F1253),E1253*F1253,"")</x:f>
        <x:v>2.27</x:v>
      </x:c>
      <x:c r="H1253" s="37" t="d">
        <x:v>2026-10-15T00:00:00.000Z</x:v>
      </x:c>
      <x:c r="I1253" s="37" t="d">
        <x:v>2026-09-14T21:22:15.000Z</x:v>
      </x:c>
      <x:c r="J1253" s="1" t="n">
        <x:f>IF(ISNUMBER(F1253),E1253,0)</x:f>
        <x:v>1</x:v>
      </x:c>
      <x:c r="K1253" s="1"/>
      <x:c r="L1253" s="1" t="str">
        <x:v>https://blog.skyairline.com/blog/skyairline.com/bailes-tipicos-de-chile/</x:v>
      </x:c>
      <x:c r="M1253" s="1" t="n">
        <x:v>0</x:v>
      </x:c>
    </x:row>
    <x:row r="1254" ht="18.75" customHeight="1">
      <x:c r="A1254" s="1" t="str">
        <x:v>https://blog.skyairline.com/aeropuerto-de-balmaceda/</x:v>
      </x:c>
      <x:c r="B1254" s="1" t="str">
        <x:v>aeropuerto de balmaceda a coyhaique</x:v>
      </x:c>
      <x:c r="C1254" s="1" t="str">
        <x:v>chl</x:v>
      </x:c>
      <x:c r="D1254" s="1" t="str">
        <x:v>Sin marca</x:v>
      </x:c>
      <x:c r="E1254" s="35" t="n">
        <x:v>1</x:v>
      </x:c>
      <x:c r="F1254" s="36"/>
      <x:c r="G1254" s="36" t="str">
        <x:f>IF(ISNUMBER(F1254),E1254*F1254,"")</x:f>
      </x:c>
      <x:c r="H1254" s="37"/>
      <x:c r="I1254" s="37"/>
      <x:c r="J1254" s="1" t="n">
        <x:f>IF(ISNUMBER(F1254),E1254,0)</x:f>
        <x:v>0</x:v>
      </x:c>
      <x:c r="K1254" s="1"/>
      <x:c r="L1254" s="1" t="str">
        <x:v>https://blog.skyairline.com/blog/skyairline.com/comidas-y-bebidas-tipicas-del-18-de-septiembre/</x:v>
      </x:c>
      <x:c r="M1254" s="1" t="n">
        <x:v>0</x:v>
      </x:c>
    </x:row>
    <x:row r="1255" ht="18.75" customHeight="1">
      <x:c r="A1255" s="1" t="str">
        <x:v>https://blog.skyairline.com/aeropuerto-de-balmaceda/</x:v>
      </x:c>
      <x:c r="B1255" s="1" t="str">
        <x:v>coyhaique aeropuerto</x:v>
      </x:c>
      <x:c r="C1255" s="1" t="str">
        <x:v>chl</x:v>
      </x:c>
      <x:c r="D1255" s="1" t="str">
        <x:v>Sin marca</x:v>
      </x:c>
      <x:c r="E1255" s="35" t="n">
        <x:v>1</x:v>
      </x:c>
      <x:c r="F1255" s="36" t="n">
        <x:v>1.19</x:v>
      </x:c>
      <x:c r="G1255" s="36" t="n">
        <x:f>IF(ISNUMBER(F1255),E1255*F1255,"")</x:f>
        <x:v>1.19</x:v>
      </x:c>
      <x:c r="H1255" s="37" t="d">
        <x:v>2026-10-15T00:00:00.000Z</x:v>
      </x:c>
      <x:c r="I1255" s="37" t="d">
        <x:v>2026-09-12T16:23:59.000Z</x:v>
      </x:c>
      <x:c r="J1255" s="1" t="n">
        <x:f>IF(ISNUMBER(F1255),E1255,0)</x:f>
        <x:v>1</x:v>
      </x:c>
      <x:c r="K1255" s="1"/>
      <x:c r="L1255" s="1" t="str">
        <x:v>https://blog.skyairline.com/blog/skyairline.com/geografia-clima-y-turismo</x:v>
      </x:c>
      <x:c r="M1255" s="1" t="n">
        <x:v>0</x:v>
      </x:c>
    </x:row>
    <x:row r="1256" ht="18.75" customHeight="1">
      <x:c r="A1256" s="1" t="str">
        <x:v>https://blog.skyairline.com/aeropuerto-internacionales/</x:v>
      </x:c>
      <x:c r="B1256" s="1" t="str">
        <x:v>los aeropuertos mas grandes de latinoamerica</x:v>
      </x:c>
      <x:c r="C1256" s="1" t="str">
        <x:v>chl</x:v>
      </x:c>
      <x:c r="D1256" s="1" t="str">
        <x:v>Sin marca</x:v>
      </x:c>
      <x:c r="E1256" s="35" t="n">
        <x:v>1</x:v>
      </x:c>
      <x:c r="F1256" s="36"/>
      <x:c r="G1256" s="36" t="str">
        <x:f>IF(ISNUMBER(F1256),E1256*F1256,"")</x:f>
      </x:c>
      <x:c r="H1256" s="37"/>
      <x:c r="I1256" s="37"/>
      <x:c r="J1256" s="1" t="n">
        <x:f>IF(ISNUMBER(F1256),E1256,0)</x:f>
        <x:v>0</x:v>
      </x:c>
      <x:c r="K1256" s="1"/>
      <x:c r="L1256" s="1" t="str">
        <x:v>https://blog.skyairline.com/blog/skyairline.com/lima-ttd39/best-neighborhoods-in-lima/</x:v>
      </x:c>
      <x:c r="M1256" s="1" t="n">
        <x:v>0</x:v>
      </x:c>
    </x:row>
    <x:row r="1257" ht="18.75" customHeight="1">
      <x:c r="A1257" s="1" t="str">
        <x:v>https://blog.skyairline.com/aeropuerto-santiago/</x:v>
      </x:c>
      <x:c r="B1257" s="1" t="str">
        <x:v>como llegar al aeropuerto de santiago</x:v>
      </x:c>
      <x:c r="C1257" s="1" t="str">
        <x:v>chl</x:v>
      </x:c>
      <x:c r="D1257" s="1" t="str">
        <x:v>Sin marca</x:v>
      </x:c>
      <x:c r="E1257" s="35" t="n">
        <x:v>1</x:v>
      </x:c>
      <x:c r="F1257" s="36" t="n">
        <x:v>0.39</x:v>
      </x:c>
      <x:c r="G1257" s="36" t="n">
        <x:f>IF(ISNUMBER(F1257),E1257*F1257,"")</x:f>
        <x:v>0.39</x:v>
      </x:c>
      <x:c r="H1257" s="37" t="d">
        <x:v>2026-10-15T00:00:00.000Z</x:v>
      </x:c>
      <x:c r="I1257" s="37" t="d">
        <x:v>2026-09-16T22:01:03.000Z</x:v>
      </x:c>
      <x:c r="J1257" s="1" t="n">
        <x:f>IF(ISNUMBER(F1257),E1257,0)</x:f>
        <x:v>1</x:v>
      </x:c>
      <x:c r="K1257" s="1"/>
      <x:c r="L1257" s="1" t="str">
        <x:v>https://blog.skyairline.com/blog/skyairline.com/mitos-chilenos-cuentos-y-leyendas-de-nuestros-pueblos/</x:v>
      </x:c>
      <x:c r="M1257" s="1" t="n">
        <x:v>0</x:v>
      </x:c>
    </x:row>
    <x:row r="1258" ht="18.75" customHeight="1">
      <x:c r="A1258" s="1" t="str">
        <x:v>https://blog.skyairline.com/aeropuerto-santiago/</x:v>
      </x:c>
      <x:c r="B1258" s="1" t="str">
        <x:v>sky terminal 1 o 2</x:v>
      </x:c>
      <x:c r="C1258" s="1" t="str">
        <x:v>chl</x:v>
      </x:c>
      <x:c r="D1258" s="1" t="str">
        <x:v>Marca</x:v>
      </x:c>
      <x:c r="E1258" s="35" t="n">
        <x:v>1</x:v>
      </x:c>
      <x:c r="F1258" s="36"/>
      <x:c r="G1258" s="36" t="str">
        <x:f>IF(ISNUMBER(F1258),E1258*F1258,"")</x:f>
      </x:c>
      <x:c r="H1258" s="37" t="d">
        <x:v>2026-10-15T00:00:00.000Z</x:v>
      </x:c>
      <x:c r="I1258" s="37" t="d">
        <x:v>2026-09-12T20:32:31.000Z</x:v>
      </x:c>
      <x:c r="J1258" s="1" t="n">
        <x:f>IF(ISNUMBER(F1258),E1258,0)</x:f>
        <x:v>0</x:v>
      </x:c>
      <x:c r="K1258" s="1"/>
      <x:c r="L1258" s="1" t="str">
        <x:v>https://blog.skyairline.com/blog/skyairline.com/pisco-sour</x:v>
      </x:c>
      <x:c r="M1258" s="1" t="n">
        <x:v>0</x:v>
      </x:c>
    </x:row>
    <x:row r="1259" ht="18.75" customHeight="1">
      <x:c r="A1259" s="1" t="str">
        <x:v>https://blog.skyairline.com/aeropuerto-temuco/</x:v>
      </x:c>
      <x:c r="B1259" s="1" t="str">
        <x:v>aeropuerto la araucania</x:v>
      </x:c>
      <x:c r="C1259" s="1" t="str">
        <x:v>chl</x:v>
      </x:c>
      <x:c r="D1259" s="1" t="str">
        <x:v>Sin marca</x:v>
      </x:c>
      <x:c r="E1259" s="35" t="n">
        <x:v>1</x:v>
      </x:c>
      <x:c r="F1259" s="36" t="n">
        <x:v>0.56</x:v>
      </x:c>
      <x:c r="G1259" s="36" t="n">
        <x:f>IF(ISNUMBER(F1259),E1259*F1259,"")</x:f>
        <x:v>0.56</x:v>
      </x:c>
      <x:c r="H1259" s="37" t="d">
        <x:v>2026-10-15T00:00:00.000Z</x:v>
      </x:c>
      <x:c r="I1259" s="37" t="d">
        <x:v>2026-09-15T20:53:44.000Z</x:v>
      </x:c>
      <x:c r="J1259" s="1" t="n">
        <x:f>IF(ISNUMBER(F1259),E1259,0)</x:f>
        <x:v>1</x:v>
      </x:c>
      <x:c r="K1259" s="1"/>
      <x:c r="L1259" s="1" t="str">
        <x:v>https://blog.skyairline.com/blog/skyairline.com/terminal-sur-santiago/</x:v>
      </x:c>
      <x:c r="M1259" s="1" t="n">
        <x:v>0</x:v>
      </x:c>
    </x:row>
    <x:row r="1260" ht="18.75" customHeight="1">
      <x:c r="A1260" s="1" t="str">
        <x:v>https://blog.skyairline.com/aeropuerto-temuco/</x:v>
      </x:c>
      <x:c r="B1260" s="1" t="str">
        <x:v>buses al aeropuerto temuco</x:v>
      </x:c>
      <x:c r="C1260" s="1" t="str">
        <x:v>chl</x:v>
      </x:c>
      <x:c r="D1260" s="1" t="str">
        <x:v>Sin marca</x:v>
      </x:c>
      <x:c r="E1260" s="35" t="n">
        <x:v>1</x:v>
      </x:c>
      <x:c r="F1260" s="36" t="n">
        <x:v>0.17</x:v>
      </x:c>
      <x:c r="G1260" s="36" t="n">
        <x:f>IF(ISNUMBER(F1260),E1260*F1260,"")</x:f>
        <x:v>0.17</x:v>
      </x:c>
      <x:c r="H1260" s="37" t="d">
        <x:v>2026-10-15T00:00:00.000Z</x:v>
      </x:c>
      <x:c r="I1260" s="37" t="d">
        <x:v>2026-09-17T21:05:33.000Z</x:v>
      </x:c>
      <x:c r="J1260" s="1" t="n">
        <x:f>IF(ISNUMBER(F1260),E1260,0)</x:f>
        <x:v>1</x:v>
      </x:c>
      <x:c r="K1260" s="1"/>
      <x:c r="L1260" s="1" t="str">
        <x:v>https://blog.skyairline.com/blog/skyairline.com/the-terminal-sur-santiago-what-you-need-to-know/</x:v>
      </x:c>
      <x:c r="M1260" s="1" t="n">
        <x:v>0</x:v>
      </x:c>
    </x:row>
    <x:row r="1261" ht="18.75" customHeight="1">
      <x:c r="A1261" s="1" t="str">
        <x:v>https://blog.skyairline.com/aeropuerto-temuco/</x:v>
      </x:c>
      <x:c r="B1261" s="1" t="str">
        <x:v>buses jac aeropuerto temuco</x:v>
      </x:c>
      <x:c r="C1261" s="1" t="str">
        <x:v>chl</x:v>
      </x:c>
      <x:c r="D1261" s="1" t="str">
        <x:v>Sin marca</x:v>
      </x:c>
      <x:c r="E1261" s="35" t="n">
        <x:v>1</x:v>
      </x:c>
      <x:c r="F1261" s="36" t="n">
        <x:v>0.08</x:v>
      </x:c>
      <x:c r="G1261" s="36" t="n">
        <x:f>IF(ISNUMBER(F1261),E1261*F1261,"")</x:f>
        <x:v>0.08</x:v>
      </x:c>
      <x:c r="H1261" s="37" t="d">
        <x:v>2026-10-15T00:00:00.000Z</x:v>
      </x:c>
      <x:c r="I1261" s="37" t="d">
        <x:v>2026-10-15T12:16:30.999Z</x:v>
      </x:c>
      <x:c r="J1261" s="1" t="n">
        <x:f>IF(ISNUMBER(F1261),E1261,0)</x:f>
        <x:v>1</x:v>
      </x:c>
      <x:c r="K1261" s="1"/>
      <x:c r="L1261" s="1" t="str">
        <x:v>https://blog.skyairline.com/blog/skyairline.com/vida-nocturna-en-sao-paulo</x:v>
      </x:c>
      <x:c r="M1261" s="1" t="n">
        <x:v>0</x:v>
      </x:c>
    </x:row>
    <x:row r="1262" ht="18.75" customHeight="1">
      <x:c r="A1262" s="1" t="str">
        <x:v>https://blog.skyairline.com/aeropuerto-temuco/</x:v>
      </x:c>
      <x:c r="B1262" s="1" t="str">
        <x:v>como llegar al aeropuerto de temuco</x:v>
      </x:c>
      <x:c r="C1262" s="1" t="str">
        <x:v>chl</x:v>
      </x:c>
      <x:c r="D1262" s="1" t="str">
        <x:v>Sin marca</x:v>
      </x:c>
      <x:c r="E1262" s="35" t="n">
        <x:v>1</x:v>
      </x:c>
      <x:c r="F1262" s="36" t="n">
        <x:v>0.52</x:v>
      </x:c>
      <x:c r="G1262" s="36" t="n">
        <x:f>IF(ISNUMBER(F1262),E1262*F1262,"")</x:f>
        <x:v>0.52</x:v>
      </x:c>
      <x:c r="H1262" s="37" t="d">
        <x:v>2026-10-15T00:00:00.000Z</x:v>
      </x:c>
      <x:c r="I1262" s="37" t="d">
        <x:v>2026-10-15T14:20:26.999Z</x:v>
      </x:c>
      <x:c r="J1262" s="1" t="n">
        <x:f>IF(ISNUMBER(F1262),E1262,0)</x:f>
        <x:v>1</x:v>
      </x:c>
      <x:c r="K1262" s="1"/>
      <x:c r="L1262" s="1" t="str">
        <x:v>https://blog.skyairline.com/blog/skyairline/p/10-cosas-que-hacer-en-caminito-buenos-aires</x:v>
      </x:c>
      <x:c r="M1262" s="1" t="n">
        <x:v>0</x:v>
      </x:c>
    </x:row>
    <x:row r="1263" ht="18.75" customHeight="1">
      <x:c r="A1263" s="1" t="str">
        <x:v>https://blog.skyairline.com/aeropuerto-temuco/</x:v>
      </x:c>
      <x:c r="B1263" s="1" t="str">
        <x:v>en temuco hay aeropuerto</x:v>
      </x:c>
      <x:c r="C1263" s="1" t="str">
        <x:v>chl</x:v>
      </x:c>
      <x:c r="D1263" s="1" t="str">
        <x:v>Sin marca</x:v>
      </x:c>
      <x:c r="E1263" s="35" t="n">
        <x:v>1</x:v>
      </x:c>
      <x:c r="F1263" s="36"/>
      <x:c r="G1263" s="36" t="str">
        <x:f>IF(ISNUMBER(F1263),E1263*F1263,"")</x:f>
      </x:c>
      <x:c r="H1263" s="37"/>
      <x:c r="I1263" s="37"/>
      <x:c r="J1263" s="1" t="n">
        <x:f>IF(ISNUMBER(F1263),E1263,0)</x:f>
        <x:v>0</x:v>
      </x:c>
      <x:c r="K1263" s="1"/>
      <x:c r="L1263" s="1" t="str">
        <x:v>https://blog.skyairline.com/blog/skyairline/zona-norte-de-chile-principales-regiones-imperdibles/</x:v>
      </x:c>
      <x:c r="M1263" s="1" t="n">
        <x:v>0</x:v>
      </x:c>
    </x:row>
    <x:row r="1264" ht="18.75" customHeight="1">
      <x:c r="A1264" s="1" t="str">
        <x:v>https://blog.skyairline.com/aeropuerto-temuco/</x:v>
      </x:c>
      <x:c r="B1264" s="1" t="str">
        <x:v>hay aeropuerto en temuco</x:v>
      </x:c>
      <x:c r="C1264" s="1" t="str">
        <x:v>chl</x:v>
      </x:c>
      <x:c r="D1264" s="1" t="str">
        <x:v>Sin marca</x:v>
      </x:c>
      <x:c r="E1264" s="35" t="n">
        <x:v>1</x:v>
      </x:c>
      <x:c r="F1264" s="36" t="n">
        <x:v>0.77</x:v>
      </x:c>
      <x:c r="G1264" s="36" t="n">
        <x:f>IF(ISNUMBER(F1264),E1264*F1264,"")</x:f>
        <x:v>0.77</x:v>
      </x:c>
      <x:c r="H1264" s="37" t="d">
        <x:v>2026-10-15T00:00:00.000Z</x:v>
      </x:c>
      <x:c r="I1264" s="37" t="d">
        <x:v>2026-09-14T02:58:41.000Z</x:v>
      </x:c>
      <x:c r="J1264" s="1" t="n">
        <x:f>IF(ISNUMBER(F1264),E1264,0)</x:f>
        <x:v>1</x:v>
      </x:c>
      <x:c r="K1264" s="1"/>
      <x:c r="L1264" s="1" t="str">
        <x:v>https://blog.skyairline.com/blog/terminal-sur-santiago/</x:v>
      </x:c>
      <x:c r="M1264" s="1" t="n">
        <x:v>0</x:v>
      </x:c>
    </x:row>
    <x:row r="1265" ht="18.75" customHeight="1">
      <x:c r="A1265" s="1" t="str">
        <x:v>https://blog.skyairline.com/aeropuerto-temuco/</x:v>
      </x:c>
      <x:c r="B1265" s="1" t="str">
        <x:v>temuco a aeropuerto</x:v>
      </x:c>
      <x:c r="C1265" s="1" t="str">
        <x:v>chl</x:v>
      </x:c>
      <x:c r="D1265" s="1" t="str">
        <x:v>Sin marca</x:v>
      </x:c>
      <x:c r="E1265" s="35" t="n">
        <x:v>1</x:v>
      </x:c>
      <x:c r="F1265" s="36"/>
      <x:c r="G1265" s="36" t="str">
        <x:f>IF(ISNUMBER(F1265),E1265*F1265,"")</x:f>
      </x:c>
      <x:c r="H1265" s="37"/>
      <x:c r="I1265" s="37"/>
      <x:c r="J1265" s="1" t="n">
        <x:f>IF(ISNUMBER(F1265),E1265,0)</x:f>
        <x:v>0</x:v>
      </x:c>
      <x:c r="K1265" s="1"/>
      <x:c r="L1265" s="1" t="str">
        <x:v>https://blog.skyairline.com/blog/vacaciones-nav-idenas-latinoamerica/</x:v>
      </x:c>
      <x:c r="M1265" s="1" t="n">
        <x:v>0</x:v>
      </x:c>
    </x:row>
    <x:row r="1266" ht="18.75" customHeight="1">
      <x:c r="A1266" s="1" t="str">
        <x:v>https://blog.skyairline.com/aeropuerto-temuco/</x:v>
      </x:c>
      <x:c r="B1266" s="1" t="str">
        <x:v>temuco aeropuerto</x:v>
      </x:c>
      <x:c r="C1266" s="1" t="str">
        <x:v>chl</x:v>
      </x:c>
      <x:c r="D1266" s="1" t="str">
        <x:v>Sin marca</x:v>
      </x:c>
      <x:c r="E1266" s="35" t="n">
        <x:v>1</x:v>
      </x:c>
      <x:c r="F1266" s="36" t="n">
        <x:v>1.1</x:v>
      </x:c>
      <x:c r="G1266" s="36" t="n">
        <x:f>IF(ISNUMBER(F1266),E1266*F1266,"")</x:f>
        <x:v>1.1</x:v>
      </x:c>
      <x:c r="H1266" s="37" t="d">
        <x:v>2026-10-15T00:00:00.000Z</x:v>
      </x:c>
      <x:c r="I1266" s="37" t="d">
        <x:v>2026-09-14T08:21:21.000Z</x:v>
      </x:c>
      <x:c r="J1266" s="1" t="n">
        <x:f>IF(ISNUMBER(F1266),E1266,0)</x:f>
        <x:v>1</x:v>
      </x:c>
      <x:c r="K1266" s="1"/>
      <x:c r="L1266" s="1" t="str">
        <x:v>https://blog.skyairline.com/blog/viajar-con-bebes-desde-que-edad-pueden-volar-tus-pequenos-y-cuanto-pagaran/</x:v>
      </x:c>
      <x:c r="M1266" s="1" t="n">
        <x:v>0</x:v>
      </x:c>
    </x:row>
    <x:row r="1267" ht="18.75" customHeight="1">
      <x:c r="A1267" s="1" t="str">
        <x:v>https://blog.skyairline.com/aeropuerto-temuco/</x:v>
      </x:c>
      <x:c r="B1267" s="1" t="str">
        <x:v>tur bus aeropuerto temuco</x:v>
      </x:c>
      <x:c r="C1267" s="1" t="str">
        <x:v>chl</x:v>
      </x:c>
      <x:c r="D1267" s="1" t="str">
        <x:v>Sin marca</x:v>
      </x:c>
      <x:c r="E1267" s="35" t="n">
        <x:v>1</x:v>
      </x:c>
      <x:c r="F1267" s="36" t="n">
        <x:v>0.33</x:v>
      </x:c>
      <x:c r="G1267" s="36" t="n">
        <x:f>IF(ISNUMBER(F1267),E1267*F1267,"")</x:f>
        <x:v>0.33</x:v>
      </x:c>
      <x:c r="H1267" s="37" t="d">
        <x:v>2026-10-15T00:00:00.000Z</x:v>
      </x:c>
      <x:c r="I1267" s="37" t="d">
        <x:v>2026-09-14T22:57:01.000Z</x:v>
      </x:c>
      <x:c r="J1267" s="1" t="n">
        <x:f>IF(ISNUMBER(F1267),E1267,0)</x:f>
        <x:v>1</x:v>
      </x:c>
      <x:c r="K1267" s="1"/>
      <x:c r="L1267" s="1" t="str">
        <x:v>https://blog.skyairline.com/blog/viajar-con-bebes/</x:v>
      </x:c>
      <x:c r="M1267" s="1" t="n">
        <x:v>0</x:v>
      </x:c>
    </x:row>
    <x:row r="1268" ht="18.75" customHeight="1">
      <x:c r="A1268" s="1" t="str">
        <x:v>https://blog.skyairline.com/aeropuertos-en-buenos-aires/</x:v>
      </x:c>
      <x:c r="B1268" s="1" t="str">
        <x:v>a que aeropuerto llegar en buenos aires</x:v>
      </x:c>
      <x:c r="C1268" s="1" t="str">
        <x:v>col</x:v>
      </x:c>
      <x:c r="D1268" s="1" t="str">
        <x:v>Sin marca</x:v>
      </x:c>
      <x:c r="E1268" s="35" t="n">
        <x:v>1</x:v>
      </x:c>
      <x:c r="F1268" s="36"/>
      <x:c r="G1268" s="36" t="str">
        <x:f>IF(ISNUMBER(F1268),E1268*F1268,"")</x:f>
      </x:c>
      <x:c r="H1268" s="37"/>
      <x:c r="I1268" s="37"/>
      <x:c r="J1268" s="1" t="n">
        <x:f>IF(ISNUMBER(F1268),E1268,0)</x:f>
        <x:v>0</x:v>
      </x:c>
      <x:c r="K1268" s="1"/>
      <x:c r="L1268" s="1" t="str">
        <x:v>https://blog.skyairline.com/blog/viajes-al-sur-de-chile-que-no-puedes-dejar-de-hacer/</x:v>
      </x:c>
      <x:c r="M1268" s="1" t="n">
        <x:v>0</x:v>
      </x:c>
    </x:row>
    <x:row r="1269" ht="18.75" customHeight="1">
      <x:c r="A1269" s="1" t="str">
        <x:v>https://blog.skyairline.com/aeropuertos-en-buenos-aires/</x:v>
      </x:c>
      <x:c r="B1269" s="1" t="str">
        <x:v>aep buenos aires</x:v>
      </x:c>
      <x:c r="C1269" s="1" t="str">
        <x:v>chl</x:v>
      </x:c>
      <x:c r="D1269" s="1" t="str">
        <x:v>Sin marca</x:v>
      </x:c>
      <x:c r="E1269" s="35" t="n">
        <x:v>1</x:v>
      </x:c>
      <x:c r="F1269" s="36" t="n">
        <x:v>2.12</x:v>
      </x:c>
      <x:c r="G1269" s="36" t="n">
        <x:f>IF(ISNUMBER(F1269),E1269*F1269,"")</x:f>
        <x:v>2.12</x:v>
      </x:c>
      <x:c r="H1269" s="37" t="d">
        <x:v>2026-10-15T00:00:00.000Z</x:v>
      </x:c>
      <x:c r="I1269" s="37" t="d">
        <x:v>2026-09-16T15:12:34.000Z</x:v>
      </x:c>
      <x:c r="J1269" s="1" t="n">
        <x:f>IF(ISNUMBER(F1269),E1269,0)</x:f>
        <x:v>1</x:v>
      </x:c>
      <x:c r="K1269" s="1"/>
      <x:c r="L1269" s="1" t="str">
        <x:v>https://blog.skyairline.com/blog/vuelos-a-pucallpa/</x:v>
      </x:c>
      <x:c r="M1269" s="1" t="n">
        <x:v>0</x:v>
      </x:c>
    </x:row>
    <x:row r="1270" ht="18.75" customHeight="1">
      <x:c r="A1270" s="1" t="str">
        <x:v>https://blog.skyairline.com/aeropuertos-en-buenos-aires/</x:v>
      </x:c>
      <x:c r="B1270" s="1" t="str">
        <x:v>aeroparque buenos aires</x:v>
      </x:c>
      <x:c r="C1270" s="1" t="str">
        <x:v>arg</x:v>
      </x:c>
      <x:c r="D1270" s="1" t="str">
        <x:v>Sin marca</x:v>
      </x:c>
      <x:c r="E1270" s="35" t="n">
        <x:v>1</x:v>
      </x:c>
      <x:c r="F1270" s="36"/>
      <x:c r="G1270" s="36" t="str">
        <x:f>IF(ISNUMBER(F1270),E1270*F1270,"")</x:f>
      </x:c>
      <x:c r="H1270" s="37"/>
      <x:c r="I1270" s="37"/>
      <x:c r="J1270" s="1" t="n">
        <x:f>IF(ISNUMBER(F1270),E1270,0)</x:f>
        <x:v>0</x:v>
      </x:c>
      <x:c r="K1270" s="1"/>
      <x:c r="L1270" s="1" t="str">
        <x:v>https://blog.skyairline.com/blog/zona-central/</x:v>
      </x:c>
      <x:c r="M1270" s="1" t="n">
        <x:v>0</x:v>
      </x:c>
    </x:row>
    <x:row r="1271" ht="18.75" customHeight="1">
      <x:c r="A1271" s="1" t="str">
        <x:v>https://blog.skyairline.com/aeropuertos-en-buenos-aires/</x:v>
      </x:c>
      <x:c r="B1271" s="1" t="str">
        <x:v>aeropuerto buenos aires</x:v>
      </x:c>
      <x:c r="C1271" s="1" t="str">
        <x:v>per</x:v>
      </x:c>
      <x:c r="D1271" s="1" t="str">
        <x:v>Sin marca</x:v>
      </x:c>
      <x:c r="E1271" s="35" t="n">
        <x:v>1</x:v>
      </x:c>
      <x:c r="F1271" s="36" t="n">
        <x:v>0.23</x:v>
      </x:c>
      <x:c r="G1271" s="36" t="n">
        <x:f>IF(ISNUMBER(F1271),E1271*F1271,"")</x:f>
        <x:v>0.23</x:v>
      </x:c>
      <x:c r="H1271" s="37" t="d">
        <x:v>2026-10-15T00:00:00.000Z</x:v>
      </x:c>
      <x:c r="I1271" s="37" t="d">
        <x:v>2026-10-15T08:30:50.000Z</x:v>
      </x:c>
      <x:c r="J1271" s="1" t="n">
        <x:f>IF(ISNUMBER(F1271),E1271,0)</x:f>
        <x:v>1</x:v>
      </x:c>
      <x:c r="K1271" s="1"/>
      <x:c r="L1271" s="1" t="str">
        <x:v>https://blog.skyairline.com/blog/zona-centro-sur-de-chile-geografia-clima-y-turismo/</x:v>
      </x:c>
      <x:c r="M1271" s="1" t="n">
        <x:v>0</x:v>
      </x:c>
    </x:row>
    <x:row r="1272" ht="18.75" customHeight="1">
      <x:c r="A1272" s="1" t="str">
        <x:v>https://blog.skyairline.com/aeropuertos-en-buenos-aires/</x:v>
      </x:c>
      <x:c r="B1272" s="1" t="str">
        <x:v>aeropuerto de buenos aires</x:v>
      </x:c>
      <x:c r="C1272" s="1" t="str">
        <x:v>chl</x:v>
      </x:c>
      <x:c r="D1272" s="1" t="str">
        <x:v>Sin marca</x:v>
      </x:c>
      <x:c r="E1272" s="35" t="n">
        <x:v>1</x:v>
      </x:c>
      <x:c r="F1272" s="36" t="n">
        <x:v>1.55</x:v>
      </x:c>
      <x:c r="G1272" s="36" t="n">
        <x:f>IF(ISNUMBER(F1272),E1272*F1272,"")</x:f>
        <x:v>1.55</x:v>
      </x:c>
      <x:c r="H1272" s="37" t="d">
        <x:v>2026-10-15T00:00:00.000Z</x:v>
      </x:c>
      <x:c r="I1272" s="37" t="d">
        <x:v>2026-09-16T08:26:48.000Z</x:v>
      </x:c>
      <x:c r="J1272" s="1" t="n">
        <x:f>IF(ISNUMBER(F1272),E1272,0)</x:f>
        <x:v>1</x:v>
      </x:c>
      <x:c r="K1272" s="1"/>
      <x:c r="L1272" s="1" t="str">
        <x:v>https://blog.skyairline.com/blogiquin-basico-de-viaje/</x:v>
      </x:c>
      <x:c r="M1272" s="1" t="n">
        <x:v>0</x:v>
      </x:c>
    </x:row>
    <x:row r="1273" ht="18.75" customHeight="1">
      <x:c r="A1273" s="1" t="str">
        <x:v>https://blog.skyairline.com/aeropuertos-en-buenos-aires/</x:v>
      </x:c>
      <x:c r="B1273" s="1" t="str">
        <x:v>aeropuerto de buenos aires</x:v>
      </x:c>
      <x:c r="C1273" s="1" t="str">
        <x:v>per</x:v>
      </x:c>
      <x:c r="D1273" s="1" t="str">
        <x:v>Sin marca</x:v>
      </x:c>
      <x:c r="E1273" s="35" t="n">
        <x:v>1</x:v>
      </x:c>
      <x:c r="F1273" s="36" t="n">
        <x:v>1.5</x:v>
      </x:c>
      <x:c r="G1273" s="36" t="n">
        <x:f>IF(ISNUMBER(F1273),E1273*F1273,"")</x:f>
        <x:v>1.5</x:v>
      </x:c>
      <x:c r="H1273" s="37" t="d">
        <x:v>2026-10-15T00:00:00.000Z</x:v>
      </x:c>
      <x:c r="I1273" s="37" t="d">
        <x:v>2026-09-15T11:10:55.000Z</x:v>
      </x:c>
      <x:c r="J1273" s="1" t="n">
        <x:f>IF(ISNUMBER(F1273),E1273,0)</x:f>
        <x:v>1</x:v>
      </x:c>
      <x:c r="K1273" s="1"/>
      <x:c r="L1273" s="1" t="str">
        <x:v>https://blog.skyairline.com/blogs/noticias/vuelos-a-puerto-montt</x:v>
      </x:c>
      <x:c r="M1273" s="1" t="n">
        <x:v>0</x:v>
      </x:c>
    </x:row>
    <x:row r="1274" ht="18.75" customHeight="1">
      <x:c r="A1274" s="1" t="str">
        <x:v>https://blog.skyairline.com/aeropuertos-en-buenos-aires/</x:v>
      </x:c>
      <x:c r="B1274" s="1" t="str">
        <x:v>aeropuerto en buenos aires capital</x:v>
      </x:c>
      <x:c r="C1274" s="1" t="str">
        <x:v>chl</x:v>
      </x:c>
      <x:c r="D1274" s="1" t="str">
        <x:v>Sin marca</x:v>
      </x:c>
      <x:c r="E1274" s="35" t="n">
        <x:v>1</x:v>
      </x:c>
      <x:c r="F1274" s="36"/>
      <x:c r="G1274" s="36" t="str">
        <x:f>IF(ISNUMBER(F1274),E1274*F1274,"")</x:f>
      </x:c>
      <x:c r="H1274" s="37"/>
      <x:c r="I1274" s="37"/>
      <x:c r="J1274" s="1" t="n">
        <x:f>IF(ISNUMBER(F1274),E1274,0)</x:f>
        <x:v>0</x:v>
      </x:c>
      <x:c r="K1274" s="1"/>
      <x:c r="L1274" s="1" t="str">
        <x:v>https://blog.skyairline.com/blumenau</x:v>
      </x:c>
      <x:c r="M1274" s="1" t="n">
        <x:v>0</x:v>
      </x:c>
    </x:row>
    <x:row r="1275" ht="18.75" customHeight="1">
      <x:c r="A1275" s="1" t="str">
        <x:v>https://blog.skyairline.com/aeropuertos-en-buenos-aires/</x:v>
      </x:c>
      <x:c r="B1275" s="1" t="str">
        <x:v>aeropuerto principal de buenos aires</x:v>
      </x:c>
      <x:c r="C1275" s="1" t="str">
        <x:v>chl</x:v>
      </x:c>
      <x:c r="D1275" s="1" t="str">
        <x:v>Sin marca</x:v>
      </x:c>
      <x:c r="E1275" s="35" t="n">
        <x:v>1</x:v>
      </x:c>
      <x:c r="F1275" s="36"/>
      <x:c r="G1275" s="36" t="str">
        <x:f>IF(ISNUMBER(F1275),E1275*F1275,"")</x:f>
      </x:c>
      <x:c r="H1275" s="37"/>
      <x:c r="I1275" s="37"/>
      <x:c r="J1275" s="1" t="n">
        <x:f>IF(ISNUMBER(F1275),E1275,0)</x:f>
        <x:v>0</x:v>
      </x:c>
      <x:c r="K1275" s="1"/>
      <x:c r="L1275" s="1" t="str">
        <x:v>https://blog.skyairline.com/blumenau/</x:v>
      </x:c>
      <x:c r="M1275" s="1" t="n">
        <x:v>0</x:v>
      </x:c>
    </x:row>
    <x:row r="1276" ht="18.75" customHeight="1">
      <x:c r="A1276" s="1" t="str">
        <x:v>https://blog.skyairline.com/aeropuertos-en-buenos-aires/</x:v>
      </x:c>
      <x:c r="B1276" s="1" t="str">
        <x:v>aeropuertos argentina buenos aires</x:v>
      </x:c>
      <x:c r="C1276" s="1" t="str">
        <x:v>chl</x:v>
      </x:c>
      <x:c r="D1276" s="1" t="str">
        <x:v>Sin marca</x:v>
      </x:c>
      <x:c r="E1276" s="35" t="n">
        <x:v>1</x:v>
      </x:c>
      <x:c r="F1276" s="36" t="n">
        <x:v>0.77</x:v>
      </x:c>
      <x:c r="G1276" s="36" t="n">
        <x:f>IF(ISNUMBER(F1276),E1276*F1276,"")</x:f>
        <x:v>0.77</x:v>
      </x:c>
      <x:c r="H1276" s="37" t="d">
        <x:v>2026-10-15T00:00:00.000Z</x:v>
      </x:c>
      <x:c r="I1276" s="37" t="d">
        <x:v>2026-09-14T03:56:50.000Z</x:v>
      </x:c>
      <x:c r="J1276" s="1" t="n">
        <x:f>IF(ISNUMBER(F1276),E1276,0)</x:f>
        <x:v>1</x:v>
      </x:c>
      <x:c r="K1276" s="1"/>
      <x:c r="L1276" s="1" t="str">
        <x:v>https://blog.skyairline.com/boda-en-cancun/</x:v>
      </x:c>
      <x:c r="M1276" s="1" t="n">
        <x:v>0</x:v>
      </x:c>
    </x:row>
    <x:row r="1277" ht="18.75" customHeight="1">
      <x:c r="A1277" s="1" t="str">
        <x:v>https://blog.skyairline.com/aeropuertos-en-buenos-aires/</x:v>
      </x:c>
      <x:c r="B1277" s="1" t="str">
        <x:v>aeropuertos buenos aires</x:v>
      </x:c>
      <x:c r="C1277" s="1" t="str">
        <x:v>per</x:v>
      </x:c>
      <x:c r="D1277" s="1" t="str">
        <x:v>Sin marca</x:v>
      </x:c>
      <x:c r="E1277" s="35" t="n">
        <x:v>1</x:v>
      </x:c>
      <x:c r="F1277" s="36" t="n">
        <x:v>0.58</x:v>
      </x:c>
      <x:c r="G1277" s="36" t="n">
        <x:f>IF(ISNUMBER(F1277),E1277*F1277,"")</x:f>
        <x:v>0.58</x:v>
      </x:c>
      <x:c r="H1277" s="37" t="d">
        <x:v>2026-10-15T00:00:00.000Z</x:v>
      </x:c>
      <x:c r="I1277" s="37" t="d">
        <x:v>2026-09-13T04:49:52.000Z</x:v>
      </x:c>
      <x:c r="J1277" s="1" t="n">
        <x:f>IF(ISNUMBER(F1277),E1277,0)</x:f>
        <x:v>1</x:v>
      </x:c>
      <x:c r="K1277" s="1"/>
      <x:c r="L1277" s="1" t="str">
        <x:v>https://blog.skyairline.com/bosque-de-araucania-en-chile-donde-encontrarlos-y-que-ver/</x:v>
      </x:c>
      <x:c r="M1277" s="1" t="n">
        <x:v>0</x:v>
      </x:c>
    </x:row>
    <x:row r="1278" ht="18.75" customHeight="1">
      <x:c r="A1278" s="1" t="str">
        <x:v>https://blog.skyairline.com/aeropuertos-en-buenos-aires/</x:v>
      </x:c>
      <x:c r="B1278" s="1" t="str">
        <x:v>aeropuertos buenos aires argentina</x:v>
      </x:c>
      <x:c r="C1278" s="1" t="str">
        <x:v>chl</x:v>
      </x:c>
      <x:c r="D1278" s="1" t="str">
        <x:v>Sin marca</x:v>
      </x:c>
      <x:c r="E1278" s="35" t="n">
        <x:v>1</x:v>
      </x:c>
      <x:c r="F1278" s="36"/>
      <x:c r="G1278" s="36" t="str">
        <x:f>IF(ISNUMBER(F1278),E1278*F1278,"")</x:f>
      </x:c>
      <x:c r="H1278" s="37"/>
      <x:c r="I1278" s="37"/>
      <x:c r="J1278" s="1" t="n">
        <x:f>IF(ISNUMBER(F1278),E1278,0)</x:f>
        <x:v>0</x:v>
      </x:c>
      <x:c r="K1278" s="1"/>
      <x:c r="L1278" s="1" t="str">
        <x:v>https://blog.skyairline.com/bosque-de-araucarias-chile-donde-encontrarlos-y-que-ver/</x:v>
      </x:c>
      <x:c r="M1278" s="1" t="n">
        <x:v>0</x:v>
      </x:c>
    </x:row>
    <x:row r="1279" ht="18.75" customHeight="1">
      <x:c r="A1279" s="1" t="str">
        <x:v>https://blog.skyairline.com/aeropuertos-en-buenos-aires/</x:v>
      </x:c>
      <x:c r="B1279" s="1" t="str">
        <x:v>aeropuertos de argentina buenos aires</x:v>
      </x:c>
      <x:c r="C1279" s="1" t="str">
        <x:v>col</x:v>
      </x:c>
      <x:c r="D1279" s="1" t="str">
        <x:v>Sin marca</x:v>
      </x:c>
      <x:c r="E1279" s="35" t="n">
        <x:v>1</x:v>
      </x:c>
      <x:c r="F1279" s="36"/>
      <x:c r="G1279" s="36" t="str">
        <x:f>IF(ISNUMBER(F1279),E1279*F1279,"")</x:f>
      </x:c>
      <x:c r="H1279" s="37"/>
      <x:c r="I1279" s="37"/>
      <x:c r="J1279" s="1" t="n">
        <x:f>IF(ISNUMBER(F1279),E1279,0)</x:f>
        <x:v>0</x:v>
      </x:c>
      <x:c r="K1279" s="1"/>
      <x:c r="L1279" s="1" t="str">
        <x:v>https://blog.skyairline.com/bosque-de-araucarias-en-chile-donde-encontrarlos-y-que-ver</x:v>
      </x:c>
      <x:c r="M1279" s="1" t="n">
        <x:v>0</x:v>
      </x:c>
    </x:row>
    <x:row r="1280" ht="18.75" customHeight="1">
      <x:c r="A1280" s="1" t="str">
        <x:v>https://blog.skyairline.com/aeropuertos-en-buenos-aires/</x:v>
      </x:c>
      <x:c r="B1280" s="1" t="str">
        <x:v>aeropuertos de buenos aires argentina</x:v>
      </x:c>
      <x:c r="C1280" s="1" t="str">
        <x:v>usa</x:v>
      </x:c>
      <x:c r="D1280" s="1" t="str">
        <x:v>Sin marca</x:v>
      </x:c>
      <x:c r="E1280" s="35" t="n">
        <x:v>1</x:v>
      </x:c>
      <x:c r="F1280" s="36"/>
      <x:c r="G1280" s="36" t="str">
        <x:f>IF(ISNUMBER(F1280),E1280*F1280,"")</x:f>
      </x:c>
      <x:c r="H1280" s="37"/>
      <x:c r="I1280" s="37"/>
      <x:c r="J1280" s="1" t="n">
        <x:f>IF(ISNUMBER(F1280),E1280,0)</x:f>
        <x:v>0</x:v>
      </x:c>
      <x:c r="K1280" s="1"/>
      <x:c r="L1280" s="1" t="str">
        <x:v>https://blog.skyairline.com/bosques-de-sur-de-chile-naturaleza-senderos-y-biodiversidad/</x:v>
      </x:c>
      <x:c r="M1280" s="1" t="n">
        <x:v>0</x:v>
      </x:c>
    </x:row>
    <x:row r="1281" ht="18.75" customHeight="1">
      <x:c r="A1281" s="1" t="str">
        <x:v>https://blog.skyairline.com/aeropuertos-en-buenos-aires/</x:v>
      </x:c>
      <x:c r="B1281" s="1" t="str">
        <x:v>aeropuertos en argentina buenos aires</x:v>
      </x:c>
      <x:c r="C1281" s="1" t="str">
        <x:v>chl</x:v>
      </x:c>
      <x:c r="D1281" s="1" t="str">
        <x:v>Sin marca</x:v>
      </x:c>
      <x:c r="E1281" s="35" t="n">
        <x:v>1</x:v>
      </x:c>
      <x:c r="F1281" s="36" t="n">
        <x:v>0.77</x:v>
      </x:c>
      <x:c r="G1281" s="36" t="n">
        <x:f>IF(ISNUMBER(F1281),E1281*F1281,"")</x:f>
        <x:v>0.77</x:v>
      </x:c>
      <x:c r="H1281" s="37" t="d">
        <x:v>2026-10-15T00:00:00.000Z</x:v>
      </x:c>
      <x:c r="I1281" s="37" t="d">
        <x:v>2026-09-14T20:36:07.999Z</x:v>
      </x:c>
      <x:c r="J1281" s="1" t="n">
        <x:f>IF(ISNUMBER(F1281),E1281,0)</x:f>
        <x:v>1</x:v>
      </x:c>
      <x:c r="K1281" s="1"/>
      <x:c r="L1281" s="1" t="str">
        <x:v>https://blog.skyairline.com/bosques-del-sur-de-chile-naturaleza-senderos-y-biodiversidad</x:v>
      </x:c>
      <x:c r="M1281" s="1" t="n">
        <x:v>0</x:v>
      </x:c>
    </x:row>
    <x:row r="1282" ht="18.75" customHeight="1">
      <x:c r="A1282" s="1" t="str">
        <x:v>https://blog.skyairline.com/aeropuertos-en-buenos-aires/</x:v>
      </x:c>
      <x:c r="B1282" s="1" t="str">
        <x:v>aeropuertos en buenos aires</x:v>
      </x:c>
      <x:c r="C1282" s="1" t="str">
        <x:v>chl</x:v>
      </x:c>
      <x:c r="D1282" s="1" t="str">
        <x:v>Sin marca</x:v>
      </x:c>
      <x:c r="E1282" s="35" t="n">
        <x:v>1</x:v>
      </x:c>
      <x:c r="F1282" s="36" t="n">
        <x:v>0.57</x:v>
      </x:c>
      <x:c r="G1282" s="36" t="n">
        <x:f>IF(ISNUMBER(F1282),E1282*F1282,"")</x:f>
        <x:v>0.57</x:v>
      </x:c>
      <x:c r="H1282" s="37" t="d">
        <x:v>2026-10-15T00:00:00.000Z</x:v>
      </x:c>
      <x:c r="I1282" s="37" t="d">
        <x:v>2026-09-13T20:58:56.000Z</x:v>
      </x:c>
      <x:c r="J1282" s="1" t="n">
        <x:f>IF(ISNUMBER(F1282),E1282,0)</x:f>
        <x:v>1</x:v>
      </x:c>
      <x:c r="K1282" s="1"/>
      <x:c r="L1282" s="1" t="str">
        <x:v>https://blog.skyairline.com/bosques-del-sur-de-chile-naturealeza-senderos-y-biodiversidad/</x:v>
      </x:c>
      <x:c r="M1282" s="1" t="n">
        <x:v>0</x:v>
      </x:c>
    </x:row>
    <x:row r="1283" ht="18.75" customHeight="1">
      <x:c r="A1283" s="1" t="str">
        <x:v>https://blog.skyairline.com/aeropuertos-en-buenos-aires/</x:v>
      </x:c>
      <x:c r="B1283" s="1" t="str">
        <x:v>buenos aires</x:v>
      </x:c>
      <x:c r="C1283" s="1" t="str">
        <x:v>chl</x:v>
      </x:c>
      <x:c r="D1283" s="1" t="str">
        <x:v>Sin marca</x:v>
      </x:c>
      <x:c r="E1283" s="35" t="n">
        <x:v>1</x:v>
      </x:c>
      <x:c r="F1283" s="36" t="n">
        <x:v>0.47</x:v>
      </x:c>
      <x:c r="G1283" s="36" t="n">
        <x:f>IF(ISNUMBER(F1283),E1283*F1283,"")</x:f>
        <x:v>0.47</x:v>
      </x:c>
      <x:c r="H1283" s="37" t="d">
        <x:v>2026-10-15T00:00:00.000Z</x:v>
      </x:c>
      <x:c r="I1283" s="37" t="d">
        <x:v>2026-09-14T05:31:30.999Z</x:v>
      </x:c>
      <x:c r="J1283" s="1" t="n">
        <x:f>IF(ISNUMBER(F1283),E1283,0)</x:f>
        <x:v>1</x:v>
      </x:c>
      <x:c r="K1283" s="1"/>
      <x:c r="L1283" s="1" t="str">
        <x:v>https://blog.skyairline.com/brasilia/</x:v>
      </x:c>
      <x:c r="M1283" s="1" t="n">
        <x:v>0</x:v>
      </x:c>
    </x:row>
    <x:row r="1284" ht="18.75" customHeight="1">
      <x:c r="A1284" s="1" t="str">
        <x:v>https://blog.skyairline.com/aeropuertos-en-buenos-aires/</x:v>
      </x:c>
      <x:c r="B1284" s="1" t="str">
        <x:v>buenos aires aeropuerto</x:v>
      </x:c>
      <x:c r="C1284" s="1" t="str">
        <x:v>chl</x:v>
      </x:c>
      <x:c r="D1284" s="1" t="str">
        <x:v>Sin marca</x:v>
      </x:c>
      <x:c r="E1284" s="35" t="n">
        <x:v>1</x:v>
      </x:c>
      <x:c r="F1284" s="36" t="n">
        <x:v>0.57</x:v>
      </x:c>
      <x:c r="G1284" s="36" t="n">
        <x:f>IF(ISNUMBER(F1284),E1284*F1284,"")</x:f>
        <x:v>0.57</x:v>
      </x:c>
      <x:c r="H1284" s="37" t="d">
        <x:v>2026-10-15T00:00:00.000Z</x:v>
      </x:c>
      <x:c r="I1284" s="37" t="d">
        <x:v>2026-09-15T20:20:49.000Z</x:v>
      </x:c>
      <x:c r="J1284" s="1" t="n">
        <x:f>IF(ISNUMBER(F1284),E1284,0)</x:f>
        <x:v>1</x:v>
      </x:c>
      <x:c r="K1284" s="1"/>
      <x:c r="L1284" s="1" t="str">
        <x:v>https://blog.skyairline.com/cabanas-en-bariloche/</x:v>
      </x:c>
      <x:c r="M1284" s="1" t="n">
        <x:v>0</x:v>
      </x:c>
    </x:row>
    <x:row r="1285" ht="18.75" customHeight="1">
      <x:c r="A1285" s="1" t="str">
        <x:v>https://blog.skyairline.com/aeropuertos-en-buenos-aires/</x:v>
      </x:c>
      <x:c r="B1285" s="1" t="str">
        <x:v>buenos aires aeropuerto</x:v>
      </x:c>
      <x:c r="C1285" s="1" t="str">
        <x:v>col</x:v>
      </x:c>
      <x:c r="D1285" s="1" t="str">
        <x:v>Sin marca</x:v>
      </x:c>
      <x:c r="E1285" s="35" t="n">
        <x:v>1</x:v>
      </x:c>
      <x:c r="F1285" s="36"/>
      <x:c r="G1285" s="36" t="str">
        <x:f>IF(ISNUMBER(F1285),E1285*F1285,"")</x:f>
      </x:c>
      <x:c r="H1285" s="37"/>
      <x:c r="I1285" s="37"/>
      <x:c r="J1285" s="1" t="n">
        <x:f>IF(ISNUMBER(F1285),E1285,0)</x:f>
        <x:v>0</x:v>
      </x:c>
      <x:c r="K1285" s="1"/>
      <x:c r="L1285" s="1" t="str">
        <x:v>https://blog.skyairline.com/cabo-frio-que-hacer-playas-imperdibles-y-como-planificar-tu-viaje/</x:v>
      </x:c>
      <x:c r="M1285" s="1" t="n">
        <x:v>0</x:v>
      </x:c>
    </x:row>
    <x:row r="1286" ht="18.75" customHeight="1">
      <x:c r="A1286" s="1" t="str">
        <x:v>https://blog.skyairline.com/aeropuertos-en-buenos-aires/</x:v>
      </x:c>
      <x:c r="B1286" s="1" t="str">
        <x:v>como se llama el aeropuerto de buenos aires argentina</x:v>
      </x:c>
      <x:c r="C1286" s="1" t="str">
        <x:v>chl</x:v>
      </x:c>
      <x:c r="D1286" s="1" t="str">
        <x:v>Sin marca</x:v>
      </x:c>
      <x:c r="E1286" s="35" t="n">
        <x:v>1</x:v>
      </x:c>
      <x:c r="F1286" s="36"/>
      <x:c r="G1286" s="36" t="str">
        <x:f>IF(ISNUMBER(F1286),E1286*F1286,"")</x:f>
      </x:c>
      <x:c r="H1286" s="37" t="d">
        <x:v>2026-10-15T00:00:00.000Z</x:v>
      </x:c>
      <x:c r="I1286" s="37" t="d">
        <x:v>2026-09-16T16:59:03.000Z</x:v>
      </x:c>
      <x:c r="J1286" s="1" t="n">
        <x:f>IF(ISNUMBER(F1286),E1286,0)</x:f>
        <x:v>0</x:v>
      </x:c>
      <x:c r="K1286" s="1"/>
      <x:c r="L1286" s="1" t="str">
        <x:v>https://blog.skyairline.com/cabo-polonio-playa/</x:v>
      </x:c>
      <x:c r="M1286" s="1" t="n">
        <x:v>0</x:v>
      </x:c>
    </x:row>
    <x:row r="1287" ht="18.75" customHeight="1">
      <x:c r="A1287" s="1" t="str">
        <x:v>https://blog.skyairline.com/aeropuertos-en-buenos-aires/</x:v>
      </x:c>
      <x:c r="B1287" s="1" t="str">
        <x:v>cual es el aeropuerto de buenos aires argentina</x:v>
      </x:c>
      <x:c r="C1287" s="1" t="str">
        <x:v>col</x:v>
      </x:c>
      <x:c r="D1287" s="1" t="str">
        <x:v>Sin marca</x:v>
      </x:c>
      <x:c r="E1287" s="35" t="n">
        <x:v>1</x:v>
      </x:c>
      <x:c r="F1287" s="36"/>
      <x:c r="G1287" s="36" t="str">
        <x:f>IF(ISNUMBER(F1287),E1287*F1287,"")</x:f>
      </x:c>
      <x:c r="H1287" s="37"/>
      <x:c r="I1287" s="37"/>
      <x:c r="J1287" s="1" t="n">
        <x:f>IF(ISNUMBER(F1287),E1287,0)</x:f>
        <x:v>0</x:v>
      </x:c>
      <x:c r="K1287" s="1"/>
      <x:c r="L1287" s="1" t="str">
        <x:v>https://blog.skyairline.com/cabo-polonio/</x:v>
      </x:c>
      <x:c r="M1287" s="1" t="n">
        <x:v>0</x:v>
      </x:c>
    </x:row>
    <x:row r="1288" ht="18.75" customHeight="1">
      <x:c r="A1288" s="1" t="str">
        <x:v>https://blog.skyairline.com/aeropuertos-en-buenos-aires/</x:v>
      </x:c>
      <x:c r="B1288" s="1" t="str">
        <x:v>cual es el aeropuerto mas cercano a buenos aires</x:v>
      </x:c>
      <x:c r="C1288" s="1" t="str">
        <x:v>chl</x:v>
      </x:c>
      <x:c r="D1288" s="1" t="str">
        <x:v>Sin marca</x:v>
      </x:c>
      <x:c r="E1288" s="35" t="n">
        <x:v>1</x:v>
      </x:c>
      <x:c r="F1288" s="36"/>
      <x:c r="G1288" s="36" t="str">
        <x:f>IF(ISNUMBER(F1288),E1288*F1288,"")</x:f>
      </x:c>
      <x:c r="H1288" s="37"/>
      <x:c r="I1288" s="37"/>
      <x:c r="J1288" s="1" t="n">
        <x:f>IF(ISNUMBER(F1288),E1288,0)</x:f>
        <x:v>0</x:v>
      </x:c>
      <x:c r="K1288" s="1"/>
      <x:c r="L1288" s="1" t="str">
        <x:v>https://blog.skyairline.com/cadenas-para-nieve-puerto-montt/</x:v>
      </x:c>
      <x:c r="M1288" s="1" t="n">
        <x:v>0</x:v>
      </x:c>
    </x:row>
    <x:row r="1289" ht="18.75" customHeight="1">
      <x:c r="A1289" s="1" t="str">
        <x:v>https://blog.skyairline.com/aeropuertos-en-buenos-aires/</x:v>
      </x:c>
      <x:c r="B1289" s="1" t="str">
        <x:v>cual es el aeropuerto principal de buenos aires</x:v>
      </x:c>
      <x:c r="C1289" s="1" t="str">
        <x:v>col</x:v>
      </x:c>
      <x:c r="D1289" s="1" t="str">
        <x:v>Sin marca</x:v>
      </x:c>
      <x:c r="E1289" s="35" t="n">
        <x:v>1</x:v>
      </x:c>
      <x:c r="F1289" s="36"/>
      <x:c r="G1289" s="36" t="str">
        <x:f>IF(ISNUMBER(F1289),E1289*F1289,"")</x:f>
      </x:c>
      <x:c r="H1289" s="37"/>
      <x:c r="I1289" s="37"/>
      <x:c r="J1289" s="1" t="n">
        <x:f>IF(ISNUMBER(F1289),E1289,0)</x:f>
        <x:v>0</x:v>
      </x:c>
      <x:c r="K1289" s="1"/>
      <x:c r="L1289" s="1" t="str">
        <x:v>https://blog.skyairline.com/cafe-chileno-conoce-la-historia-del-cafe-chile-tipos-y-donde-probarlo/</x:v>
      </x:c>
      <x:c r="M1289" s="1" t="n">
        <x:v>0</x:v>
      </x:c>
    </x:row>
    <x:row r="1290" ht="18.75" customHeight="1">
      <x:c r="A1290" s="1" t="str">
        <x:v>https://blog.skyairline.com/aeropuertos-en-buenos-aires/</x:v>
      </x:c>
      <x:c r="B1290" s="1" t="str">
        <x:v>cual es la diferencia entre aeroparque y ezeiza</x:v>
      </x:c>
      <x:c r="C1290" s="1" t="str">
        <x:v>arg</x:v>
      </x:c>
      <x:c r="D1290" s="1" t="str">
        <x:v>Sin marca</x:v>
      </x:c>
      <x:c r="E1290" s="35" t="n">
        <x:v>1</x:v>
      </x:c>
      <x:c r="F1290" s="36"/>
      <x:c r="G1290" s="36" t="str">
        <x:f>IF(ISNUMBER(F1290),E1290*F1290,"")</x:f>
      </x:c>
      <x:c r="H1290" s="37"/>
      <x:c r="I1290" s="37"/>
      <x:c r="J1290" s="1" t="n">
        <x:f>IF(ISNUMBER(F1290),E1290,0)</x:f>
        <x:v>0</x:v>
      </x:c>
      <x:c r="K1290" s="1"/>
      <x:c r="L1290" s="1" t="str">
        <x:v>https://blog.skyairline.com/cafe-chileno-conoce-la-historia-del-cafe-chileno-tipos-y-donde-probarlo/</x:v>
      </x:c>
      <x:c r="M1290" s="1" t="n">
        <x:v>0</x:v>
      </x:c>
    </x:row>
    <x:row r="1291" ht="18.75" customHeight="1">
      <x:c r="A1291" s="1" t="str">
        <x:v>https://blog.skyairline.com/aeropuertos-en-buenos-aires/</x:v>
      </x:c>
      <x:c r="B1291" s="1" t="str">
        <x:v>cuales son los dos aeropuertos de buenos aires</x:v>
      </x:c>
      <x:c r="C1291" s="1" t="str">
        <x:v>col</x:v>
      </x:c>
      <x:c r="D1291" s="1" t="str">
        <x:v>Sin marca</x:v>
      </x:c>
      <x:c r="E1291" s="35" t="n">
        <x:v>1</x:v>
      </x:c>
      <x:c r="F1291" s="36"/>
      <x:c r="G1291" s="36" t="str">
        <x:f>IF(ISNUMBER(F1291),E1291*F1291,"")</x:f>
      </x:c>
      <x:c r="H1291" s="37"/>
      <x:c r="I1291" s="37"/>
      <x:c r="J1291" s="1" t="n">
        <x:f>IF(ISNUMBER(F1291),E1291,0)</x:f>
        <x:v>0</x:v>
      </x:c>
      <x:c r="K1291" s="1"/>
      <x:c r="L1291" s="1" t="str">
        <x:v>https://blog.skyairline.com/cafe-tortoni/</x:v>
      </x:c>
      <x:c r="M1291" s="1" t="n">
        <x:v>0</x:v>
      </x:c>
    </x:row>
    <x:row r="1292" ht="18.75" customHeight="1">
      <x:c r="A1292" s="1" t="str">
        <x:v>https://blog.skyairline.com/aeropuertos-en-buenos-aires/</x:v>
      </x:c>
      <x:c r="B1292" s="1" t="str">
        <x:v>cuantos aeropuerto hay en buenos aires</x:v>
      </x:c>
      <x:c r="C1292" s="1" t="str">
        <x:v>arg</x:v>
      </x:c>
      <x:c r="D1292" s="1" t="str">
        <x:v>Sin marca</x:v>
      </x:c>
      <x:c r="E1292" s="35" t="n">
        <x:v>1</x:v>
      </x:c>
      <x:c r="F1292" s="36"/>
      <x:c r="G1292" s="36" t="str">
        <x:f>IF(ISNUMBER(F1292),E1292*F1292,"")</x:f>
      </x:c>
      <x:c r="H1292" s="37"/>
      <x:c r="I1292" s="37"/>
      <x:c r="J1292" s="1" t="n">
        <x:f>IF(ISNUMBER(F1292),E1292,0)</x:f>
        <x:v>0</x:v>
      </x:c>
      <x:c r="K1292" s="1"/>
      <x:c r="L1292" s="1" t="str">
        <x:v>https://blog.skyairline.com/caipirina/</x:v>
      </x:c>
      <x:c r="M1292" s="1" t="n">
        <x:v>0</x:v>
      </x:c>
    </x:row>
    <x:row r="1293" ht="18.75" customHeight="1">
      <x:c r="A1293" s="1" t="str">
        <x:v>https://blog.skyairline.com/aeropuertos-en-buenos-aires/</x:v>
      </x:c>
      <x:c r="B1293" s="1" t="str">
        <x:v>cuantos aeropuertos hay en argentina</x:v>
      </x:c>
      <x:c r="C1293" s="1" t="str">
        <x:v>chl</x:v>
      </x:c>
      <x:c r="D1293" s="1" t="str">
        <x:v>Sin marca</x:v>
      </x:c>
      <x:c r="E1293" s="35" t="n">
        <x:v>1</x:v>
      </x:c>
      <x:c r="F1293" s="36"/>
      <x:c r="G1293" s="36" t="str">
        <x:f>IF(ISNUMBER(F1293),E1293*F1293,"")</x:f>
      </x:c>
      <x:c r="H1293" s="37" t="d">
        <x:v>2026-10-15T00:00:00.000Z</x:v>
      </x:c>
      <x:c r="I1293" s="37" t="d">
        <x:v>2026-10-15T05:07:55.000Z</x:v>
      </x:c>
      <x:c r="J1293" s="1" t="n">
        <x:f>IF(ISNUMBER(F1293),E1293,0)</x:f>
        <x:v>0</x:v>
      </x:c>
      <x:c r="K1293" s="1"/>
      <x:c r="L1293" s="1" t="str">
        <x:v>https://blog.skyairline.com/cajon-del-maipo-2/</x:v>
      </x:c>
      <x:c r="M1293" s="1" t="n">
        <x:v>0</x:v>
      </x:c>
    </x:row>
    <x:row r="1294" ht="18.75" customHeight="1">
      <x:c r="A1294" s="1" t="str">
        <x:v>https://blog.skyairline.com/aeropuertos-en-buenos-aires/</x:v>
      </x:c>
      <x:c r="B1294" s="1" t="str">
        <x:v>cuantos aeropuertos hay en buenos aires</x:v>
      </x:c>
      <x:c r="C1294" s="1" t="str">
        <x:v>esp</x:v>
      </x:c>
      <x:c r="D1294" s="1" t="str">
        <x:v>Sin marca</x:v>
      </x:c>
      <x:c r="E1294" s="35" t="n">
        <x:v>1</x:v>
      </x:c>
      <x:c r="F1294" s="36"/>
      <x:c r="G1294" s="36" t="str">
        <x:f>IF(ISNUMBER(F1294),E1294*F1294,"")</x:f>
      </x:c>
      <x:c r="H1294" s="37"/>
      <x:c r="I1294" s="37"/>
      <x:c r="J1294" s="1" t="n">
        <x:f>IF(ISNUMBER(F1294),E1294,0)</x:f>
        <x:v>0</x:v>
      </x:c>
      <x:c r="K1294" s="1"/>
      <x:c r="L1294" s="1" t="str">
        <x:v>https://blog.skyairline.com/calama/</x:v>
      </x:c>
      <x:c r="M1294" s="1" t="n">
        <x:v>0</x:v>
      </x:c>
    </x:row>
    <x:row r="1295" ht="18.75" customHeight="1">
      <x:c r="A1295" s="1" t="str">
        <x:v>https://blog.skyairline.com/aeropuertos-en-buenos-aires/</x:v>
      </x:c>
      <x:c r="B1295" s="1" t="str">
        <x:v>cuantos aeropuertos hay en buenos aires</x:v>
      </x:c>
      <x:c r="C1295" s="1" t="str">
        <x:v>mex</x:v>
      </x:c>
      <x:c r="D1295" s="1" t="str">
        <x:v>Sin marca</x:v>
      </x:c>
      <x:c r="E1295" s="35" t="n">
        <x:v>1</x:v>
      </x:c>
      <x:c r="F1295" s="36"/>
      <x:c r="G1295" s="36" t="str">
        <x:f>IF(ISNUMBER(F1295),E1295*F1295,"")</x:f>
      </x:c>
      <x:c r="H1295" s="37"/>
      <x:c r="I1295" s="37"/>
      <x:c r="J1295" s="1" t="n">
        <x:f>IF(ISNUMBER(F1295),E1295,0)</x:f>
        <x:v>0</x:v>
      </x:c>
      <x:c r="K1295" s="1"/>
      <x:c r="L1295" s="1" t="str">
        <x:v>https://blog.skyairline.com/caleta-condor/</x:v>
      </x:c>
      <x:c r="M1295" s="1" t="n">
        <x:v>0</x:v>
      </x:c>
    </x:row>
    <x:row r="1296" ht="18.75" customHeight="1">
      <x:c r="A1296" s="1" t="str">
        <x:v>https://blog.skyairline.com/aeropuertos-en-buenos-aires/</x:v>
      </x:c>
      <x:c r="B1296" s="1" t="str">
        <x:v>cuantos aeropuertos hay en buenos aires argentina</x:v>
      </x:c>
      <x:c r="C1296" s="1" t="str">
        <x:v>esp</x:v>
      </x:c>
      <x:c r="D1296" s="1" t="str">
        <x:v>Sin marca</x:v>
      </x:c>
      <x:c r="E1296" s="35" t="n">
        <x:v>1</x:v>
      </x:c>
      <x:c r="F1296" s="36"/>
      <x:c r="G1296" s="36" t="str">
        <x:f>IF(ISNUMBER(F1296),E1296*F1296,"")</x:f>
      </x:c>
      <x:c r="H1296" s="37"/>
      <x:c r="I1296" s="37"/>
      <x:c r="J1296" s="1" t="n">
        <x:f>IF(ISNUMBER(F1296),E1296,0)</x:f>
        <x:v>0</x:v>
      </x:c>
      <x:c r="K1296" s="1"/>
      <x:c r="L1296" s="1" t="str">
        <x:v>https://blog.skyairline.com/cambiarvuelosky/</x:v>
      </x:c>
      <x:c r="M1296" s="1" t="n">
        <x:v>0</x:v>
      </x:c>
    </x:row>
    <x:row r="1297" ht="18.75" customHeight="1">
      <x:c r="A1297" s="1" t="str">
        <x:v>https://blog.skyairline.com/aeropuertos-en-buenos-aires/</x:v>
      </x:c>
      <x:c r="B1297" s="1" t="str">
        <x:v>cuantos aeropuertos hay en buenos aires argentina</x:v>
      </x:c>
      <x:c r="C1297" s="1" t="str">
        <x:v>per</x:v>
      </x:c>
      <x:c r="D1297" s="1" t="str">
        <x:v>Sin marca</x:v>
      </x:c>
      <x:c r="E1297" s="35" t="n">
        <x:v>1</x:v>
      </x:c>
      <x:c r="F1297" s="36"/>
      <x:c r="G1297" s="36" t="str">
        <x:f>IF(ISNUMBER(F1297),E1297*F1297,"")</x:f>
      </x:c>
      <x:c r="H1297" s="37" t="d">
        <x:v>2026-10-15T00:00:00.000Z</x:v>
      </x:c>
      <x:c r="I1297" s="37" t="d">
        <x:v>2026-09-17T18:30:03.000Z</x:v>
      </x:c>
      <x:c r="J1297" s="1" t="n">
        <x:f>IF(ISNUMBER(F1297),E1297,0)</x:f>
        <x:v>0</x:v>
      </x:c>
      <x:c r="K1297" s="1"/>
      <x:c r="L1297" s="1" t="str">
        <x:v>https://blog.skyairline.com/camboriu</x:v>
      </x:c>
      <x:c r="M1297" s="1" t="n">
        <x:v>0</x:v>
      </x:c>
    </x:row>
    <x:row r="1298" ht="18.75" customHeight="1">
      <x:c r="A1298" s="1" t="str">
        <x:v>https://blog.skyairline.com/aeropuertos-en-buenos-aires/</x:v>
      </x:c>
      <x:c r="B1298" s="1" t="str">
        <x:v>cuantos aeropuertos tiene buenos aires argentina</x:v>
      </x:c>
      <x:c r="C1298" s="1" t="str">
        <x:v>esp</x:v>
      </x:c>
      <x:c r="D1298" s="1" t="str">
        <x:v>Sin marca</x:v>
      </x:c>
      <x:c r="E1298" s="35" t="n">
        <x:v>1</x:v>
      </x:c>
      <x:c r="F1298" s="36"/>
      <x:c r="G1298" s="36" t="str">
        <x:f>IF(ISNUMBER(F1298),E1298*F1298,"")</x:f>
      </x:c>
      <x:c r="H1298" s="37"/>
      <x:c r="I1298" s="37"/>
      <x:c r="J1298" s="1" t="n">
        <x:f>IF(ISNUMBER(F1298),E1298,0)</x:f>
        <x:v>0</x:v>
      </x:c>
      <x:c r="K1298" s="1"/>
      <x:c r="L1298" s="1" t="str">
        <x:v>https://blog.skyairline.com/camping-en-chile-2/</x:v>
      </x:c>
      <x:c r="M1298" s="1" t="n">
        <x:v>0</x:v>
      </x:c>
    </x:row>
    <x:row r="1299" ht="18.75" customHeight="1">
      <x:c r="A1299" s="1" t="str">
        <x:v>https://blog.skyairline.com/aeropuertos-en-buenos-aires/</x:v>
      </x:c>
      <x:c r="B1299" s="1" t="str">
        <x:v>cuántos aeropuertos hay en buenos aires</x:v>
      </x:c>
      <x:c r="C1299" s="1" t="str">
        <x:v>chl</x:v>
      </x:c>
      <x:c r="D1299" s="1" t="str">
        <x:v>Sin marca</x:v>
      </x:c>
      <x:c r="E1299" s="35" t="n">
        <x:v>1</x:v>
      </x:c>
      <x:c r="F1299" s="36"/>
      <x:c r="G1299" s="36" t="str">
        <x:f>IF(ISNUMBER(F1299),E1299*F1299,"")</x:f>
      </x:c>
      <x:c r="H1299" s="37"/>
      <x:c r="I1299" s="37"/>
      <x:c r="J1299" s="1" t="n">
        <x:f>IF(ISNUMBER(F1299),E1299,0)</x:f>
        <x:v>0</x:v>
      </x:c>
      <x:c r="K1299" s="1"/>
      <x:c r="L1299" s="1" t="str">
        <x:v>https://blog.skyairline.com/camping/</x:v>
      </x:c>
      <x:c r="M1299" s="1" t="n">
        <x:v>0</x:v>
      </x:c>
    </x:row>
    <x:row r="1300" ht="18.75" customHeight="1">
      <x:c r="A1300" s="1" t="str">
        <x:v>https://blog.skyairline.com/aeropuertos-en-buenos-aires/</x:v>
      </x:c>
      <x:c r="B1300" s="1" t="str">
        <x:v>cuántos aeropuertos hay en buenos aires</x:v>
      </x:c>
      <x:c r="C1300" s="1" t="str">
        <x:v>col</x:v>
      </x:c>
      <x:c r="D1300" s="1" t="str">
        <x:v>Sin marca</x:v>
      </x:c>
      <x:c r="E1300" s="35" t="n">
        <x:v>1</x:v>
      </x:c>
      <x:c r="F1300" s="36"/>
      <x:c r="G1300" s="36" t="str">
        <x:f>IF(ISNUMBER(F1300),E1300*F1300,"")</x:f>
      </x:c>
      <x:c r="H1300" s="37"/>
      <x:c r="I1300" s="37"/>
      <x:c r="J1300" s="1" t="n">
        <x:f>IF(ISNUMBER(F1300),E1300,0)</x:f>
        <x:v>0</x:v>
      </x:c>
      <x:c r="K1300" s="1"/>
      <x:c r="L1300" s="1" t="str">
        <x:v>https://blog.skyairline.com/campos-do-jordao/</x:v>
      </x:c>
      <x:c r="M1300" s="1" t="n">
        <x:v>0</x:v>
      </x:c>
    </x:row>
    <x:row r="1301" ht="18.75" customHeight="1">
      <x:c r="A1301" s="1" t="str">
        <x:v>https://blog.skyairline.com/aeropuertos-en-buenos-aires/</x:v>
      </x:c>
      <x:c r="B1301" s="1" t="str">
        <x:v>cuántos aeropuertos hay en buenos aires</x:v>
      </x:c>
      <x:c r="C1301" s="1" t="str">
        <x:v>esp</x:v>
      </x:c>
      <x:c r="D1301" s="1" t="str">
        <x:v>Sin marca</x:v>
      </x:c>
      <x:c r="E1301" s="35" t="n">
        <x:v>1</x:v>
      </x:c>
      <x:c r="F1301" s="36"/>
      <x:c r="G1301" s="36" t="str">
        <x:f>IF(ISNUMBER(F1301),E1301*F1301,"")</x:f>
      </x:c>
      <x:c r="H1301" s="37"/>
      <x:c r="I1301" s="37"/>
      <x:c r="J1301" s="1" t="n">
        <x:f>IF(ISNUMBER(F1301),E1301,0)</x:f>
        <x:v>0</x:v>
      </x:c>
      <x:c r="K1301" s="1"/>
      <x:c r="L1301" s="1" t="str">
        <x:v>https://blog.skyairline.com/canelones-costa-oro-canelones/</x:v>
      </x:c>
      <x:c r="M1301" s="1" t="n">
        <x:v>0</x:v>
      </x:c>
    </x:row>
    <x:row r="1302" ht="18.75" customHeight="1">
      <x:c r="A1302" s="1" t="str">
        <x:v>https://blog.skyairline.com/aeropuertos-en-buenos-aires/</x:v>
      </x:c>
      <x:c r="B1302" s="1" t="str">
        <x:v>cuántos aeropuertos hay en buenos aires argentina</x:v>
      </x:c>
      <x:c r="C1302" s="1" t="str">
        <x:v>per</x:v>
      </x:c>
      <x:c r="D1302" s="1" t="str">
        <x:v>Sin marca</x:v>
      </x:c>
      <x:c r="E1302" s="35" t="n">
        <x:v>1</x:v>
      </x:c>
      <x:c r="F1302" s="36"/>
      <x:c r="G1302" s="36" t="str">
        <x:f>IF(ISNUMBER(F1302),E1302*F1302,"")</x:f>
      </x:c>
      <x:c r="H1302" s="37" t="d">
        <x:v>2026-10-15T00:00:00.000Z</x:v>
      </x:c>
      <x:c r="I1302" s="37" t="d">
        <x:v>2026-09-12T21:08:49.000Z</x:v>
      </x:c>
      <x:c r="J1302" s="1" t="n">
        <x:f>IF(ISNUMBER(F1302),E1302,0)</x:f>
        <x:v>0</x:v>
      </x:c>
      <x:c r="K1302" s="1"/>
      <x:c r="L1302" s="1" t="str">
        <x:v>https://blog.skyairline.com/canon-de-shucto</x:v>
      </x:c>
      <x:c r="M1302" s="1" t="n">
        <x:v>0</x:v>
      </x:c>
    </x:row>
    <x:row r="1303" ht="18.75" customHeight="1">
      <x:c r="A1303" s="1" t="str">
        <x:v>https://blog.skyairline.com/aeropuertos-en-buenos-aires/</x:v>
      </x:c>
      <x:c r="B1303" s="1" t="str">
        <x:v>cuántos aeropuertos tiene buenos aires</x:v>
      </x:c>
      <x:c r="C1303" s="1" t="str">
        <x:v>chl</x:v>
      </x:c>
      <x:c r="D1303" s="1" t="str">
        <x:v>Sin marca</x:v>
      </x:c>
      <x:c r="E1303" s="35" t="n">
        <x:v>1</x:v>
      </x:c>
      <x:c r="F1303" s="36"/>
      <x:c r="G1303" s="36" t="str">
        <x:f>IF(ISNUMBER(F1303),E1303*F1303,"")</x:f>
      </x:c>
      <x:c r="H1303" s="37"/>
      <x:c r="I1303" s="37"/>
      <x:c r="J1303" s="1" t="n">
        <x:f>IF(ISNUMBER(F1303),E1303,0)</x:f>
        <x:v>0</x:v>
      </x:c>
      <x:c r="K1303" s="1"/>
      <x:c r="L1303" s="1" t="str">
        <x:v>https://blog.skyairline.com/caracteristicas-de-la-zona-sur-chile-geografia-y-biodiversidad/</x:v>
      </x:c>
      <x:c r="M1303" s="1" t="n">
        <x:v>0</x:v>
      </x:c>
    </x:row>
    <x:row r="1304" ht="18.75" customHeight="1">
      <x:c r="A1304" s="1" t="str">
        <x:v>https://blog.skyairline.com/aeropuertos-en-buenos-aires/</x:v>
      </x:c>
      <x:c r="B1304" s="1" t="str">
        <x:v>cómo se llaman los aeropuertos de buenos aires</x:v>
      </x:c>
      <x:c r="C1304" s="1" t="str">
        <x:v>per</x:v>
      </x:c>
      <x:c r="D1304" s="1" t="str">
        <x:v>Sin marca</x:v>
      </x:c>
      <x:c r="E1304" s="35" t="n">
        <x:v>1</x:v>
      </x:c>
      <x:c r="F1304" s="36"/>
      <x:c r="G1304" s="36" t="str">
        <x:f>IF(ISNUMBER(F1304),E1304*F1304,"")</x:f>
      </x:c>
      <x:c r="H1304" s="37" t="d">
        <x:v>2026-10-15T00:00:00.000Z</x:v>
      </x:c>
      <x:c r="I1304" s="37" t="d">
        <x:v>2026-09-17T21:53:06.000Z</x:v>
      </x:c>
      <x:c r="J1304" s="1" t="n">
        <x:f>IF(ISNUMBER(F1304),E1304,0)</x:f>
        <x:v>0</x:v>
      </x:c>
      <x:c r="K1304" s="1"/>
      <x:c r="L1304" s="1" t="str">
        <x:v>https://blog.skyairline.com/caracteristicas-de-la-zona-sur-chile-geography-y-biodiversidad/</x:v>
      </x:c>
      <x:c r="M1304" s="1" t="n">
        <x:v>0</x:v>
      </x:c>
    </x:row>
    <x:row r="1305" ht="18.75" customHeight="1">
      <x:c r="A1305" s="1" t="str">
        <x:v>https://blog.skyairline.com/aeropuertos-en-buenos-aires/</x:v>
      </x:c>
      <x:c r="B1305" s="1" t="str">
        <x:v>diferencia entre aeroparque y ezeiza</x:v>
      </x:c>
      <x:c r="C1305" s="1" t="str">
        <x:v>per</x:v>
      </x:c>
      <x:c r="D1305" s="1" t="str">
        <x:v>Sin marca</x:v>
      </x:c>
      <x:c r="E1305" s="35" t="n">
        <x:v>1</x:v>
      </x:c>
      <x:c r="F1305" s="36"/>
      <x:c r="G1305" s="36" t="str">
        <x:f>IF(ISNUMBER(F1305),E1305*F1305,"")</x:f>
      </x:c>
      <x:c r="H1305" s="37"/>
      <x:c r="I1305" s="37"/>
      <x:c r="J1305" s="1" t="n">
        <x:f>IF(ISNUMBER(F1305),E1305,0)</x:f>
        <x:v>0</x:v>
      </x:c>
      <x:c r="K1305" s="1"/>
      <x:c r="L1305" s="1" t="str">
        <x:v>https://blog.skyairline.com/caracteristicas-de-la-zona-sur-de-chile-geografia-y-biodiversidad</x:v>
      </x:c>
      <x:c r="M1305" s="1" t="n">
        <x:v>0</x:v>
      </x:c>
    </x:row>
    <x:row r="1306" ht="18.75" customHeight="1">
      <x:c r="A1306" s="1" t="str">
        <x:v>https://blog.skyairline.com/aeropuertos-en-buenos-aires/</x:v>
      </x:c>
      <x:c r="B1306" s="1" t="str">
        <x:v>ezeiza vs aeroparque</x:v>
      </x:c>
      <x:c r="C1306" s="1" t="str">
        <x:v>per</x:v>
      </x:c>
      <x:c r="D1306" s="1" t="str">
        <x:v>Sin marca</x:v>
      </x:c>
      <x:c r="E1306" s="35" t="n">
        <x:v>1</x:v>
      </x:c>
      <x:c r="F1306" s="36"/>
      <x:c r="G1306" s="36" t="str">
        <x:f>IF(ISNUMBER(F1306),E1306*F1306,"")</x:f>
      </x:c>
      <x:c r="H1306" s="37"/>
      <x:c r="I1306" s="37"/>
      <x:c r="J1306" s="1" t="n">
        <x:f>IF(ISNUMBER(F1306),E1306,0)</x:f>
        <x:v>0</x:v>
      </x:c>
      <x:c r="K1306" s="1"/>
      <x:c r="L1306" s="1" t="str">
        <x:v>https://blog.skyairline.com/carnavales-de-rio-de-janeiro/</x:v>
      </x:c>
      <x:c r="M1306" s="1" t="n">
        <x:v>0</x:v>
      </x:c>
    </x:row>
    <x:row r="1307" ht="18.75" customHeight="1">
      <x:c r="A1307" s="1" t="str">
        <x:v>https://blog.skyairline.com/aeropuertos-en-buenos-aires/</x:v>
      </x:c>
      <x:c r="B1307" s="1" t="str">
        <x:v>que aeropuerto de buenos aires esta mas cerca del centro</x:v>
      </x:c>
      <x:c r="C1307" s="1" t="str">
        <x:v>chl</x:v>
      </x:c>
      <x:c r="D1307" s="1" t="str">
        <x:v>Sin marca</x:v>
      </x:c>
      <x:c r="E1307" s="35" t="n">
        <x:v>1</x:v>
      </x:c>
      <x:c r="F1307" s="36"/>
      <x:c r="G1307" s="36" t="str">
        <x:f>IF(ISNUMBER(F1307),E1307*F1307,"")</x:f>
      </x:c>
      <x:c r="H1307" s="37"/>
      <x:c r="I1307" s="37"/>
      <x:c r="J1307" s="1" t="n">
        <x:f>IF(ISNUMBER(F1307),E1307,0)</x:f>
        <x:v>0</x:v>
      </x:c>
      <x:c r="K1307" s="1"/>
      <x:c r="L1307" s="1" t="str">
        <x:v>https://blog.skyairline.com/carretera-austral-auto/</x:v>
      </x:c>
      <x:c r="M1307" s="1" t="n">
        <x:v>0</x:v>
      </x:c>
    </x:row>
    <x:row r="1308" ht="18.75" customHeight="1">
      <x:c r="A1308" s="1" t="str">
        <x:v>https://blog.skyairline.com/aeropuertos-en-el-sur-de-chile/</x:v>
      </x:c>
      <x:c r="B1308" s="1" t="str">
        <x:v>aeropuerto en el sur de chile</x:v>
      </x:c>
      <x:c r="C1308" s="1" t="str">
        <x:v>chl</x:v>
      </x:c>
      <x:c r="D1308" s="1" t="str">
        <x:v>Sin marca</x:v>
      </x:c>
      <x:c r="E1308" s="35" t="n">
        <x:v>1</x:v>
      </x:c>
      <x:c r="F1308" s="36"/>
      <x:c r="G1308" s="36" t="str">
        <x:f>IF(ISNUMBER(F1308),E1308*F1308,"")</x:f>
      </x:c>
      <x:c r="H1308" s="37"/>
      <x:c r="I1308" s="37"/>
      <x:c r="J1308" s="1" t="n">
        <x:f>IF(ISNUMBER(F1308),E1308,0)</x:f>
        <x:v>0</x:v>
      </x:c>
      <x:c r="K1308" s="1"/>
      <x:c r="L1308" s="1" t="str">
        <x:v>https://blog.skyairline.com/carretera-austral/</x:v>
      </x:c>
      <x:c r="M1308" s="1" t="n">
        <x:v>0</x:v>
      </x:c>
    </x:row>
    <x:row r="1309" ht="18.75" customHeight="1">
      <x:c r="A1309" s="1" t="str">
        <x:v>https://blog.skyairline.com/aeropuertos-en-el-sur-de-chile/</x:v>
      </x:c>
      <x:c r="B1309" s="1" t="str">
        <x:v>aeropuerto sur de chile</x:v>
      </x:c>
      <x:c r="C1309" s="1" t="str">
        <x:v>chl</x:v>
      </x:c>
      <x:c r="D1309" s="1" t="str">
        <x:v>Sin marca</x:v>
      </x:c>
      <x:c r="E1309" s="35" t="n">
        <x:v>1</x:v>
      </x:c>
      <x:c r="F1309" s="36" t="n">
        <x:v>1.36</x:v>
      </x:c>
      <x:c r="G1309" s="36" t="n">
        <x:f>IF(ISNUMBER(F1309),E1309*F1309,"")</x:f>
        <x:v>1.36</x:v>
      </x:c>
      <x:c r="H1309" s="37" t="d">
        <x:v>2026-10-15T00:00:00.000Z</x:v>
      </x:c>
      <x:c r="I1309" s="37" t="d">
        <x:v>2026-09-14T05:34:48.000Z</x:v>
      </x:c>
      <x:c r="J1309" s="1" t="n">
        <x:f>IF(ISNUMBER(F1309),E1309,0)</x:f>
        <x:v>1</x:v>
      </x:c>
      <x:c r="K1309" s="1"/>
      <x:c r="L1309" s="1" t="str">
        <x:v>https://blog.skyairline.com/cascadas-en-tarapoto/</x:v>
      </x:c>
      <x:c r="M1309" s="1" t="n">
        <x:v>0</x:v>
      </x:c>
    </x:row>
    <x:row r="1310" ht="18.75" customHeight="1">
      <x:c r="A1310" s="1" t="str">
        <x:v>https://blog.skyairline.com/aeropuertos-en-el-sur-de-chile/</x:v>
      </x:c>
      <x:c r="B1310" s="1" t="str">
        <x:v>aeropuertos del sur de chile</x:v>
      </x:c>
      <x:c r="C1310" s="1" t="str">
        <x:v>arg</x:v>
      </x:c>
      <x:c r="D1310" s="1" t="str">
        <x:v>Sin marca</x:v>
      </x:c>
      <x:c r="E1310" s="35" t="n">
        <x:v>1</x:v>
      </x:c>
      <x:c r="F1310" s="36"/>
      <x:c r="G1310" s="36" t="str">
        <x:f>IF(ISNUMBER(F1310),E1310*F1310,"")</x:f>
      </x:c>
      <x:c r="H1310" s="37"/>
      <x:c r="I1310" s="37"/>
      <x:c r="J1310" s="1" t="n">
        <x:f>IF(ISNUMBER(F1310),E1310,0)</x:f>
        <x:v>0</x:v>
      </x:c>
      <x:c r="K1310" s="1"/>
      <x:c r="L1310" s="1" t="str">
        <x:v>https://blog.skyairline.com/caso-de-hipotermia/</x:v>
      </x:c>
      <x:c r="M1310" s="1" t="n">
        <x:v>0</x:v>
      </x:c>
    </x:row>
    <x:row r="1311" ht="18.75" customHeight="1">
      <x:c r="A1311" s="1" t="str">
        <x:v>https://blog.skyairline.com/aeropuertos-en-el-sur-de-chile/</x:v>
      </x:c>
      <x:c r="B1311" s="1" t="str">
        <x:v>aeropuertos en chile</x:v>
      </x:c>
      <x:c r="C1311" s="1" t="str">
        <x:v>chl</x:v>
      </x:c>
      <x:c r="D1311" s="1" t="str">
        <x:v>Sin marca</x:v>
      </x:c>
      <x:c r="E1311" s="35" t="n">
        <x:v>1</x:v>
      </x:c>
      <x:c r="F1311" s="36" t="n">
        <x:v>2.8</x:v>
      </x:c>
      <x:c r="G1311" s="36" t="n">
        <x:f>IF(ISNUMBER(F1311),E1311*F1311,"")</x:f>
        <x:v>2.8</x:v>
      </x:c>
      <x:c r="H1311" s="37" t="d">
        <x:v>2026-10-15T00:00:00.000Z</x:v>
      </x:c>
      <x:c r="I1311" s="37" t="d">
        <x:v>2026-09-12T21:30:50.000Z</x:v>
      </x:c>
      <x:c r="J1311" s="1" t="n">
        <x:f>IF(ISNUMBER(F1311),E1311,0)</x:f>
        <x:v>1</x:v>
      </x:c>
      <x:c r="K1311" s="1"/>
      <x:c r="L1311" s="1" t="str">
        <x:v>https://blog.skyairline.com/castro-chile/</x:v>
      </x:c>
      <x:c r="M1311" s="1" t="n">
        <x:v>0</x:v>
      </x:c>
    </x:row>
    <x:row r="1312" ht="18.75" customHeight="1">
      <x:c r="A1312" s="1" t="str">
        <x:v>https://blog.skyairline.com/aeropuertos-en-el-sur-de-chile/</x:v>
      </x:c>
      <x:c r="B1312" s="1" t="str">
        <x:v>aeropuertos sur de chile</x:v>
      </x:c>
      <x:c r="C1312" s="1" t="str">
        <x:v>chl</x:v>
      </x:c>
      <x:c r="D1312" s="1" t="str">
        <x:v>Sin marca</x:v>
      </x:c>
      <x:c r="E1312" s="35" t="n">
        <x:v>1</x:v>
      </x:c>
      <x:c r="F1312" s="36" t="n">
        <x:v>1.36</x:v>
      </x:c>
      <x:c r="G1312" s="36" t="n">
        <x:f>IF(ISNUMBER(F1312),E1312*F1312,"")</x:f>
        <x:v>1.36</x:v>
      </x:c>
      <x:c r="H1312" s="37" t="d">
        <x:v>2026-10-15T00:00:00.000Z</x:v>
      </x:c>
      <x:c r="I1312" s="37" t="d">
        <x:v>2026-09-17T03:29:19.000Z</x:v>
      </x:c>
      <x:c r="J1312" s="1" t="n">
        <x:f>IF(ISNUMBER(F1312),E1312,0)</x:f>
        <x:v>1</x:v>
      </x:c>
      <x:c r="K1312" s="1"/>
      <x:c r="L1312" s="1" t="str">
        <x:v>https://blog.skyairline.com/castro/</x:v>
      </x:c>
      <x:c r="M1312" s="1" t="n">
        <x:v>0</x:v>
      </x:c>
    </x:row>
    <x:row r="1313" ht="18.75" customHeight="1">
      <x:c r="A1313" s="1" t="str">
        <x:v>https://blog.skyairline.com/aeropuertos-en-el-sur-de-chile/</x:v>
      </x:c>
      <x:c r="B1313" s="1" t="str">
        <x:v>donde hay aeropuerto en el sur de chile</x:v>
      </x:c>
      <x:c r="C1313" s="1" t="str">
        <x:v>chl</x:v>
      </x:c>
      <x:c r="D1313" s="1" t="str">
        <x:v>Sin marca</x:v>
      </x:c>
      <x:c r="E1313" s="35" t="n">
        <x:v>1</x:v>
      </x:c>
      <x:c r="F1313" s="36"/>
      <x:c r="G1313" s="36" t="str">
        <x:f>IF(ISNUMBER(F1313),E1313*F1313,"")</x:f>
      </x:c>
      <x:c r="H1313" s="37"/>
      <x:c r="I1313" s="37"/>
      <x:c r="J1313" s="1" t="n">
        <x:f>IF(ISNUMBER(F1313),E1313,0)</x:f>
        <x:v>0</x:v>
      </x:c>
      <x:c r="K1313" s="1"/>
      <x:c r="L1313" s="1" t="str">
        <x:v>https://blog.skyairline.com/categoria/bariloche/</x:v>
      </x:c>
      <x:c r="M1313" s="1" t="n">
        <x:v>0</x:v>
      </x:c>
    </x:row>
    <x:row r="1314" ht="18.75" customHeight="1">
      <x:c r="A1314" s="1" t="str">
        <x:v>https://blog.skyairline.com/aeropuestos-de-peru/</x:v>
      </x:c>
      <x:c r="B1314" s="1" t="str">
        <x:v>aeropuerto</x:v>
      </x:c>
      <x:c r="C1314" s="1" t="str">
        <x:v>per</x:v>
      </x:c>
      <x:c r="D1314" s="1" t="str">
        <x:v>Sin marca</x:v>
      </x:c>
      <x:c r="E1314" s="35" t="n">
        <x:v>1</x:v>
      </x:c>
      <x:c r="F1314" s="36" t="n">
        <x:v>0.47</x:v>
      </x:c>
      <x:c r="G1314" s="36" t="n">
        <x:f>IF(ISNUMBER(F1314),E1314*F1314,"")</x:f>
        <x:v>0.47</x:v>
      </x:c>
      <x:c r="H1314" s="37" t="d">
        <x:v>2026-10-15T00:00:00.000Z</x:v>
      </x:c>
      <x:c r="I1314" s="37" t="d">
        <x:v>2026-09-15T18:13:57.000Z</x:v>
      </x:c>
      <x:c r="J1314" s="1" t="n">
        <x:f>IF(ISNUMBER(F1314),E1314,0)</x:f>
        <x:v>1</x:v>
      </x:c>
      <x:c r="K1314" s="1"/>
      <x:c r="L1314" s="1" t="str">
        <x:v>https://blog.skyairline.com/categoria/buenos-aires/</x:v>
      </x:c>
      <x:c r="M1314" s="1" t="n">
        <x:v>0</x:v>
      </x:c>
    </x:row>
    <x:row r="1315" ht="18.75" customHeight="1">
      <x:c r="A1315" s="1" t="str">
        <x:v>https://blog.skyairline.com/aeropuestos-de-peru/</x:v>
      </x:c>
      <x:c r="B1315" s="1" t="str">
        <x:v>aeropuerto principal de peru</x:v>
      </x:c>
      <x:c r="C1315" s="1" t="str">
        <x:v>col</x:v>
      </x:c>
      <x:c r="D1315" s="1" t="str">
        <x:v>Sin marca</x:v>
      </x:c>
      <x:c r="E1315" s="35" t="n">
        <x:v>1</x:v>
      </x:c>
      <x:c r="F1315" s="36"/>
      <x:c r="G1315" s="36" t="str">
        <x:f>IF(ISNUMBER(F1315),E1315*F1315,"")</x:f>
      </x:c>
      <x:c r="H1315" s="37"/>
      <x:c r="I1315" s="37"/>
      <x:c r="J1315" s="1" t="n">
        <x:f>IF(ISNUMBER(F1315),E1315,0)</x:f>
        <x:v>0</x:v>
      </x:c>
      <x:c r="K1315" s="1"/>
      <x:c r="L1315" s="1" t="str">
        <x:v>https://blog.skyairline.com/categoria/cancun/</x:v>
      </x:c>
      <x:c r="M1315" s="1" t="n">
        <x:v>0</x:v>
      </x:c>
    </x:row>
    <x:row r="1316" ht="18.75" customHeight="1">
      <x:c r="A1316" s="1" t="str">
        <x:v>https://blog.skyairline.com/aeropuestos-de-peru/</x:v>
      </x:c>
      <x:c r="B1316" s="1" t="str">
        <x:v>aeropuertos de perú</x:v>
      </x:c>
      <x:c r="C1316" s="1" t="str">
        <x:v>chl</x:v>
      </x:c>
      <x:c r="D1316" s="1" t="str">
        <x:v>Sin marca</x:v>
      </x:c>
      <x:c r="E1316" s="35" t="n">
        <x:v>1</x:v>
      </x:c>
      <x:c r="F1316" s="36" t="n">
        <x:v>7.17</x:v>
      </x:c>
      <x:c r="G1316" s="36" t="n">
        <x:f>IF(ISNUMBER(F1316),E1316*F1316,"")</x:f>
        <x:v>7.17</x:v>
      </x:c>
      <x:c r="H1316" s="37" t="d">
        <x:v>2026-10-15T00:00:00.000Z</x:v>
      </x:c>
      <x:c r="I1316" s="37" t="d">
        <x:v>2026-09-12T18:17:30.000Z</x:v>
      </x:c>
      <x:c r="J1316" s="1" t="n">
        <x:f>IF(ISNUMBER(F1316),E1316,0)</x:f>
        <x:v>1</x:v>
      </x:c>
      <x:c r="K1316" s="1"/>
      <x:c r="L1316" s="1" t="str">
        <x:v>https://blog.skyairline.com/categoria/cultura/</x:v>
      </x:c>
      <x:c r="M1316" s="1" t="n">
        <x:v>0</x:v>
      </x:c>
    </x:row>
    <x:row r="1317" ht="18.75" customHeight="1">
      <x:c r="A1317" s="1" t="str">
        <x:v>https://blog.skyairline.com/aeropuestos-de-peru/</x:v>
      </x:c>
      <x:c r="B1317" s="1" t="str">
        <x:v>aeropuertos peru</x:v>
      </x:c>
      <x:c r="C1317" s="1" t="str">
        <x:v>arg</x:v>
      </x:c>
      <x:c r="D1317" s="1" t="str">
        <x:v>Sin marca</x:v>
      </x:c>
      <x:c r="E1317" s="35" t="n">
        <x:v>1</x:v>
      </x:c>
      <x:c r="F1317" s="36"/>
      <x:c r="G1317" s="36" t="str">
        <x:f>IF(ISNUMBER(F1317),E1317*F1317,"")</x:f>
      </x:c>
      <x:c r="H1317" s="37"/>
      <x:c r="I1317" s="37"/>
      <x:c r="J1317" s="1" t="n">
        <x:f>IF(ISNUMBER(F1317),E1317,0)</x:f>
        <x:v>0</x:v>
      </x:c>
      <x:c r="K1317" s="1"/>
      <x:c r="L1317" s="1" t="str">
        <x:v>https://blog.skyairline.com/categoria/destinos/</x:v>
      </x:c>
      <x:c r="M1317" s="1" t="n">
        <x:v>0</x:v>
      </x:c>
    </x:row>
    <x:row r="1318" ht="18.75" customHeight="1">
      <x:c r="A1318" s="1" t="str">
        <x:v>https://blog.skyairline.com/aeropuestos-de-peru/</x:v>
      </x:c>
      <x:c r="B1318" s="1" t="str">
        <x:v>principales aeropuertos del perú</x:v>
      </x:c>
      <x:c r="C1318" s="1" t="str">
        <x:v>per</x:v>
      </x:c>
      <x:c r="D1318" s="1" t="str">
        <x:v>Sin marca</x:v>
      </x:c>
      <x:c r="E1318" s="35" t="n">
        <x:v>1</x:v>
      </x:c>
      <x:c r="F1318" s="36"/>
      <x:c r="G1318" s="36" t="str">
        <x:f>IF(ISNUMBER(F1318),E1318*F1318,"")</x:f>
      </x:c>
      <x:c r="H1318" s="37" t="d">
        <x:v>2026-10-15T00:00:00.000Z</x:v>
      </x:c>
      <x:c r="I1318" s="37" t="d">
        <x:v>2026-09-14T23:37:31.000Z</x:v>
      </x:c>
      <x:c r="J1318" s="1" t="n">
        <x:f>IF(ISNUMBER(F1318),E1318,0)</x:f>
        <x:v>0</x:v>
      </x:c>
      <x:c r="K1318" s="1"/>
      <x:c r="L1318" s="1" t="str">
        <x:v>https://blog.skyairline.com/categoria/florianopolis/</x:v>
      </x:c>
      <x:c r="M1318" s="1" t="n">
        <x:v>0</x:v>
      </x:c>
    </x:row>
    <x:row r="1319" ht="18.75" customHeight="1">
      <x:c r="A1319" s="1" t="str">
        <x:v>https://blog.skyairline.com/ahorrar-espacio-en-la-maleta/</x:v>
      </x:c>
      <x:c r="B1319" s="1" t="str">
        <x:v>como hacer una maleta de 23 kg</x:v>
      </x:c>
      <x:c r="C1319" s="1" t="str">
        <x:v>esp</x:v>
      </x:c>
      <x:c r="D1319" s="1" t="str">
        <x:v>Sin marca</x:v>
      </x:c>
      <x:c r="E1319" s="35" t="n">
        <x:v>1</x:v>
      </x:c>
      <x:c r="F1319" s="36"/>
      <x:c r="G1319" s="36" t="str">
        <x:f>IF(ISNUMBER(F1319),E1319*F1319,"")</x:f>
      </x:c>
      <x:c r="H1319" s="37"/>
      <x:c r="I1319" s="37"/>
      <x:c r="J1319" s="1" t="n">
        <x:f>IF(ISNUMBER(F1319),E1319,0)</x:f>
        <x:v>0</x:v>
      </x:c>
      <x:c r="K1319" s="1"/>
      <x:c r="L1319" s="1" t="str">
        <x:v>https://blog.skyairline.com/categoria/planificacion-de-viaje/</x:v>
      </x:c>
      <x:c r="M1319" s="1" t="n">
        <x:v>0</x:v>
      </x:c>
    </x:row>
    <x:row r="1320" ht="18.75" customHeight="1">
      <x:c r="A1320" s="1" t="str">
        <x:v>https://blog.skyairline.com/ahorrar-espacio-en-la-maleta/</x:v>
      </x:c>
      <x:c r="B1320" s="1" t="str">
        <x:v>cubos de compresión</x:v>
      </x:c>
      <x:c r="C1320" s="1" t="str">
        <x:v>per</x:v>
      </x:c>
      <x:c r="D1320" s="1" t="str">
        <x:v>Sin marca</x:v>
      </x:c>
      <x:c r="E1320" s="35" t="n">
        <x:v>1</x:v>
      </x:c>
      <x:c r="F1320" s="36"/>
      <x:c r="G1320" s="36" t="str">
        <x:f>IF(ISNUMBER(F1320),E1320*F1320,"")</x:f>
      </x:c>
      <x:c r="H1320" s="37"/>
      <x:c r="I1320" s="37"/>
      <x:c r="J1320" s="1" t="n">
        <x:f>IF(ISNUMBER(F1320),E1320,0)</x:f>
        <x:v>0</x:v>
      </x:c>
      <x:c r="K1320" s="1"/>
      <x:c r="L1320" s="1" t="str">
        <x:v>https://blog.skyairline.com/categoria/sin-categoria/</x:v>
      </x:c>
      <x:c r="M1320" s="1" t="n">
        <x:v>0</x:v>
      </x:c>
    </x:row>
    <x:row r="1321" ht="18.75" customHeight="1">
      <x:c r="A1321" s="1" t="str">
        <x:v>https://blog.skyairline.com/ahorrar-tiempo-en-el-aeropuerto/</x:v>
      </x:c>
      <x:c r="B1321" s="1" t="str">
        <x:v>cuantas horas antes debo llegar al aeropuerto para vuelo internacional</x:v>
      </x:c>
      <x:c r="C1321" s="1" t="str">
        <x:v>chl</x:v>
      </x:c>
      <x:c r="D1321" s="1" t="str">
        <x:v>Sin marca</x:v>
      </x:c>
      <x:c r="E1321" s="35" t="n">
        <x:v>1</x:v>
      </x:c>
      <x:c r="F1321" s="36"/>
      <x:c r="G1321" s="36" t="str">
        <x:f>IF(ISNUMBER(F1321),E1321*F1321,"")</x:f>
      </x:c>
      <x:c r="H1321" s="37"/>
      <x:c r="I1321" s="37"/>
      <x:c r="J1321" s="1" t="n">
        <x:f>IF(ISNUMBER(F1321),E1321,0)</x:f>
        <x:v>0</x:v>
      </x:c>
      <x:c r="K1321" s="1"/>
      <x:c r="L1321" s="1" t="str">
        <x:v>https://blog.skyairline.com/categoria/uncategorized/</x:v>
      </x:c>
      <x:c r="M1321" s="1" t="n">
        <x:v>0</x:v>
      </x:c>
    </x:row>
    <x:row r="1322" ht="18.75" customHeight="1">
      <x:c r="A1322" s="1" t="str">
        <x:v>https://blog.skyairline.com/ahorrar-tiempo-en-el-aeropuerto/</x:v>
      </x:c>
      <x:c r="B1322" s="1" t="str">
        <x:v>cuanto tiempo antes debo estar en el aeropuerto vuelo nacional</x:v>
      </x:c>
      <x:c r="C1322" s="1" t="str">
        <x:v>chl</x:v>
      </x:c>
      <x:c r="D1322" s="1" t="str">
        <x:v>Sin marca</x:v>
      </x:c>
      <x:c r="E1322" s="35" t="n">
        <x:v>1</x:v>
      </x:c>
      <x:c r="F1322" s="36" t="n">
        <x:v>0.18</x:v>
      </x:c>
      <x:c r="G1322" s="36" t="n">
        <x:f>IF(ISNUMBER(F1322),E1322*F1322,"")</x:f>
        <x:v>0.18</x:v>
      </x:c>
      <x:c r="H1322" s="37" t="d">
        <x:v>2026-10-15T00:00:00.000Z</x:v>
      </x:c>
      <x:c r="I1322" s="37" t="d">
        <x:v>2026-09-14T20:41:33.000Z</x:v>
      </x:c>
      <x:c r="J1322" s="1" t="n">
        <x:f>IF(ISNUMBER(F1322),E1322,0)</x:f>
        <x:v>1</x:v>
      </x:c>
      <x:c r="K1322" s="1"/>
      <x:c r="L1322" s="1" t="str">
        <x:v>https://blog.skyairline.com/caternar-de-tacna/</x:v>
      </x:c>
      <x:c r="M1322" s="1" t="n">
        <x:v>0</x:v>
      </x:c>
    </x:row>
    <x:row r="1323" ht="18.75" customHeight="1">
      <x:c r="A1323" s="1" t="str">
        <x:v>https://blog.skyairline.com/ahorrar-tiempo-en-el-aeropuerto/</x:v>
      </x:c>
      <x:c r="B1323" s="1" t="str">
        <x:v>tiempo para vuelos nacionales</x:v>
      </x:c>
      <x:c r="C1323" s="1" t="str">
        <x:v>chl</x:v>
      </x:c>
      <x:c r="D1323" s="1" t="str">
        <x:v>Sin marca</x:v>
      </x:c>
      <x:c r="E1323" s="35" t="n">
        <x:v>1</x:v>
      </x:c>
      <x:c r="F1323" s="36"/>
      <x:c r="G1323" s="36" t="str">
        <x:f>IF(ISNUMBER(F1323),E1323*F1323,"")</x:f>
      </x:c>
      <x:c r="H1323" s="37"/>
      <x:c r="I1323" s="37"/>
      <x:c r="J1323" s="1" t="n">
        <x:f>IF(ISNUMBER(F1323),E1323,0)</x:f>
        <x:v>0</x:v>
      </x:c>
      <x:c r="K1323" s="1"/>
      <x:c r="L1323" s="1" t="str">
        <x:v>https://blog.skyairline.com/celebraciones-en-otros-paises/</x:v>
      </x:c>
      <x:c r="M1323" s="1" t="n">
        <x:v>0</x:v>
      </x:c>
    </x:row>
    <x:row r="1324" ht="18.75" customHeight="1">
      <x:c r="A1324" s="1" t="str">
        <x:v>https://blog.skyairline.com/airbus-a320/</x:v>
      </x:c>
      <x:c r="B1324" s="1" t="str">
        <x:v>a320 neo sky</x:v>
      </x:c>
      <x:c r="C1324" s="1" t="str">
        <x:v>arg</x:v>
      </x:c>
      <x:c r="D1324" s="1" t="str">
        <x:v>Marca</x:v>
      </x:c>
      <x:c r="E1324" s="35" t="n">
        <x:v>1</x:v>
      </x:c>
      <x:c r="F1324" s="36"/>
      <x:c r="G1324" s="36" t="str">
        <x:f>IF(ISNUMBER(F1324),E1324*F1324,"")</x:f>
      </x:c>
      <x:c r="H1324" s="37"/>
      <x:c r="I1324" s="37"/>
      <x:c r="J1324" s="1" t="n">
        <x:f>IF(ISNUMBER(F1324),E1324,0)</x:f>
        <x:v>0</x:v>
      </x:c>
      <x:c r="K1324" s="1"/>
      <x:c r="L1324" s="1" t="str">
        <x:v>https://blog.skyairline.com/cementerio-de-recoleta/</x:v>
      </x:c>
      <x:c r="M1324" s="1" t="n">
        <x:v>0</x:v>
      </x:c>
    </x:row>
    <x:row r="1325" ht="18.75" customHeight="1">
      <x:c r="A1325" s="1" t="str">
        <x:v>https://blog.skyairline.com/airbus-a320/</x:v>
      </x:c>
      <x:c r="B1325" s="1" t="str">
        <x:v>a320neo</x:v>
      </x:c>
      <x:c r="C1325" s="1" t="str">
        <x:v>per</x:v>
      </x:c>
      <x:c r="D1325" s="1" t="str">
        <x:v>Sin marca</x:v>
      </x:c>
      <x:c r="E1325" s="35" t="n">
        <x:v>1</x:v>
      </x:c>
      <x:c r="F1325" s="36"/>
      <x:c r="G1325" s="36" t="str">
        <x:f>IF(ISNUMBER(F1325),E1325*F1325,"")</x:f>
      </x:c>
      <x:c r="H1325" s="37" t="d">
        <x:v>2026-10-15T00:00:00.000Z</x:v>
      </x:c>
      <x:c r="I1325" s="37" t="d">
        <x:v>2026-09-16T07:43:25.000Z</x:v>
      </x:c>
      <x:c r="J1325" s="1" t="n">
        <x:f>IF(ISNUMBER(F1325),E1325,0)</x:f>
        <x:v>0</x:v>
      </x:c>
      <x:c r="K1325" s="1"/>
      <x:c r="L1325" s="1" t="str">
        <x:v>https://blog.skyairline.com/cena-de-navidad-peruana/</x:v>
      </x:c>
      <x:c r="M1325" s="1" t="n">
        <x:v>0</x:v>
      </x:c>
    </x:row>
    <x:row r="1326" ht="18.75" customHeight="1">
      <x:c r="A1326" s="1" t="str">
        <x:v>https://blog.skyairline.com/airbus-a320/</x:v>
      </x:c>
      <x:c r="B1326" s="1" t="str">
        <x:v>a320neo sky</x:v>
      </x:c>
      <x:c r="C1326" s="1" t="str">
        <x:v>chl</x:v>
      </x:c>
      <x:c r="D1326" s="1" t="str">
        <x:v>Marca</x:v>
      </x:c>
      <x:c r="E1326" s="35" t="n">
        <x:v>1</x:v>
      </x:c>
      <x:c r="F1326" s="36"/>
      <x:c r="G1326" s="36" t="str">
        <x:f>IF(ISNUMBER(F1326),E1326*F1326,"")</x:f>
      </x:c>
      <x:c r="H1326" s="37" t="d">
        <x:v>2026-10-15T00:00:00.000Z</x:v>
      </x:c>
      <x:c r="I1326" s="37" t="d">
        <x:v>2026-09-16T03:49:41.000Z</x:v>
      </x:c>
      <x:c r="J1326" s="1" t="n">
        <x:f>IF(ISNUMBER(F1326),E1326,0)</x:f>
        <x:v>0</x:v>
      </x:c>
      <x:c r="K1326" s="1"/>
      <x:c r="L1326" s="1" t="str">
        <x:v>https://blog.skyairline.com/cena-navidena-chilena/</x:v>
      </x:c>
      <x:c r="M1326" s="1" t="n">
        <x:v>0</x:v>
      </x:c>
    </x:row>
    <x:row r="1327" ht="18.75" customHeight="1">
      <x:c r="A1327" s="1" t="str">
        <x:v>https://blog.skyairline.com/airbus-a320/</x:v>
      </x:c>
      <x:c r="B1327" s="1" t="str">
        <x:v>airbus a320 sky</x:v>
      </x:c>
      <x:c r="C1327" s="1" t="str">
        <x:v>arg</x:v>
      </x:c>
      <x:c r="D1327" s="1" t="str">
        <x:v>Marca</x:v>
      </x:c>
      <x:c r="E1327" s="35" t="n">
        <x:v>1</x:v>
      </x:c>
      <x:c r="F1327" s="36"/>
      <x:c r="G1327" s="36" t="str">
        <x:f>IF(ISNUMBER(F1327),E1327*F1327,"")</x:f>
      </x:c>
      <x:c r="H1327" s="37"/>
      <x:c r="I1327" s="37"/>
      <x:c r="J1327" s="1" t="n">
        <x:f>IF(ISNUMBER(F1327),E1327,0)</x:f>
        <x:v>0</x:v>
      </x:c>
      <x:c r="K1327" s="1"/>
      <x:c r="L1327" s="1" t="str">
        <x:v>https://blog.skyairline.com/cenas-navide%C3%B1as-chilenas/</x:v>
      </x:c>
      <x:c r="M1327" s="1" t="n">
        <x:v>0</x:v>
      </x:c>
    </x:row>
    <x:row r="1328" ht="18.75" customHeight="1">
      <x:c r="A1328" s="1" t="str">
        <x:v>https://blog.skyairline.com/airbus-a320/</x:v>
      </x:c>
      <x:c r="B1328" s="1" t="str">
        <x:v>airbus a320 sky</x:v>
      </x:c>
      <x:c r="C1328" s="1" t="str">
        <x:v>per</x:v>
      </x:c>
      <x:c r="D1328" s="1" t="str">
        <x:v>Marca</x:v>
      </x:c>
      <x:c r="E1328" s="35" t="n">
        <x:v>1</x:v>
      </x:c>
      <x:c r="F1328" s="36"/>
      <x:c r="G1328" s="36" t="str">
        <x:f>IF(ISNUMBER(F1328),E1328*F1328,"")</x:f>
      </x:c>
      <x:c r="H1328" s="37" t="d">
        <x:v>2026-10-15T00:00:00.000Z</x:v>
      </x:c>
      <x:c r="I1328" s="37" t="d">
        <x:v>2026-09-13T09:14:03.000Z</x:v>
      </x:c>
      <x:c r="J1328" s="1" t="n">
        <x:f>IF(ISNUMBER(F1328),E1328,0)</x:f>
        <x:v>0</x:v>
      </x:c>
      <x:c r="K1328" s="1"/>
      <x:c r="L1328" s="1" t="str">
        <x:v>https://blog.skyairline.com/cenas-navidenas-chilenas/</x:v>
      </x:c>
      <x:c r="M1328" s="1" t="n">
        <x:v>0</x:v>
      </x:c>
    </x:row>
    <x:row r="1329" ht="18.75" customHeight="1">
      <x:c r="A1329" s="1" t="str">
        <x:v>https://blog.skyairline.com/airbus-a320/</x:v>
      </x:c>
      <x:c r="B1329" s="1" t="str">
        <x:v>airbus a320 sky asientos</x:v>
      </x:c>
      <x:c r="C1329" s="1" t="str">
        <x:v>mex</x:v>
      </x:c>
      <x:c r="D1329" s="1" t="str">
        <x:v>Marca</x:v>
      </x:c>
      <x:c r="E1329" s="35" t="n">
        <x:v>1</x:v>
      </x:c>
      <x:c r="F1329" s="36"/>
      <x:c r="G1329" s="36" t="str">
        <x:f>IF(ISNUMBER(F1329),E1329*F1329,"")</x:f>
      </x:c>
      <x:c r="H1329" s="37"/>
      <x:c r="I1329" s="37"/>
      <x:c r="J1329" s="1" t="n">
        <x:f>IF(ISNUMBER(F1329),E1329,0)</x:f>
        <x:v>0</x:v>
      </x:c>
      <x:c r="K1329" s="1"/>
      <x:c r="L1329" s="1" t="str">
        <x:v>https://blog.skyairline.com/cenas-navidenas-chilesn/</x:v>
      </x:c>
      <x:c r="M1329" s="1" t="n">
        <x:v>0</x:v>
      </x:c>
    </x:row>
    <x:row r="1330" ht="18.75" customHeight="1">
      <x:c r="A1330" s="1" t="str">
        <x:v>https://blog.skyairline.com/airbus-a320/</x:v>
      </x:c>
      <x:c r="B1330" s="1" t="str">
        <x:v>airbus a320 sky asientos</x:v>
      </x:c>
      <x:c r="C1330" s="1" t="str">
        <x:v>per</x:v>
      </x:c>
      <x:c r="D1330" s="1" t="str">
        <x:v>Marca</x:v>
      </x:c>
      <x:c r="E1330" s="35" t="n">
        <x:v>1</x:v>
      </x:c>
      <x:c r="F1330" s="36"/>
      <x:c r="G1330" s="36" t="str">
        <x:f>IF(ISNUMBER(F1330),E1330*F1330,"")</x:f>
      </x:c>
      <x:c r="H1330" s="37" t="d">
        <x:v>2026-10-15T00:00:00.000Z</x:v>
      </x:c>
      <x:c r="I1330" s="37" t="d">
        <x:v>2026-09-13T04:27:46.999Z</x:v>
      </x:c>
      <x:c r="J1330" s="1" t="n">
        <x:f>IF(ISNUMBER(F1330),E1330,0)</x:f>
        <x:v>0</x:v>
      </x:c>
      <x:c r="K1330" s="1"/>
      <x:c r="L1330" s="1" t="str">
        <x:v>https://blog.skyairline.com/cenotes-tulum/</x:v>
      </x:c>
      <x:c r="M1330" s="1" t="n">
        <x:v>0</x:v>
      </x:c>
    </x:row>
    <x:row r="1331" ht="18.75" customHeight="1">
      <x:c r="A1331" s="1" t="str">
        <x:v>https://blog.skyairline.com/airbus-a320/</x:v>
      </x:c>
      <x:c r="B1331" s="1" t="str">
        <x:v>airbus a320-251n asientos</x:v>
      </x:c>
      <x:c r="C1331" s="1" t="str">
        <x:v>esp</x:v>
      </x:c>
      <x:c r="D1331" s="1" t="str">
        <x:v>Sin marca</x:v>
      </x:c>
      <x:c r="E1331" s="35" t="n">
        <x:v>1</x:v>
      </x:c>
      <x:c r="F1331" s="36"/>
      <x:c r="G1331" s="36" t="str">
        <x:f>IF(ISNUMBER(F1331),E1331*F1331,"")</x:f>
      </x:c>
      <x:c r="H1331" s="37"/>
      <x:c r="I1331" s="37"/>
      <x:c r="J1331" s="1" t="n">
        <x:f>IF(ISNUMBER(F1331),E1331,0)</x:f>
        <x:v>0</x:v>
      </x:c>
      <x:c r="K1331" s="1"/>
      <x:c r="L1331" s="1" t="str">
        <x:v>https://blog.skyairline.com/centros-comercial-de-miami/</x:v>
      </x:c>
      <x:c r="M1331" s="1" t="n">
        <x:v>0</x:v>
      </x:c>
    </x:row>
    <x:row r="1332" ht="18.75" customHeight="1">
      <x:c r="A1332" s="1" t="str">
        <x:v>https://blog.skyairline.com/airbus-a320/</x:v>
      </x:c>
      <x:c r="B1332" s="1" t="str">
        <x:v>airbus a320neo</x:v>
      </x:c>
      <x:c r="C1332" s="1" t="str">
        <x:v>chl</x:v>
      </x:c>
      <x:c r="D1332" s="1" t="str">
        <x:v>Sin marca</x:v>
      </x:c>
      <x:c r="E1332" s="35" t="n">
        <x:v>1</x:v>
      </x:c>
      <x:c r="F1332" s="36" t="n">
        <x:v>1.65</x:v>
      </x:c>
      <x:c r="G1332" s="36" t="n">
        <x:f>IF(ISNUMBER(F1332),E1332*F1332,"")</x:f>
        <x:v>1.65</x:v>
      </x:c>
      <x:c r="H1332" s="37" t="d">
        <x:v>2026-10-15T00:00:00.000Z</x:v>
      </x:c>
      <x:c r="I1332" s="37" t="d">
        <x:v>2026-09-14T23:43:51.000Z</x:v>
      </x:c>
      <x:c r="J1332" s="1" t="n">
        <x:f>IF(ISNUMBER(F1332),E1332,0)</x:f>
        <x:v>1</x:v>
      </x:c>
      <x:c r="K1332" s="1"/>
      <x:c r="L1332" s="1" t="str">
        <x:v>https://blog.skyairline.com/cerca-de-8-500-pasajes-aereos-fueron-comercializados-por-sky-desde-su-regreso-al-mercado-uruguayo-hace-menos-de-un-mes/</x:v>
      </x:c>
      <x:c r="M1332" s="1" t="n">
        <x:v>0</x:v>
      </x:c>
    </x:row>
    <x:row r="1333" ht="18.75" customHeight="1">
      <x:c r="A1333" s="1" t="str">
        <x:v>https://blog.skyairline.com/airbus-a320/</x:v>
      </x:c>
      <x:c r="B1333" s="1" t="str">
        <x:v>airbus a320neo</x:v>
      </x:c>
      <x:c r="C1333" s="1" t="str">
        <x:v>per</x:v>
      </x:c>
      <x:c r="D1333" s="1" t="str">
        <x:v>Sin marca</x:v>
      </x:c>
      <x:c r="E1333" s="35" t="n">
        <x:v>1</x:v>
      </x:c>
      <x:c r="F1333" s="36"/>
      <x:c r="G1333" s="36" t="str">
        <x:f>IF(ISNUMBER(F1333),E1333*F1333,"")</x:f>
      </x:c>
      <x:c r="H1333" s="37" t="d">
        <x:v>2026-10-15T00:00:00.000Z</x:v>
      </x:c>
      <x:c r="I1333" s="37" t="d">
        <x:v>2026-09-13T14:50:02.000Z</x:v>
      </x:c>
      <x:c r="J1333" s="1" t="n">
        <x:f>IF(ISNUMBER(F1333),E1333,0)</x:f>
        <x:v>0</x:v>
      </x:c>
      <x:c r="K1333" s="1"/>
      <x:c r="L1333" s="1" t="str">
        <x:v>https://blog.skyairline.com/chalten-trekking/</x:v>
      </x:c>
      <x:c r="M1333" s="1" t="n">
        <x:v>0</x:v>
      </x:c>
    </x:row>
    <x:row r="1334" ht="18.75" customHeight="1">
      <x:c r="A1334" s="1" t="str">
        <x:v>https://blog.skyairline.com/airbus-a320/</x:v>
      </x:c>
      <x:c r="B1334" s="1" t="str">
        <x:v>airbus a320neo sky asientos</x:v>
      </x:c>
      <x:c r="C1334" s="1" t="str">
        <x:v>per</x:v>
      </x:c>
      <x:c r="D1334" s="1" t="str">
        <x:v>Marca</x:v>
      </x:c>
      <x:c r="E1334" s="35" t="n">
        <x:v>1</x:v>
      </x:c>
      <x:c r="F1334" s="36"/>
      <x:c r="G1334" s="36" t="str">
        <x:f>IF(ISNUMBER(F1334),E1334*F1334,"")</x:f>
      </x:c>
      <x:c r="H1334" s="37" t="d">
        <x:v>2026-10-15T00:00:00.000Z</x:v>
      </x:c>
      <x:c r="I1334" s="37" t="d">
        <x:v>2026-10-15T13:01:03.000Z</x:v>
      </x:c>
      <x:c r="J1334" s="1" t="n">
        <x:f>IF(ISNUMBER(F1334),E1334,0)</x:f>
        <x:v>0</x:v>
      </x:c>
      <x:c r="K1334" s="1"/>
      <x:c r="L1334" s="1" t="str">
        <x:v>https://blog.skyairline.com/chapada-dos-veadeiros/</x:v>
      </x:c>
      <x:c r="M1334" s="1" t="n">
        <x:v>0</x:v>
      </x:c>
    </x:row>
    <x:row r="1335" ht="18.75" customHeight="1">
      <x:c r="A1335" s="1" t="str">
        <x:v>https://blog.skyairline.com/airbus-a320/</x:v>
      </x:c>
      <x:c r="B1335" s="1" t="str">
        <x:v>asientos de sky avion</x:v>
      </x:c>
      <x:c r="C1335" s="1" t="str">
        <x:v>per</x:v>
      </x:c>
      <x:c r="D1335" s="1" t="str">
        <x:v>Marca</x:v>
      </x:c>
      <x:c r="E1335" s="35" t="n">
        <x:v>1</x:v>
      </x:c>
      <x:c r="F1335" s="36"/>
      <x:c r="G1335" s="36" t="str">
        <x:f>IF(ISNUMBER(F1335),E1335*F1335,"")</x:f>
      </x:c>
      <x:c r="H1335" s="37"/>
      <x:c r="I1335" s="37"/>
      <x:c r="J1335" s="1" t="n">
        <x:f>IF(ISNUMBER(F1335),E1335,0)</x:f>
        <x:v>0</x:v>
      </x:c>
      <x:c r="K1335" s="1"/>
      <x:c r="L1335" s="1" t="str">
        <x:v>https://blog.skyairline.com/checklist-for-packing-luggage</x:v>
      </x:c>
      <x:c r="M1335" s="1" t="n">
        <x:v>0</x:v>
      </x:c>
    </x:row>
    <x:row r="1336" ht="18.75" customHeight="1">
      <x:c r="A1336" s="1" t="str">
        <x:v>https://blog.skyairline.com/airbus-a320/</x:v>
      </x:c>
      <x:c r="B1336" s="1" t="str">
        <x:v>avion a320 interior</x:v>
      </x:c>
      <x:c r="C1336" s="1" t="str">
        <x:v>chl</x:v>
      </x:c>
      <x:c r="D1336" s="1" t="str">
        <x:v>Sin marca</x:v>
      </x:c>
      <x:c r="E1336" s="35" t="n">
        <x:v>1</x:v>
      </x:c>
      <x:c r="F1336" s="36"/>
      <x:c r="G1336" s="36" t="str">
        <x:f>IF(ISNUMBER(F1336),E1336*F1336,"")</x:f>
      </x:c>
      <x:c r="H1336" s="37"/>
      <x:c r="I1336" s="37"/>
      <x:c r="J1336" s="1" t="n">
        <x:f>IF(ISNUMBER(F1336),E1336,0)</x:f>
        <x:v>0</x:v>
      </x:c>
      <x:c r="K1336" s="1"/>
      <x:c r="L1336" s="1" t="str">
        <x:v>https://blog.skyairline.com/checklist-para-make/</x:v>
      </x:c>
      <x:c r="M1336" s="1" t="n">
        <x:v>0</x:v>
      </x:c>
    </x:row>
    <x:row r="1337" ht="18.75" customHeight="1">
      <x:c r="A1337" s="1" t="str">
        <x:v>https://blog.skyairline.com/airbus-a320/</x:v>
      </x:c>
      <x:c r="B1337" s="1" t="str">
        <x:v>interior airbus a320</x:v>
      </x:c>
      <x:c r="C1337" s="1" t="str">
        <x:v>chl</x:v>
      </x:c>
      <x:c r="D1337" s="1" t="str">
        <x:v>Sin marca</x:v>
      </x:c>
      <x:c r="E1337" s="35" t="n">
        <x:v>1</x:v>
      </x:c>
      <x:c r="F1337" s="36"/>
      <x:c r="G1337" s="36" t="str">
        <x:f>IF(ISNUMBER(F1337),E1337*F1337,"")</x:f>
      </x:c>
      <x:c r="H1337" s="37"/>
      <x:c r="I1337" s="37"/>
      <x:c r="J1337" s="1" t="n">
        <x:f>IF(ISNUMBER(F1337),E1337,0)</x:f>
        <x:v>0</x:v>
      </x:c>
      <x:c r="K1337" s="1"/>
      <x:c r="L1337" s="1" t="str">
        <x:v>https://blog.skyairline.com/chicha-morada/</x:v>
      </x:c>
      <x:c r="M1337" s="1" t="n">
        <x:v>0</x:v>
      </x:c>
    </x:row>
    <x:row r="1338" ht="18.75" customHeight="1">
      <x:c r="A1338" s="1" t="str">
        <x:v>https://blog.skyairline.com/airbus-a320/</x:v>
      </x:c>
      <x:c r="B1338" s="1" t="str">
        <x:v>sky 320</x:v>
      </x:c>
      <x:c r="C1338" s="1" t="str">
        <x:v>per</x:v>
      </x:c>
      <x:c r="D1338" s="1" t="str">
        <x:v>Marca</x:v>
      </x:c>
      <x:c r="E1338" s="35" t="n">
        <x:v>1</x:v>
      </x:c>
      <x:c r="F1338" s="36"/>
      <x:c r="G1338" s="36" t="str">
        <x:f>IF(ISNUMBER(F1338),E1338*F1338,"")</x:f>
      </x:c>
      <x:c r="H1338" s="37" t="d">
        <x:v>2026-10-15T00:00:00.000Z</x:v>
      </x:c>
      <x:c r="I1338" s="37" t="d">
        <x:v>2026-09-16T03:30:25.000Z</x:v>
      </x:c>
      <x:c r="J1338" s="1" t="n">
        <x:f>IF(ISNUMBER(F1338),E1338,0)</x:f>
        <x:v>0</x:v>
      </x:c>
      <x:c r="K1338" s="1"/>
      <x:c r="L1338" s="1" t="str">
        <x:v>https://blog.skyairline.com/chichen-itza/</x:v>
      </x:c>
      <x:c r="M1338" s="1" t="n">
        <x:v>0</x:v>
      </x:c>
    </x:row>
    <x:row r="1339" ht="18.75" customHeight="1">
      <x:c r="A1339" s="1" t="str">
        <x:v>https://blog.skyairline.com/airbus-a320/</x:v>
      </x:c>
      <x:c r="B1339" s="1" t="str">
        <x:v>sky a320</x:v>
      </x:c>
      <x:c r="C1339" s="1" t="str">
        <x:v>chl</x:v>
      </x:c>
      <x:c r="D1339" s="1" t="str">
        <x:v>Marca</x:v>
      </x:c>
      <x:c r="E1339" s="35" t="n">
        <x:v>1</x:v>
      </x:c>
      <x:c r="F1339" s="36"/>
      <x:c r="G1339" s="36" t="str">
        <x:f>IF(ISNUMBER(F1339),E1339*F1339,"")</x:f>
      </x:c>
      <x:c r="H1339" s="37"/>
      <x:c r="I1339" s="37"/>
      <x:c r="J1339" s="1" t="n">
        <x:f>IF(ISNUMBER(F1339),E1339,0)</x:f>
        <x:v>0</x:v>
      </x:c>
      <x:c r="K1339" s="1"/>
      <x:c r="L1339" s="1" t="str">
        <x:v>https://blog.skyairline.com/chile-a-cancun-opciones-de-vuegos-y-recomendaciones/</x:v>
      </x:c>
      <x:c r="M1339" s="1" t="n">
        <x:v>0</x:v>
      </x:c>
    </x:row>
    <x:row r="1340" ht="18.75" customHeight="1">
      <x:c r="A1340" s="1" t="str">
        <x:v>https://blog.skyairline.com/airbus-a320/</x:v>
      </x:c>
      <x:c r="B1340" s="1" t="str">
        <x:v>sky a320neo</x:v>
      </x:c>
      <x:c r="C1340" s="1" t="str">
        <x:v>chl</x:v>
      </x:c>
      <x:c r="D1340" s="1" t="str">
        <x:v>Marca</x:v>
      </x:c>
      <x:c r="E1340" s="35" t="n">
        <x:v>1</x:v>
      </x:c>
      <x:c r="F1340" s="36"/>
      <x:c r="G1340" s="36" t="str">
        <x:f>IF(ISNUMBER(F1340),E1340*F1340,"")</x:f>
      </x:c>
      <x:c r="H1340" s="37"/>
      <x:c r="I1340" s="37"/>
      <x:c r="J1340" s="1" t="n">
        <x:f>IF(ISNUMBER(F1340),E1340,0)</x:f>
        <x:v>0</x:v>
      </x:c>
      <x:c r="K1340" s="1"/>
      <x:c r="L1340" s="1" t="str">
        <x:v>https://blog.skyairline.com/chile-a-cancun-opciones-de-vuelos-y-recommendaciones/</x:v>
      </x:c>
      <x:c r="M1340" s="1" t="n">
        <x:v>0</x:v>
      </x:c>
    </x:row>
    <x:row r="1341" ht="18.75" customHeight="1">
      <x:c r="A1341" s="1" t="str">
        <x:v>https://blog.skyairline.com/airbus-a320/</x:v>
      </x:c>
      <x:c r="B1341" s="1" t="str">
        <x:v>sky airline airbus a320neo</x:v>
      </x:c>
      <x:c r="C1341" s="1" t="str">
        <x:v>bol</x:v>
      </x:c>
      <x:c r="D1341" s="1" t="str">
        <x:v>Marca</x:v>
      </x:c>
      <x:c r="E1341" s="35" t="n">
        <x:v>1</x:v>
      </x:c>
      <x:c r="F1341" s="36"/>
      <x:c r="G1341" s="36" t="str">
        <x:f>IF(ISNUMBER(F1341),E1341*F1341,"")</x:f>
      </x:c>
      <x:c r="H1341" s="37"/>
      <x:c r="I1341" s="37"/>
      <x:c r="J1341" s="1" t="n">
        <x:f>IF(ISNUMBER(F1341),E1341,0)</x:f>
        <x:v>0</x:v>
      </x:c>
      <x:c r="K1341" s="1"/>
      <x:c r="L1341" s="1" t="str">
        <x:v>https://blog.skyairline.com/chile-a-cancun-opciones-vuelos-y-recomendaciones/</x:v>
      </x:c>
      <x:c r="M1341" s="1" t="n">
        <x:v>0</x:v>
      </x:c>
    </x:row>
    <x:row r="1342" ht="18.75" customHeight="1">
      <x:c r="A1342" s="1" t="str">
        <x:v>https://blog.skyairline.com/alpamayo/</x:v>
      </x:c>
      <x:c r="B1342" s="1" t="str">
        <x:v>alpamayo peru</x:v>
      </x:c>
      <x:c r="C1342" s="1" t="str">
        <x:v>esp</x:v>
      </x:c>
      <x:c r="D1342" s="1" t="str">
        <x:v>Sin marca</x:v>
      </x:c>
      <x:c r="E1342" s="35" t="n">
        <x:v>1</x:v>
      </x:c>
      <x:c r="F1342" s="36"/>
      <x:c r="G1342" s="36" t="str">
        <x:f>IF(ISNUMBER(F1342),E1342*F1342,"")</x:f>
      </x:c>
      <x:c r="H1342" s="37"/>
      <x:c r="I1342" s="37"/>
      <x:c r="J1342" s="1" t="n">
        <x:f>IF(ISNUMBER(F1342),E1342,0)</x:f>
        <x:v>0</x:v>
      </x:c>
      <x:c r="K1342" s="1"/>
      <x:c r="L1342" s="1" t="str">
        <x:v>https://blog.skyairline.com/chile-apertura-definitiva-de-sus-fronteras/</x:v>
      </x:c>
      <x:c r="M1342" s="1" t="n">
        <x:v>0</x:v>
      </x:c>
    </x:row>
    <x:row r="1343" ht="18.75" customHeight="1">
      <x:c r="A1343" s="1" t="str">
        <x:v>https://blog.skyairline.com/angelmo/</x:v>
      </x:c>
      <x:c r="B1343" s="1" t="str">
        <x:v>angelmo</x:v>
      </x:c>
      <x:c r="C1343" s="1" t="str">
        <x:v>per</x:v>
      </x:c>
      <x:c r="D1343" s="1" t="str">
        <x:v>Sin marca</x:v>
      </x:c>
      <x:c r="E1343" s="35" t="n">
        <x:v>1</x:v>
      </x:c>
      <x:c r="F1343" s="36"/>
      <x:c r="G1343" s="36" t="str">
        <x:f>IF(ISNUMBER(F1343),E1343*F1343,"")</x:f>
      </x:c>
      <x:c r="H1343" s="37"/>
      <x:c r="I1343" s="37"/>
      <x:c r="J1343" s="1" t="n">
        <x:f>IF(ISNUMBER(F1343),E1343,0)</x:f>
        <x:v>0</x:v>
      </x:c>
      <x:c r="K1343" s="1"/>
      <x:c r="L1343" s="1" t="str">
        <x:v>https://blog.skyairline.com/chile-vs-peru</x:v>
      </x:c>
      <x:c r="M1343" s="1" t="n">
        <x:v>0</x:v>
      </x:c>
    </x:row>
    <x:row r="1344" ht="18.75" customHeight="1">
      <x:c r="A1344" s="1" t="str">
        <x:v>https://blog.skyairline.com/angelmo/</x:v>
      </x:c>
      <x:c r="B1344" s="1" t="str">
        <x:v>angelmo puerto montt</x:v>
      </x:c>
      <x:c r="C1344" s="1" t="str">
        <x:v>chl</x:v>
      </x:c>
      <x:c r="D1344" s="1" t="str">
        <x:v>Sin marca</x:v>
      </x:c>
      <x:c r="E1344" s="35" t="n">
        <x:v>1</x:v>
      </x:c>
      <x:c r="F1344" s="36"/>
      <x:c r="G1344" s="36" t="str">
        <x:f>IF(ISNUMBER(F1344),E1344*F1344,"")</x:f>
      </x:c>
      <x:c r="H1344" s="37" t="d">
        <x:v>2026-10-15T00:00:00.000Z</x:v>
      </x:c>
      <x:c r="I1344" s="37" t="d">
        <x:v>2026-09-16T22:08:57.000Z</x:v>
      </x:c>
      <x:c r="J1344" s="1" t="n">
        <x:f>IF(ISNUMBER(F1344),E1344,0)</x:f>
        <x:v>0</x:v>
      </x:c>
      <x:c r="K1344" s="1"/>
      <x:c r="L1344" s="1" t="str">
        <x:v>https://blog.skyairline.com/chile/</x:v>
      </x:c>
      <x:c r="M1344" s="1" t="n">
        <x:v>0</x:v>
      </x:c>
    </x:row>
    <x:row r="1345" ht="18.75" customHeight="1">
      <x:c r="A1345" s="1" t="str">
        <x:v>https://blog.skyairline.com/angelmo/</x:v>
      </x:c>
      <x:c r="B1345" s="1" t="str">
        <x:v>angelmó puerto montt</x:v>
      </x:c>
      <x:c r="C1345" s="1" t="str">
        <x:v>arg</x:v>
      </x:c>
      <x:c r="D1345" s="1" t="str">
        <x:v>Sin marca</x:v>
      </x:c>
      <x:c r="E1345" s="35" t="n">
        <x:v>1</x:v>
      </x:c>
      <x:c r="F1345" s="36"/>
      <x:c r="G1345" s="36" t="str">
        <x:f>IF(ISNUMBER(F1345),E1345*F1345,"")</x:f>
      </x:c>
      <x:c r="H1345" s="37"/>
      <x:c r="I1345" s="37"/>
      <x:c r="J1345" s="1" t="n">
        <x:f>IF(ISNUMBER(F1345),E1345,0)</x:f>
        <x:v>0</x:v>
      </x:c>
      <x:c r="K1345" s="1"/>
      <x:c r="L1345" s="1" t="str">
        <x:v>https://blog.skyairline.com/chiloe-silvestre/</x:v>
      </x:c>
      <x:c r="M1345" s="1" t="n">
        <x:v>0</x:v>
      </x:c>
    </x:row>
    <x:row r="1346" ht="18.75" customHeight="1">
      <x:c r="A1346" s="1" t="str">
        <x:v>https://blog.skyairline.com/angelmo/</x:v>
      </x:c>
      <x:c r="B1346" s="1" t="str">
        <x:v>donde comer en puerto montt</x:v>
      </x:c>
      <x:c r="C1346" s="1" t="str">
        <x:v>chl</x:v>
      </x:c>
      <x:c r="D1346" s="1" t="str">
        <x:v>Sin marca</x:v>
      </x:c>
      <x:c r="E1346" s="35" t="n">
        <x:v>1</x:v>
      </x:c>
      <x:c r="F1346" s="36" t="n">
        <x:v>0.16</x:v>
      </x:c>
      <x:c r="G1346" s="36" t="n">
        <x:f>IF(ISNUMBER(F1346),E1346*F1346,"")</x:f>
        <x:v>0.16</x:v>
      </x:c>
      <x:c r="H1346" s="37" t="d">
        <x:v>2026-10-15T00:00:00.000Z</x:v>
      </x:c>
      <x:c r="I1346" s="37" t="d">
        <x:v>2026-09-16T13:16:49.000Z</x:v>
      </x:c>
      <x:c r="J1346" s="1" t="n">
        <x:f>IF(ISNUMBER(F1346),E1346,0)</x:f>
        <x:v>1</x:v>
      </x:c>
      <x:c r="K1346" s="1"/>
      <x:c r="L1346" s="1" t="str">
        <x:v>https://blog.skyairline.com/choripanes-en-choripanes-en-buenos-aires/</x:v>
      </x:c>
      <x:c r="M1346" s="1" t="n">
        <x:v>0</x:v>
      </x:c>
    </x:row>
    <x:row r="1347" ht="18.75" customHeight="1">
      <x:c r="A1347" s="1" t="str">
        <x:v>https://blog.skyairline.com/angra-dos-reis/</x:v>
      </x:c>
      <x:c r="B1347" s="1" t="str">
        <x:v>anga do reis</x:v>
      </x:c>
      <x:c r="C1347" s="1" t="str">
        <x:v>chl</x:v>
      </x:c>
      <x:c r="D1347" s="1" t="str">
        <x:v>Sin marca</x:v>
      </x:c>
      <x:c r="E1347" s="35" t="n">
        <x:v>1</x:v>
      </x:c>
      <x:c r="F1347" s="36"/>
      <x:c r="G1347" s="36" t="str">
        <x:f>IF(ISNUMBER(F1347),E1347*F1347,"")</x:f>
      </x:c>
      <x:c r="H1347" s="37"/>
      <x:c r="I1347" s="37"/>
      <x:c r="J1347" s="1" t="n">
        <x:f>IF(ISNUMBER(F1347),E1347,0)</x:f>
        <x:v>0</x:v>
      </x:c>
      <x:c r="K1347" s="1"/>
      <x:c r="L1347" s="1" t="str">
        <x:v>https://blog.skyairline.com/churrascaria/</x:v>
      </x:c>
      <x:c r="M1347" s="1" t="n">
        <x:v>0</x:v>
      </x:c>
    </x:row>
    <x:row r="1348" ht="18.75" customHeight="1">
      <x:c r="A1348" s="1" t="str">
        <x:v>https://blog.skyairline.com/angra-dos-reis/</x:v>
      </x:c>
      <x:c r="B1348" s="1" t="str">
        <x:v>angra brasil</x:v>
      </x:c>
      <x:c r="C1348" s="1" t="str">
        <x:v>chl</x:v>
      </x:c>
      <x:c r="D1348" s="1" t="str">
        <x:v>Sin marca</x:v>
      </x:c>
      <x:c r="E1348" s="35" t="n">
        <x:v>1</x:v>
      </x:c>
      <x:c r="F1348" s="36" t="n">
        <x:v>0.91</x:v>
      </x:c>
      <x:c r="G1348" s="36" t="n">
        <x:f>IF(ISNUMBER(F1348),E1348*F1348,"")</x:f>
        <x:v>0.91</x:v>
      </x:c>
      <x:c r="H1348" s="37" t="d">
        <x:v>2026-10-15T00:00:00.000Z</x:v>
      </x:c>
      <x:c r="I1348" s="37" t="d">
        <x:v>2026-09-17T12:43:59.000Z</x:v>
      </x:c>
      <x:c r="J1348" s="1" t="n">
        <x:f>IF(ISNUMBER(F1348),E1348,0)</x:f>
        <x:v>1</x:v>
      </x:c>
      <x:c r="K1348" s="1"/>
      <x:c r="L1348" s="1" t="str">
        <x:v>https://blog.skyairline.com/cielo-mas-igualitario/</x:v>
      </x:c>
      <x:c r="M1348" s="1" t="n">
        <x:v>0</x:v>
      </x:c>
    </x:row>
    <x:row r="1349" ht="18.75" customHeight="1">
      <x:c r="A1349" s="1" t="str">
        <x:v>https://blog.skyairline.com/angra-dos-reis/</x:v>
      </x:c>
      <x:c r="B1349" s="1" t="str">
        <x:v>angra brasil</x:v>
      </x:c>
      <x:c r="C1349" s="1" t="str">
        <x:v>esp</x:v>
      </x:c>
      <x:c r="D1349" s="1" t="str">
        <x:v>Sin marca</x:v>
      </x:c>
      <x:c r="E1349" s="35" t="n">
        <x:v>1</x:v>
      </x:c>
      <x:c r="F1349" s="36"/>
      <x:c r="G1349" s="36" t="str">
        <x:f>IF(ISNUMBER(F1349),E1349*F1349,"")</x:f>
      </x:c>
      <x:c r="H1349" s="37"/>
      <x:c r="I1349" s="37"/>
      <x:c r="J1349" s="1" t="n">
        <x:f>IF(ISNUMBER(F1349),E1349,0)</x:f>
        <x:v>0</x:v>
      </x:c>
      <x:c r="K1349" s="1"/>
      <x:c r="L1349" s="1" t="str">
        <x:v>https://blog.skyairline.com/cien-madres-en-cabina-sky-peru-impulsa-politicas-que-concilian-maternidad-y-aviacion/</x:v>
      </x:c>
      <x:c r="M1349" s="1" t="n">
        <x:v>0</x:v>
      </x:c>
    </x:row>
    <x:row r="1350" ht="18.75" customHeight="1">
      <x:c r="A1350" s="1" t="str">
        <x:v>https://blog.skyairline.com/angra-dos-reis/</x:v>
      </x:c>
      <x:c r="B1350" s="1" t="str">
        <x:v>angra do reis</x:v>
      </x:c>
      <x:c r="C1350" s="1" t="str">
        <x:v>col</x:v>
      </x:c>
      <x:c r="D1350" s="1" t="str">
        <x:v>Sin marca</x:v>
      </x:c>
      <x:c r="E1350" s="35" t="n">
        <x:v>1</x:v>
      </x:c>
      <x:c r="F1350" s="36"/>
      <x:c r="G1350" s="36" t="str">
        <x:f>IF(ISNUMBER(F1350),E1350*F1350,"")</x:f>
      </x:c>
      <x:c r="H1350" s="37"/>
      <x:c r="I1350" s="37"/>
      <x:c r="J1350" s="1" t="n">
        <x:f>IF(ISNUMBER(F1350),E1350,0)</x:f>
        <x:v>0</x:v>
      </x:c>
      <x:c r="K1350" s="1"/>
      <x:c r="L1350" s="1" t="str">
        <x:v>https://blog.skyairline.com/cijonal-viajes/...</x:v>
      </x:c>
      <x:c r="M1350" s="1" t="n">
        <x:v>0</x:v>
      </x:c>
    </x:row>
    <x:row r="1351" ht="18.75" customHeight="1">
      <x:c r="A1351" s="1" t="str">
        <x:v>https://blog.skyairline.com/angra-dos-reis/</x:v>
      </x:c>
      <x:c r="B1351" s="1" t="str">
        <x:v>angra dos reis</x:v>
      </x:c>
      <x:c r="C1351" s="1" t="str">
        <x:v>ury</x:v>
      </x:c>
      <x:c r="D1351" s="1" t="str">
        <x:v>Sin marca</x:v>
      </x:c>
      <x:c r="E1351" s="35" t="n">
        <x:v>1</x:v>
      </x:c>
      <x:c r="F1351" s="36"/>
      <x:c r="G1351" s="36" t="str">
        <x:f>IF(ISNUMBER(F1351),E1351*F1351,"")</x:f>
      </x:c>
      <x:c r="H1351" s="37"/>
      <x:c r="I1351" s="37"/>
      <x:c r="J1351" s="1" t="n">
        <x:f>IF(ISNUMBER(F1351),E1351,0)</x:f>
        <x:v>0</x:v>
      </x:c>
      <x:c r="K1351" s="1"/>
      <x:c r="L1351" s="1" t="str">
        <x:v>https://blog.skyairline.com/circuito-de-playas-de-la-costa-verde/</x:v>
      </x:c>
      <x:c r="M1351" s="1" t="n">
        <x:v>0</x:v>
      </x:c>
    </x:row>
    <x:row r="1352" ht="18.75" customHeight="1">
      <x:c r="A1352" s="1" t="str">
        <x:v>https://blog.skyairline.com/angra-dos-reis/</x:v>
      </x:c>
      <x:c r="B1352" s="1" t="str">
        <x:v>angra dos reis es peligroso</x:v>
      </x:c>
      <x:c r="C1352" s="1" t="str">
        <x:v>ury</x:v>
      </x:c>
      <x:c r="D1352" s="1" t="str">
        <x:v>Sin marca</x:v>
      </x:c>
      <x:c r="E1352" s="35" t="n">
        <x:v>1</x:v>
      </x:c>
      <x:c r="F1352" s="36"/>
      <x:c r="G1352" s="36" t="str">
        <x:f>IF(ISNUMBER(F1352),E1352*F1352,"")</x:f>
      </x:c>
      <x:c r="H1352" s="37"/>
      <x:c r="I1352" s="37"/>
      <x:c r="J1352" s="1" t="n">
        <x:f>IF(ISNUMBER(F1352),E1352,0)</x:f>
        <x:v>0</x:v>
      </x:c>
      <x:c r="K1352" s="1"/>
      <x:c r="L1352" s="1" t="str">
        <x:v>https://blog.skyairline.com/ciudad-de-castro/</x:v>
      </x:c>
      <x:c r="M1352" s="1" t="n">
        <x:v>0</x:v>
      </x:c>
    </x:row>
    <x:row r="1353" ht="18.75" customHeight="1">
      <x:c r="A1353" s="1" t="str">
        <x:v>https://blog.skyairline.com/angra-dos-reis/</x:v>
      </x:c>
      <x:c r="B1353" s="1" t="str">
        <x:v>angra dos reis playas</x:v>
      </x:c>
      <x:c r="C1353" s="1" t="str">
        <x:v>arg</x:v>
      </x:c>
      <x:c r="D1353" s="1" t="str">
        <x:v>Sin marca</x:v>
      </x:c>
      <x:c r="E1353" s="35" t="n">
        <x:v>1</x:v>
      </x:c>
      <x:c r="F1353" s="36"/>
      <x:c r="G1353" s="36" t="str">
        <x:f>IF(ISNUMBER(F1353),E1353*F1353,"")</x:f>
      </x:c>
      <x:c r="H1353" s="37"/>
      <x:c r="I1353" s="37"/>
      <x:c r="J1353" s="1" t="n">
        <x:f>IF(ISNUMBER(F1353),E1353,0)</x:f>
        <x:v>0</x:v>
      </x:c>
      <x:c r="K1353" s="1"/>
      <x:c r="L1353" s="1" t="str">
        <x:v>https://blog.skyairline.com/ciudad-de-la-plata/</x:v>
      </x:c>
      <x:c r="M1353" s="1" t="n">
        <x:v>0</x:v>
      </x:c>
    </x:row>
    <x:row r="1354" ht="18.75" customHeight="1">
      <x:c r="A1354" s="1" t="str">
        <x:v>https://blog.skyairline.com/angra-dos-reis/</x:v>
      </x:c>
      <x:c r="B1354" s="1" t="str">
        <x:v>donde queda angra dos reis</x:v>
      </x:c>
      <x:c r="C1354" s="1" t="str">
        <x:v>hnd</x:v>
      </x:c>
      <x:c r="D1354" s="1" t="str">
        <x:v>Sin marca</x:v>
      </x:c>
      <x:c r="E1354" s="35" t="n">
        <x:v>1</x:v>
      </x:c>
      <x:c r="F1354" s="36"/>
      <x:c r="G1354" s="36" t="str">
        <x:f>IF(ISNUMBER(F1354),E1354*F1354,"")</x:f>
      </x:c>
      <x:c r="H1354" s="37"/>
      <x:c r="I1354" s="37"/>
      <x:c r="J1354" s="1" t="n">
        <x:f>IF(ISNUMBER(F1354),E1354,0)</x:f>
        <x:v>0</x:v>
      </x:c>
      <x:c r="K1354" s="1"/>
      <x:c r="L1354" s="1" t="str">
        <x:v>https://blog.skyairline.com/ciudadela-chan-chan/</x:v>
      </x:c>
      <x:c r="M1354" s="1" t="n">
        <x:v>0</x:v>
      </x:c>
    </x:row>
    <x:row r="1355" ht="18.75" customHeight="1">
      <x:c r="A1355" s="1" t="str">
        <x:v>https://blog.skyairline.com/angra-dos-reis/</x:v>
      </x:c>
      <x:c r="B1355" s="1" t="str">
        <x:v>mejores playas angra dos reis continente</x:v>
      </x:c>
      <x:c r="C1355" s="1" t="str">
        <x:v>ury</x:v>
      </x:c>
      <x:c r="D1355" s="1" t="str">
        <x:v>Sin marca</x:v>
      </x:c>
      <x:c r="E1355" s="35" t="n">
        <x:v>1</x:v>
      </x:c>
      <x:c r="F1355" s="36"/>
      <x:c r="G1355" s="36" t="str">
        <x:f>IF(ISNUMBER(F1355),E1355*F1355,"")</x:f>
      </x:c>
      <x:c r="H1355" s="37"/>
      <x:c r="I1355" s="37"/>
      <x:c r="J1355" s="1" t="n">
        <x:f>IF(ISNUMBER(F1355),E1355,0)</x:f>
        <x:v>0</x:v>
      </x:c>
      <x:c r="K1355" s="1"/>
      <x:c r="L1355" s="1" t="str">
        <x:v>https://blog.skyairline.com/ciudades-antiguas/</x:v>
      </x:c>
      <x:c r="M1355" s="1" t="n">
        <x:v>0</x:v>
      </x:c>
    </x:row>
    <x:row r="1356" ht="18.75" customHeight="1">
      <x:c r="A1356" s="1" t="str">
        <x:v>https://blog.skyairline.com/angra-dos-reis/</x:v>
      </x:c>
      <x:c r="B1356" s="1" t="str">
        <x:v>mejores playas de angra dos reis</x:v>
      </x:c>
      <x:c r="C1356" s="1" t="str">
        <x:v>arg</x:v>
      </x:c>
      <x:c r="D1356" s="1" t="str">
        <x:v>Sin marca</x:v>
      </x:c>
      <x:c r="E1356" s="35" t="n">
        <x:v>1</x:v>
      </x:c>
      <x:c r="F1356" s="36"/>
      <x:c r="G1356" s="36" t="str">
        <x:f>IF(ISNUMBER(F1356),E1356*F1356,"")</x:f>
      </x:c>
      <x:c r="H1356" s="37"/>
      <x:c r="I1356" s="37"/>
      <x:c r="J1356" s="1" t="n">
        <x:f>IF(ISNUMBER(F1356),E1356,0)</x:f>
        <x:v>0</x:v>
      </x:c>
      <x:c r="K1356" s="1"/>
      <x:c r="L1356" s="1" t="str">
        <x:v>https://blog.skyairline.com/ciudades-centro-sur-de-chile-geografia-clima-y-turismo/</x:v>
      </x:c>
      <x:c r="M1356" s="1" t="n">
        <x:v>0</x:v>
      </x:c>
    </x:row>
    <x:row r="1357" ht="18.75" customHeight="1">
      <x:c r="A1357" s="1" t="str">
        <x:v>https://blog.skyairline.com/angra-dos-reis/</x:v>
      </x:c>
      <x:c r="B1357" s="1" t="str">
        <x:v>mejores playas de angra dos reis</x:v>
      </x:c>
      <x:c r="C1357" s="1" t="str">
        <x:v>ury</x:v>
      </x:c>
      <x:c r="D1357" s="1" t="str">
        <x:v>Sin marca</x:v>
      </x:c>
      <x:c r="E1357" s="35" t="n">
        <x:v>1</x:v>
      </x:c>
      <x:c r="F1357" s="36"/>
      <x:c r="G1357" s="36" t="str">
        <x:f>IF(ISNUMBER(F1357),E1357*F1357,"")</x:f>
      </x:c>
      <x:c r="H1357" s="37"/>
      <x:c r="I1357" s="37"/>
      <x:c r="J1357" s="1" t="n">
        <x:f>IF(ISNUMBER(F1357),E1357,0)</x:f>
        <x:v>0</x:v>
      </x:c>
      <x:c r="K1357" s="1"/>
      <x:c r="L1357" s="1" t="str">
        <x:v>https://blog.skyairline.com/ciudades-consercadas-rio-de-janeiro/</x:v>
      </x:c>
      <x:c r="M1357" s="1" t="n">
        <x:v>0</x:v>
      </x:c>
    </x:row>
    <x:row r="1358" ht="18.75" customHeight="1">
      <x:c r="A1358" s="1" t="str">
        <x:v>https://blog.skyairline.com/ano-nuevo-en-vina-del-mar/</x:v>
      </x:c>
      <x:c r="B1358" s="1" t="str">
        <x:v>viña del mar año nuevo</x:v>
      </x:c>
      <x:c r="C1358" s="1" t="str">
        <x:v>arg</x:v>
      </x:c>
      <x:c r="D1358" s="1" t="str">
        <x:v>Sin marca</x:v>
      </x:c>
      <x:c r="E1358" s="35" t="n">
        <x:v>1</x:v>
      </x:c>
      <x:c r="F1358" s="36"/>
      <x:c r="G1358" s="36" t="str">
        <x:f>IF(ISNUMBER(F1358),E1358*F1358,"")</x:f>
      </x:c>
      <x:c r="H1358" s="37"/>
      <x:c r="I1358" s="37"/>
      <x:c r="J1358" s="1" t="n">
        <x:f>IF(ISNUMBER(F1358),E1358,0)</x:f>
        <x:v>0</x:v>
      </x:c>
      <x:c r="K1358" s="1"/>
      <x:c r="L1358" s="1" t="str">
        <x:v>https://blog.skyairline.com/ciudades-del-sur-de-chile-for-conocer-y-recorrer/</x:v>
      </x:c>
      <x:c r="M1358" s="1" t="n">
        <x:v>0</x:v>
      </x:c>
    </x:row>
    <x:row r="1359" ht="18.75" customHeight="1">
      <x:c r="A1359" s="1" t="str">
        <x:v>https://blog.skyairline.com/aplicaciones-para-viajar/</x:v>
      </x:c>
      <x:c r="B1359" s="1" t="str">
        <x:v>10 aplicaciones para viajar</x:v>
      </x:c>
      <x:c r="C1359" s="1" t="str">
        <x:v>chl</x:v>
      </x:c>
      <x:c r="D1359" s="1" t="str">
        <x:v>Sin marca</x:v>
      </x:c>
      <x:c r="E1359" s="35" t="n">
        <x:v>1</x:v>
      </x:c>
      <x:c r="F1359" s="36"/>
      <x:c r="G1359" s="36" t="str">
        <x:f>IF(ISNUMBER(F1359),E1359*F1359,"")</x:f>
      </x:c>
      <x:c r="H1359" s="37" t="d">
        <x:v>2026-10-15T00:00:00.000Z</x:v>
      </x:c>
      <x:c r="I1359" s="37" t="d">
        <x:v>2026-09-17T11:22:53.000Z</x:v>
      </x:c>
      <x:c r="J1359" s="1" t="n">
        <x:f>IF(ISNUMBER(F1359),E1359,0)</x:f>
        <x:v>0</x:v>
      </x:c>
      <x:c r="K1359" s="1"/>
      <x:c r="L1359" s="1" t="str">
        <x:v>https://blog.skyairline.com/ciudades-del-sur-de-chile-que-debes-conocer-y-recorrer/</x:v>
      </x:c>
      <x:c r="M1359" s="1" t="n">
        <x:v>0</x:v>
      </x:c>
    </x:row>
    <x:row r="1360" ht="18.75" customHeight="1">
      <x:c r="A1360" s="1" t="str">
        <x:v>https://blog.skyairline.com/aprende-donde-queda-lago-ranco-y-como-llegar-desde-osorno/</x:v>
      </x:c>
      <x:c r="B1360" s="1" t="str">
        <x:v>donde queda el lago ranco</x:v>
      </x:c>
      <x:c r="C1360" s="1" t="str">
        <x:v>chl</x:v>
      </x:c>
      <x:c r="D1360" s="1" t="str">
        <x:v>Sin marca</x:v>
      </x:c>
      <x:c r="E1360" s="35" t="n">
        <x:v>1</x:v>
      </x:c>
      <x:c r="F1360" s="36"/>
      <x:c r="G1360" s="36" t="str">
        <x:f>IF(ISNUMBER(F1360),E1360*F1360,"")</x:f>
      </x:c>
      <x:c r="H1360" s="37" t="d">
        <x:v>2026-10-15T00:00:00.000Z</x:v>
      </x:c>
      <x:c r="I1360" s="37" t="d">
        <x:v>2026-10-15T10:44:47.000Z</x:v>
      </x:c>
      <x:c r="J1360" s="1" t="n">
        <x:f>IF(ISNUMBER(F1360),E1360,0)</x:f>
        <x:v>0</x:v>
      </x:c>
      <x:c r="K1360" s="1"/>
      <x:c r="L1360" s="1" t="str">
        <x:v>https://blog.skyairline.com/ciudades-turisticas-en-peru/</x:v>
      </x:c>
      <x:c r="M1360" s="1" t="n">
        <x:v>0</x:v>
      </x:c>
    </x:row>
    <x:row r="1361" ht="18.75" customHeight="1">
      <x:c r="A1361" s="1" t="str">
        <x:v>https://blog.skyairline.com/aprende-donde-queda-lago-ranco-y-como-llegar-desde-osorno/</x:v>
      </x:c>
      <x:c r="B1361" s="1" t="str">
        <x:v>lago ranco donde queda</x:v>
      </x:c>
      <x:c r="C1361" s="1" t="str">
        <x:v>chl</x:v>
      </x:c>
      <x:c r="D1361" s="1" t="str">
        <x:v>Sin marca</x:v>
      </x:c>
      <x:c r="E1361" s="35" t="n">
        <x:v>1</x:v>
      </x:c>
      <x:c r="F1361" s="36" t="n">
        <x:v>0.15</x:v>
      </x:c>
      <x:c r="G1361" s="36" t="n">
        <x:f>IF(ISNUMBER(F1361),E1361*F1361,"")</x:f>
        <x:v>0.15</x:v>
      </x:c>
      <x:c r="H1361" s="37" t="d">
        <x:v>2026-10-15T00:00:00.000Z</x:v>
      </x:c>
      <x:c r="I1361" s="37" t="d">
        <x:v>2026-10-15T13:27:13.000Z</x:v>
      </x:c>
      <x:c r="J1361" s="1" t="n">
        <x:f>IF(ISNUMBER(F1361),E1361,0)</x:f>
        <x:v>1</x:v>
      </x:c>
      <x:c r="K1361" s="1"/>
      <x:c r="L1361" s="1" t="str">
        <x:v>https://blog.skyairline.com/cl/requisitos-viajar-peru-desde-chile</x:v>
      </x:c>
      <x:c r="M1361" s="1" t="n">
        <x:v>0</x:v>
      </x:c>
    </x:row>
    <x:row r="1362" ht="18.75" customHeight="1">
      <x:c r="A1362" s="1" t="str">
        <x:v>https://blog.skyairline.com/arboles-nativos-del-sur-de-chile-especies-y-caracteristicas/</x:v>
      </x:c>
      <x:c r="B1362" s="1" t="str">
        <x:v>arboles del sur de chile</x:v>
      </x:c>
      <x:c r="C1362" s="1" t="str">
        <x:v>chl</x:v>
      </x:c>
      <x:c r="D1362" s="1" t="str">
        <x:v>Sin marca</x:v>
      </x:c>
      <x:c r="E1362" s="35" t="n">
        <x:v>1</x:v>
      </x:c>
      <x:c r="F1362" s="36" t="n">
        <x:v>0.13</x:v>
      </x:c>
      <x:c r="G1362" s="36" t="n">
        <x:f>IF(ISNUMBER(F1362),E1362*F1362,"")</x:f>
        <x:v>0.13</x:v>
      </x:c>
      <x:c r="H1362" s="37" t="d">
        <x:v>2026-10-15T00:00:00.000Z</x:v>
      </x:c>
      <x:c r="I1362" s="37" t="d">
        <x:v>2026-09-15T19:11:31.000Z</x:v>
      </x:c>
      <x:c r="J1362" s="1" t="n">
        <x:f>IF(ISNUMBER(F1362),E1362,0)</x:f>
        <x:v>1</x:v>
      </x:c>
      <x:c r="K1362" s="1"/>
      <x:c r="L1362" s="1" t="str">
        <x:v>https://blog.skyairline.com/claudio-bravo-inicio-en-punta-arenas-su-gira-de-despedida-que-incluira-entrenamientos-deportivos-en-todo-chile/</x:v>
      </x:c>
      <x:c r="M1362" s="1" t="n">
        <x:v>0</x:v>
      </x:c>
    </x:row>
    <x:row r="1363" ht="18.75" customHeight="1">
      <x:c r="A1363" s="1" t="str">
        <x:v>https://blog.skyairline.com/arboles-nativos-del-sur-de-chile-especies-y-caracteristicas/</x:v>
      </x:c>
      <x:c r="B1363" s="1" t="str">
        <x:v>arboles nativos del sur de chile</x:v>
      </x:c>
      <x:c r="C1363" s="1" t="str">
        <x:v>chl</x:v>
      </x:c>
      <x:c r="D1363" s="1" t="str">
        <x:v>Sin marca</x:v>
      </x:c>
      <x:c r="E1363" s="35" t="n">
        <x:v>1</x:v>
      </x:c>
      <x:c r="F1363" s="36" t="n">
        <x:v>0.55</x:v>
      </x:c>
      <x:c r="G1363" s="36" t="n">
        <x:f>IF(ISNUMBER(F1363),E1363*F1363,"")</x:f>
        <x:v>0.55</x:v>
      </x:c>
      <x:c r="H1363" s="37" t="d">
        <x:v>2026-10-15T00:00:00.000Z</x:v>
      </x:c>
      <x:c r="I1363" s="37" t="d">
        <x:v>2026-09-17T14:41:49.000Z</x:v>
      </x:c>
      <x:c r="J1363" s="1" t="n">
        <x:f>IF(ISNUMBER(F1363),E1363,0)</x:f>
        <x:v>1</x:v>
      </x:c>
      <x:c r="K1363" s="1"/>
      <x:c r="L1363" s="1" t="str">
        <x:v>https://blog.skyairline.com/claudio-bravo-sorprendio-a-pasajeros-de-vuelo-sky-temuco-santiago/</x:v>
      </x:c>
      <x:c r="M1363" s="1" t="n">
        <x:v>0</x:v>
      </x:c>
    </x:row>
    <x:row r="1364" ht="18.75" customHeight="1">
      <x:c r="A1364" s="1" t="str">
        <x:v>https://blog.skyairline.com/arboles-nativos-del-sur-de-chile-especies-y-caracteristicas/</x:v>
      </x:c>
      <x:c r="B1364" s="1" t="str">
        <x:v>arboles sur de chile</x:v>
      </x:c>
      <x:c r="C1364" s="1" t="str">
        <x:v>chl</x:v>
      </x:c>
      <x:c r="D1364" s="1" t="str">
        <x:v>Sin marca</x:v>
      </x:c>
      <x:c r="E1364" s="35" t="n">
        <x:v>1</x:v>
      </x:c>
      <x:c r="F1364" s="36"/>
      <x:c r="G1364" s="36" t="str">
        <x:f>IF(ISNUMBER(F1364),E1364*F1364,"")</x:f>
      </x:c>
      <x:c r="H1364" s="37" t="d">
        <x:v>2026-10-15T00:00:00.000Z</x:v>
      </x:c>
      <x:c r="I1364" s="37" t="d">
        <x:v>2026-09-16T12:45:54.000Z</x:v>
      </x:c>
      <x:c r="J1364" s="1" t="n">
        <x:f>IF(ISNUMBER(F1364),E1364,0)</x:f>
        <x:v>0</x:v>
      </x:c>
      <x:c r="K1364" s="1"/>
      <x:c r="L1364" s="1" t="str">
        <x:v>https://blog.skyairline.com/claudio-bravo-sorprendio-pasajeros-de-vuelo-sky-temuco-santiago/</x:v>
      </x:c>
      <x:c r="M1364" s="1" t="n">
        <x:v>0</x:v>
      </x:c>
    </x:row>
    <x:row r="1365" ht="18.75" customHeight="1">
      <x:c r="A1365" s="1" t="str">
        <x:v>https://blog.skyairline.com/arboles-nativos-del-sur-de-chile-especies-y-caracteristicas/</x:v>
      </x:c>
      <x:c r="B1365" s="1" t="str">
        <x:v>árboles nativos de chile zona sur</x:v>
      </x:c>
      <x:c r="C1365" s="1" t="str">
        <x:v>chl</x:v>
      </x:c>
      <x:c r="D1365" s="1" t="str">
        <x:v>Sin marca</x:v>
      </x:c>
      <x:c r="E1365" s="35" t="n">
        <x:v>1</x:v>
      </x:c>
      <x:c r="F1365" s="36"/>
      <x:c r="G1365" s="36" t="str">
        <x:f>IF(ISNUMBER(F1365),E1365*F1365,"")</x:f>
      </x:c>
      <x:c r="H1365" s="37" t="d">
        <x:v>2026-10-15T00:00:00.000Z</x:v>
      </x:c>
      <x:c r="I1365" s="37" t="d">
        <x:v>2026-09-16T13:51:53.000Z</x:v>
      </x:c>
      <x:c r="J1365" s="1" t="n">
        <x:f>IF(ISNUMBER(F1365),E1365,0)</x:f>
        <x:v>0</x:v>
      </x:c>
      <x:c r="K1365" s="1"/>
      <x:c r="L1365" s="1" t="str">
        <x:v>https://blog.skyairline.com/claudio-bravo-y-entrenamiento-para-futuros-arqueros-en-iquique/</x:v>
      </x:c>
      <x:c r="M1365" s="1" t="n">
        <x:v>0</x:v>
      </x:c>
    </x:row>
    <x:row r="1366" ht="18.75" customHeight="1">
      <x:c r="A1366" s="1" t="str">
        <x:v>https://blog.skyairline.com/arrecifes-en-brasil/</x:v>
      </x:c>
      <x:c r="B1366" s="1" t="str">
        <x:v>arrecifes brasil</x:v>
      </x:c>
      <x:c r="C1366" s="1" t="str">
        <x:v>arg</x:v>
      </x:c>
      <x:c r="D1366" s="1" t="str">
        <x:v>Sin marca</x:v>
      </x:c>
      <x:c r="E1366" s="35" t="n">
        <x:v>1</x:v>
      </x:c>
      <x:c r="F1366" s="36"/>
      <x:c r="G1366" s="36" t="str">
        <x:f>IF(ISNUMBER(F1366),E1366*F1366,"")</x:f>
      </x:c>
      <x:c r="H1366" s="37"/>
      <x:c r="I1366" s="37"/>
      <x:c r="J1366" s="1" t="n">
        <x:f>IF(ISNUMBER(F1366),E1366,0)</x:f>
        <x:v>0</x:v>
      </x:c>
      <x:c r="K1366" s="1"/>
      <x:c r="L1366" s="1" t="str">
        <x:v>https://blog.skyairline.com/client</x:v>
      </x:c>
      <x:c r="M1366" s="1" t="n">
        <x:v>0</x:v>
      </x:c>
    </x:row>
    <x:row r="1367" ht="18.75" customHeight="1">
      <x:c r="A1367" s="1" t="str">
        <x:v>https://blog.skyairline.com/arriendo-de-auto/</x:v>
      </x:c>
      <x:c r="B1367" s="1" t="str">
        <x:v>sky auto</x:v>
      </x:c>
      <x:c r="C1367" s="1" t="str">
        <x:v>chl</x:v>
      </x:c>
      <x:c r="D1367" s="1" t="str">
        <x:v>Marca</x:v>
      </x:c>
      <x:c r="E1367" s="35" t="n">
        <x:v>1</x:v>
      </x:c>
      <x:c r="F1367" s="36"/>
      <x:c r="G1367" s="36" t="str">
        <x:f>IF(ISNUMBER(F1367),E1367*F1367,"")</x:f>
      </x:c>
      <x:c r="H1367" s="37"/>
      <x:c r="I1367" s="37"/>
      <x:c r="J1367" s="1" t="n">
        <x:f>IF(ISNUMBER(F1367),E1367,0)</x:f>
        <x:v>0</x:v>
      </x:c>
      <x:c r="K1367" s="1"/>
      <x:c r="L1367" s="1" t="str">
        <x:v>https://blog.skyairline.com/clim-florianopolis/</x:v>
      </x:c>
      <x:c r="M1367" s="1" t="n">
        <x:v>0</x:v>
      </x:c>
    </x:row>
    <x:row r="1368" ht="18.75" customHeight="1">
      <x:c r="A1368" s="1" t="str">
        <x:v>https://blog.skyairline.com/arriendo-de-auto/</x:v>
      </x:c>
      <x:c r="B1368" s="1" t="str">
        <x:v>sky rent a car</x:v>
      </x:c>
      <x:c r="C1368" s="1" t="str">
        <x:v>chl</x:v>
      </x:c>
      <x:c r="D1368" s="1" t="str">
        <x:v>Marca</x:v>
      </x:c>
      <x:c r="E1368" s="35" t="n">
        <x:v>1</x:v>
      </x:c>
      <x:c r="F1368" s="36" t="n">
        <x:v>1.47</x:v>
      </x:c>
      <x:c r="G1368" s="36" t="n">
        <x:f>IF(ISNUMBER(F1368),E1368*F1368,"")</x:f>
        <x:v>1.47</x:v>
      </x:c>
      <x:c r="H1368" s="37" t="d">
        <x:v>2026-10-15T00:00:00.000Z</x:v>
      </x:c>
      <x:c r="I1368" s="37" t="d">
        <x:v>2026-09-14T11:10:35.000Z</x:v>
      </x:c>
      <x:c r="J1368" s="1" t="n">
        <x:f>IF(ISNUMBER(F1368),E1368,0)</x:f>
        <x:v>1</x:v>
      </x:c>
      <x:c r="K1368" s="1"/>
      <x:c r="L1368" s="1" t="str">
        <x:v>https://blog.skyairline.com/clima-bariloche/</x:v>
      </x:c>
      <x:c r="M1368" s="1" t="n">
        <x:v>0</x:v>
      </x:c>
    </x:row>
    <x:row r="1369" ht="18.75" customHeight="1">
      <x:c r="A1369" s="1" t="str">
        <x:v>https://blog.skyairline.com/arriendo-de-auto/</x:v>
      </x:c>
      <x:c r="B1369" s="1" t="str">
        <x:v>sky rentacar</x:v>
      </x:c>
      <x:c r="C1369" s="1" t="str">
        <x:v>chl</x:v>
      </x:c>
      <x:c r="D1369" s="1" t="str">
        <x:v>Marca</x:v>
      </x:c>
      <x:c r="E1369" s="35" t="n">
        <x:v>1</x:v>
      </x:c>
      <x:c r="F1369" s="36"/>
      <x:c r="G1369" s="36" t="str">
        <x:f>IF(ISNUMBER(F1369),E1369*F1369,"")</x:f>
      </x:c>
      <x:c r="H1369" s="37"/>
      <x:c r="I1369" s="37"/>
      <x:c r="J1369" s="1" t="n">
        <x:f>IF(ISNUMBER(F1369),E1369,0)</x:f>
        <x:v>0</x:v>
      </x:c>
      <x:c r="K1369" s="1"/>
      <x:c r="L1369" s="1" t="str">
        <x:v>https://blog.skyairline.com/clima-de-la-zona-norte-de-chile-temperaturas-y-astronomia/</x:v>
      </x:c>
      <x:c r="M1369" s="1" t="n">
        <x:v>0</x:v>
      </x:c>
    </x:row>
    <x:row r="1370" ht="18.75" customHeight="1">
      <x:c r="A1370" s="1" t="str">
        <x:v>https://blog.skyairline.com/asistencia-al-viajero/</x:v>
      </x:c>
      <x:c r="B1370" s="1" t="str">
        <x:v>medif sky</x:v>
      </x:c>
      <x:c r="C1370" s="1" t="str">
        <x:v>chl</x:v>
      </x:c>
      <x:c r="D1370" s="1" t="str">
        <x:v>Marca</x:v>
      </x:c>
      <x:c r="E1370" s="35" t="n">
        <x:v>1</x:v>
      </x:c>
      <x:c r="F1370" s="36"/>
      <x:c r="G1370" s="36" t="str">
        <x:f>IF(ISNUMBER(F1370),E1370*F1370,"")</x:f>
      </x:c>
      <x:c r="H1370" s="37" t="d">
        <x:v>2026-10-15T00:00:00.000Z</x:v>
      </x:c>
      <x:c r="I1370" s="37" t="d">
        <x:v>2026-09-17T03:40:58.000Z</x:v>
      </x:c>
      <x:c r="J1370" s="1" t="n">
        <x:f>IF(ISNUMBER(F1370),E1370,0)</x:f>
        <x:v>0</x:v>
      </x:c>
      <x:c r="K1370" s="1"/>
      <x:c r="L1370" s="1" t="str">
        <x:v>https://blog.skyairline.com/clima-de-la-zona-norte-de-chile-temperaturas-y-estaciones</x:v>
      </x:c>
      <x:c r="M1370" s="1" t="n">
        <x:v>0</x:v>
      </x:c>
    </x:row>
    <x:row r="1371" ht="18.75" customHeight="1">
      <x:c r="A1371" s="1" t="str">
        <x:v>https://blog.skyairline.com/asistencia-al-viajero/</x:v>
      </x:c>
      <x:c r="B1371" s="1" t="str">
        <x:v>seguro de viaje sky</x:v>
      </x:c>
      <x:c r="C1371" s="1" t="str">
        <x:v>chl</x:v>
      </x:c>
      <x:c r="D1371" s="1" t="str">
        <x:v>Marca</x:v>
      </x:c>
      <x:c r="E1371" s="35" t="n">
        <x:v>1</x:v>
      </x:c>
      <x:c r="F1371" s="36" t="n">
        <x:v>1.44</x:v>
      </x:c>
      <x:c r="G1371" s="36" t="n">
        <x:f>IF(ISNUMBER(F1371),E1371*F1371,"")</x:f>
        <x:v>1.44</x:v>
      </x:c>
      <x:c r="H1371" s="37" t="d">
        <x:v>2026-10-15T00:00:00.000Z</x:v>
      </x:c>
      <x:c r="I1371" s="37" t="d">
        <x:v>2026-09-14T18:27:41.000Z</x:v>
      </x:c>
      <x:c r="J1371" s="1" t="n">
        <x:f>IF(ISNUMBER(F1371),E1371,0)</x:f>
        <x:v>1</x:v>
      </x:c>
      <x:c r="K1371" s="1"/>
      <x:c r="L1371" s="1" t="str">
        <x:v>https://blog.skyairline.com/clima-de-la-zona-norte-de-chile/cantidades-estaciones</x:v>
      </x:c>
      <x:c r="M1371" s="1" t="n">
        <x:v>0</x:v>
      </x:c>
    </x:row>
    <x:row r="1372" ht="18.75" customHeight="1">
      <x:c r="A1372" s="1" t="str">
        <x:v>https://blog.skyairline.com/auroras-australes-en-chile-cuando-y-donde-verlas/</x:v>
      </x:c>
      <x:c r="B1372" s="1" t="str">
        <x:v>aurora austral chile</x:v>
      </x:c>
      <x:c r="C1372" s="1" t="str">
        <x:v>chl</x:v>
      </x:c>
      <x:c r="D1372" s="1" t="str">
        <x:v>Sin marca</x:v>
      </x:c>
      <x:c r="E1372" s="35" t="n">
        <x:v>1</x:v>
      </x:c>
      <x:c r="F1372" s="36"/>
      <x:c r="G1372" s="36" t="str">
        <x:f>IF(ISNUMBER(F1372),E1372*F1372,"")</x:f>
      </x:c>
      <x:c r="H1372" s="37" t="d">
        <x:v>2026-10-15T00:00:00.000Z</x:v>
      </x:c>
      <x:c r="I1372" s="37" t="d">
        <x:v>2026-09-15T23:38:08.999Z</x:v>
      </x:c>
      <x:c r="J1372" s="1" t="n">
        <x:f>IF(ISNUMBER(F1372),E1372,0)</x:f>
        <x:v>0</x:v>
      </x:c>
      <x:c r="K1372" s="1"/>
      <x:c r="L1372" s="1" t="str">
        <x:v>https://blog.skyairline.com/clima-de-la-zona-sur-de-chile-temperaturas-y-estaciones</x:v>
      </x:c>
      <x:c r="M1372" s="1" t="n">
        <x:v>0</x:v>
      </x:c>
    </x:row>
    <x:row r="1373" ht="18.75" customHeight="1">
      <x:c r="A1373" s="1" t="str">
        <x:v>https://blog.skyairline.com/auroras-australes-en-chile-cuando-y-donde-verlas/</x:v>
      </x:c>
      <x:c r="B1373" s="1" t="str">
        <x:v>aurora austral chile</x:v>
      </x:c>
      <x:c r="C1373" s="1" t="str">
        <x:v>ecu</x:v>
      </x:c>
      <x:c r="D1373" s="1" t="str">
        <x:v>Sin marca</x:v>
      </x:c>
      <x:c r="E1373" s="35" t="n">
        <x:v>1</x:v>
      </x:c>
      <x:c r="F1373" s="36"/>
      <x:c r="G1373" s="36" t="str">
        <x:f>IF(ISNUMBER(F1373),E1373*F1373,"")</x:f>
      </x:c>
      <x:c r="H1373" s="37"/>
      <x:c r="I1373" s="37"/>
      <x:c r="J1373" s="1" t="n">
        <x:f>IF(ISNUMBER(F1373),E1373,0)</x:f>
        <x:v>0</x:v>
      </x:c>
      <x:c r="K1373" s="1"/>
      <x:c r="L1373" s="1" t="str">
        <x:v>https://blog.skyairline.com/clima-de-la-zona-sur-de-chile:temperaturas-y-estaciones</x:v>
      </x:c>
      <x:c r="M1373" s="1" t="n">
        <x:v>0</x:v>
      </x:c>
    </x:row>
    <x:row r="1374" ht="18.75" customHeight="1">
      <x:c r="A1374" s="1" t="str">
        <x:v>https://blog.skyairline.com/auroras-australes-en-chile-cuando-y-donde-verlas/</x:v>
      </x:c>
      <x:c r="B1374" s="1" t="str">
        <x:v>aurora austral chile</x:v>
      </x:c>
      <x:c r="C1374" s="1" t="str">
        <x:v>slv</x:v>
      </x:c>
      <x:c r="D1374" s="1" t="str">
        <x:v>Sin marca</x:v>
      </x:c>
      <x:c r="E1374" s="35" t="n">
        <x:v>1</x:v>
      </x:c>
      <x:c r="F1374" s="36"/>
      <x:c r="G1374" s="36" t="str">
        <x:f>IF(ISNUMBER(F1374),E1374*F1374,"")</x:f>
      </x:c>
      <x:c r="H1374" s="37"/>
      <x:c r="I1374" s="37"/>
      <x:c r="J1374" s="1" t="n">
        <x:f>IF(ISNUMBER(F1374),E1374,0)</x:f>
        <x:v>0</x:v>
      </x:c>
      <x:c r="K1374" s="1"/>
      <x:c r="L1374" s="1" t="str">
        <x:v>https://blog.skyairline.com/clima-de-zona-norte-de-chile-temperaturas-estaciones</x:v>
      </x:c>
      <x:c r="M1374" s="1" t="n">
        <x:v>0</x:v>
      </x:c>
    </x:row>
    <x:row r="1375" ht="18.75" customHeight="1">
      <x:c r="A1375" s="1" t="str">
        <x:v>https://blog.skyairline.com/auroras-australes-en-chile-cuando-y-donde-verlas/</x:v>
      </x:c>
      <x:c r="B1375" s="1" t="str">
        <x:v>aurora austral punta arenas</x:v>
      </x:c>
      <x:c r="C1375" s="1" t="str">
        <x:v>chl</x:v>
      </x:c>
      <x:c r="D1375" s="1" t="str">
        <x:v>Sin marca</x:v>
      </x:c>
      <x:c r="E1375" s="35" t="n">
        <x:v>1</x:v>
      </x:c>
      <x:c r="F1375" s="36"/>
      <x:c r="G1375" s="36" t="str">
        <x:f>IF(ISNUMBER(F1375),E1375*F1375,"")</x:f>
      </x:c>
      <x:c r="H1375" s="37" t="d">
        <x:v>2026-10-15T00:00:00.000Z</x:v>
      </x:c>
      <x:c r="I1375" s="37" t="d">
        <x:v>2026-09-17T06:10:31.000Z</x:v>
      </x:c>
      <x:c r="J1375" s="1" t="n">
        <x:f>IF(ISNUMBER(F1375),E1375,0)</x:f>
        <x:v>0</x:v>
      </x:c>
      <x:c r="K1375" s="1"/>
      <x:c r="L1375" s="1" t="str">
        <x:v>https://blog.skyairline.com/clima-del-desierto-de-atacama-y-cuando-es-mejor-</x:v>
      </x:c>
      <x:c r="M1375" s="1" t="n">
        <x:v>0</x:v>
      </x:c>
    </x:row>
    <x:row r="1376" ht="18.75" customHeight="1">
      <x:c r="A1376" s="1" t="str">
        <x:v>https://blog.skyairline.com/auroras-australes-en-chile-cuando-y-donde-verlas/</x:v>
      </x:c>
      <x:c r="B1376" s="1" t="str">
        <x:v>auroras australes chile 2026</x:v>
      </x:c>
      <x:c r="C1376" s="1" t="str">
        <x:v>chl</x:v>
      </x:c>
      <x:c r="D1376" s="1" t="str">
        <x:v>Sin marca</x:v>
      </x:c>
      <x:c r="E1376" s="35" t="n">
        <x:v>1</x:v>
      </x:c>
      <x:c r="F1376" s="36" t="n">
        <x:v>0.45</x:v>
      </x:c>
      <x:c r="G1376" s="36" t="n">
        <x:f>IF(ISNUMBER(F1376),E1376*F1376,"")</x:f>
        <x:v>0.45</x:v>
      </x:c>
      <x:c r="H1376" s="37" t="d">
        <x:v>2026-10-15T00:00:00.000Z</x:v>
      </x:c>
      <x:c r="I1376" s="37" t="d">
        <x:v>2026-09-15T12:58:42.000Z</x:v>
      </x:c>
      <x:c r="J1376" s="1" t="n">
        <x:f>IF(ISNUMBER(F1376),E1376,0)</x:f>
        <x:v>1</x:v>
      </x:c>
      <x:c r="K1376" s="1"/>
      <x:c r="L1376" s="1" t="str">
        <x:v>https://blog.skyairline.com/clima-del-desierto-de-atacama-y-cuando-es-mejor-visitarlo</x:v>
      </x:c>
      <x:c r="M1376" s="1" t="n">
        <x:v>0</x:v>
      </x:c>
    </x:row>
    <x:row r="1377" ht="18.75" customHeight="1">
      <x:c r="A1377" s="1" t="str">
        <x:v>https://blog.skyairline.com/auroras-australes-en-chile-cuando-y-donde-verlas/</x:v>
      </x:c>
      <x:c r="B1377" s="1" t="str">
        <x:v>auroras boreales chile</x:v>
      </x:c>
      <x:c r="C1377" s="1" t="str">
        <x:v>chl</x:v>
      </x:c>
      <x:c r="D1377" s="1" t="str">
        <x:v>Sin marca</x:v>
      </x:c>
      <x:c r="E1377" s="35" t="n">
        <x:v>1</x:v>
      </x:c>
      <x:c r="F1377" s="36"/>
      <x:c r="G1377" s="36" t="str">
        <x:f>IF(ISNUMBER(F1377),E1377*F1377,"")</x:f>
      </x:c>
      <x:c r="H1377" s="37" t="d">
        <x:v>2026-10-15T00:00:00.000Z</x:v>
      </x:c>
      <x:c r="I1377" s="37" t="d">
        <x:v>2026-09-13T05:48:18.000Z</x:v>
      </x:c>
      <x:c r="J1377" s="1" t="n">
        <x:f>IF(ISNUMBER(F1377),E1377,0)</x:f>
        <x:v>0</x:v>
      </x:c>
      <x:c r="K1377" s="1"/>
      <x:c r="L1377" s="1" t="str">
        <x:v>https://blog.skyairline.com/clima-en-cancun-temperatura-y-mejor-ir</x:v>
      </x:c>
      <x:c r="M1377" s="1" t="n">
        <x:v>0</x:v>
      </x:c>
    </x:row>
    <x:row r="1378" ht="18.75" customHeight="1">
      <x:c r="A1378" s="1" t="str">
        <x:v>https://blog.skyairline.com/auroras-australes-en-chile-cuando-y-donde-verlas/</x:v>
      </x:c>
      <x:c r="B1378" s="1" t="str">
        <x:v>auroras boreales chile</x:v>
      </x:c>
      <x:c r="C1378" s="1" t="str">
        <x:v>mex</x:v>
      </x:c>
      <x:c r="D1378" s="1" t="str">
        <x:v>Sin marca</x:v>
      </x:c>
      <x:c r="E1378" s="35" t="n">
        <x:v>1</x:v>
      </x:c>
      <x:c r="F1378" s="36"/>
      <x:c r="G1378" s="36" t="str">
        <x:f>IF(ISNUMBER(F1378),E1378*F1378,"")</x:f>
      </x:c>
      <x:c r="H1378" s="37"/>
      <x:c r="I1378" s="37"/>
      <x:c r="J1378" s="1" t="n">
        <x:f>IF(ISNUMBER(F1378),E1378,0)</x:f>
        <x:v>0</x:v>
      </x:c>
      <x:c r="K1378" s="1"/>
      <x:c r="L1378" s="1" t="str">
        <x:v>https://blog.skyairline.com/clima-en-cancun-temperatura-y-mejor-temporada-ir/</x:v>
      </x:c>
      <x:c r="M1378" s="1" t="n">
        <x:v>0</x:v>
      </x:c>
    </x:row>
    <x:row r="1379" ht="18.75" customHeight="1">
      <x:c r="A1379" s="1" t="str">
        <x:v>https://blog.skyairline.com/auroras-australes-en-chile-cuando-y-donde-verlas/</x:v>
      </x:c>
      <x:c r="B1379" s="1" t="str">
        <x:v>auroras boreales en chile</x:v>
      </x:c>
      <x:c r="C1379" s="1" t="str">
        <x:v>col</x:v>
      </x:c>
      <x:c r="D1379" s="1" t="str">
        <x:v>Sin marca</x:v>
      </x:c>
      <x:c r="E1379" s="35" t="n">
        <x:v>1</x:v>
      </x:c>
      <x:c r="F1379" s="36"/>
      <x:c r="G1379" s="36" t="str">
        <x:f>IF(ISNUMBER(F1379),E1379*F1379,"")</x:f>
      </x:c>
      <x:c r="H1379" s="37"/>
      <x:c r="I1379" s="37"/>
      <x:c r="J1379" s="1" t="n">
        <x:f>IF(ISNUMBER(F1379),E1379,0)</x:f>
        <x:v>0</x:v>
      </x:c>
      <x:c r="K1379" s="1"/>
      <x:c r="L1379" s="1" t="str">
        <x:v>https://blog.skyairline.com/clima-en-la-patagonia-como-prepararte-para-tu-viaje</x:v>
      </x:c>
      <x:c r="M1379" s="1" t="n">
        <x:v>0</x:v>
      </x:c>
    </x:row>
    <x:row r="1380" ht="18.75" customHeight="1">
      <x:c r="A1380" s="1" t="str">
        <x:v>https://blog.skyairline.com/auroras-australes-en-chile-cuando-y-donde-verlas/</x:v>
      </x:c>
      <x:c r="B1380" s="1" t="str">
        <x:v>auroras boreales en chile</x:v>
      </x:c>
      <x:c r="C1380" s="1" t="str">
        <x:v>mex</x:v>
      </x:c>
      <x:c r="D1380" s="1" t="str">
        <x:v>Sin marca</x:v>
      </x:c>
      <x:c r="E1380" s="35" t="n">
        <x:v>1</x:v>
      </x:c>
      <x:c r="F1380" s="36"/>
      <x:c r="G1380" s="36" t="str">
        <x:f>IF(ISNUMBER(F1380),E1380*F1380,"")</x:f>
      </x:c>
      <x:c r="H1380" s="37"/>
      <x:c r="I1380" s="37"/>
      <x:c r="J1380" s="1" t="n">
        <x:f>IF(ISNUMBER(F1380),E1380,0)</x:f>
        <x:v>0</x:v>
      </x:c>
      <x:c r="K1380" s="1"/>
      <x:c r="L1380" s="1" t="str">
        <x:v>https://blog.skyairline.com/clima-en-la-patagonia-como-preprepare-para-tu-viaje</x:v>
      </x:c>
      <x:c r="M1380" s="1" t="n">
        <x:v>0</x:v>
      </x:c>
    </x:row>
    <x:row r="1381" ht="18.75" customHeight="1">
      <x:c r="A1381" s="1" t="str">
        <x:v>https://blog.skyairline.com/auroras-australes-en-chile-cuando-y-donde-verlas/</x:v>
      </x:c>
      <x:c r="B1381" s="1" t="str">
        <x:v>auroras boreales en chile</x:v>
      </x:c>
      <x:c r="C1381" s="1" t="str">
        <x:v>slv</x:v>
      </x:c>
      <x:c r="D1381" s="1" t="str">
        <x:v>Sin marca</x:v>
      </x:c>
      <x:c r="E1381" s="35" t="n">
        <x:v>1</x:v>
      </x:c>
      <x:c r="F1381" s="36"/>
      <x:c r="G1381" s="36" t="str">
        <x:f>IF(ISNUMBER(F1381),E1381*F1381,"")</x:f>
      </x:c>
      <x:c r="H1381" s="37"/>
      <x:c r="I1381" s="37"/>
      <x:c r="J1381" s="1" t="n">
        <x:f>IF(ISNUMBER(F1381),E1381,0)</x:f>
        <x:v>0</x:v>
      </x:c>
      <x:c r="K1381" s="1"/>
      <x:c r="L1381" s="1" t="str">
        <x:v>https://blog.skyairline.com/clima-en-punta-cana-cual-es-la-mejor-epoca-para-viajar</x:v>
      </x:c>
      <x:c r="M1381" s="1" t="n">
        <x:v>0</x:v>
      </x:c>
    </x:row>
    <x:row r="1382" ht="18.75" customHeight="1">
      <x:c r="A1382" s="1" t="str">
        <x:v>https://blog.skyairline.com/auroras-australes-en-chile-cuando-y-donde-verlas/</x:v>
      </x:c>
      <x:c r="B1382" s="1" t="str">
        <x:v>auroras chile</x:v>
      </x:c>
      <x:c r="C1382" s="1" t="str">
        <x:v>bel</x:v>
      </x:c>
      <x:c r="D1382" s="1" t="str">
        <x:v>Sin marca</x:v>
      </x:c>
      <x:c r="E1382" s="35" t="n">
        <x:v>1</x:v>
      </x:c>
      <x:c r="F1382" s="36"/>
      <x:c r="G1382" s="36" t="str">
        <x:f>IF(ISNUMBER(F1382),E1382*F1382,"")</x:f>
      </x:c>
      <x:c r="H1382" s="37"/>
      <x:c r="I1382" s="37"/>
      <x:c r="J1382" s="1" t="n">
        <x:f>IF(ISNUMBER(F1382),E1382,0)</x:f>
        <x:v>0</x:v>
      </x:c>
      <x:c r="K1382" s="1"/>
      <x:c r="L1382" s="1" t="str">
        <x:v>https://blog.skyairline.com/clima-en-rio-de-janeiro</x:v>
      </x:c>
      <x:c r="M1382" s="1" t="n">
        <x:v>0</x:v>
      </x:c>
    </x:row>
    <x:row r="1383" ht="18.75" customHeight="1">
      <x:c r="A1383" s="1" t="str">
        <x:v>https://blog.skyairline.com/auroras-australes-en-chile-cuando-y-donde-verlas/</x:v>
      </x:c>
      <x:c r="B1383" s="1" t="str">
        <x:v>auroras en chile</x:v>
      </x:c>
      <x:c r="C1383" s="1" t="str">
        <x:v>col</x:v>
      </x:c>
      <x:c r="D1383" s="1" t="str">
        <x:v>Sin marca</x:v>
      </x:c>
      <x:c r="E1383" s="35" t="n">
        <x:v>1</x:v>
      </x:c>
      <x:c r="F1383" s="36"/>
      <x:c r="G1383" s="36" t="str">
        <x:f>IF(ISNUMBER(F1383),E1383*F1383,"")</x:f>
      </x:c>
      <x:c r="H1383" s="37"/>
      <x:c r="I1383" s="37"/>
      <x:c r="J1383" s="1" t="n">
        <x:f>IF(ISNUMBER(F1383),E1383,0)</x:f>
        <x:v>0</x:v>
      </x:c>
      <x:c r="K1383" s="1"/>
      <x:c r="L1383" s="1" t="str">
        <x:v>https://blog.skyairline.com/clima-en-rio-de-janeiro/cuales-es-la-mejor-epoca-para-viajar</x:v>
      </x:c>
      <x:c r="M1383" s="1" t="n">
        <x:v>0</x:v>
      </x:c>
    </x:row>
    <x:row r="1384" ht="18.75" customHeight="1">
      <x:c r="A1384" s="1" t="str">
        <x:v>https://blog.skyairline.com/auroras-australes-en-chile-cuando-y-donde-verlas/</x:v>
      </x:c>
      <x:c r="B1384" s="1" t="str">
        <x:v>chile auroras boreales</x:v>
      </x:c>
      <x:c r="C1384" s="1" t="str">
        <x:v>per</x:v>
      </x:c>
      <x:c r="D1384" s="1" t="str">
        <x:v>Sin marca</x:v>
      </x:c>
      <x:c r="E1384" s="35" t="n">
        <x:v>1</x:v>
      </x:c>
      <x:c r="F1384" s="36"/>
      <x:c r="G1384" s="36" t="str">
        <x:f>IF(ISNUMBER(F1384),E1384*F1384,"")</x:f>
      </x:c>
      <x:c r="H1384" s="37"/>
      <x:c r="I1384" s="37"/>
      <x:c r="J1384" s="1" t="n">
        <x:f>IF(ISNUMBER(F1384),E1384,0)</x:f>
        <x:v>0</x:v>
      </x:c>
      <x:c r="K1384" s="1"/>
      <x:c r="L1384" s="1" t="str">
        <x:v>https://blog.skyairline.com/clima-en-salvador-de-bahia</x:v>
      </x:c>
      <x:c r="M1384" s="1" t="n">
        <x:v>0</x:v>
      </x:c>
    </x:row>
    <x:row r="1385" ht="18.75" customHeight="1">
      <x:c r="A1385" s="1" t="str">
        <x:v>https://blog.skyairline.com/auroras-australes-en-chile-cuando-y-donde-verlas/</x:v>
      </x:c>
      <x:c r="B1385" s="1" t="str">
        <x:v>existe aurora austral</x:v>
      </x:c>
      <x:c r="C1385" s="1" t="str">
        <x:v>chl</x:v>
      </x:c>
      <x:c r="D1385" s="1" t="str">
        <x:v>Sin marca</x:v>
      </x:c>
      <x:c r="E1385" s="35" t="n">
        <x:v>1</x:v>
      </x:c>
      <x:c r="F1385" s="36"/>
      <x:c r="G1385" s="36" t="str">
        <x:f>IF(ISNUMBER(F1385),E1385*F1385,"")</x:f>
      </x:c>
      <x:c r="H1385" s="37" t="d">
        <x:v>2026-10-15T00:00:00.000Z</x:v>
      </x:c>
      <x:c r="I1385" s="37" t="d">
        <x:v>2026-09-17T19:23:44.999Z</x:v>
      </x:c>
      <x:c r="J1385" s="1" t="n">
        <x:f>IF(ISNUMBER(F1385),E1385,0)</x:f>
        <x:v>0</x:v>
      </x:c>
      <x:c r="K1385" s="1"/>
      <x:c r="L1385" s="1" t="str">
        <x:v>https://blog.skyairline.com/clima-en-salvador-de-bahia-temperatura-y-mejor-epoca-for-viajar</x:v>
      </x:c>
      <x:c r="M1385" s="1" t="n">
        <x:v>0</x:v>
      </x:c>
    </x:row>
    <x:row r="1386" ht="18.75" customHeight="1">
      <x:c r="A1386" s="1" t="str">
        <x:v>https://blog.skyairline.com/auroras-boreales-en-chile-se-pueden-ver-en-el-pais/</x:v>
      </x:c>
      <x:c r="B1386" s="1" t="str">
        <x:v>chile aurora boreal</x:v>
      </x:c>
      <x:c r="C1386" s="1" t="str">
        <x:v>gtm</x:v>
      </x:c>
      <x:c r="D1386" s="1" t="str">
        <x:v>Sin marca</x:v>
      </x:c>
      <x:c r="E1386" s="35" t="n">
        <x:v>1</x:v>
      </x:c>
      <x:c r="F1386" s="36"/>
      <x:c r="G1386" s="36" t="str">
        <x:f>IF(ISNUMBER(F1386),E1386*F1386,"")</x:f>
      </x:c>
      <x:c r="H1386" s="37"/>
      <x:c r="I1386" s="37"/>
      <x:c r="J1386" s="1" t="n">
        <x:f>IF(ISNUMBER(F1386),E1386,0)</x:f>
        <x:v>0</x:v>
      </x:c>
      <x:c r="K1386" s="1"/>
      <x:c r="L1386" s="1" t="str">
        <x:v>https://blog.skyairline.com/clima-en-salvador-de-bahia-temperatura-y-mejor-epoca-para-hier/</x:v>
      </x:c>
      <x:c r="M1386" s="1" t="n">
        <x:v>0</x:v>
      </x:c>
    </x:row>
    <x:row r="1387" ht="18.75" customHeight="1">
      <x:c r="A1387" s="1" t="str">
        <x:v>https://blog.skyairline.com/auroras-boreales-en-chile-se-pueden-ver-en-el-pais/</x:v>
      </x:c>
      <x:c r="B1387" s="1" t="str">
        <x:v>donde ver auroras boreales en chile</x:v>
      </x:c>
      <x:c r="C1387" s="1" t="str">
        <x:v>chl</x:v>
      </x:c>
      <x:c r="D1387" s="1" t="str">
        <x:v>Sin marca</x:v>
      </x:c>
      <x:c r="E1387" s="35" t="n">
        <x:v>1</x:v>
      </x:c>
      <x:c r="F1387" s="36"/>
      <x:c r="G1387" s="36" t="str">
        <x:f>IF(ISNUMBER(F1387),E1387*F1387,"")</x:f>
      </x:c>
      <x:c r="H1387" s="37" t="d">
        <x:v>2026-10-15T00:00:00.000Z</x:v>
      </x:c>
      <x:c r="I1387" s="37" t="d">
        <x:v>2026-09-14T04:43:05.000Z</x:v>
      </x:c>
      <x:c r="J1387" s="1" t="n">
        <x:f>IF(ISNUMBER(F1387),E1387,0)</x:f>
        <x:v>0</x:v>
      </x:c>
      <x:c r="K1387" s="1"/>
      <x:c r="L1387" s="1" t="str">
        <x:v>https://blog.skyairline.com/clima-en-salvador-de-bahia-temperatura-y-mejor-epoca-para-viajar</x:v>
      </x:c>
      <x:c r="M1387" s="1" t="n">
        <x:v>0</x:v>
      </x:c>
    </x:row>
    <x:row r="1388" ht="18.75" customHeight="1">
      <x:c r="A1388" s="1" t="str">
        <x:v>https://blog.skyairline.com/auroras-boreales-en-chile-se-pueden-ver-en-el-pais/</x:v>
      </x:c>
      <x:c r="B1388" s="1" t="str">
        <x:v>hay auroras boreales en chile</x:v>
      </x:c>
      <x:c r="C1388" s="1" t="str">
        <x:v>chl</x:v>
      </x:c>
      <x:c r="D1388" s="1" t="str">
        <x:v>Sin marca</x:v>
      </x:c>
      <x:c r="E1388" s="35" t="n">
        <x:v>1</x:v>
      </x:c>
      <x:c r="F1388" s="36"/>
      <x:c r="G1388" s="36" t="str">
        <x:f>IF(ISNUMBER(F1388),E1388*F1388,"")</x:f>
      </x:c>
      <x:c r="H1388" s="37"/>
      <x:c r="I1388" s="37"/>
      <x:c r="J1388" s="1" t="n">
        <x:f>IF(ISNUMBER(F1388),E1388,0)</x:f>
        <x:v>0</x:v>
      </x:c>
      <x:c r="K1388" s="1"/>
      <x:c r="L1388" s="1" t="str">
        <x:v>https://blog.skyairline.com/clima-en-salvador-de-bahia-temperatura-y-mejor-epoca-para-viajar-%E2%80%93-sky-airline-%E2%80%93-blog</x:v>
      </x:c>
      <x:c r="M1388" s="1" t="n">
        <x:v>0</x:v>
      </x:c>
    </x:row>
    <x:row r="1389" ht="18.75" customHeight="1">
      <x:c r="A1389" s="1" t="str">
        <x:v>https://blog.skyairline.com/bahia-brasil/</x:v>
      </x:c>
      <x:c r="B1389" s="1" t="str">
        <x:v>comida tipica salvador de bahia</x:v>
      </x:c>
      <x:c r="C1389" s="1" t="str">
        <x:v>chl</x:v>
      </x:c>
      <x:c r="D1389" s="1" t="str">
        <x:v>Sin marca</x:v>
      </x:c>
      <x:c r="E1389" s="35" t="n">
        <x:v>1</x:v>
      </x:c>
      <x:c r="F1389" s="36"/>
      <x:c r="G1389" s="36" t="str">
        <x:f>IF(ISNUMBER(F1389),E1389*F1389,"")</x:f>
      </x:c>
      <x:c r="H1389" s="37" t="d">
        <x:v>2026-10-15T00:00:00.000Z</x:v>
      </x:c>
      <x:c r="I1389" s="37" t="d">
        <x:v>2026-09-16T20:02:16.000Z</x:v>
      </x:c>
      <x:c r="J1389" s="1" t="n">
        <x:f>IF(ISNUMBER(F1389),E1389,0)</x:f>
        <x:v>0</x:v>
      </x:c>
      <x:c r="K1389" s="1"/>
      <x:c r="L1389" s="1" t="str">
        <x:v>https://blog.skyairline.com/clima-en-salvador-de-bahia-temperatura-y-mejor-epoca-viajar</x:v>
      </x:c>
      <x:c r="M1389" s="1" t="n">
        <x:v>0</x:v>
      </x:c>
    </x:row>
    <x:row r="1390" ht="18.75" customHeight="1">
      <x:c r="A1390" s="1" t="str">
        <x:v>https://blog.skyairline.com/bahia-brasil/</x:v>
      </x:c>
      <x:c r="B1390" s="1" t="str">
        <x:v>comida típica de salvador de bahía</x:v>
      </x:c>
      <x:c r="C1390" s="1" t="str">
        <x:v>ury</x:v>
      </x:c>
      <x:c r="D1390" s="1" t="str">
        <x:v>Sin marca</x:v>
      </x:c>
      <x:c r="E1390" s="35" t="n">
        <x:v>1</x:v>
      </x:c>
      <x:c r="F1390" s="36"/>
      <x:c r="G1390" s="36" t="str">
        <x:f>IF(ISNUMBER(F1390),E1390*F1390,"")</x:f>
      </x:c>
      <x:c r="H1390" s="37"/>
      <x:c r="I1390" s="37"/>
      <x:c r="J1390" s="1" t="n">
        <x:f>IF(ISNUMBER(F1390),E1390,0)</x:f>
        <x:v>0</x:v>
      </x:c>
      <x:c r="K1390" s="1"/>
      <x:c r="L1390" s="1" t="str">
        <x:v>https://blog.skyairline.com/clima-en-salvador-de-bahia-temperatura-y-mejor-epoca-viajar/</x:v>
      </x:c>
      <x:c r="M1390" s="1" t="n">
        <x:v>0</x:v>
      </x:c>
    </x:row>
    <x:row r="1391" ht="18.75" customHeight="1">
      <x:c r="A1391" s="1" t="str">
        <x:v>https://blog.skyairline.com/bahia-brasil/</x:v>
      </x:c>
      <x:c r="B1391" s="1" t="str">
        <x:v>dónde queda bahía en brasil</x:v>
      </x:c>
      <x:c r="C1391" s="1" t="str">
        <x:v>mex</x:v>
      </x:c>
      <x:c r="D1391" s="1" t="str">
        <x:v>Sin marca</x:v>
      </x:c>
      <x:c r="E1391" s="35" t="n">
        <x:v>1</x:v>
      </x:c>
      <x:c r="F1391" s="36"/>
      <x:c r="G1391" s="36" t="str">
        <x:f>IF(ISNUMBER(F1391),E1391*F1391,"")</x:f>
      </x:c>
      <x:c r="H1391" s="37"/>
      <x:c r="I1391" s="37"/>
      <x:c r="J1391" s="1" t="n">
        <x:f>IF(ISNUMBER(F1391),E1391,0)</x:f>
        <x:v>0</x:v>
      </x:c>
      <x:c r="K1391" s="1"/>
      <x:c r="L1391" s="1" t="str">
        <x:v>https://blog.skyairline.com/clima-en-salvador-de-bahia-temperatura-y-viajar</x:v>
      </x:c>
      <x:c r="M1391" s="1" t="n">
        <x:v>0</x:v>
      </x:c>
    </x:row>
    <x:row r="1392" ht="18.75" customHeight="1">
      <x:c r="A1392" s="1" t="str">
        <x:v>https://blog.skyairline.com/bahia-inglesa-2/</x:v>
      </x:c>
      <x:c r="B1392" s="1" t="str">
        <x:v>distancia entre santiago y bahia inglesa</x:v>
      </x:c>
      <x:c r="C1392" s="1" t="str">
        <x:v>chl</x:v>
      </x:c>
      <x:c r="D1392" s="1" t="str">
        <x:v>Sin marca</x:v>
      </x:c>
      <x:c r="E1392" s="35" t="n">
        <x:v>1</x:v>
      </x:c>
      <x:c r="F1392" s="36" t="n">
        <x:v>0.02</x:v>
      </x:c>
      <x:c r="G1392" s="36" t="n">
        <x:f>IF(ISNUMBER(F1392),E1392*F1392,"")</x:f>
        <x:v>0.02</x:v>
      </x:c>
      <x:c r="H1392" s="37" t="d">
        <x:v>2026-10-15T00:00:00.000Z</x:v>
      </x:c>
      <x:c r="I1392" s="37" t="d">
        <x:v>2026-10-15T06:06:09.000Z</x:v>
      </x:c>
      <x:c r="J1392" s="1" t="n">
        <x:f>IF(ISNUMBER(F1392),E1392,0)</x:f>
        <x:v>1</x:v>
      </x:c>
      <x:c r="K1392" s="1"/>
      <x:c r="L1392" s="1" t="str">
        <x:v>https://blog.skyairline.com/clima-en-salvador-de-bahia-temperatura-y-viajar/</x:v>
      </x:c>
      <x:c r="M1392" s="1" t="n">
        <x:v>0</x:v>
      </x:c>
    </x:row>
    <x:row r="1393" ht="18.75" customHeight="1">
      <x:c r="A1393" s="1" t="str">
        <x:v>https://blog.skyairline.com/bahia-principe-guia-de-hoteles-y-experiencias-en-el-caribe/</x:v>
      </x:c>
      <x:c r="B1393" s="1" t="str">
        <x:v>bahia principe donde queda</x:v>
      </x:c>
      <x:c r="C1393" s="1" t="str">
        <x:v>arg</x:v>
      </x:c>
      <x:c r="D1393" s="1" t="str">
        <x:v>Sin marca</x:v>
      </x:c>
      <x:c r="E1393" s="35" t="n">
        <x:v>1</x:v>
      </x:c>
      <x:c r="F1393" s="36"/>
      <x:c r="G1393" s="36" t="str">
        <x:f>IF(ISNUMBER(F1393),E1393*F1393,"")</x:f>
      </x:c>
      <x:c r="H1393" s="37"/>
      <x:c r="I1393" s="37"/>
      <x:c r="J1393" s="1" t="n">
        <x:f>IF(ISNUMBER(F1393),E1393,0)</x:f>
        <x:v>0</x:v>
      </x:c>
      <x:c r="K1393" s="1"/>
      <x:c r="L1393" s="1" t="str">
        <x:v>https://blog.skyairline.com/clima-y-tiempo-zona-norte-chile</x:v>
      </x:c>
      <x:c r="M1393" s="1" t="n">
        <x:v>0</x:v>
      </x:c>
    </x:row>
    <x:row r="1394" ht="18.75" customHeight="1">
      <x:c r="A1394" s="1" t="str">
        <x:v>https://blog.skyairline.com/bahia-principe-guia-de-hoteles-y-experiencias-en-el-caribe/</x:v>
      </x:c>
      <x:c r="B1394" s="1" t="str">
        <x:v>bahía principe donde queda</x:v>
      </x:c>
      <x:c r="C1394" s="1" t="str">
        <x:v>chl</x:v>
      </x:c>
      <x:c r="D1394" s="1" t="str">
        <x:v>Sin marca</x:v>
      </x:c>
      <x:c r="E1394" s="35" t="n">
        <x:v>1</x:v>
      </x:c>
      <x:c r="F1394" s="36"/>
      <x:c r="G1394" s="36" t="str">
        <x:f>IF(ISNUMBER(F1394),E1394*F1394,"")</x:f>
      </x:c>
      <x:c r="H1394" s="37"/>
      <x:c r="I1394" s="37"/>
      <x:c r="J1394" s="1" t="n">
        <x:f>IF(ISNUMBER(F1394),E1394,0)</x:f>
        <x:v>0</x:v>
      </x:c>
      <x:c r="K1394" s="1"/>
      <x:c r="L1394" s="1" t="str">
        <x:v>https://blog.skyairline.com/climaconsultas</x:v>
      </x:c>
      <x:c r="M1394" s="1" t="n">
        <x:v>0</x:v>
      </x:c>
    </x:row>
    <x:row r="1395" ht="18.75" customHeight="1">
      <x:c r="A1395" s="1" t="str">
        <x:v>https://blog.skyairline.com/bahiua-del-corral/</x:v>
      </x:c>
      <x:c r="B1395" s="1" t="str">
        <x:v>bahia corral</x:v>
      </x:c>
      <x:c r="C1395" s="1" t="str">
        <x:v>chl</x:v>
      </x:c>
      <x:c r="D1395" s="1" t="str">
        <x:v>Sin marca</x:v>
      </x:c>
      <x:c r="E1395" s="35" t="n">
        <x:v>1</x:v>
      </x:c>
      <x:c r="F1395" s="36"/>
      <x:c r="G1395" s="36" t="str">
        <x:f>IF(ISNUMBER(F1395),E1395*F1395,"")</x:f>
      </x:c>
      <x:c r="H1395" s="37"/>
      <x:c r="I1395" s="37"/>
      <x:c r="J1395" s="1" t="n">
        <x:f>IF(ISNUMBER(F1395),E1395,0)</x:f>
        <x:v>0</x:v>
      </x:c>
      <x:c r="K1395" s="1"/>
      <x:c r="L1395" s="1" t="str">
        <x:v>https://blog.skyairline.com/climaflorianopolis/</x:v>
      </x:c>
      <x:c r="M1395" s="1" t="n">
        <x:v>0</x:v>
      </x:c>
    </x:row>
    <x:row r="1396" ht="18.75" customHeight="1">
      <x:c r="A1396" s="1" t="str">
        <x:v>https://blog.skyairline.com/bahiua-del-corral/</x:v>
      </x:c>
      <x:c r="B1396" s="1" t="str">
        <x:v>bahia de corral</x:v>
      </x:c>
      <x:c r="C1396" s="1" t="str">
        <x:v>chl</x:v>
      </x:c>
      <x:c r="D1396" s="1" t="str">
        <x:v>Sin marca</x:v>
      </x:c>
      <x:c r="E1396" s="35" t="n">
        <x:v>1</x:v>
      </x:c>
      <x:c r="F1396" s="36"/>
      <x:c r="G1396" s="36" t="str">
        <x:f>IF(ISNUMBER(F1396),E1396*F1396,"")</x:f>
      </x:c>
      <x:c r="H1396" s="37"/>
      <x:c r="I1396" s="37"/>
      <x:c r="J1396" s="1" t="n">
        <x:f>IF(ISNUMBER(F1396),E1396,0)</x:f>
        <x:v>0</x:v>
      </x:c>
      <x:c r="K1396" s="1"/>
      <x:c r="L1396" s="1" t="str">
        <x:v>https://blog.skyairline.com/clime-en-rio-de-janeiro</x:v>
      </x:c>
      <x:c r="M1396" s="1" t="n">
        <x:v>0</x:v>
      </x:c>
    </x:row>
    <x:row r="1397" ht="18.75" customHeight="1">
      <x:c r="A1397" s="1" t="str">
        <x:v>https://blog.skyairline.com/bailes-tipicos-de-chile/</x:v>
      </x:c>
      <x:c r="B1397" s="1" t="str">
        <x:v>baile de chile</x:v>
      </x:c>
      <x:c r="C1397" s="1" t="str">
        <x:v>chl</x:v>
      </x:c>
      <x:c r="D1397" s="1" t="str">
        <x:v>Sin marca</x:v>
      </x:c>
      <x:c r="E1397" s="35" t="n">
        <x:v>1</x:v>
      </x:c>
      <x:c r="F1397" s="36"/>
      <x:c r="G1397" s="36" t="str">
        <x:f>IF(ISNUMBER(F1397),E1397*F1397,"")</x:f>
      </x:c>
      <x:c r="H1397" s="37" t="d">
        <x:v>2026-10-15T00:00:00.000Z</x:v>
      </x:c>
      <x:c r="I1397" s="37" t="d">
        <x:v>2026-09-17T02:33:40.000Z</x:v>
      </x:c>
      <x:c r="J1397" s="1" t="n">
        <x:f>IF(ISNUMBER(F1397),E1397,0)</x:f>
        <x:v>0</x:v>
      </x:c>
      <x:c r="K1397" s="1"/>
      <x:c r="L1397" s="1" t="str">
        <x:v>https://blog.skyairline.com/coco-bongo-punta-cana/</x:v>
      </x:c>
      <x:c r="M1397" s="1" t="n">
        <x:v>0</x:v>
      </x:c>
    </x:row>
    <x:row r="1398" ht="18.75" customHeight="1">
      <x:c r="A1398" s="1" t="str">
        <x:v>https://blog.skyairline.com/bailes-tipicos-de-chile/</x:v>
      </x:c>
      <x:c r="B1398" s="1" t="str">
        <x:v>baile de indios</x:v>
      </x:c>
      <x:c r="C1398" s="1" t="str">
        <x:v>chl</x:v>
      </x:c>
      <x:c r="D1398" s="1" t="str">
        <x:v>Sin marca</x:v>
      </x:c>
      <x:c r="E1398" s="35" t="n">
        <x:v>1</x:v>
      </x:c>
      <x:c r="F1398" s="36"/>
      <x:c r="G1398" s="36" t="str">
        <x:f>IF(ISNUMBER(F1398),E1398*F1398,"")</x:f>
      </x:c>
      <x:c r="H1398" s="37"/>
      <x:c r="I1398" s="37"/>
      <x:c r="J1398" s="1" t="n">
        <x:f>IF(ISNUMBER(F1398),E1398,0)</x:f>
        <x:v>0</x:v>
      </x:c>
      <x:c r="K1398" s="1"/>
      <x:c r="L1398" s="1" t="str">
        <x:v>https://blog.skyairline.com/colombia-turismo-playas/</x:v>
      </x:c>
      <x:c r="M1398" s="1" t="n">
        <x:v>0</x:v>
      </x:c>
    </x:row>
    <x:row r="1399" ht="18.75" customHeight="1">
      <x:c r="A1399" s="1" t="str">
        <x:v>https://blog.skyairline.com/bailes-tipicos-de-chile/</x:v>
      </x:c>
      <x:c r="B1399" s="1" t="str">
        <x:v>bailes de chile tipicos</x:v>
      </x:c>
      <x:c r="C1399" s="1" t="str">
        <x:v>chl</x:v>
      </x:c>
      <x:c r="D1399" s="1" t="str">
        <x:v>Sin marca</x:v>
      </x:c>
      <x:c r="E1399" s="35" t="n">
        <x:v>1</x:v>
      </x:c>
      <x:c r="F1399" s="36"/>
      <x:c r="G1399" s="36" t="str">
        <x:f>IF(ISNUMBER(F1399),E1399*F1399,"")</x:f>
      </x:c>
      <x:c r="H1399" s="37" t="d">
        <x:v>2026-10-15T00:00:00.000Z</x:v>
      </x:c>
      <x:c r="I1399" s="37" t="d">
        <x:v>2026-09-16T14:02:45.000Z</x:v>
      </x:c>
      <x:c r="J1399" s="1" t="n">
        <x:f>IF(ISNUMBER(F1399),E1399,0)</x:f>
        <x:v>0</x:v>
      </x:c>
      <x:c r="K1399" s="1"/>
      <x:c r="L1399" s="1" t="str">
        <x:v>https://blog.skyairline.com/combatir-el-jet-lag/</x:v>
      </x:c>
      <x:c r="M1399" s="1" t="n">
        <x:v>0</x:v>
      </x:c>
    </x:row>
    <x:row r="1400" ht="18.75" customHeight="1">
      <x:c r="A1400" s="1" t="str">
        <x:v>https://blog.skyairline.com/bailes-tipicos-de-chile/</x:v>
      </x:c>
      <x:c r="B1400" s="1" t="str">
        <x:v>bailes folcloricos chilenos</x:v>
      </x:c>
      <x:c r="C1400" s="1" t="str">
        <x:v>chl</x:v>
      </x:c>
      <x:c r="D1400" s="1" t="str">
        <x:v>Sin marca</x:v>
      </x:c>
      <x:c r="E1400" s="35" t="n">
        <x:v>1</x:v>
      </x:c>
      <x:c r="F1400" s="36"/>
      <x:c r="G1400" s="36" t="str">
        <x:f>IF(ISNUMBER(F1400),E1400*F1400,"")</x:f>
      </x:c>
      <x:c r="H1400" s="37"/>
      <x:c r="I1400" s="37"/>
      <x:c r="J1400" s="1" t="n">
        <x:f>IF(ISNUMBER(F1400),E1400,0)</x:f>
        <x:v>0</x:v>
      </x:c>
      <x:c r="K1400" s="1"/>
      <x:c r="L1400" s="1" t="str">
        <x:v>https://blog.skyairline.com/comida-brasilena/</x:v>
      </x:c>
      <x:c r="M1400" s="1" t="n">
        <x:v>0</x:v>
      </x:c>
    </x:row>
    <x:row r="1401" ht="18.75" customHeight="1">
      <x:c r="A1401" s="1" t="str">
        <x:v>https://blog.skyairline.com/bailes-tipicos-de-chile/</x:v>
      </x:c>
      <x:c r="B1401" s="1" t="str">
        <x:v>bailes folclóricos de chile</x:v>
      </x:c>
      <x:c r="C1401" s="1" t="str">
        <x:v>chl</x:v>
      </x:c>
      <x:c r="D1401" s="1" t="str">
        <x:v>Sin marca</x:v>
      </x:c>
      <x:c r="E1401" s="35" t="n">
        <x:v>1</x:v>
      </x:c>
      <x:c r="F1401" s="36"/>
      <x:c r="G1401" s="36" t="str">
        <x:f>IF(ISNUMBER(F1401),E1401*F1401,"")</x:f>
      </x:c>
      <x:c r="H1401" s="37" t="d">
        <x:v>2026-10-15T00:00:00.000Z</x:v>
      </x:c>
      <x:c r="I1401" s="37" t="d">
        <x:v>2026-09-17T06:35:02.000Z</x:v>
      </x:c>
      <x:c r="J1401" s="1" t="n">
        <x:f>IF(ISNUMBER(F1401),E1401,0)</x:f>
        <x:v>0</x:v>
      </x:c>
      <x:c r="K1401" s="1"/>
      <x:c r="L1401" s="1" t="str">
        <x:v>https://blog.skyairline.com/comida-mexicana/</x:v>
      </x:c>
      <x:c r="M1401" s="1" t="n">
        <x:v>0</x:v>
      </x:c>
    </x:row>
    <x:row r="1402" ht="18.75" customHeight="1">
      <x:c r="A1402" s="1" t="str">
        <x:v>https://blog.skyairline.com/bailes-tipicos-de-chile/</x:v>
      </x:c>
      <x:c r="B1402" s="1" t="str">
        <x:v>bailes nacionales chilenos</x:v>
      </x:c>
      <x:c r="C1402" s="1" t="str">
        <x:v>chl</x:v>
      </x:c>
      <x:c r="D1402" s="1" t="str">
        <x:v>Sin marca</x:v>
      </x:c>
      <x:c r="E1402" s="35" t="n">
        <x:v>1</x:v>
      </x:c>
      <x:c r="F1402" s="36"/>
      <x:c r="G1402" s="36" t="str">
        <x:f>IF(ISNUMBER(F1402),E1402*F1402,"")</x:f>
      </x:c>
      <x:c r="H1402" s="37" t="d">
        <x:v>2026-10-15T00:00:00.000Z</x:v>
      </x:c>
      <x:c r="I1402" s="37" t="d">
        <x:v>2026-09-17T15:48:00.000Z</x:v>
      </x:c>
      <x:c r="J1402" s="1" t="n">
        <x:f>IF(ISNUMBER(F1402),E1402,0)</x:f>
        <x:v>0</x:v>
      </x:c>
      <x:c r="K1402" s="1"/>
      <x:c r="L1402" s="1" t="str">
        <x:v>https://blog.skyairline.com/comida-peruana/</x:v>
      </x:c>
      <x:c r="M1402" s="1" t="n">
        <x:v>0</x:v>
      </x:c>
    </x:row>
    <x:row r="1403" ht="18.75" customHeight="1">
      <x:c r="A1403" s="1" t="str">
        <x:v>https://blog.skyairline.com/bailes-tipicos-de-chile/</x:v>
      </x:c>
      <x:c r="B1403" s="1" t="str">
        <x:v>bailes que se bailan en chile</x:v>
      </x:c>
      <x:c r="C1403" s="1" t="str">
        <x:v>chl</x:v>
      </x:c>
      <x:c r="D1403" s="1" t="str">
        <x:v>Sin marca</x:v>
      </x:c>
      <x:c r="E1403" s="35" t="n">
        <x:v>1</x:v>
      </x:c>
      <x:c r="F1403" s="36"/>
      <x:c r="G1403" s="36" t="str">
        <x:f>IF(ISNUMBER(F1403),E1403*F1403,"")</x:f>
      </x:c>
      <x:c r="H1403" s="37"/>
      <x:c r="I1403" s="37"/>
      <x:c r="J1403" s="1" t="n">
        <x:f>IF(ISNUMBER(F1403),E1403,0)</x:f>
        <x:v>0</x:v>
      </x:c>
      <x:c r="K1403" s="1"/>
      <x:c r="L1403" s="1" t="str">
        <x:v>https://blog.skyairline.com/comida-tipica-argentina/</x:v>
      </x:c>
      <x:c r="M1403" s="1" t="n">
        <x:v>0</x:v>
      </x:c>
    </x:row>
    <x:row r="1404" ht="18.75" customHeight="1">
      <x:c r="A1404" s="1" t="str">
        <x:v>https://blog.skyairline.com/bailes-tipicos-de-chile/</x:v>
      </x:c>
      <x:c r="B1404" s="1" t="str">
        <x:v>bailes tipico de chile</x:v>
      </x:c>
      <x:c r="C1404" s="1" t="str">
        <x:v>chl</x:v>
      </x:c>
      <x:c r="D1404" s="1" t="str">
        <x:v>Sin marca</x:v>
      </x:c>
      <x:c r="E1404" s="35" t="n">
        <x:v>1</x:v>
      </x:c>
      <x:c r="F1404" s="36"/>
      <x:c r="G1404" s="36" t="str">
        <x:f>IF(ISNUMBER(F1404),E1404*F1404,"")</x:f>
      </x:c>
      <x:c r="H1404" s="37"/>
      <x:c r="I1404" s="37"/>
      <x:c r="J1404" s="1" t="n">
        <x:f>IF(ISNUMBER(F1404),E1404,0)</x:f>
        <x:v>0</x:v>
      </x:c>
      <x:c r="K1404" s="1"/>
      <x:c r="L1404" s="1" t="str">
        <x:v>https://blog.skyairline.com/comida-tipica-chilena/</x:v>
      </x:c>
      <x:c r="M1404" s="1" t="n">
        <x:v>0</x:v>
      </x:c>
    </x:row>
    <x:row r="1405" ht="18.75" customHeight="1">
      <x:c r="A1405" s="1" t="str">
        <x:v>https://blog.skyairline.com/bailes-tipicos-de-chile/</x:v>
      </x:c>
      <x:c r="B1405" s="1" t="str">
        <x:v>bailes tipicos chilenos</x:v>
      </x:c>
      <x:c r="C1405" s="1" t="str">
        <x:v>bra</x:v>
      </x:c>
      <x:c r="D1405" s="1" t="str">
        <x:v>Sin marca</x:v>
      </x:c>
      <x:c r="E1405" s="35" t="n">
        <x:v>1</x:v>
      </x:c>
      <x:c r="F1405" s="36"/>
      <x:c r="G1405" s="36" t="str">
        <x:f>IF(ISNUMBER(F1405),E1405*F1405,"")</x:f>
      </x:c>
      <x:c r="H1405" s="37"/>
      <x:c r="I1405" s="37"/>
      <x:c r="J1405" s="1" t="n">
        <x:f>IF(ISNUMBER(F1405),E1405,0)</x:f>
        <x:v>0</x:v>
      </x:c>
      <x:c r="K1405" s="1"/>
      <x:c r="L1405" s="1" t="str">
        <x:v>https://blog.skyairline.com/comida-tipica-de-argentina-2/</x:v>
      </x:c>
      <x:c r="M1405" s="1" t="n">
        <x:v>0</x:v>
      </x:c>
    </x:row>
    <x:row r="1406" ht="18.75" customHeight="1">
      <x:c r="A1406" s="1" t="str">
        <x:v>https://blog.skyairline.com/bailes-tipicos-de-chile/</x:v>
      </x:c>
      <x:c r="B1406" s="1" t="str">
        <x:v>bailes típicos chilenos</x:v>
      </x:c>
      <x:c r="C1406" s="1" t="str">
        <x:v>chl</x:v>
      </x:c>
      <x:c r="D1406" s="1" t="str">
        <x:v>Sin marca</x:v>
      </x:c>
      <x:c r="E1406" s="35" t="n">
        <x:v>1</x:v>
      </x:c>
      <x:c r="F1406" s="36"/>
      <x:c r="G1406" s="36" t="str">
        <x:f>IF(ISNUMBER(F1406),E1406*F1406,"")</x:f>
      </x:c>
      <x:c r="H1406" s="37" t="d">
        <x:v>2026-10-15T00:00:00.000Z</x:v>
      </x:c>
      <x:c r="I1406" s="37" t="d">
        <x:v>2026-09-13T01:17:25.000Z</x:v>
      </x:c>
      <x:c r="J1406" s="1" t="n">
        <x:f>IF(ISNUMBER(F1406),E1406,0)</x:f>
        <x:v>0</x:v>
      </x:c>
      <x:c r="K1406" s="1"/>
      <x:c r="L1406" s="1" t="str">
        <x:v>https://blog.skyairline.com/comida-tipica-de-argentina/</x:v>
      </x:c>
      <x:c r="M1406" s="1" t="n">
        <x:v>0</x:v>
      </x:c>
    </x:row>
    <x:row r="1407" ht="18.75" customHeight="1">
      <x:c r="A1407" s="1" t="str">
        <x:v>https://blog.skyairline.com/bailes-tipicos-de-chile/</x:v>
      </x:c>
      <x:c r="B1407" s="1" t="str">
        <x:v>canciones de bailes folclóricos</x:v>
      </x:c>
      <x:c r="C1407" s="1" t="str">
        <x:v>chl</x:v>
      </x:c>
      <x:c r="D1407" s="1" t="str">
        <x:v>Sin marca</x:v>
      </x:c>
      <x:c r="E1407" s="35" t="n">
        <x:v>1</x:v>
      </x:c>
      <x:c r="F1407" s="36"/>
      <x:c r="G1407" s="36" t="str">
        <x:f>IF(ISNUMBER(F1407),E1407*F1407,"")</x:f>
      </x:c>
      <x:c r="H1407" s="37"/>
      <x:c r="I1407" s="37"/>
      <x:c r="J1407" s="1" t="n">
        <x:f>IF(ISNUMBER(F1407),E1407,0)</x:f>
        <x:v>0</x:v>
      </x:c>
      <x:c r="K1407" s="1"/>
      <x:c r="L1407" s="1" t="str">
        <x:v>https://blog.skyairline.com/comida-tipica-del-18-de-septiembre/</x:v>
      </x:c>
      <x:c r="M1407" s="1" t="n">
        <x:v>0</x:v>
      </x:c>
    </x:row>
    <x:row r="1408" ht="18.75" customHeight="1">
      <x:c r="A1408" s="1" t="str">
        <x:v>https://blog.skyairline.com/bailes-tipicos-de-chile/</x:v>
      </x:c>
      <x:c r="B1408" s="1" t="str">
        <x:v>chile baile tipico</x:v>
      </x:c>
      <x:c r="C1408" s="1" t="str">
        <x:v>ven</x:v>
      </x:c>
      <x:c r="D1408" s="1" t="str">
        <x:v>Sin marca</x:v>
      </x:c>
      <x:c r="E1408" s="35" t="n">
        <x:v>1</x:v>
      </x:c>
      <x:c r="F1408" s="36"/>
      <x:c r="G1408" s="36" t="str">
        <x:f>IF(ISNUMBER(F1408),E1408*F1408,"")</x:f>
      </x:c>
      <x:c r="H1408" s="37"/>
      <x:c r="I1408" s="37"/>
      <x:c r="J1408" s="1" t="n">
        <x:f>IF(ISNUMBER(F1408),E1408,0)</x:f>
        <x:v>0</x:v>
      </x:c>
      <x:c r="K1408" s="1"/>
      <x:c r="L1408" s="1" t="str">
        <x:v>https://blog.skyairline.com/comida-tipica-mexico/</x:v>
      </x:c>
      <x:c r="M1408" s="1" t="n">
        <x:v>0</x:v>
      </x:c>
    </x:row>
    <x:row r="1409" ht="18.75" customHeight="1">
      <x:c r="A1409" s="1" t="str">
        <x:v>https://blog.skyairline.com/bailes-tipicos-de-chile/</x:v>
      </x:c>
      <x:c r="B1409" s="1" t="str">
        <x:v>cuantos bailes tipicos hay en chile</x:v>
      </x:c>
      <x:c r="C1409" s="1" t="str">
        <x:v>chl</x:v>
      </x:c>
      <x:c r="D1409" s="1" t="str">
        <x:v>Sin marca</x:v>
      </x:c>
      <x:c r="E1409" s="35" t="n">
        <x:v>1</x:v>
      </x:c>
      <x:c r="F1409" s="36"/>
      <x:c r="G1409" s="36" t="str">
        <x:f>IF(ISNUMBER(F1409),E1409*F1409,"")</x:f>
      </x:c>
      <x:c r="H1409" s="37" t="d">
        <x:v>2026-10-15T00:00:00.000Z</x:v>
      </x:c>
      <x:c r="I1409" s="37" t="d">
        <x:v>2026-09-17T19:18:44.000Z</x:v>
      </x:c>
      <x:c r="J1409" s="1" t="n">
        <x:f>IF(ISNUMBER(F1409),E1409,0)</x:f>
        <x:v>0</x:v>
      </x:c>
      <x:c r="K1409" s="1"/>
      <x:c r="L1409" s="1" t="str">
        <x:v>https://blog.skyairline.com/comidas-bebidas-tipicas-18-de-septiembre</x:v>
      </x:c>
      <x:c r="M1409" s="1" t="n">
        <x:v>0</x:v>
      </x:c>
    </x:row>
    <x:row r="1410" ht="18.75" customHeight="1">
      <x:c r="A1410" s="1" t="str">
        <x:v>https://blog.skyairline.com/bailes-tipicos-de-chile/</x:v>
      </x:c>
      <x:c r="B1410" s="1" t="str">
        <x:v>danza tradicional chilena</x:v>
      </x:c>
      <x:c r="C1410" s="1" t="str">
        <x:v>chl</x:v>
      </x:c>
      <x:c r="D1410" s="1" t="str">
        <x:v>Sin marca</x:v>
      </x:c>
      <x:c r="E1410" s="35" t="n">
        <x:v>1</x:v>
      </x:c>
      <x:c r="F1410" s="36"/>
      <x:c r="G1410" s="36" t="str">
        <x:f>IF(ISNUMBER(F1410),E1410*F1410,"")</x:f>
      </x:c>
      <x:c r="H1410" s="37"/>
      <x:c r="I1410" s="37"/>
      <x:c r="J1410" s="1" t="n">
        <x:f>IF(ISNUMBER(F1410),E1410,0)</x:f>
        <x:v>0</x:v>
      </x:c>
      <x:c r="K1410" s="1"/>
      <x:c r="L1410" s="1" t="str">
        <x:v>https://blog.skyairline.com/comidas-bebidas-tipicas-que-no-pueden-faltar-el-18-de-septiembre/</x:v>
      </x:c>
      <x:c r="M1410" s="1" t="n">
        <x:v>0</x:v>
      </x:c>
    </x:row>
    <x:row r="1411" ht="18.75" customHeight="1">
      <x:c r="A1411" s="1" t="str">
        <x:v>https://blog.skyairline.com/bailes-tipicos-de-chile/</x:v>
      </x:c>
      <x:c r="B1411" s="1" t="str">
        <x:v>danzas chilenas</x:v>
      </x:c>
      <x:c r="C1411" s="1" t="str">
        <x:v>chl</x:v>
      </x:c>
      <x:c r="D1411" s="1" t="str">
        <x:v>Sin marca</x:v>
      </x:c>
      <x:c r="E1411" s="35" t="n">
        <x:v>1</x:v>
      </x:c>
      <x:c r="F1411" s="36"/>
      <x:c r="G1411" s="36" t="str">
        <x:f>IF(ISNUMBER(F1411),E1411*F1411,"")</x:f>
      </x:c>
      <x:c r="H1411" s="37" t="d">
        <x:v>2026-10-15T00:00:00.000Z</x:v>
      </x:c>
      <x:c r="I1411" s="37" t="d">
        <x:v>2026-09-12T20:27:30.000Z</x:v>
      </x:c>
      <x:c r="J1411" s="1" t="n">
        <x:f>IF(ISNUMBER(F1411),E1411,0)</x:f>
        <x:v>0</x:v>
      </x:c>
      <x:c r="K1411" s="1"/>
      <x:c r="L1411" s="1" t="str">
        <x:v>https://blog.skyairline.com/comidas-populares-chilenas/</x:v>
      </x:c>
      <x:c r="M1411" s="1" t="n">
        <x:v>0</x:v>
      </x:c>
    </x:row>
    <x:row r="1412" ht="18.75" customHeight="1">
      <x:c r="A1412" s="1" t="str">
        <x:v>https://blog.skyairline.com/bailes-tipicos-de-chile/</x:v>
      </x:c>
      <x:c r="B1412" s="1" t="str">
        <x:v>danzas tipicas de chile</x:v>
      </x:c>
      <x:c r="C1412" s="1" t="str">
        <x:v>chl</x:v>
      </x:c>
      <x:c r="D1412" s="1" t="str">
        <x:v>Sin marca</x:v>
      </x:c>
      <x:c r="E1412" s="35" t="n">
        <x:v>1</x:v>
      </x:c>
      <x:c r="F1412" s="36"/>
      <x:c r="G1412" s="36" t="str">
        <x:f>IF(ISNUMBER(F1412),E1412*F1412,"")</x:f>
      </x:c>
      <x:c r="H1412" s="37" t="d">
        <x:v>2026-10-15T00:00:00.000Z</x:v>
      </x:c>
      <x:c r="I1412" s="37" t="d">
        <x:v>2026-09-16T09:39:19.999Z</x:v>
      </x:c>
      <x:c r="J1412" s="1" t="n">
        <x:f>IF(ISNUMBER(F1412),E1412,0)</x:f>
        <x:v>0</x:v>
      </x:c>
      <x:c r="K1412" s="1"/>
      <x:c r="L1412" s="1" t="str">
        <x:v>https://blog.skyairline.com/comidas-tipica-del-18-de-septiembre/</x:v>
      </x:c>
      <x:c r="M1412" s="1" t="n">
        <x:v>0</x:v>
      </x:c>
    </x:row>
    <x:row r="1413" ht="18.75" customHeight="1">
      <x:c r="A1413" s="1" t="str">
        <x:v>https://blog.skyairline.com/bailes-tipicos-de-chile/</x:v>
      </x:c>
      <x:c r="B1413" s="1" t="str">
        <x:v>la golpeadita baile</x:v>
      </x:c>
      <x:c r="C1413" s="1" t="str">
        <x:v>chl</x:v>
      </x:c>
      <x:c r="D1413" s="1" t="str">
        <x:v>Sin marca</x:v>
      </x:c>
      <x:c r="E1413" s="35" t="n">
        <x:v>1</x:v>
      </x:c>
      <x:c r="F1413" s="36"/>
      <x:c r="G1413" s="36" t="str">
        <x:f>IF(ISNUMBER(F1413),E1413*F1413,"")</x:f>
      </x:c>
      <x:c r="H1413" s="37"/>
      <x:c r="I1413" s="37"/>
      <x:c r="J1413" s="1" t="n">
        <x:f>IF(ISNUMBER(F1413),E1413,0)</x:f>
        <x:v>0</x:v>
      </x:c>
      <x:c r="K1413" s="1"/>
      <x:c r="L1413" s="1" t="str">
        <x:v>https://blog.skyairline.com/comidas-tipicas-chilenas/comidas-tipicas-chilenas-6-platos-con-productos-del-mar</x:v>
      </x:c>
      <x:c r="M1413" s="1" t="n">
        <x:v>0</x:v>
      </x:c>
    </x:row>
    <x:row r="1414" ht="18.75" customHeight="1">
      <x:c r="A1414" s="1" t="str">
        <x:v>https://blog.skyairline.com/bailes-tipicos-de-chile/</x:v>
      </x:c>
      <x:c r="B1414" s="1" t="str">
        <x:v>todos los bailes tipicos de chile</x:v>
      </x:c>
      <x:c r="C1414" s="1" t="str">
        <x:v>chl</x:v>
      </x:c>
      <x:c r="D1414" s="1" t="str">
        <x:v>Sin marca</x:v>
      </x:c>
      <x:c r="E1414" s="35" t="n">
        <x:v>1</x:v>
      </x:c>
      <x:c r="F1414" s="36"/>
      <x:c r="G1414" s="36" t="str">
        <x:f>IF(ISNUMBER(F1414),E1414*F1414,"")</x:f>
      </x:c>
      <x:c r="H1414" s="37"/>
      <x:c r="I1414" s="37"/>
      <x:c r="J1414" s="1" t="n">
        <x:f>IF(ISNUMBER(F1414),E1414,0)</x:f>
        <x:v>0</x:v>
      </x:c>
      <x:c r="K1414" s="1"/>
      <x:c r="L1414" s="1" t="str">
        <x:v>https://blog.skyairline.com/comidas-tipicas-del-18-de-septiembre/</x:v>
      </x:c>
      <x:c r="M1414" s="1" t="n">
        <x:v>0</x:v>
      </x:c>
    </x:row>
    <x:row r="1415" ht="18.75" customHeight="1">
      <x:c r="A1415" s="1" t="str">
        <x:v>https://blog.skyairline.com/bailes-tipicos-del-peru/</x:v>
      </x:c>
      <x:c r="B1415" s="1" t="str">
        <x:v>baile nacional de perú</x:v>
      </x:c>
      <x:c r="C1415" s="1" t="str">
        <x:v>chl</x:v>
      </x:c>
      <x:c r="D1415" s="1" t="str">
        <x:v>Sin marca</x:v>
      </x:c>
      <x:c r="E1415" s="35" t="n">
        <x:v>1</x:v>
      </x:c>
      <x:c r="F1415" s="36"/>
      <x:c r="G1415" s="36" t="str">
        <x:f>IF(ISNUMBER(F1415),E1415*F1415,"")</x:f>
      </x:c>
      <x:c r="H1415" s="37" t="d">
        <x:v>2026-10-15T00:00:00.000Z</x:v>
      </x:c>
      <x:c r="I1415" s="37" t="d">
        <x:v>2026-09-14T19:33:14.999Z</x:v>
      </x:c>
      <x:c r="J1415" s="1" t="n">
        <x:f>IF(ISNUMBER(F1415),E1415,0)</x:f>
        <x:v>0</x:v>
      </x:c>
      <x:c r="K1415" s="1"/>
      <x:c r="L1415" s="1" t="str">
        <x:v>https://blog.skyairline.com/comidas-y-bebidas-tipicas-del-18-de-septiembre</x:v>
      </x:c>
      <x:c r="M1415" s="1" t="n">
        <x:v>0</x:v>
      </x:c>
    </x:row>
    <x:row r="1416" ht="18.75" customHeight="1">
      <x:c r="A1416" s="1" t="str">
        <x:v>https://blog.skyairline.com/bailes-tipicos-del-peru/</x:v>
      </x:c>
      <x:c r="B1416" s="1" t="str">
        <x:v>baile nacional peruano</x:v>
      </x:c>
      <x:c r="C1416" s="1" t="str">
        <x:v>chl</x:v>
      </x:c>
      <x:c r="D1416" s="1" t="str">
        <x:v>Sin marca</x:v>
      </x:c>
      <x:c r="E1416" s="35" t="n">
        <x:v>1</x:v>
      </x:c>
      <x:c r="F1416" s="36"/>
      <x:c r="G1416" s="36" t="str">
        <x:f>IF(ISNUMBER(F1416),E1416*F1416,"")</x:f>
      </x:c>
      <x:c r="H1416" s="37"/>
      <x:c r="I1416" s="37"/>
      <x:c r="J1416" s="1" t="n">
        <x:f>IF(ISNUMBER(F1416),E1416,0)</x:f>
        <x:v>0</x:v>
      </x:c>
      <x:c r="K1416" s="1"/>
      <x:c r="L1416" s="1" t="str">
        <x:v>https://blog.skyairline.com/comidas-y-bebidas-tipicas-del-18-de-septiembre-5618.html</x:v>
      </x:c>
      <x:c r="M1416" s="1" t="n">
        <x:v>0</x:v>
      </x:c>
    </x:row>
    <x:row r="1417" ht="18.75" customHeight="1">
      <x:c r="A1417" s="1" t="str">
        <x:v>https://blog.skyairline.com/bailes-tipicos-del-peru/</x:v>
      </x:c>
      <x:c r="B1417" s="1" t="str">
        <x:v>bailes de peru</x:v>
      </x:c>
      <x:c r="C1417" s="1" t="str">
        <x:v>chl</x:v>
      </x:c>
      <x:c r="D1417" s="1" t="str">
        <x:v>Sin marca</x:v>
      </x:c>
      <x:c r="E1417" s="35" t="n">
        <x:v>1</x:v>
      </x:c>
      <x:c r="F1417" s="36"/>
      <x:c r="G1417" s="36" t="str">
        <x:f>IF(ISNUMBER(F1417),E1417*F1417,"")</x:f>
      </x:c>
      <x:c r="H1417" s="37" t="d">
        <x:v>2026-10-15T00:00:00.000Z</x:v>
      </x:c>
      <x:c r="I1417" s="37" t="d">
        <x:v>2026-09-14T18:30:16.000Z</x:v>
      </x:c>
      <x:c r="J1417" s="1" t="n">
        <x:f>IF(ISNUMBER(F1417),E1417,0)</x:f>
        <x:v>0</x:v>
      </x:c>
      <x:c r="K1417" s="1"/>
      <x:c r="L1417" s="1" t="str">
        <x:v>https://blog.skyairline.com/comidas-y-bebidas-tipicas-del-18-de/</x:v>
      </x:c>
      <x:c r="M1417" s="1" t="n">
        <x:v>0</x:v>
      </x:c>
    </x:row>
    <x:row r="1418" ht="18.75" customHeight="1">
      <x:c r="A1418" s="1" t="str">
        <x:v>https://blog.skyairline.com/bailes-tipicos-del-peru/</x:v>
      </x:c>
      <x:c r="B1418" s="1" t="str">
        <x:v>bailes peruanos</x:v>
      </x:c>
      <x:c r="C1418" s="1" t="str">
        <x:v>chl</x:v>
      </x:c>
      <x:c r="D1418" s="1" t="str">
        <x:v>Sin marca</x:v>
      </x:c>
      <x:c r="E1418" s="35" t="n">
        <x:v>1</x:v>
      </x:c>
      <x:c r="F1418" s="36"/>
      <x:c r="G1418" s="36" t="str">
        <x:f>IF(ISNUMBER(F1418),E1418*F1418,"")</x:f>
      </x:c>
      <x:c r="H1418" s="37" t="d">
        <x:v>2026-10-15T00:00:00.000Z</x:v>
      </x:c>
      <x:c r="I1418" s="37" t="d">
        <x:v>2026-09-12T18:26:54.999Z</x:v>
      </x:c>
      <x:c r="J1418" s="1" t="n">
        <x:f>IF(ISNUMBER(F1418),E1418,0)</x:f>
        <x:v>0</x:v>
      </x:c>
      <x:c r="K1418" s="1"/>
      <x:c r="L1418" s="1" t="str">
        <x:v>https://blog.skyairline.com/comidas-y-bebidas-tipicas-del-18-septiembre</x:v>
      </x:c>
      <x:c r="M1418" s="1" t="n">
        <x:v>0</x:v>
      </x:c>
    </x:row>
    <x:row r="1419" ht="18.75" customHeight="1">
      <x:c r="A1419" s="1" t="str">
        <x:v>https://blog.skyairline.com/bailes-tipicos-del-peru/</x:v>
      </x:c>
      <x:c r="B1419" s="1" t="str">
        <x:v>bailes peruanos</x:v>
      </x:c>
      <x:c r="C1419" s="1" t="str">
        <x:v>per</x:v>
      </x:c>
      <x:c r="D1419" s="1" t="str">
        <x:v>Sin marca</x:v>
      </x:c>
      <x:c r="E1419" s="35" t="n">
        <x:v>1</x:v>
      </x:c>
      <x:c r="F1419" s="36"/>
      <x:c r="G1419" s="36" t="str">
        <x:f>IF(ISNUMBER(F1419),E1419*F1419,"")</x:f>
      </x:c>
      <x:c r="H1419" s="37" t="d">
        <x:v>2026-10-15T00:00:00.000Z</x:v>
      </x:c>
      <x:c r="I1419" s="37" t="d">
        <x:v>2026-09-15T07:12:56.999Z</x:v>
      </x:c>
      <x:c r="J1419" s="1" t="n">
        <x:f>IF(ISNUMBER(F1419),E1419,0)</x:f>
        <x:v>0</x:v>
      </x:c>
      <x:c r="K1419" s="1"/>
      <x:c r="L1419" s="1" t="str">
        <x:v>https://blog.skyairline.com/comidas-y-bebidas-tipicas-que-no-pueden-faltar-el-18-de-septiembre/</x:v>
      </x:c>
      <x:c r="M1419" s="1" t="n">
        <x:v>0</x:v>
      </x:c>
    </x:row>
    <x:row r="1420" ht="18.75" customHeight="1">
      <x:c r="A1420" s="1" t="str">
        <x:v>https://blog.skyairline.com/bailes-tipicos-del-peru/</x:v>
      </x:c>
      <x:c r="B1420" s="1" t="str">
        <x:v>bailes tipicos de peru</x:v>
      </x:c>
      <x:c r="C1420" s="1" t="str">
        <x:v>chl</x:v>
      </x:c>
      <x:c r="D1420" s="1" t="str">
        <x:v>Sin marca</x:v>
      </x:c>
      <x:c r="E1420" s="35" t="n">
        <x:v>1</x:v>
      </x:c>
      <x:c r="F1420" s="36"/>
      <x:c r="G1420" s="36" t="str">
        <x:f>IF(ISNUMBER(F1420),E1420*F1420,"")</x:f>
      </x:c>
      <x:c r="H1420" s="37" t="d">
        <x:v>2026-10-15T00:00:00.000Z</x:v>
      </x:c>
      <x:c r="I1420" s="37" t="d">
        <x:v>2026-09-17T14:19:07.000Z</x:v>
      </x:c>
      <x:c r="J1420" s="1" t="n">
        <x:f>IF(ISNUMBER(F1420),E1420,0)</x:f>
        <x:v>0</x:v>
      </x:c>
      <x:c r="K1420" s="1"/>
      <x:c r="L1420" s="1" t="str">
        <x:v>https://blog.skyairline.com/comidas-y-tipicas-del-18-de-septiembre</x:v>
      </x:c>
      <x:c r="M1420" s="1" t="n">
        <x:v>0</x:v>
      </x:c>
    </x:row>
    <x:row r="1421" ht="18.75" customHeight="1">
      <x:c r="A1421" s="1" t="str">
        <x:v>https://blog.skyairline.com/bailes-tipicos-del-peru/</x:v>
      </x:c>
      <x:c r="B1421" s="1" t="str">
        <x:v>bailes tipicos peruanos</x:v>
      </x:c>
      <x:c r="C1421" s="1" t="str">
        <x:v>chl</x:v>
      </x:c>
      <x:c r="D1421" s="1" t="str">
        <x:v>Sin marca</x:v>
      </x:c>
      <x:c r="E1421" s="35" t="n">
        <x:v>1</x:v>
      </x:c>
      <x:c r="F1421" s="36"/>
      <x:c r="G1421" s="36" t="str">
        <x:f>IF(ISNUMBER(F1421),E1421*F1421,"")</x:f>
      </x:c>
      <x:c r="H1421" s="37"/>
      <x:c r="I1421" s="37"/>
      <x:c r="J1421" s="1" t="n">
        <x:f>IF(ISNUMBER(F1421),E1421,0)</x:f>
        <x:v>0</x:v>
      </x:c>
      <x:c r="K1421" s="1"/>
      <x:c r="L1421" s="1" t="str">
        <x:v>https://blog.skyairline.com/comidas-y-tipicas-del-18-de-septiembre/</x:v>
      </x:c>
      <x:c r="M1421" s="1" t="n">
        <x:v>0</x:v>
      </x:c>
    </x:row>
    <x:row r="1422" ht="18.75" customHeight="1">
      <x:c r="A1422" s="1" t="str">
        <x:v>https://blog.skyairline.com/bailes-tipicos-del-peru/</x:v>
      </x:c>
      <x:c r="B1422" s="1" t="str">
        <x:v>bailes tradicionales del peru</x:v>
      </x:c>
      <x:c r="C1422" s="1" t="str">
        <x:v>usa</x:v>
      </x:c>
      <x:c r="D1422" s="1" t="str">
        <x:v>Sin marca</x:v>
      </x:c>
      <x:c r="E1422" s="35" t="n">
        <x:v>1</x:v>
      </x:c>
      <x:c r="F1422" s="36"/>
      <x:c r="G1422" s="36" t="str">
        <x:f>IF(ISNUMBER(F1422),E1422*F1422,"")</x:f>
      </x:c>
      <x:c r="H1422" s="37"/>
      <x:c r="I1422" s="37"/>
      <x:c r="J1422" s="1" t="n">
        <x:f>IF(ISNUMBER(F1422),E1422,0)</x:f>
        <x:v>0</x:v>
      </x:c>
      <x:c r="K1422" s="1"/>
      <x:c r="L1422" s="1" t="str">
        <x:v>https://blog.skyairline.com/como-escoger-carpa-ideal/</x:v>
      </x:c>
      <x:c r="M1422" s="1" t="n">
        <x:v>0</x:v>
      </x:c>
    </x:row>
    <x:row r="1423" ht="18.75" customHeight="1">
      <x:c r="A1423" s="1" t="str">
        <x:v>https://blog.skyairline.com/bailes-tipicos-del-peru/</x:v>
      </x:c>
      <x:c r="B1423" s="1" t="str">
        <x:v>bailes típicos de perú</x:v>
      </x:c>
      <x:c r="C1423" s="1" t="str">
        <x:v>chl</x:v>
      </x:c>
      <x:c r="D1423" s="1" t="str">
        <x:v>Sin marca</x:v>
      </x:c>
      <x:c r="E1423" s="35" t="n">
        <x:v>1</x:v>
      </x:c>
      <x:c r="F1423" s="36"/>
      <x:c r="G1423" s="36" t="str">
        <x:f>IF(ISNUMBER(F1423),E1423*F1423,"")</x:f>
      </x:c>
      <x:c r="H1423" s="37" t="d">
        <x:v>2026-10-15T00:00:00.000Z</x:v>
      </x:c>
      <x:c r="I1423" s="37" t="d">
        <x:v>2026-09-14T17:25:40.000Z</x:v>
      </x:c>
      <x:c r="J1423" s="1" t="n">
        <x:f>IF(ISNUMBER(F1423),E1423,0)</x:f>
        <x:v>0</x:v>
      </x:c>
      <x:c r="K1423" s="1"/>
      <x:c r="L1423" s="1" t="str">
        <x:v>https://blog.skyairline.com/como-hacer-mochila/</x:v>
      </x:c>
      <x:c r="M1423" s="1" t="n">
        <x:v>0</x:v>
      </x:c>
    </x:row>
    <x:row r="1424" ht="18.75" customHeight="1">
      <x:c r="A1424" s="1" t="str">
        <x:v>https://blog.skyairline.com/bailes-tipicos-del-peru/</x:v>
      </x:c>
      <x:c r="B1424" s="1" t="str">
        <x:v>bailes típicos de perú para niños</x:v>
      </x:c>
      <x:c r="C1424" s="1" t="str">
        <x:v>chl</x:v>
      </x:c>
      <x:c r="D1424" s="1" t="str">
        <x:v>Sin marca</x:v>
      </x:c>
      <x:c r="E1424" s="35" t="n">
        <x:v>1</x:v>
      </x:c>
      <x:c r="F1424" s="36"/>
      <x:c r="G1424" s="36" t="str">
        <x:f>IF(ISNUMBER(F1424),E1424*F1424,"")</x:f>
      </x:c>
      <x:c r="H1424" s="37" t="d">
        <x:v>2026-10-15T00:00:00.000Z</x:v>
      </x:c>
      <x:c r="I1424" s="37" t="d">
        <x:v>2026-09-06T16:30:14.000Z</x:v>
      </x:c>
      <x:c r="J1424" s="1" t="n">
        <x:f>IF(ISNUMBER(F1424),E1424,0)</x:f>
        <x:v>0</x:v>
      </x:c>
      <x:c r="K1424" s="1"/>
      <x:c r="L1424" s="1" t="str">
        <x:v>https://blog.skyairline.com/como-identificar-fraudes-en-compras-de-boletos-de-avion/</x:v>
      </x:c>
      <x:c r="M1424" s="1" t="n">
        <x:v>0</x:v>
      </x:c>
    </x:row>
    <x:row r="1425" ht="18.75" customHeight="1">
      <x:c r="A1425" s="1" t="str">
        <x:v>https://blog.skyairline.com/bailes-tipicos-del-peru/</x:v>
      </x:c>
      <x:c r="B1425" s="1" t="str">
        <x:v>bailes típicos del perú</x:v>
      </x:c>
      <x:c r="C1425" s="1" t="str">
        <x:v>per</x:v>
      </x:c>
      <x:c r="D1425" s="1" t="str">
        <x:v>Sin marca</x:v>
      </x:c>
      <x:c r="E1425" s="35" t="n">
        <x:v>1</x:v>
      </x:c>
      <x:c r="F1425" s="36"/>
      <x:c r="G1425" s="36" t="str">
        <x:f>IF(ISNUMBER(F1425),E1425*F1425,"")</x:f>
      </x:c>
      <x:c r="H1425" s="37" t="d">
        <x:v>2026-10-15T00:00:00.000Z</x:v>
      </x:c>
      <x:c r="I1425" s="37" t="d">
        <x:v>2026-09-17T23:17:42.000Z</x:v>
      </x:c>
      <x:c r="J1425" s="1" t="n">
        <x:f>IF(ISNUMBER(F1425),E1425,0)</x:f>
        <x:v>0</x:v>
      </x:c>
      <x:c r="K1425" s="1"/>
      <x:c r="L1425" s="1" t="str">
        <x:v>https://blog.skyairline.com/como-identificar-fraudes-en-la-compa%C3%B1%C3%ADa</x:v>
      </x:c>
      <x:c r="M1425" s="1" t="n">
        <x:v>0</x:v>
      </x:c>
    </x:row>
    <x:row r="1426" ht="18.75" customHeight="1">
      <x:c r="A1426" s="1" t="str">
        <x:v>https://blog.skyairline.com/banos-termales-en-tacna/</x:v>
      </x:c>
      <x:c r="B1426" s="1" t="str">
        <x:v>aguas termales en tacna</x:v>
      </x:c>
      <x:c r="C1426" s="1" t="str">
        <x:v>per</x:v>
      </x:c>
      <x:c r="D1426" s="1" t="str">
        <x:v>Sin marca</x:v>
      </x:c>
      <x:c r="E1426" s="35" t="n">
        <x:v>1</x:v>
      </x:c>
      <x:c r="F1426" s="36" t="n">
        <x:v>0.93</x:v>
      </x:c>
      <x:c r="G1426" s="36" t="n">
        <x:f>IF(ISNUMBER(F1426),E1426*F1426,"")</x:f>
        <x:v>0.93</x:v>
      </x:c>
      <x:c r="H1426" s="37" t="d">
        <x:v>2026-10-15T00:00:00.000Z</x:v>
      </x:c>
      <x:c r="I1426" s="37" t="d">
        <x:v>2026-09-16T00:31:57.000Z</x:v>
      </x:c>
      <x:c r="J1426" s="1" t="n">
        <x:f>IF(ISNUMBER(F1426),E1426,0)</x:f>
        <x:v>1</x:v>
      </x:c>
      <x:c r="K1426" s="1"/>
      <x:c r="L1426" s="1" t="str">
        <x:v>https://blog.skyairline.com/como-identificar-fraudes-en-la-compra-de-boletos-de-avion</x:v>
      </x:c>
      <x:c r="M1426" s="1" t="n">
        <x:v>0</x:v>
      </x:c>
    </x:row>
    <x:row r="1427" ht="18.75" customHeight="1">
      <x:c r="A1427" s="1" t="str">
        <x:v>https://blog.skyairline.com/barra-da-lagoa-el-corazon-de-florianopolis/</x:v>
      </x:c>
      <x:c r="B1427" s="1" t="str">
        <x:v>lagoa</x:v>
      </x:c>
      <x:c r="C1427" s="1" t="str">
        <x:v>esp</x:v>
      </x:c>
      <x:c r="D1427" s="1" t="str">
        <x:v>Sin marca</x:v>
      </x:c>
      <x:c r="E1427" s="35" t="n">
        <x:v>1</x:v>
      </x:c>
      <x:c r="F1427" s="36"/>
      <x:c r="G1427" s="36" t="str">
        <x:f>IF(ISNUMBER(F1427),E1427*F1427,"")</x:f>
      </x:c>
      <x:c r="H1427" s="37"/>
      <x:c r="I1427" s="37"/>
      <x:c r="J1427" s="1" t="n">
        <x:f>IF(ISNUMBER(F1427),E1427,0)</x:f>
        <x:v>0</x:v>
      </x:c>
      <x:c r="K1427" s="1"/>
      <x:c r="L1427" s="1" t="str">
        <x:v>https://blog.skyairline.com/como-identificar-fraudes-en-la-compra-de-boletos-de-aviyon/</x:v>
      </x:c>
      <x:c r="M1427" s="1" t="n">
        <x:v>0</x:v>
      </x:c>
    </x:row>
    <x:row r="1428" ht="18.75" customHeight="1">
      <x:c r="A1428" s="1" t="str">
        <x:v>https://blog.skyairline.com/barra-da-tijuca/</x:v>
      </x:c>
      <x:c r="B1428" s="1" t="str">
        <x:v>barra da tijuca</x:v>
      </x:c>
      <x:c r="C1428" s="1" t="str">
        <x:v>chl</x:v>
      </x:c>
      <x:c r="D1428" s="1" t="str">
        <x:v>Sin marca</x:v>
      </x:c>
      <x:c r="E1428" s="35" t="n">
        <x:v>1</x:v>
      </x:c>
      <x:c r="F1428" s="36" t="n">
        <x:v>0.93</x:v>
      </x:c>
      <x:c r="G1428" s="36" t="n">
        <x:f>IF(ISNUMBER(F1428),E1428*F1428,"")</x:f>
        <x:v>0.93</x:v>
      </x:c>
      <x:c r="H1428" s="37" t="d">
        <x:v>2026-10-15T00:00:00.000Z</x:v>
      </x:c>
      <x:c r="I1428" s="37" t="d">
        <x:v>2026-10-15T15:41:47.999Z</x:v>
      </x:c>
      <x:c r="J1428" s="1" t="n">
        <x:f>IF(ISNUMBER(F1428),E1428,0)</x:f>
        <x:v>1</x:v>
      </x:c>
      <x:c r="K1428" s="1"/>
      <x:c r="L1428" s="1" t="str">
        <x:v>https://blog.skyairline.com/como-ir-de-pucon-sin-preocupaciones/</x:v>
      </x:c>
      <x:c r="M1428" s="1" t="n">
        <x:v>0</x:v>
      </x:c>
    </x:row>
    <x:row r="1429" ht="18.75" customHeight="1">
      <x:c r="A1429" s="1" t="str">
        <x:v>https://blog.skyairline.com/barra-da-tijuca/</x:v>
      </x:c>
      <x:c r="B1429" s="1" t="str">
        <x:v>barra da tijuca donde queda</x:v>
      </x:c>
      <x:c r="C1429" s="1" t="str">
        <x:v>col</x:v>
      </x:c>
      <x:c r="D1429" s="1" t="str">
        <x:v>Sin marca</x:v>
      </x:c>
      <x:c r="E1429" s="35" t="n">
        <x:v>1</x:v>
      </x:c>
      <x:c r="F1429" s="36"/>
      <x:c r="G1429" s="36" t="str">
        <x:f>IF(ISNUMBER(F1429),E1429*F1429,"")</x:f>
      </x:c>
      <x:c r="H1429" s="37"/>
      <x:c r="I1429" s="37"/>
      <x:c r="J1429" s="1" t="n">
        <x:f>IF(ISNUMBER(F1429),E1429,0)</x:f>
        <x:v>0</x:v>
      </x:c>
      <x:c r="K1429" s="1"/>
      <x:c r="L1429" s="1" t="str">
        <x:v>https://blog.skyairline.com/como-ir-de-pucor-sin-preocupaciones/</x:v>
      </x:c>
      <x:c r="M1429" s="1" t="n">
        <x:v>0</x:v>
      </x:c>
    </x:row>
    <x:row r="1430" ht="18.75" customHeight="1">
      <x:c r="A1430" s="1" t="str">
        <x:v>https://blog.skyairline.com/barra-da-tijuca/</x:v>
      </x:c>
      <x:c r="B1430" s="1" t="str">
        <x:v>mar tranquilo</x:v>
      </x:c>
      <x:c r="C1430" s="1" t="str">
        <x:v>arg</x:v>
      </x:c>
      <x:c r="D1430" s="1" t="str">
        <x:v>Sin marca</x:v>
      </x:c>
      <x:c r="E1430" s="35" t="n">
        <x:v>1</x:v>
      </x:c>
      <x:c r="F1430" s="36"/>
      <x:c r="G1430" s="36" t="str">
        <x:f>IF(ISNUMBER(F1430),E1430*F1430,"")</x:f>
      </x:c>
      <x:c r="H1430" s="37"/>
      <x:c r="I1430" s="37"/>
      <x:c r="J1430" s="1" t="n">
        <x:f>IF(ISNUMBER(F1430),E1430,0)</x:f>
        <x:v>0</x:v>
      </x:c>
      <x:c r="K1430" s="1"/>
      <x:c r="L1430" s="1" t="str">
        <x:v>https://blog.skyairline.com/como-ir-de-punta-cana-a-santo-domingo</x:v>
      </x:c>
      <x:c r="M1430" s="1" t="n">
        <x:v>0</x:v>
      </x:c>
    </x:row>
    <x:row r="1431" ht="18.75" customHeight="1">
      <x:c r="A1431" s="1" t="str">
        <x:v>https://blog.skyairline.com/barra-da-tijuca/</x:v>
      </x:c>
      <x:c r="B1431" s="1" t="str">
        <x:v>que hacer en barra de tijuca</x:v>
      </x:c>
      <x:c r="C1431" s="1" t="str">
        <x:v>arg</x:v>
      </x:c>
      <x:c r="D1431" s="1" t="str">
        <x:v>Sin marca</x:v>
      </x:c>
      <x:c r="E1431" s="35" t="n">
        <x:v>1</x:v>
      </x:c>
      <x:c r="F1431" s="36"/>
      <x:c r="G1431" s="36" t="str">
        <x:f>IF(ISNUMBER(F1431),E1431*F1431,"")</x:f>
      </x:c>
      <x:c r="H1431" s="37"/>
      <x:c r="I1431" s="37"/>
      <x:c r="J1431" s="1" t="n">
        <x:f>IF(ISNUMBER(F1431),E1431,0)</x:f>
        <x:v>0</x:v>
      </x:c>
      <x:c r="K1431" s="1"/>
      <x:c r="L1431" s="1" t="str">
        <x:v>https://blog.skyairline.com/como-ir-de-punta-cana-santo-domingo</x:v>
      </x:c>
      <x:c r="M1431" s="1" t="n">
        <x:v>0</x:v>
      </x:c>
    </x:row>
    <x:row r="1432" ht="18.75" customHeight="1">
      <x:c r="A1432" s="1" t="str">
        <x:v>https://blog.skyairline.com/barra-da-tijuca/</x:v>
      </x:c>
      <x:c r="B1432" s="1" t="str">
        <x:v>que hacer en barra de tijuca</x:v>
      </x:c>
      <x:c r="C1432" s="1" t="str">
        <x:v>bra</x:v>
      </x:c>
      <x:c r="D1432" s="1" t="str">
        <x:v>Sin marca</x:v>
      </x:c>
      <x:c r="E1432" s="35" t="n">
        <x:v>1</x:v>
      </x:c>
      <x:c r="F1432" s="36"/>
      <x:c r="G1432" s="36" t="str">
        <x:f>IF(ISNUMBER(F1432),E1432*F1432,"")</x:f>
      </x:c>
      <x:c r="H1432" s="37"/>
      <x:c r="I1432" s="37"/>
      <x:c r="J1432" s="1" t="n">
        <x:f>IF(ISNUMBER(F1432),E1432,0)</x:f>
        <x:v>0</x:v>
      </x:c>
      <x:c r="K1432" s="1"/>
      <x:c r="L1432" s="1" t="str">
        <x:v>https://blog.skyairline.com/como-ir-de-punta-cana-santo-domingo-y-que-hacer-all%C3%AD-%E2%80%93-sky-airline-%E2%80%93-blog</x:v>
      </x:c>
      <x:c r="M1432" s="1" t="n">
        <x:v>0</x:v>
      </x:c>
    </x:row>
    <x:row r="1433" ht="18.75" customHeight="1">
      <x:c r="A1433" s="1" t="str">
        <x:v>https://blog.skyairline.com/bebes/</x:v>
      </x:c>
      <x:c r="B1433" s="1" t="str">
        <x:v>aerolínea sky</x:v>
      </x:c>
      <x:c r="C1433" s="1" t="str">
        <x:v>chl</x:v>
      </x:c>
      <x:c r="D1433" s="1" t="str">
        <x:v>Marca</x:v>
      </x:c>
      <x:c r="E1433" s="35" t="n">
        <x:v>1</x:v>
      </x:c>
      <x:c r="F1433" s="36" t="n">
        <x:v>0.32</x:v>
      </x:c>
      <x:c r="G1433" s="36" t="n">
        <x:f>IF(ISNUMBER(F1433),E1433*F1433,"")</x:f>
        <x:v>0.32</x:v>
      </x:c>
      <x:c r="H1433" s="37" t="d">
        <x:v>2026-10-15T00:00:00.000Z</x:v>
      </x:c>
      <x:c r="I1433" s="37" t="d">
        <x:v>2026-09-16T14:02:45.000Z</x:v>
      </x:c>
      <x:c r="J1433" s="1" t="n">
        <x:f>IF(ISNUMBER(F1433),E1433,0)</x:f>
        <x:v>1</x:v>
      </x:c>
      <x:c r="K1433" s="1"/>
      <x:c r="L1433" s="1" t="str">
        <x:v>https://blog.skyairline.com/como-ir-de-punta-cana-santo-domingo-y-que-hacer-allii</x:v>
      </x:c>
      <x:c r="M1433" s="1" t="n">
        <x:v>0</x:v>
      </x:c>
    </x:row>
    <x:row r="1434" ht="18.75" customHeight="1">
      <x:c r="A1434" s="1" t="str">
        <x:v>https://blog.skyairline.com/bebes/</x:v>
      </x:c>
      <x:c r="B1434" s="1" t="str">
        <x:v>coche sky</x:v>
      </x:c>
      <x:c r="C1434" s="1" t="str">
        <x:v>chl</x:v>
      </x:c>
      <x:c r="D1434" s="1" t="str">
        <x:v>Marca</x:v>
      </x:c>
      <x:c r="E1434" s="35" t="n">
        <x:v>1</x:v>
      </x:c>
      <x:c r="F1434" s="36"/>
      <x:c r="G1434" s="36" t="str">
        <x:f>IF(ISNUMBER(F1434),E1434*F1434,"")</x:f>
      </x:c>
      <x:c r="H1434" s="37"/>
      <x:c r="I1434" s="37"/>
      <x:c r="J1434" s="1" t="n">
        <x:f>IF(ISNUMBER(F1434),E1434,0)</x:f>
        <x:v>0</x:v>
      </x:c>
      <x:c r="K1434" s="1"/>
      <x:c r="L1434" s="1" t="str">
        <x:v>https://blog.skyairline.com/como-ir-de-punta-cana-santo-domingo/</x:v>
      </x:c>
      <x:c r="M1434" s="1" t="n">
        <x:v>0</x:v>
      </x:c>
    </x:row>
    <x:row r="1435" ht="18.75" customHeight="1">
      <x:c r="A1435" s="1" t="str">
        <x:v>https://blog.skyairline.com/bebes/</x:v>
      </x:c>
      <x:c r="B1435" s="1" t="str">
        <x:v>en peru</x:v>
      </x:c>
      <x:c r="C1435" s="1" t="str">
        <x:v>per</x:v>
      </x:c>
      <x:c r="D1435" s="1" t="str">
        <x:v>Sin marca</x:v>
      </x:c>
      <x:c r="E1435" s="35" t="n">
        <x:v>1</x:v>
      </x:c>
      <x:c r="F1435" s="36"/>
      <x:c r="G1435" s="36" t="str">
        <x:f>IF(ISNUMBER(F1435),E1435*F1435,"")</x:f>
      </x:c>
      <x:c r="H1435" s="37" t="d">
        <x:v>2026-10-15T00:00:00.000Z</x:v>
      </x:c>
      <x:c r="I1435" s="37" t="d">
        <x:v>2026-09-17T10:02:43.000Z</x:v>
      </x:c>
      <x:c r="J1435" s="1" t="n">
        <x:f>IF(ISNUMBER(F1435),E1435,0)</x:f>
        <x:v>0</x:v>
      </x:c>
      <x:c r="K1435" s="1"/>
      <x:c r="L1435" s="1" t="str">
        <x:v>https://blog.skyairline.com/como-ir-de-punta-cana-to-santo-domingo-y-que-hacer-alli</x:v>
      </x:c>
      <x:c r="M1435" s="1" t="n">
        <x:v>0</x:v>
      </x:c>
    </x:row>
    <x:row r="1436" ht="18.75" customHeight="1">
      <x:c r="A1436" s="1" t="str">
        <x:v>https://blog.skyairline.com/bebes/</x:v>
      </x:c>
      <x:c r="B1436" s="1" t="str">
        <x:v>en sky?</x:v>
      </x:c>
      <x:c r="C1436" s="1" t="str">
        <x:v>chl</x:v>
      </x:c>
      <x:c r="D1436" s="1" t="str">
        <x:v>Marca</x:v>
      </x:c>
      <x:c r="E1436" s="35" t="n">
        <x:v>1</x:v>
      </x:c>
      <x:c r="F1436" s="36"/>
      <x:c r="G1436" s="36" t="str">
        <x:f>IF(ISNUMBER(F1436),E1436*F1436,"")</x:f>
      </x:c>
      <x:c r="H1436" s="37"/>
      <x:c r="I1436" s="37"/>
      <x:c r="J1436" s="1" t="n">
        <x:f>IF(ISNUMBER(F1436),E1436,0)</x:f>
        <x:v>0</x:v>
      </x:c>
      <x:c r="K1436" s="1"/>
      <x:c r="L1436" s="1" t="str">
        <x:v>https://blog.skyairline.com/como-ir-de-punta-cano-a-santo-domingo/</x:v>
      </x:c>
      <x:c r="M1436" s="1" t="n">
        <x:v>0</x:v>
      </x:c>
    </x:row>
    <x:row r="1437" ht="18.75" customHeight="1">
      <x:c r="A1437" s="1" t="str">
        <x:v>https://blog.skyairline.com/bebes/</x:v>
      </x:c>
      <x:c r="B1437" s="1" t="str">
        <x:v>nacional</x:v>
      </x:c>
      <x:c r="C1437" s="1" t="str">
        <x:v>chl</x:v>
      </x:c>
      <x:c r="D1437" s="1" t="str">
        <x:v>Sin marca</x:v>
      </x:c>
      <x:c r="E1437" s="35" t="n">
        <x:v>1</x:v>
      </x:c>
      <x:c r="F1437" s="36" t="n">
        <x:v>0.03</x:v>
      </x:c>
      <x:c r="G1437" s="36" t="n">
        <x:f>IF(ISNUMBER(F1437),E1437*F1437,"")</x:f>
        <x:v>0.03</x:v>
      </x:c>
      <x:c r="H1437" s="37" t="d">
        <x:v>2026-10-15T00:00:00.000Z</x:v>
      </x:c>
      <x:c r="I1437" s="37" t="d">
        <x:v>2026-09-17T07:55:48.000Z</x:v>
      </x:c>
      <x:c r="J1437" s="1" t="n">
        <x:f>IF(ISNUMBER(F1437),E1437,0)</x:f>
        <x:v>1</x:v>
      </x:c>
      <x:c r="K1437" s="1"/>
      <x:c r="L1437" s="1" t="str">
        <x:v>https://blog.skyairline.com/como-ir-de-puntacana-a-santo-domingo/</x:v>
      </x:c>
      <x:c r="M1437" s="1" t="n">
        <x:v>0</x:v>
      </x:c>
    </x:row>
    <x:row r="1438" ht="18.75" customHeight="1">
      <x:c r="A1438" s="1" t="str">
        <x:v>https://blog.skyairline.com/bebes/</x:v>
      </x:c>
      <x:c r="B1438" s="1" t="str">
        <x:v>sky</x:v>
      </x:c>
      <x:c r="C1438" s="1" t="str">
        <x:v>per</x:v>
      </x:c>
      <x:c r="D1438" s="1" t="str">
        <x:v>Marca</x:v>
      </x:c>
      <x:c r="E1438" s="35" t="n">
        <x:v>1</x:v>
      </x:c>
      <x:c r="F1438" s="36" t="n">
        <x:v>0.16</x:v>
      </x:c>
      <x:c r="G1438" s="36" t="n">
        <x:f>IF(ISNUMBER(F1438),E1438*F1438,"")</x:f>
        <x:v>0.16</x:v>
      </x:c>
      <x:c r="H1438" s="37" t="d">
        <x:v>2026-10-15T00:00:00.000Z</x:v>
      </x:c>
      <x:c r="I1438" s="37" t="d">
        <x:v>2026-09-15T03:38:50.000Z</x:v>
      </x:c>
      <x:c r="J1438" s="1" t="n">
        <x:f>IF(ISNUMBER(F1438),E1438,0)</x:f>
        <x:v>1</x:v>
      </x:c>
      <x:c r="K1438" s="1"/>
      <x:c r="L1438" s="1" t="str">
        <x:v>https://blog.skyairline.com/como-ir-de-santiago-a-pucon-como-preocupaciones</x:v>
      </x:c>
      <x:c r="M1438" s="1" t="n">
        <x:v>0</x:v>
      </x:c>
    </x:row>
    <x:row r="1439" ht="18.75" customHeight="1">
      <x:c r="A1439" s="1" t="str">
        <x:v>https://blog.skyairline.com/bebes/</x:v>
      </x:c>
      <x:c r="B1439" s="1" t="str">
        <x:v>sky airline</x:v>
      </x:c>
      <x:c r="C1439" s="1" t="str">
        <x:v>chl</x:v>
      </x:c>
      <x:c r="D1439" s="1" t="str">
        <x:v>Marca</x:v>
      </x:c>
      <x:c r="E1439" s="35" t="n">
        <x:v>1</x:v>
      </x:c>
      <x:c r="F1439" s="36" t="n">
        <x:v>0.29</x:v>
      </x:c>
      <x:c r="G1439" s="36" t="n">
        <x:f>IF(ISNUMBER(F1439),E1439*F1439,"")</x:f>
        <x:v>0.29</x:v>
      </x:c>
      <x:c r="H1439" s="37" t="d">
        <x:v>2026-10-15T00:00:00.000Z</x:v>
      </x:c>
      <x:c r="I1439" s="37" t="d">
        <x:v>2026-09-14T05:48:27.000Z</x:v>
      </x:c>
      <x:c r="J1439" s="1" t="n">
        <x:f>IF(ISNUMBER(F1439),E1439,0)</x:f>
        <x:v>1</x:v>
      </x:c>
      <x:c r="K1439" s="1"/>
      <x:c r="L1439" s="1" t="str">
        <x:v>https://blog.skyairline.com/como-ir-de-santiago-a-pucon-without-preocupaciones/</x:v>
      </x:c>
      <x:c r="M1439" s="1" t="n">
        <x:v>0</x:v>
      </x:c>
    </x:row>
    <x:row r="1440" ht="18.75" customHeight="1">
      <x:c r="A1440" s="1" t="str">
        <x:v>https://blog.skyairline.com/bebes/</x:v>
      </x:c>
      <x:c r="B1440" s="1" t="str">
        <x:v>sky arline</x:v>
      </x:c>
      <x:c r="C1440" s="1" t="str">
        <x:v>chl</x:v>
      </x:c>
      <x:c r="D1440" s="1" t="str">
        <x:v>Marca</x:v>
      </x:c>
      <x:c r="E1440" s="35" t="n">
        <x:v>1</x:v>
      </x:c>
      <x:c r="F1440" s="36"/>
      <x:c r="G1440" s="36" t="str">
        <x:f>IF(ISNUMBER(F1440),E1440*F1440,"")</x:f>
      </x:c>
      <x:c r="H1440" s="37"/>
      <x:c r="I1440" s="37"/>
      <x:c r="J1440" s="1" t="n">
        <x:f>IF(ISNUMBER(F1440),E1440,0)</x:f>
        <x:v>0</x:v>
      </x:c>
      <x:c r="K1440" s="1"/>
      <x:c r="L1440" s="1" t="str">
        <x:v>https://blog.skyairline.com/como-ir-de-santiago-con-preocupaciones/</x:v>
      </x:c>
      <x:c r="M1440" s="1" t="n">
        <x:v>0</x:v>
      </x:c>
    </x:row>
    <x:row r="1441" ht="18.75" customHeight="1">
      <x:c r="A1441" s="1" t="str">
        <x:v>https://blog.skyairline.com/bebes/</x:v>
      </x:c>
      <x:c r="B1441" s="1" t="str">
        <x:v>un bebe puede viajar con certificado de nacimiento</x:v>
      </x:c>
      <x:c r="C1441" s="1" t="str">
        <x:v>chl</x:v>
      </x:c>
      <x:c r="D1441" s="1" t="str">
        <x:v>Sin marca</x:v>
      </x:c>
      <x:c r="E1441" s="35" t="n">
        <x:v>1</x:v>
      </x:c>
      <x:c r="F1441" s="36"/>
      <x:c r="G1441" s="36" t="str">
        <x:f>IF(ISNUMBER(F1441),E1441*F1441,"")</x:f>
      </x:c>
      <x:c r="H1441" s="37"/>
      <x:c r="I1441" s="37"/>
      <x:c r="J1441" s="1" t="n">
        <x:f>IF(ISNUMBER(F1441),E1441,0)</x:f>
        <x:v>0</x:v>
      </x:c>
      <x:c r="K1441" s="1"/>
      <x:c r="L1441" s="1" t="str">
        <x:v>https://blog.skyairline.com/como-ir-de-santiago-pucon-sin-preocupaciones/</x:v>
      </x:c>
      <x:c r="M1441" s="1" t="n">
        <x:v>0</x:v>
      </x:c>
    </x:row>
    <x:row r="1442" ht="18.75" customHeight="1">
      <x:c r="A1442" s="1" t="str">
        <x:v>https://blog.skyairline.com/bebes/</x:v>
      </x:c>
      <x:c r="B1442" s="1" t="str">
        <x:v>y el certificado de nacimiento</x:v>
      </x:c>
      <x:c r="C1442" s="1" t="str">
        <x:v>chl</x:v>
      </x:c>
      <x:c r="D1442" s="1" t="str">
        <x:v>Sin marca</x:v>
      </x:c>
      <x:c r="E1442" s="35" t="n">
        <x:v>1</x:v>
      </x:c>
      <x:c r="F1442" s="36"/>
      <x:c r="G1442" s="36" t="str">
        <x:f>IF(ISNUMBER(F1442),E1442*F1442,"")</x:f>
      </x:c>
      <x:c r="H1442" s="37"/>
      <x:c r="I1442" s="37"/>
      <x:c r="J1442" s="1" t="n">
        <x:f>IF(ISNUMBER(F1442),E1442,0)</x:f>
        <x:v>0</x:v>
      </x:c>
      <x:c r="K1442" s="1"/>
      <x:c r="L1442" s="1" t="str">
        <x:v>https://blog.skyairline.com/como-ir-santiago-pucon-sin-preocupaciones/</x:v>
      </x:c>
      <x:c r="M1442" s="1" t="n">
        <x:v>0</x:v>
      </x:c>
    </x:row>
    <x:row r="1443" ht="18.75" customHeight="1">
      <x:c r="A1443" s="1" t="str">
        <x:v>https://blog.skyairline.com/bebidas-tipicas-peru/</x:v>
      </x:c>
      <x:c r="B1443" s="1" t="str">
        <x:v>bebida de peru tipica</x:v>
      </x:c>
      <x:c r="C1443" s="1" t="str">
        <x:v>mex</x:v>
      </x:c>
      <x:c r="D1443" s="1" t="str">
        <x:v>Sin marca</x:v>
      </x:c>
      <x:c r="E1443" s="35" t="n">
        <x:v>1</x:v>
      </x:c>
      <x:c r="F1443" s="36"/>
      <x:c r="G1443" s="36" t="str">
        <x:f>IF(ISNUMBER(F1443),E1443*F1443,"")</x:f>
      </x:c>
      <x:c r="H1443" s="37"/>
      <x:c r="I1443" s="37"/>
      <x:c r="J1443" s="1" t="n">
        <x:f>IF(ISNUMBER(F1443),E1443,0)</x:f>
        <x:v>0</x:v>
      </x:c>
      <x:c r="K1443" s="1"/>
      <x:c r="L1443" s="1" t="str">
        <x:v>https://blog.skyairline.com/como-llegar-a-ayacucho-y-que-hacer-en-esta-ciudad-llena-de-cultura/</x:v>
      </x:c>
      <x:c r="M1443" s="1" t="n">
        <x:v>0</x:v>
      </x:c>
    </x:row>
    <x:row r="1444" ht="18.75" customHeight="1">
      <x:c r="A1444" s="1" t="str">
        <x:v>https://blog.skyairline.com/bebidas-tipicas-peru/</x:v>
      </x:c>
      <x:c r="B1444" s="1" t="str">
        <x:v>bebida típica peruana</x:v>
      </x:c>
      <x:c r="C1444" s="1" t="str">
        <x:v>per</x:v>
      </x:c>
      <x:c r="D1444" s="1" t="str">
        <x:v>Sin marca</x:v>
      </x:c>
      <x:c r="E1444" s="35" t="n">
        <x:v>1</x:v>
      </x:c>
      <x:c r="F1444" s="36"/>
      <x:c r="G1444" s="36" t="str">
        <x:f>IF(ISNUMBER(F1444),E1444*F1444,"")</x:f>
      </x:c>
      <x:c r="H1444" s="37" t="d">
        <x:v>2026-10-15T00:00:00.000Z</x:v>
      </x:c>
      <x:c r="I1444" s="37" t="d">
        <x:v>2026-09-17T03:18:50.000Z</x:v>
      </x:c>
      <x:c r="J1444" s="1" t="n">
        <x:f>IF(ISNUMBER(F1444),E1444,0)</x:f>
        <x:v>0</x:v>
      </x:c>
      <x:c r="K1444" s="1"/>
      <x:c r="L1444" s="1" t="str">
        <x:v>https://blog.skyairline.com/como-llegar-a-este-hermoso-nevado-desde-lima/</x:v>
      </x:c>
      <x:c r="M1444" s="1" t="n">
        <x:v>0</x:v>
      </x:c>
    </x:row>
    <x:row r="1445" ht="18.75" customHeight="1">
      <x:c r="A1445" s="1" t="str">
        <x:v>https://blog.skyairline.com/bebidas-tipicas-peru/</x:v>
      </x:c>
      <x:c r="B1445" s="1" t="str">
        <x:v>bebidas peruanas</x:v>
      </x:c>
      <x:c r="C1445" s="1" t="str">
        <x:v>chl</x:v>
      </x:c>
      <x:c r="D1445" s="1" t="str">
        <x:v>Sin marca</x:v>
      </x:c>
      <x:c r="E1445" s="35" t="n">
        <x:v>1</x:v>
      </x:c>
      <x:c r="F1445" s="36"/>
      <x:c r="G1445" s="36" t="str">
        <x:f>IF(ISNUMBER(F1445),E1445*F1445,"")</x:f>
      </x:c>
      <x:c r="H1445" s="37" t="d">
        <x:v>2026-10-15T00:00:00.000Z</x:v>
      </x:c>
      <x:c r="I1445" s="37" t="d">
        <x:v>2026-09-13T13:40:59.000Z</x:v>
      </x:c>
      <x:c r="J1445" s="1" t="n">
        <x:f>IF(ISNUMBER(F1445),E1445,0)</x:f>
        <x:v>0</x:v>
      </x:c>
      <x:c r="K1445" s="1"/>
      <x:c r="L1445" s="1" t="str">
        <x:v>https://blog.skyairline.com/como-llegar-a-holbox-y-por-que-vale-la-pena-esta-aventura?</x:v>
      </x:c>
      <x:c r="M1445" s="1" t="n">
        <x:v>0</x:v>
      </x:c>
    </x:row>
    <x:row r="1446" ht="18.75" customHeight="1">
      <x:c r="A1446" s="1" t="str">
        <x:v>https://blog.skyairline.com/beco-do-batman/</x:v>
      </x:c>
      <x:c r="B1446" s="1" t="str">
        <x:v>beco da batman</x:v>
      </x:c>
      <x:c r="C1446" s="1" t="str">
        <x:v>bra</x:v>
      </x:c>
      <x:c r="D1446" s="1" t="str">
        <x:v>Sin marca</x:v>
      </x:c>
      <x:c r="E1446" s="35" t="n">
        <x:v>1</x:v>
      </x:c>
      <x:c r="F1446" s="36"/>
      <x:c r="G1446" s="36" t="str">
        <x:f>IF(ISNUMBER(F1446),E1446*F1446,"")</x:f>
      </x:c>
      <x:c r="H1446" s="37"/>
      <x:c r="I1446" s="37"/>
      <x:c r="J1446" s="1" t="n">
        <x:f>IF(ISNUMBER(F1446),E1446,0)</x:f>
        <x:v>0</x:v>
      </x:c>
      <x:c r="K1446" s="1"/>
      <x:c r="L1446" s="1" t="str">
        <x:v>https://blog.skyairline.com/como-llegar-a-holbox/</x:v>
      </x:c>
      <x:c r="M1446" s="1" t="n">
        <x:v>0</x:v>
      </x:c>
    </x:row>
    <x:row r="1447" ht="18.75" customHeight="1">
      <x:c r="A1447" s="1" t="str">
        <x:v>https://blog.skyairline.com/beco-do-batman/</x:v>
      </x:c>
      <x:c r="B1447" s="1" t="str">
        <x:v>beco do batman sao paulo</x:v>
      </x:c>
      <x:c r="C1447" s="1" t="str">
        <x:v>bol</x:v>
      </x:c>
      <x:c r="D1447" s="1" t="str">
        <x:v>Sin marca</x:v>
      </x:c>
      <x:c r="E1447" s="35" t="n">
        <x:v>1</x:v>
      </x:c>
      <x:c r="F1447" s="36"/>
      <x:c r="G1447" s="36" t="str">
        <x:f>IF(ISNUMBER(F1447),E1447*F1447,"")</x:f>
      </x:c>
      <x:c r="H1447" s="37"/>
      <x:c r="I1447" s="37"/>
      <x:c r="J1447" s="1" t="n">
        <x:f>IF(ISNUMBER(F1447),E1447,0)</x:f>
        <x:v>0</x:v>
      </x:c>
      <x:c r="K1447" s="1"/>
      <x:c r="L1447" s="1" t="str">
        <x:v>https://blog.skyairline.com/como-llegar-a-machu-picchu/</x:v>
      </x:c>
      <x:c r="M1447" s="1" t="n">
        <x:v>0</x:v>
      </x:c>
    </x:row>
    <x:row r="1448" ht="18.75" customHeight="1">
      <x:c r="A1448" s="1" t="str">
        <x:v>https://blog.skyairline.com/beto-carrero-world-santa-catarina-parque-tematico/</x:v>
      </x:c>
      <x:c r="B1448" s="1" t="str">
        <x:v>beto carrero donde queda</x:v>
      </x:c>
      <x:c r="C1448" s="1" t="str">
        <x:v>chl</x:v>
      </x:c>
      <x:c r="D1448" s="1" t="str">
        <x:v>Sin marca</x:v>
      </x:c>
      <x:c r="E1448" s="35" t="n">
        <x:v>1</x:v>
      </x:c>
      <x:c r="F1448" s="36"/>
      <x:c r="G1448" s="36" t="str">
        <x:f>IF(ISNUMBER(F1448),E1448*F1448,"")</x:f>
      </x:c>
      <x:c r="H1448" s="37" t="d">
        <x:v>2026-10-15T00:00:00.000Z</x:v>
      </x:c>
      <x:c r="I1448" s="37" t="d">
        <x:v>2026-09-14T02:56:23.000Z</x:v>
      </x:c>
      <x:c r="J1448" s="1" t="n">
        <x:f>IF(ISNUMBER(F1448),E1448,0)</x:f>
        <x:v>0</x:v>
      </x:c>
      <x:c r="K1448" s="1"/>
      <x:c r="L1448" s="1" t="str">
        <x:v>https://blog.skyairline.com/como-llegar-a-pucon-sin-preocupaciones/</x:v>
      </x:c>
      <x:c r="M1448" s="1" t="n">
        <x:v>0</x:v>
      </x:c>
    </x:row>
    <x:row r="1449" ht="18.75" customHeight="1">
      <x:c r="A1449" s="1" t="str">
        <x:v>https://blog.skyairline.com/beto-carrero/</x:v>
      </x:c>
      <x:c r="B1449" s="1" t="str">
        <x:v>beto carrero</x:v>
      </x:c>
      <x:c r="C1449" s="1" t="str">
        <x:v>chl</x:v>
      </x:c>
      <x:c r="D1449" s="1" t="str">
        <x:v>Sin marca</x:v>
      </x:c>
      <x:c r="E1449" s="35" t="n">
        <x:v>1</x:v>
      </x:c>
      <x:c r="F1449" s="36" t="n">
        <x:v>0.95</x:v>
      </x:c>
      <x:c r="G1449" s="36" t="n">
        <x:f>IF(ISNUMBER(F1449),E1449*F1449,"")</x:f>
        <x:v>0.95</x:v>
      </x:c>
      <x:c r="H1449" s="37" t="d">
        <x:v>2026-10-15T00:00:00.000Z</x:v>
      </x:c>
      <x:c r="I1449" s="37" t="d">
        <x:v>2026-09-17T22:22:07.000Z</x:v>
      </x:c>
      <x:c r="J1449" s="1" t="n">
        <x:f>IF(ISNUMBER(F1449),E1449,0)</x:f>
        <x:v>1</x:v>
      </x:c>
      <x:c r="K1449" s="1"/>
      <x:c r="L1449" s="1" t="str">
        <x:v>https://blog.skyairline.com/como-llegar-a-san-pedro-de-atacama-desde-calama</x:v>
      </x:c>
      <x:c r="M1449" s="1" t="n">
        <x:v>0</x:v>
      </x:c>
    </x:row>
    <x:row r="1450" ht="18.75" customHeight="1">
      <x:c r="A1450" s="1" t="str">
        <x:v>https://blog.skyairline.com/beto-carrero/</x:v>
      </x:c>
      <x:c r="B1450" s="1" t="str">
        <x:v>beto carrero donde esta</x:v>
      </x:c>
      <x:c r="C1450" s="1" t="str">
        <x:v>ury</x:v>
      </x:c>
      <x:c r="D1450" s="1" t="str">
        <x:v>Sin marca</x:v>
      </x:c>
      <x:c r="E1450" s="35" t="n">
        <x:v>1</x:v>
      </x:c>
      <x:c r="F1450" s="36"/>
      <x:c r="G1450" s="36" t="str">
        <x:f>IF(ISNUMBER(F1450),E1450*F1450,"")</x:f>
      </x:c>
      <x:c r="H1450" s="37"/>
      <x:c r="I1450" s="37"/>
      <x:c r="J1450" s="1" t="n">
        <x:f>IF(ISNUMBER(F1450),E1450,0)</x:f>
        <x:v>0</x:v>
      </x:c>
      <x:c r="K1450" s="1"/>
      <x:c r="L1450" s="1" t="str">
        <x:v>https://blog.skyairline.com/como-llegar-a-santa-cruz-y-que-hacer-una-vez-ahi</x:v>
      </x:c>
      <x:c r="M1450" s="1" t="n">
        <x:v>0</x:v>
      </x:c>
    </x:row>
    <x:row r="1451" ht="18.75" customHeight="1">
      <x:c r="A1451" s="1" t="str">
        <x:v>https://blog.skyairline.com/beto-carrero/</x:v>
      </x:c>
      <x:c r="B1451" s="1" t="str">
        <x:v>beto carrero world brasil</x:v>
      </x:c>
      <x:c r="C1451" s="1" t="str">
        <x:v>chl</x:v>
      </x:c>
      <x:c r="D1451" s="1" t="str">
        <x:v>Sin marca</x:v>
      </x:c>
      <x:c r="E1451" s="35" t="n">
        <x:v>1</x:v>
      </x:c>
      <x:c r="F1451" s="36" t="n">
        <x:v>0.07</x:v>
      </x:c>
      <x:c r="G1451" s="36" t="n">
        <x:f>IF(ISNUMBER(F1451),E1451*F1451,"")</x:f>
        <x:v>0.07</x:v>
      </x:c>
      <x:c r="H1451" s="37" t="d">
        <x:v>2026-10-15T00:00:00.000Z</x:v>
      </x:c>
      <x:c r="I1451" s="37" t="d">
        <x:v>2026-10-15T07:26:07.000Z</x:v>
      </x:c>
      <x:c r="J1451" s="1" t="n">
        <x:f>IF(ISNUMBER(F1451),E1451,0)</x:f>
        <x:v>1</x:v>
      </x:c>
      <x:c r="K1451" s="1"/>
      <x:c r="L1451" s="1" t="str">
        <x:v>https://blog.skyairline.com/como-llegar-muchu-picchu/</x:v>
      </x:c>
      <x:c r="M1451" s="1" t="n">
        <x:v>0</x:v>
      </x:c>
    </x:row>
    <x:row r="1452" ht="18.75" customHeight="1">
      <x:c r="A1452" s="1" t="str">
        <x:v>https://blog.skyairline.com/beto-carrero/</x:v>
      </x:c>
      <x:c r="B1452" s="1" t="str">
        <x:v>donde esta beto carrero</x:v>
      </x:c>
      <x:c r="C1452" s="1" t="str">
        <x:v>chl</x:v>
      </x:c>
      <x:c r="D1452" s="1" t="str">
        <x:v>Sin marca</x:v>
      </x:c>
      <x:c r="E1452" s="35" t="n">
        <x:v>1</x:v>
      </x:c>
      <x:c r="F1452" s="36"/>
      <x:c r="G1452" s="36" t="str">
        <x:f>IF(ISNUMBER(F1452),E1452*F1452,"")</x:f>
      </x:c>
      <x:c r="H1452" s="37"/>
      <x:c r="I1452" s="37"/>
      <x:c r="J1452" s="1" t="n">
        <x:f>IF(ISNUMBER(F1452),E1452,0)</x:f>
        <x:v>0</x:v>
      </x:c>
      <x:c r="K1452" s="1"/>
      <x:c r="L1452" s="1" t="str">
        <x:v>https://blog.skyairline.com/como-salir-de-la-rutina/</x:v>
      </x:c>
      <x:c r="M1452" s="1" t="n">
        <x:v>0</x:v>
      </x:c>
    </x:row>
    <x:row r="1453" ht="18.75" customHeight="1">
      <x:c r="A1453" s="1" t="str">
        <x:v>https://blog.skyairline.com/beto-carrero/</x:v>
      </x:c>
      <x:c r="B1453" s="1" t="str">
        <x:v>donde queda beto carrero</x:v>
      </x:c>
      <x:c r="C1453" s="1" t="str">
        <x:v>chl</x:v>
      </x:c>
      <x:c r="D1453" s="1" t="str">
        <x:v>Sin marca</x:v>
      </x:c>
      <x:c r="E1453" s="35" t="n">
        <x:v>1</x:v>
      </x:c>
      <x:c r="F1453" s="36"/>
      <x:c r="G1453" s="36" t="str">
        <x:f>IF(ISNUMBER(F1453),E1453*F1453,"")</x:f>
      </x:c>
      <x:c r="H1453" s="37" t="d">
        <x:v>2026-10-15T00:00:00.000Z</x:v>
      </x:c>
      <x:c r="I1453" s="37" t="d">
        <x:v>2026-09-15T14:23:37.000Z</x:v>
      </x:c>
      <x:c r="J1453" s="1" t="n">
        <x:f>IF(ISNUMBER(F1453),E1453,0)</x:f>
        <x:v>0</x:v>
      </x:c>
      <x:c r="K1453" s="1"/>
      <x:c r="L1453" s="1" t="str">
        <x:v>https://blog.skyairline.com/como-viajar-con-poco-dinero/</x:v>
      </x:c>
      <x:c r="M1453" s="1" t="n">
        <x:v>0</x:v>
      </x:c>
    </x:row>
    <x:row r="1454" ht="18.75" customHeight="1">
      <x:c r="A1454" s="1" t="str">
        <x:v>https://blog.skyairline.com/beto-carrero/</x:v>
      </x:c>
      <x:c r="B1454" s="1" t="str">
        <x:v>donde queda beto carrero</x:v>
      </x:c>
      <x:c r="C1454" s="1" t="str">
        <x:v>ury</x:v>
      </x:c>
      <x:c r="D1454" s="1" t="str">
        <x:v>Sin marca</x:v>
      </x:c>
      <x:c r="E1454" s="35" t="n">
        <x:v>1</x:v>
      </x:c>
      <x:c r="F1454" s="36"/>
      <x:c r="G1454" s="36" t="str">
        <x:f>IF(ISNUMBER(F1454),E1454*F1454,"")</x:f>
      </x:c>
      <x:c r="H1454" s="37"/>
      <x:c r="I1454" s="37"/>
      <x:c r="J1454" s="1" t="n">
        <x:f>IF(ISNUMBER(F1454),E1454,0)</x:f>
        <x:v>0</x:v>
      </x:c>
      <x:c r="K1454" s="1"/>
      <x:c r="L1454" s="1" t="str">
        <x:v>https://blog.skyairline.com/como-visitar-eje-cafetero-desde-aeropuerto-el-dorado-bogota</x:v>
      </x:c>
      <x:c r="M1454" s="1" t="n">
        <x:v>0</x:v>
      </x:c>
    </x:row>
    <x:row r="1455" ht="18.75" customHeight="1">
      <x:c r="A1455" s="1" t="str">
        <x:v>https://blog.skyairline.com/beto-carrero/</x:v>
      </x:c>
      <x:c r="B1455" s="1" t="str">
        <x:v>donde queda beto carrero world</x:v>
      </x:c>
      <x:c r="C1455" s="1" t="str">
        <x:v>chl</x:v>
      </x:c>
      <x:c r="D1455" s="1" t="str">
        <x:v>Sin marca</x:v>
      </x:c>
      <x:c r="E1455" s="35" t="n">
        <x:v>1</x:v>
      </x:c>
      <x:c r="F1455" s="36"/>
      <x:c r="G1455" s="36" t="str">
        <x:f>IF(ISNUMBER(F1455),E1455*F1455,"")</x:f>
      </x:c>
      <x:c r="H1455" s="37"/>
      <x:c r="I1455" s="37"/>
      <x:c r="J1455" s="1" t="n">
        <x:f>IF(ISNUMBER(F1455),E1455,0)</x:f>
        <x:v>0</x:v>
      </x:c>
      <x:c r="K1455" s="1"/>
      <x:c r="L1455" s="1" t="str">
        <x:v>https://blog.skyairline.com/como-visitar-eje-cafetero-desde-el-aeropuerto-el-dorado/</x:v>
      </x:c>
      <x:c r="M1455" s="1" t="n">
        <x:v>0</x:v>
      </x:c>
    </x:row>
    <x:row r="1456" ht="18.75" customHeight="1">
      <x:c r="A1456" s="1" t="str">
        <x:v>https://blog.skyairline.com/beto-carrero/</x:v>
      </x:c>
      <x:c r="B1456" s="1" t="str">
        <x:v>paquetes a beto carrero world</x:v>
      </x:c>
      <x:c r="C1456" s="1" t="str">
        <x:v>chl</x:v>
      </x:c>
      <x:c r="D1456" s="1" t="str">
        <x:v>Sin marca</x:v>
      </x:c>
      <x:c r="E1456" s="35" t="n">
        <x:v>1</x:v>
      </x:c>
      <x:c r="F1456" s="36"/>
      <x:c r="G1456" s="36" t="str">
        <x:f>IF(ISNUMBER(F1456),E1456*F1456,"")</x:f>
      </x:c>
      <x:c r="H1456" s="37" t="d">
        <x:v>2026-10-15T00:00:00.000Z</x:v>
      </x:c>
      <x:c r="I1456" s="37" t="d">
        <x:v>2026-09-17T13:01:46.000Z</x:v>
      </x:c>
      <x:c r="J1456" s="1" t="n">
        <x:f>IF(ISNUMBER(F1456),E1456,0)</x:f>
        <x:v>0</x:v>
      </x:c>
      <x:c r="K1456" s="1"/>
      <x:c r="L1456" s="1" t="str">
        <x:v>https://blog.skyairline.com/comodoro-rivadavia/</x:v>
      </x:c>
      <x:c r="M1456" s="1" t="n">
        <x:v>0</x:v>
      </x:c>
    </x:row>
    <x:row r="1457" ht="18.75" customHeight="1">
      <x:c r="A1457" s="1" t="str">
        <x:v>https://blog.skyairline.com/beto-carrero/</x:v>
      </x:c>
      <x:c r="B1457" s="1" t="str">
        <x:v>parque beto carrero brasil</x:v>
      </x:c>
      <x:c r="C1457" s="1" t="str">
        <x:v>chl</x:v>
      </x:c>
      <x:c r="D1457" s="1" t="str">
        <x:v>Sin marca</x:v>
      </x:c>
      <x:c r="E1457" s="35" t="n">
        <x:v>1</x:v>
      </x:c>
      <x:c r="F1457" s="36" t="n">
        <x:v>0.53</x:v>
      </x:c>
      <x:c r="G1457" s="36" t="n">
        <x:f>IF(ISNUMBER(F1457),E1457*F1457,"")</x:f>
        <x:v>0.53</x:v>
      </x:c>
      <x:c r="H1457" s="37" t="d">
        <x:v>2026-10-15T00:00:00.000Z</x:v>
      </x:c>
      <x:c r="I1457" s="37" t="d">
        <x:v>2026-09-15T01:03:23.999Z</x:v>
      </x:c>
      <x:c r="J1457" s="1" t="n">
        <x:f>IF(ISNUMBER(F1457),E1457,0)</x:f>
        <x:v>1</x:v>
      </x:c>
      <x:c r="K1457" s="1"/>
      <x:c r="L1457" s="1" t="str">
        <x:v>https://blog.skyairline.com/comprar-online/</x:v>
      </x:c>
      <x:c r="M1457" s="1" t="n">
        <x:v>0</x:v>
      </x:c>
    </x:row>
    <x:row r="1458" ht="18.75" customHeight="1">
      <x:c r="A1458" s="1" t="str">
        <x:v>https://blog.skyairline.com/beto-carrero/</x:v>
      </x:c>
      <x:c r="B1458" s="1" t="str">
        <x:v>parque de diversiones florianopolis</x:v>
      </x:c>
      <x:c r="C1458" s="1" t="str">
        <x:v>chl</x:v>
      </x:c>
      <x:c r="D1458" s="1" t="str">
        <x:v>Sin marca</x:v>
      </x:c>
      <x:c r="E1458" s="35" t="n">
        <x:v>1</x:v>
      </x:c>
      <x:c r="F1458" s="36" t="n">
        <x:v>0.54</x:v>
      </x:c>
      <x:c r="G1458" s="36" t="n">
        <x:f>IF(ISNUMBER(F1458),E1458*F1458,"")</x:f>
        <x:v>0.54</x:v>
      </x:c>
      <x:c r="H1458" s="37" t="d">
        <x:v>2026-10-15T00:00:00.000Z</x:v>
      </x:c>
      <x:c r="I1458" s="37" t="d">
        <x:v>2026-09-17T11:14:07.000Z</x:v>
      </x:c>
      <x:c r="J1458" s="1" t="n">
        <x:f>IF(ISNUMBER(F1458),E1458,0)</x:f>
        <x:v>1</x:v>
      </x:c>
      <x:c r="K1458" s="1"/>
      <x:c r="L1458" s="1" t="str">
        <x:v>https://blog.skyairline.com/comprar-pacajes-baratos/</x:v>
      </x:c>
      <x:c r="M1458" s="1" t="n">
        <x:v>0</x:v>
      </x:c>
    </x:row>
    <x:row r="1459" ht="18.75" customHeight="1">
      <x:c r="A1459" s="1" t="str">
        <x:v>https://blog.skyairline.com/beto-carrero/</x:v>
      </x:c>
      <x:c r="B1459" s="1" t="str">
        <x:v>parque tematico brasil</x:v>
      </x:c>
      <x:c r="C1459" s="1" t="str">
        <x:v>chl</x:v>
      </x:c>
      <x:c r="D1459" s="1" t="str">
        <x:v>Sin marca</x:v>
      </x:c>
      <x:c r="E1459" s="35" t="n">
        <x:v>1</x:v>
      </x:c>
      <x:c r="F1459" s="36"/>
      <x:c r="G1459" s="36" t="str">
        <x:f>IF(ISNUMBER(F1459),E1459*F1459,"")</x:f>
      </x:c>
      <x:c r="H1459" s="37"/>
      <x:c r="I1459" s="37"/>
      <x:c r="J1459" s="1" t="n">
        <x:f>IF(ISNUMBER(F1459),E1459,0)</x:f>
        <x:v>0</x:v>
      </x:c>
      <x:c r="K1459" s="1"/>
      <x:c r="L1459" s="1" t="str">
        <x:v>https://blog.skyairline.com/compras-en-cancun/</x:v>
      </x:c>
      <x:c r="M1459" s="1" t="n">
        <x:v>0</x:v>
      </x:c>
    </x:row>
    <x:row r="1460" ht="18.75" customHeight="1">
      <x:c r="A1460" s="1" t="str">
        <x:v>https://blog.skyairline.com/bicicleta-en-avion/</x:v>
      </x:c>
      <x:c r="B1460" s="1" t="str">
        <x:v>cuanto cuesta llevar una bicicleta en avión</x:v>
      </x:c>
      <x:c r="C1460" s="1" t="str">
        <x:v>chl</x:v>
      </x:c>
      <x:c r="D1460" s="1" t="str">
        <x:v>Sin marca</x:v>
      </x:c>
      <x:c r="E1460" s="35" t="n">
        <x:v>1</x:v>
      </x:c>
      <x:c r="F1460" s="36"/>
      <x:c r="G1460" s="36" t="str">
        <x:f>IF(ISNUMBER(F1460),E1460*F1460,"")</x:f>
      </x:c>
      <x:c r="H1460" s="37"/>
      <x:c r="I1460" s="37"/>
      <x:c r="J1460" s="1" t="n">
        <x:f>IF(ISNUMBER(F1460),E1460,0)</x:f>
        <x:v>0</x:v>
      </x:c>
      <x:c r="K1460" s="1"/>
      <x:c r="L1460" s="1" t="str">
        <x:v>https://blog.skyairline.com/compromiso-en-las-alturas-sky-y-la-restauracion-de-las-torres-del-paine/</x:v>
      </x:c>
      <x:c r="M1460" s="1" t="n">
        <x:v>0</x:v>
      </x:c>
    </x:row>
    <x:row r="1461" ht="18.75" customHeight="1">
      <x:c r="A1461" s="1" t="str">
        <x:v>https://blog.skyairline.com/bicicleta-en-avion/</x:v>
      </x:c>
      <x:c r="B1461" s="1" t="str">
        <x:v>maleta bicicleta avion</x:v>
      </x:c>
      <x:c r="C1461" s="1" t="str">
        <x:v>chl</x:v>
      </x:c>
      <x:c r="D1461" s="1" t="str">
        <x:v>Sin marca</x:v>
      </x:c>
      <x:c r="E1461" s="35" t="n">
        <x:v>1</x:v>
      </x:c>
      <x:c r="F1461" s="36" t="n">
        <x:v>0.13</x:v>
      </x:c>
      <x:c r="G1461" s="36" t="n">
        <x:f>IF(ISNUMBER(F1461),E1461*F1461,"")</x:f>
        <x:v>0.13</x:v>
      </x:c>
      <x:c r="H1461" s="37" t="d">
        <x:v>2026-10-15T00:00:00.000Z</x:v>
      </x:c>
      <x:c r="I1461" s="37" t="d">
        <x:v>2026-09-16T12:17:57.000Z</x:v>
      </x:c>
      <x:c r="J1461" s="1" t="n">
        <x:f>IF(ISNUMBER(F1461),E1461,0)</x:f>
        <x:v>1</x:v>
      </x:c>
      <x:c r="K1461" s="1"/>
      <x:c r="L1461" s="1" t="str">
        <x:v>https://blog.skyairline.com/concepcion/</x:v>
      </x:c>
      <x:c r="M1461" s="1" t="n">
        <x:v>0</x:v>
      </x:c>
    </x:row>
    <x:row r="1462" ht="18.75" customHeight="1">
      <x:c r="A1462" s="1" t="str">
        <x:v>https://blog.skyairline.com/bicicleta-en-avion/</x:v>
      </x:c>
      <x:c r="B1462" s="1" t="str">
        <x:v>sky bicicleta</x:v>
      </x:c>
      <x:c r="C1462" s="1" t="str">
        <x:v>chl</x:v>
      </x:c>
      <x:c r="D1462" s="1" t="str">
        <x:v>Marca</x:v>
      </x:c>
      <x:c r="E1462" s="35" t="n">
        <x:v>1</x:v>
      </x:c>
      <x:c r="F1462" s="36"/>
      <x:c r="G1462" s="36" t="str">
        <x:f>IF(ISNUMBER(F1462),E1462*F1462,"")</x:f>
      </x:c>
      <x:c r="H1462" s="37"/>
      <x:c r="I1462" s="37"/>
      <x:c r="J1462" s="1" t="n">
        <x:f>IF(ISNUMBER(F1462),E1462,0)</x:f>
        <x:v>0</x:v>
      </x:c>
      <x:c r="K1462" s="1"/>
      <x:c r="L1462" s="1" t="str">
        <x:v>https://blog.skyairline.com/conciertos-2025/</x:v>
      </x:c>
      <x:c r="M1462" s="1" t="n">
        <x:v>0</x:v>
      </x:c>
    </x:row>
    <x:row r="1463" ht="18.75" customHeight="1">
      <x:c r="A1463" s="1" t="str">
        <x:v>https://blog.skyairline.com/bitacora-de-viajes/</x:v>
      </x:c>
      <x:c r="B1463" s="1" t="str">
        <x:v>bitacora de viajero</x:v>
      </x:c>
      <x:c r="C1463" s="1" t="str">
        <x:v>chl</x:v>
      </x:c>
      <x:c r="D1463" s="1" t="str">
        <x:v>Sin marca</x:v>
      </x:c>
      <x:c r="E1463" s="35" t="n">
        <x:v>1</x:v>
      </x:c>
      <x:c r="F1463" s="36" t="n">
        <x:v>0.12</x:v>
      </x:c>
      <x:c r="G1463" s="36" t="n">
        <x:f>IF(ISNUMBER(F1463),E1463*F1463,"")</x:f>
        <x:v>0.12</x:v>
      </x:c>
      <x:c r="H1463" s="37" t="d">
        <x:v>2026-10-15T00:00:00.000Z</x:v>
      </x:c>
      <x:c r="I1463" s="37" t="d">
        <x:v>2026-09-16T22:48:48.000Z</x:v>
      </x:c>
      <x:c r="J1463" s="1" t="n">
        <x:f>IF(ISNUMBER(F1463),E1463,0)</x:f>
        <x:v>1</x:v>
      </x:c>
      <x:c r="K1463" s="1"/>
      <x:c r="L1463" s="1" t="str">
        <x:v>https://blog.skyairline.com/conciertos-en-diciembre-mexico/</x:v>
      </x:c>
      <x:c r="M1463" s="1" t="n">
        <x:v>0</x:v>
      </x:c>
    </x:row>
    <x:row r="1464" ht="18.75" customHeight="1">
      <x:c r="A1464" s="1" t="str">
        <x:v>https://blog.skyairline.com/bitacora-de-viajes/</x:v>
      </x:c>
      <x:c r="B1464" s="1" t="str">
        <x:v>bitácora de viaje ejemplo</x:v>
      </x:c>
      <x:c r="C1464" s="1" t="str">
        <x:v>mex</x:v>
      </x:c>
      <x:c r="D1464" s="1" t="str">
        <x:v>Sin marca</x:v>
      </x:c>
      <x:c r="E1464" s="35" t="n">
        <x:v>1</x:v>
      </x:c>
      <x:c r="F1464" s="36"/>
      <x:c r="G1464" s="36" t="str">
        <x:f>IF(ISNUMBER(F1464),E1464*F1464,"")</x:f>
      </x:c>
      <x:c r="H1464" s="37"/>
      <x:c r="I1464" s="37"/>
      <x:c r="J1464" s="1" t="n">
        <x:f>IF(ISNUMBER(F1464),E1464,0)</x:f>
        <x:v>0</x:v>
      </x:c>
      <x:c r="K1464" s="1"/>
      <x:c r="L1464" s="1" t="str">
        <x:v>https://blog.skyairline.com/conciertos-en-lima/</x:v>
      </x:c>
      <x:c r="M1464" s="1" t="n">
        <x:v>0</x:v>
      </x:c>
    </x:row>
    <x:row r="1465" ht="18.75" customHeight="1">
      <x:c r="A1465" s="1" t="str">
        <x:v>https://blog.skyairline.com/bitacora-de-viajes/</x:v>
      </x:c>
      <x:c r="B1465" s="1" t="str">
        <x:v>como hacer una bitácora de viaje</x:v>
      </x:c>
      <x:c r="C1465" s="1" t="str">
        <x:v>mex</x:v>
      </x:c>
      <x:c r="D1465" s="1" t="str">
        <x:v>Sin marca</x:v>
      </x:c>
      <x:c r="E1465" s="35" t="n">
        <x:v>1</x:v>
      </x:c>
      <x:c r="F1465" s="36"/>
      <x:c r="G1465" s="36" t="str">
        <x:f>IF(ISNUMBER(F1465),E1465*F1465,"")</x:f>
      </x:c>
      <x:c r="H1465" s="37"/>
      <x:c r="I1465" s="37"/>
      <x:c r="J1465" s="1" t="n">
        <x:f>IF(ISNUMBER(F1465),E1465,0)</x:f>
        <x:v>0</x:v>
      </x:c>
      <x:c r="K1465" s="1"/>
      <x:c r="L1465" s="1" t="str">
        <x:v>https://blog.skyairline.com/conducir-en-miami/</x:v>
      </x:c>
      <x:c r="M1465" s="1" t="n">
        <x:v>0</x:v>
      </x:c>
    </x:row>
    <x:row r="1466" ht="18.75" customHeight="1">
      <x:c r="A1466" s="1" t="str">
        <x:v>https://blog.skyairline.com/bombinhas/</x:v>
      </x:c>
      <x:c r="B1466" s="1" t="str">
        <x:v>buceo en bombinhas</x:v>
      </x:c>
      <x:c r="C1466" s="1" t="str">
        <x:v>chl</x:v>
      </x:c>
      <x:c r="D1466" s="1" t="str">
        <x:v>Sin marca</x:v>
      </x:c>
      <x:c r="E1466" s="35" t="n">
        <x:v>1</x:v>
      </x:c>
      <x:c r="F1466" s="36"/>
      <x:c r="G1466" s="36" t="str">
        <x:f>IF(ISNUMBER(F1466),E1466*F1466,"")</x:f>
      </x:c>
      <x:c r="H1466" s="37" t="d">
        <x:v>2026-10-15T00:00:00.000Z</x:v>
      </x:c>
      <x:c r="I1466" s="37" t="d">
        <x:v>2026-09-13T16:26:36.999Z</x:v>
      </x:c>
      <x:c r="J1466" s="1" t="n">
        <x:f>IF(ISNUMBER(F1466),E1466,0)</x:f>
        <x:v>0</x:v>
      </x:c>
      <x:c r="K1466" s="1"/>
      <x:c r="L1466" s="1" t="str">
        <x:v>https://blog.skyairline.com/conoce-un-poco-mas-acerca-de-las-tres-nuevas-rutas-que-conectaran-santiago-con-brasil/</x:v>
      </x:c>
      <x:c r="M1466" s="1" t="n">
        <x:v>0</x:v>
      </x:c>
    </x:row>
    <x:row r="1467" ht="18.75" customHeight="1">
      <x:c r="A1467" s="1" t="str">
        <x:v>https://blog.skyairline.com/bosque-de-araucarias-en-chile-donde-encontrarlos-y-que-ver/</x:v>
      </x:c>
      <x:c r="B1467" s="1" t="str">
        <x:v>araucaria</x:v>
      </x:c>
      <x:c r="C1467" s="1" t="str">
        <x:v>chl</x:v>
      </x:c>
      <x:c r="D1467" s="1" t="str">
        <x:v>Sin marca</x:v>
      </x:c>
      <x:c r="E1467" s="35" t="n">
        <x:v>1</x:v>
      </x:c>
      <x:c r="F1467" s="36" t="n">
        <x:v>0.08</x:v>
      </x:c>
      <x:c r="G1467" s="36" t="n">
        <x:f>IF(ISNUMBER(F1467),E1467*F1467,"")</x:f>
        <x:v>0.08</x:v>
      </x:c>
      <x:c r="H1467" s="37" t="d">
        <x:v>2026-10-15T00:00:00.000Z</x:v>
      </x:c>
      <x:c r="I1467" s="37" t="d">
        <x:v>2026-09-14T16:23:00.000Z</x:v>
      </x:c>
      <x:c r="J1467" s="1" t="n">
        <x:f>IF(ISNUMBER(F1467),E1467,0)</x:f>
        <x:v>1</x:v>
      </x:c>
      <x:c r="K1467" s="1"/>
      <x:c r="L1467" s="1" t="str">
        <x:v>https://blog.skyairline.com/conocer-arequipa/</x:v>
      </x:c>
      <x:c r="M1467" s="1" t="n">
        <x:v>0</x:v>
      </x:c>
    </x:row>
    <x:row r="1468" ht="18.75" customHeight="1">
      <x:c r="A1468" s="1" t="str">
        <x:v>https://blog.skyairline.com/bosque-encantado-pucon-que-hacer-y-como-llegar/</x:v>
      </x:c>
      <x:c r="B1468" s="1" t="str">
        <x:v>bosque encantado pucon</x:v>
      </x:c>
      <x:c r="C1468" s="1" t="str">
        <x:v>chl</x:v>
      </x:c>
      <x:c r="D1468" s="1" t="str">
        <x:v>Sin marca</x:v>
      </x:c>
      <x:c r="E1468" s="35" t="n">
        <x:v>1</x:v>
      </x:c>
      <x:c r="F1468" s="36" t="n">
        <x:v>0.1</x:v>
      </x:c>
      <x:c r="G1468" s="36" t="n">
        <x:f>IF(ISNUMBER(F1468),E1468*F1468,"")</x:f>
        <x:v>0.1</x:v>
      </x:c>
      <x:c r="H1468" s="37" t="d">
        <x:v>2026-10-15T00:00:00.000Z</x:v>
      </x:c>
      <x:c r="I1468" s="37" t="d">
        <x:v>2026-09-14T06:57:43.000Z</x:v>
      </x:c>
      <x:c r="J1468" s="1" t="n">
        <x:f>IF(ISNUMBER(F1468),E1468,0)</x:f>
        <x:v>1</x:v>
      </x:c>
      <x:c r="K1468" s="1"/>
      <x:c r="L1468" s="1" t="str">
        <x:v>https://blog.skyairline.com/consejos-de-salud-al-viajar/</x:v>
      </x:c>
      <x:c r="M1468" s="1" t="n">
        <x:v>0</x:v>
      </x:c>
    </x:row>
    <x:row r="1469" ht="18.75" customHeight="1">
      <x:c r="A1469" s="1" t="str">
        <x:v>https://blog.skyairline.com/bosque-encantado-pucon-que-hacer-y-como-llegar/</x:v>
      </x:c>
      <x:c r="B1469" s="1" t="str">
        <x:v>bosque encantado villarrica</x:v>
      </x:c>
      <x:c r="C1469" s="1" t="str">
        <x:v>chl</x:v>
      </x:c>
      <x:c r="D1469" s="1" t="str">
        <x:v>Sin marca</x:v>
      </x:c>
      <x:c r="E1469" s="35" t="n">
        <x:v>1</x:v>
      </x:c>
      <x:c r="F1469" s="36"/>
      <x:c r="G1469" s="36" t="str">
        <x:f>IF(ISNUMBER(F1469),E1469*F1469,"")</x:f>
      </x:c>
      <x:c r="H1469" s="37" t="d">
        <x:v>2026-10-15T00:00:00.000Z</x:v>
      </x:c>
      <x:c r="I1469" s="37" t="d">
        <x:v>2026-09-17T10:43:27.000Z</x:v>
      </x:c>
      <x:c r="J1469" s="1" t="n">
        <x:f>IF(ISNUMBER(F1469),E1469,0)</x:f>
        <x:v>0</x:v>
      </x:c>
      <x:c r="K1469" s="1"/>
      <x:c r="L1469" s="1" t="str">
        <x:v>https://blog.skyairline.com/consejos-de-seguridad-para-hacer-turismo-de-aventura/</x:v>
      </x:c>
      <x:c r="M1469" s="1" t="n">
        <x:v>0</x:v>
      </x:c>
    </x:row>
    <x:row r="1470" ht="18.75" customHeight="1">
      <x:c r="A1470" s="1" t="str">
        <x:v>https://blog.skyairline.com/bosques-del-sur-de-chile-naturaleza-senderos-y-biodiversidad/</x:v>
      </x:c>
      <x:c r="B1470" s="1" t="str">
        <x:v>bosques del sur</x:v>
      </x:c>
      <x:c r="C1470" s="1" t="str">
        <x:v>chl</x:v>
      </x:c>
      <x:c r="D1470" s="1" t="str">
        <x:v>Sin marca</x:v>
      </x:c>
      <x:c r="E1470" s="35" t="n">
        <x:v>1</x:v>
      </x:c>
      <x:c r="F1470" s="36"/>
      <x:c r="G1470" s="36" t="str">
        <x:f>IF(ISNUMBER(F1470),E1470*F1470,"")</x:f>
      </x:c>
      <x:c r="H1470" s="37" t="d">
        <x:v>2026-10-15T00:00:00.000Z</x:v>
      </x:c>
      <x:c r="I1470" s="37" t="d">
        <x:v>2026-09-16T20:02:16.000Z</x:v>
      </x:c>
      <x:c r="J1470" s="1" t="n">
        <x:f>IF(ISNUMBER(F1470),E1470,0)</x:f>
        <x:v>0</x:v>
      </x:c>
      <x:c r="K1470" s="1"/>
      <x:c r="L1470" s="1" t="str">
        <x:v>https://blog.skyairline.com/consejos-para-aprovechar-el-black-friday-en-chile/</x:v>
      </x:c>
      <x:c r="M1470" s="1" t="n">
        <x:v>0</x:v>
      </x:c>
    </x:row>
    <x:row r="1471" ht="18.75" customHeight="1">
      <x:c r="A1471" s="1" t="str">
        <x:v>https://blog.skyairline.com/bosques-del-sur-de-chile-naturaleza-senderos-y-biodiversidad/</x:v>
      </x:c>
      <x:c r="B1471" s="1" t="str">
        <x:v>flora y fauna de la zona sur de chile</x:v>
      </x:c>
      <x:c r="C1471" s="1" t="str">
        <x:v>chl</x:v>
      </x:c>
      <x:c r="D1471" s="1" t="str">
        <x:v>Sin marca</x:v>
      </x:c>
      <x:c r="E1471" s="35" t="n">
        <x:v>1</x:v>
      </x:c>
      <x:c r="F1471" s="36"/>
      <x:c r="G1471" s="36" t="str">
        <x:f>IF(ISNUMBER(F1471),E1471*F1471,"")</x:f>
      </x:c>
      <x:c r="H1471" s="37" t="d">
        <x:v>2026-10-15T00:00:00.000Z</x:v>
      </x:c>
      <x:c r="I1471" s="37" t="d">
        <x:v>2026-09-15T19:47:55.000Z</x:v>
      </x:c>
      <x:c r="J1471" s="1" t="n">
        <x:f>IF(ISNUMBER(F1471),E1471,0)</x:f>
        <x:v>0</x:v>
      </x:c>
      <x:c r="K1471" s="1"/>
      <x:c r="L1471" s="1" t="str">
        <x:v>https://blog.skyairline.com/copec-sky-se-unen-para-integrar-chile/</x:v>
      </x:c>
      <x:c r="M1471" s="1" t="n">
        <x:v>0</x:v>
      </x:c>
    </x:row>
    <x:row r="1472" ht="18.75" customHeight="1">
      <x:c r="A1472" s="1" t="str">
        <x:v>https://blog.skyairline.com/botiquin-basico-de-viaje/</x:v>
      </x:c>
      <x:c r="B1472" s="1" t="str">
        <x:v>los medicamentos se pueden llevar en el equipaje de mano</x:v>
      </x:c>
      <x:c r="C1472" s="1" t="str">
        <x:v>chl</x:v>
      </x:c>
      <x:c r="D1472" s="1" t="str">
        <x:v>Sin marca</x:v>
      </x:c>
      <x:c r="E1472" s="35" t="n">
        <x:v>1</x:v>
      </x:c>
      <x:c r="F1472" s="36"/>
      <x:c r="G1472" s="36" t="str">
        <x:f>IF(ISNUMBER(F1472),E1472*F1472,"")</x:f>
      </x:c>
      <x:c r="H1472" s="37"/>
      <x:c r="I1472" s="37"/>
      <x:c r="J1472" s="1" t="n">
        <x:f>IF(ISNUMBER(F1472),E1472,0)</x:f>
        <x:v>0</x:v>
      </x:c>
      <x:c r="K1472" s="1"/>
      <x:c r="L1472" s="1" t="str">
        <x:v>https://blog.skyairline.com/copec-y-copec-se-unen-para-integrar-chile/</x:v>
      </x:c>
      <x:c r="M1472" s="1" t="n">
        <x:v>0</x:v>
      </x:c>
    </x:row>
    <x:row r="1473" ht="18.75" customHeight="1">
      <x:c r="A1473" s="1" t="str">
        <x:v>https://blog.skyairline.com/botiquin-basico-de-viaje/</x:v>
      </x:c>
      <x:c r="B1473" s="1" t="str">
        <x:v>puedo llevar ibuprofeno en el avión</x:v>
      </x:c>
      <x:c r="C1473" s="1" t="str">
        <x:v>chl</x:v>
      </x:c>
      <x:c r="D1473" s="1" t="str">
        <x:v>Sin marca</x:v>
      </x:c>
      <x:c r="E1473" s="35" t="n">
        <x:v>1</x:v>
      </x:c>
      <x:c r="F1473" s="36"/>
      <x:c r="G1473" s="36" t="str">
        <x:f>IF(ISNUMBER(F1473),E1473*F1473,"")</x:f>
      </x:c>
      <x:c r="H1473" s="37" t="d">
        <x:v>2026-10-15T00:00:00.000Z</x:v>
      </x:c>
      <x:c r="I1473" s="37" t="d">
        <x:v>2026-09-15T13:40:15.000Z</x:v>
      </x:c>
      <x:c r="J1473" s="1" t="n">
        <x:f>IF(ISNUMBER(F1473),E1473,0)</x:f>
        <x:v>0</x:v>
      </x:c>
      <x:c r="K1473" s="1"/>
      <x:c r="L1473" s="1" t="str">
        <x:v>https://blog.skyairline.com/copec-y-sky-nes-para-integrar-chile/</x:v>
      </x:c>
      <x:c r="M1473" s="1" t="n">
        <x:v>0</x:v>
      </x:c>
    </x:row>
    <x:row r="1474" ht="18.75" customHeight="1">
      <x:c r="A1474" s="1" t="str">
        <x:v>https://blog.skyairline.com/botiquin-basico-de-viaje/</x:v>
      </x:c>
      <x:c r="B1474" s="1" t="str">
        <x:v>puedo llevar medicamentos en el avion</x:v>
      </x:c>
      <x:c r="C1474" s="1" t="str">
        <x:v>chl</x:v>
      </x:c>
      <x:c r="D1474" s="1" t="str">
        <x:v>Sin marca</x:v>
      </x:c>
      <x:c r="E1474" s="35" t="n">
        <x:v>1</x:v>
      </x:c>
      <x:c r="F1474" s="36"/>
      <x:c r="G1474" s="36" t="str">
        <x:f>IF(ISNUMBER(F1474),E1474*F1474,"")</x:f>
      </x:c>
      <x:c r="H1474" s="37"/>
      <x:c r="I1474" s="37"/>
      <x:c r="J1474" s="1" t="n">
        <x:f>IF(ISNUMBER(F1474),E1474,0)</x:f>
        <x:v>0</x:v>
      </x:c>
      <x:c r="K1474" s="1"/>
      <x:c r="L1474" s="1" t="str">
        <x:v>https://blog.skyairline.com/copec-y-sky-se-unen-para-integrar-chile</x:v>
      </x:c>
      <x:c r="M1474" s="1" t="n">
        <x:v>0</x:v>
      </x:c>
    </x:row>
    <x:row r="1475" ht="18.75" customHeight="1">
      <x:c r="A1475" s="1" t="str">
        <x:v>https://blog.skyairline.com/botiquin-basico-de-viaje/</x:v>
      </x:c>
      <x:c r="B1475" s="1" t="str">
        <x:v>puedo llevar paracetamol en el avión</x:v>
      </x:c>
      <x:c r="C1475" s="1" t="str">
        <x:v>chl</x:v>
      </x:c>
      <x:c r="D1475" s="1" t="str">
        <x:v>Sin marca</x:v>
      </x:c>
      <x:c r="E1475" s="35" t="n">
        <x:v>1</x:v>
      </x:c>
      <x:c r="F1475" s="36" t="n">
        <x:v>0.34</x:v>
      </x:c>
      <x:c r="G1475" s="36" t="n">
        <x:f>IF(ISNUMBER(F1475),E1475*F1475,"")</x:f>
        <x:v>0.34</x:v>
      </x:c>
      <x:c r="H1475" s="37" t="d">
        <x:v>2026-10-15T00:00:00.000Z</x:v>
      </x:c>
      <x:c r="I1475" s="37" t="d">
        <x:v>2026-09-14T17:35:15.000Z</x:v>
      </x:c>
      <x:c r="J1475" s="1" t="n">
        <x:f>IF(ISNUMBER(F1475),E1475,0)</x:f>
        <x:v>1</x:v>
      </x:c>
      <x:c r="K1475" s="1"/>
      <x:c r="L1475" s="1" t="str">
        <x:v>https://blog.skyairline.com/copec-y-sky-unen-para-integrar-chile-</x:v>
      </x:c>
      <x:c r="M1475" s="1" t="n">
        <x:v>0</x:v>
      </x:c>
    </x:row>
    <x:row r="1476" ht="18.75" customHeight="1">
      <x:c r="A1476" s="1" t="str">
        <x:v>https://blog.skyairline.com/botiquin-basico-de-viaje/</x:v>
      </x:c>
      <x:c r="B1476" s="1" t="str">
        <x:v>que medicamentos puedo llevar en el avión sin receta</x:v>
      </x:c>
      <x:c r="C1476" s="1" t="str">
        <x:v>chl</x:v>
      </x:c>
      <x:c r="D1476" s="1" t="str">
        <x:v>Sin marca</x:v>
      </x:c>
      <x:c r="E1476" s="35" t="n">
        <x:v>1</x:v>
      </x:c>
      <x:c r="F1476" s="36"/>
      <x:c r="G1476" s="36" t="str">
        <x:f>IF(ISNUMBER(F1476),E1476*F1476,"")</x:f>
      </x:c>
      <x:c r="H1476" s="37" t="d">
        <x:v>2026-10-15T00:00:00.000Z</x:v>
      </x:c>
      <x:c r="I1476" s="37" t="d">
        <x:v>2026-10-15T17:00:34.000Z</x:v>
      </x:c>
      <x:c r="J1476" s="1" t="n">
        <x:f>IF(ISNUMBER(F1476),E1476,0)</x:f>
        <x:v>0</x:v>
      </x:c>
      <x:c r="K1476" s="1"/>
      <x:c r="L1476" s="1" t="str">
        <x:v>https://blog.skyairline.com/copec-y-sky-unen-para-integrar-chile/</x:v>
      </x:c>
      <x:c r="M1476" s="1" t="n">
        <x:v>0</x:v>
      </x:c>
    </x:row>
    <x:row r="1477" ht="18.75" customHeight="1">
      <x:c r="A1477" s="1" t="str">
        <x:v>https://blog.skyairline.com/botiquin-basico-de-viaje/</x:v>
      </x:c>
      <x:c r="B1477" s="1" t="str">
        <x:v>que pastillas puedo llevar en el avion</x:v>
      </x:c>
      <x:c r="C1477" s="1" t="str">
        <x:v>chl</x:v>
      </x:c>
      <x:c r="D1477" s="1" t="str">
        <x:v>Sin marca</x:v>
      </x:c>
      <x:c r="E1477" s="35" t="n">
        <x:v>1</x:v>
      </x:c>
      <x:c r="F1477" s="36"/>
      <x:c r="G1477" s="36" t="str">
        <x:f>IF(ISNUMBER(F1477),E1477*F1477,"")</x:f>
      </x:c>
      <x:c r="H1477" s="37"/>
      <x:c r="I1477" s="37"/>
      <x:c r="J1477" s="1" t="n">
        <x:f>IF(ISNUMBER(F1477),E1477,0)</x:f>
        <x:v>0</x:v>
      </x:c>
      <x:c r="K1477" s="1"/>
      <x:c r="L1477" s="1" t="str">
        <x:v>https://blog.skyairline.com/copec-y-sky-unir-programa-de-fidelizacion-sera-la-primera-alianza-de-movilidad-integrada-en-chile/</x:v>
      </x:c>
      <x:c r="M1477" s="1" t="n">
        <x:v>0</x:v>
      </x:c>
    </x:row>
    <x:row r="1478" ht="18.75" customHeight="1">
      <x:c r="A1478" s="1" t="str">
        <x:v>https://blog.skyairline.com/botiquin-basico-de-viaje/</x:v>
      </x:c>
      <x:c r="B1478" s="1" t="str">
        <x:v>se pueden llevar medicamentos en el equipaje de mano</x:v>
      </x:c>
      <x:c r="C1478" s="1" t="str">
        <x:v>chl</x:v>
      </x:c>
      <x:c r="D1478" s="1" t="str">
        <x:v>Sin marca</x:v>
      </x:c>
      <x:c r="E1478" s="35" t="n">
        <x:v>1</x:v>
      </x:c>
      <x:c r="F1478" s="36"/>
      <x:c r="G1478" s="36" t="str">
        <x:f>IF(ISNUMBER(F1478),E1478*F1478,"")</x:f>
      </x:c>
      <x:c r="H1478" s="37"/>
      <x:c r="I1478" s="37"/>
      <x:c r="J1478" s="1" t="n">
        <x:f>IF(ISNUMBER(F1478),E1478,0)</x:f>
        <x:v>0</x:v>
      </x:c>
      <x:c r="K1478" s="1"/>
      <x:c r="L1478" s="1" t="str">
        <x:v>https://blog.skyairline.com/copec-y-sky-uniran-programa-de-fidelizacion-sera-la-primera-alianza-de-movilidad-integrada-en-chile</x:v>
      </x:c>
      <x:c r="M1478" s="1" t="n">
        <x:v>0</x:v>
      </x:c>
    </x:row>
    <x:row r="1479" ht="18.75" customHeight="1">
      <x:c r="A1479" s="1" t="str">
        <x:v>https://blog.skyairline.com/botiquin-basico-de-viaje/</x:v>
      </x:c>
      <x:c r="B1479" s="1" t="str">
        <x:v>se pueden llevar pastillas en el avion</x:v>
      </x:c>
      <x:c r="C1479" s="1" t="str">
        <x:v>chl</x:v>
      </x:c>
      <x:c r="D1479" s="1" t="str">
        <x:v>Sin marca</x:v>
      </x:c>
      <x:c r="E1479" s="35" t="n">
        <x:v>1</x:v>
      </x:c>
      <x:c r="F1479" s="36"/>
      <x:c r="G1479" s="36" t="str">
        <x:f>IF(ISNUMBER(F1479),E1479*F1479,"")</x:f>
      </x:c>
      <x:c r="H1479" s="37"/>
      <x:c r="I1479" s="37"/>
      <x:c r="J1479" s="1" t="n">
        <x:f>IF(ISNUMBER(F1479),E1479,0)</x:f>
        <x:v>0</x:v>
      </x:c>
      <x:c r="K1479" s="1"/>
      <x:c r="L1479" s="1" t="str">
        <x:v>https://blog.skyairline.com/copec-y-sky-uniran-programas-de-fidelizacion-sera-la-primera-alianza-de-movilidad-integrada-en-chile/</x:v>
      </x:c>
      <x:c r="M1479" s="1" t="n">
        <x:v>0</x:v>
      </x:c>
    </x:row>
    <x:row r="1480" ht="18.75" customHeight="1">
      <x:c r="A1480" s="1" t="str">
        <x:v>https://blog.skyairline.com/brunch/</x:v>
      </x:c>
      <x:c r="B1480" s="1" t="str">
        <x:v>mejor brunch santiago</x:v>
      </x:c>
      <x:c r="C1480" s="1" t="str">
        <x:v>chl</x:v>
      </x:c>
      <x:c r="D1480" s="1" t="str">
        <x:v>Sin marca</x:v>
      </x:c>
      <x:c r="E1480" s="35" t="n">
        <x:v>1</x:v>
      </x:c>
      <x:c r="F1480" s="36" t="n">
        <x:v>0.05</x:v>
      </x:c>
      <x:c r="G1480" s="36" t="n">
        <x:f>IF(ISNUMBER(F1480),E1480*F1480,"")</x:f>
        <x:v>0.05</x:v>
      </x:c>
      <x:c r="H1480" s="37" t="d">
        <x:v>2026-10-15T00:00:00.000Z</x:v>
      </x:c>
      <x:c r="I1480" s="37" t="d">
        <x:v>2026-09-17T08:41:05.000Z</x:v>
      </x:c>
      <x:c r="J1480" s="1" t="n">
        <x:f>IF(ISNUMBER(F1480),E1480,0)</x:f>
        <x:v>1</x:v>
      </x:c>
      <x:c r="K1480" s="1"/>
      <x:c r="L1480" s="1" t="str">
        <x:v>https://blog.skyairline.com/copec-yan-se-unen-para-integrar-chile/</x:v>
      </x:c>
      <x:c r="M1480" s="1" t="n">
        <x:v>0</x:v>
      </x:c>
    </x:row>
    <x:row r="1481" ht="18.75" customHeight="1">
      <x:c r="A1481" s="1" t="str">
        <x:v>https://blog.skyairline.com/bucear-en-chile/</x:v>
      </x:c>
      <x:c r="B1481" s="1" t="str">
        <x:v>lugares para bucear</x:v>
      </x:c>
      <x:c r="C1481" s="1" t="str">
        <x:v>chl</x:v>
      </x:c>
      <x:c r="D1481" s="1" t="str">
        <x:v>Sin marca</x:v>
      </x:c>
      <x:c r="E1481" s="35" t="n">
        <x:v>1</x:v>
      </x:c>
      <x:c r="F1481" s="36"/>
      <x:c r="G1481" s="36" t="str">
        <x:f>IF(ISNUMBER(F1481),E1481*F1481,"")</x:f>
      </x:c>
      <x:c r="H1481" s="37" t="d">
        <x:v>2026-10-15T00:00:00.000Z</x:v>
      </x:c>
      <x:c r="I1481" s="37" t="d">
        <x:v>2026-10-15T14:21:17.999Z</x:v>
      </x:c>
      <x:c r="J1481" s="1" t="n">
        <x:f>IF(ISNUMBER(F1481),E1481,0)</x:f>
        <x:v>0</x:v>
      </x:c>
      <x:c r="K1481" s="1"/>
      <x:c r="L1481" s="1" t="str">
        <x:v>https://blog.skyairline.com/cordoba-argentina/</x:v>
      </x:c>
      <x:c r="M1481" s="1" t="n">
        <x:v>0</x:v>
      </x:c>
    </x:row>
    <x:row r="1482" ht="18.75" customHeight="1">
      <x:c r="A1482" s="1" t="str">
        <x:v>https://blog.skyairline.com/bungee-jumping/</x:v>
      </x:c>
      <x:c r="B1482" s="1" t="str">
        <x:v>bungee</x:v>
      </x:c>
      <x:c r="C1482" s="1" t="str">
        <x:v>chl</x:v>
      </x:c>
      <x:c r="D1482" s="1" t="str">
        <x:v>Sin marca</x:v>
      </x:c>
      <x:c r="E1482" s="35" t="n">
        <x:v>1</x:v>
      </x:c>
      <x:c r="F1482" s="36"/>
      <x:c r="G1482" s="36" t="str">
        <x:f>IF(ISNUMBER(F1482),E1482*F1482,"")</x:f>
      </x:c>
      <x:c r="H1482" s="37" t="d">
        <x:v>2026-10-15T00:00:00.000Z</x:v>
      </x:c>
      <x:c r="I1482" s="37" t="d">
        <x:v>2026-09-13T12:39:40.000Z</x:v>
      </x:c>
      <x:c r="J1482" s="1" t="n">
        <x:f>IF(ISNUMBER(F1482),E1482,0)</x:f>
        <x:v>0</x:v>
      </x:c>
      <x:c r="K1482" s="1"/>
      <x:c r="L1482" s="1" t="str">
        <x:v>https://blog.skyairline.com/correoschile-y-sky-hacen-realidad-el-sueno-de-volar-de-ninos-de-fundacion-nuestros-hijos/</x:v>
      </x:c>
      <x:c r="M1482" s="1" t="n">
        <x:v>0</x:v>
      </x:c>
    </x:row>
    <x:row r="1483" ht="18.75" customHeight="1">
      <x:c r="A1483" s="1" t="str">
        <x:v>https://blog.skyairline.com/bungee-jumping/</x:v>
      </x:c>
      <x:c r="B1483" s="1" t="str">
        <x:v>salto en bungee chile</x:v>
      </x:c>
      <x:c r="C1483" s="1" t="str">
        <x:v>chl</x:v>
      </x:c>
      <x:c r="D1483" s="1" t="str">
        <x:v>Sin marca</x:v>
      </x:c>
      <x:c r="E1483" s="35" t="n">
        <x:v>1</x:v>
      </x:c>
      <x:c r="F1483" s="36"/>
      <x:c r="G1483" s="36" t="str">
        <x:f>IF(ISNUMBER(F1483),E1483*F1483,"")</x:f>
      </x:c>
      <x:c r="H1483" s="37" t="d">
        <x:v>2026-10-15T00:00:00.000Z</x:v>
      </x:c>
      <x:c r="I1483" s="37" t="d">
        <x:v>2026-09-14T05:38:07.000Z</x:v>
      </x:c>
      <x:c r="J1483" s="1" t="n">
        <x:f>IF(ISNUMBER(F1483),E1483,0)</x:f>
        <x:v>0</x:v>
      </x:c>
      <x:c r="K1483" s="1"/>
      <x:c r="L1483" s="1" t="str">
        <x:v>https://blog.skyairline.com/cosas-para-hacer-con-poco-presupuesto/</x:v>
      </x:c>
      <x:c r="M1483" s="1" t="n">
        <x:v>0</x:v>
      </x:c>
    </x:row>
    <x:row r="1484" ht="18.75" customHeight="1">
      <x:c r="A1484" s="1" t="str">
        <x:v>https://blog.skyairline.com/cabo-frio/</x:v>
      </x:c>
      <x:c r="B1484" s="1" t="str">
        <x:v>cabo frio</x:v>
      </x:c>
      <x:c r="C1484" s="1" t="str">
        <x:v>chl</x:v>
      </x:c>
      <x:c r="D1484" s="1" t="str">
        <x:v>Sin marca</x:v>
      </x:c>
      <x:c r="E1484" s="35" t="n">
        <x:v>1</x:v>
      </x:c>
      <x:c r="F1484" s="36" t="n">
        <x:v>1.14</x:v>
      </x:c>
      <x:c r="G1484" s="36" t="n">
        <x:f>IF(ISNUMBER(F1484),E1484*F1484,"")</x:f>
        <x:v>1.14</x:v>
      </x:c>
      <x:c r="H1484" s="37" t="d">
        <x:v>2026-10-15T00:00:00.000Z</x:v>
      </x:c>
      <x:c r="I1484" s="37" t="d">
        <x:v>2026-09-16T03:41:35.000Z</x:v>
      </x:c>
      <x:c r="J1484" s="1" t="n">
        <x:f>IF(ISNUMBER(F1484),E1484,0)</x:f>
        <x:v>1</x:v>
      </x:c>
      <x:c r="K1484" s="1"/>
      <x:c r="L1484" s="1" t="str">
        <x:v>https://blog.skyairline.com/cosas-para-hacer-gratis-en-bogota</x:v>
      </x:c>
      <x:c r="M1484" s="1" t="n">
        <x:v>0</x:v>
      </x:c>
    </x:row>
    <x:row r="1485" ht="18.75" customHeight="1">
      <x:c r="A1485" s="1" t="str">
        <x:v>https://blog.skyairline.com/cabo-frio/</x:v>
      </x:c>
      <x:c r="B1485" s="1" t="str">
        <x:v>cabo frio brasil</x:v>
      </x:c>
      <x:c r="C1485" s="1" t="str">
        <x:v>per</x:v>
      </x:c>
      <x:c r="D1485" s="1" t="str">
        <x:v>Sin marca</x:v>
      </x:c>
      <x:c r="E1485" s="35" t="n">
        <x:v>1</x:v>
      </x:c>
      <x:c r="F1485" s="36"/>
      <x:c r="G1485" s="36" t="str">
        <x:f>IF(ISNUMBER(F1485),E1485*F1485,"")</x:f>
      </x:c>
      <x:c r="H1485" s="37" t="d">
        <x:v>2026-10-15T00:00:00.000Z</x:v>
      </x:c>
      <x:c r="I1485" s="37" t="d">
        <x:v>2026-09-16T03:21:13.000Z</x:v>
      </x:c>
      <x:c r="J1485" s="1" t="n">
        <x:f>IF(ISNUMBER(F1485),E1485,0)</x:f>
        <x:v>0</x:v>
      </x:c>
      <x:c r="K1485" s="1"/>
      <x:c r="L1485" s="1" t="str">
        <x:v>https://blog.skyairline.com/cosas-para-hacer-gratis-en-bogota/</x:v>
      </x:c>
      <x:c r="M1485" s="1" t="n">
        <x:v>0</x:v>
      </x:c>
    </x:row>
    <x:row r="1486" ht="18.75" customHeight="1">
      <x:c r="A1486" s="1" t="str">
        <x:v>https://blog.skyairline.com/cabo-frio/</x:v>
      </x:c>
      <x:c r="B1486" s="1" t="str">
        <x:v>cabo frio donde queda</x:v>
      </x:c>
      <x:c r="C1486" s="1" t="str">
        <x:v>arg</x:v>
      </x:c>
      <x:c r="D1486" s="1" t="str">
        <x:v>Sin marca</x:v>
      </x:c>
      <x:c r="E1486" s="35" t="n">
        <x:v>1</x:v>
      </x:c>
      <x:c r="F1486" s="36"/>
      <x:c r="G1486" s="36" t="str">
        <x:f>IF(ISNUMBER(F1486),E1486*F1486,"")</x:f>
      </x:c>
      <x:c r="H1486" s="37"/>
      <x:c r="I1486" s="37"/>
      <x:c r="J1486" s="1" t="n">
        <x:f>IF(ISNUMBER(F1486),E1486,0)</x:f>
        <x:v>0</x:v>
      </x:c>
      <x:c r="K1486" s="1"/>
      <x:c r="L1486" s="1" t="str">
        <x:v>https://blog.skyairline.com/cosas-para-hacer-gratis-en-buenos-aires/</x:v>
      </x:c>
      <x:c r="M1486" s="1" t="n">
        <x:v>0</x:v>
      </x:c>
    </x:row>
    <x:row r="1487" ht="18.75" customHeight="1">
      <x:c r="A1487" s="1" t="str">
        <x:v>https://blog.skyairline.com/cabo-frio/</x:v>
      </x:c>
      <x:c r="B1487" s="1" t="str">
        <x:v>cabo frío</x:v>
      </x:c>
      <x:c r="C1487" s="1" t="str">
        <x:v>arg</x:v>
      </x:c>
      <x:c r="D1487" s="1" t="str">
        <x:v>Sin marca</x:v>
      </x:c>
      <x:c r="E1487" s="35" t="n">
        <x:v>1</x:v>
      </x:c>
      <x:c r="F1487" s="36"/>
      <x:c r="G1487" s="36" t="str">
        <x:f>IF(ISNUMBER(F1487),E1487*F1487,"")</x:f>
      </x:c>
      <x:c r="H1487" s="37"/>
      <x:c r="I1487" s="37"/>
      <x:c r="J1487" s="1" t="n">
        <x:f>IF(ISNUMBER(F1487),E1487,0)</x:f>
        <x:v>0</x:v>
      </x:c>
      <x:c r="K1487" s="1"/>
      <x:c r="L1487" s="1" t="str">
        <x:v>https://blog.skyairline.com/cosas-que-hacer-en-castro-chile-para-2025/</x:v>
      </x:c>
      <x:c r="M1487" s="1" t="n">
        <x:v>0</x:v>
      </x:c>
    </x:row>
    <x:row r="1488" ht="18.75" customHeight="1">
      <x:c r="A1488" s="1" t="str">
        <x:v>https://blog.skyairline.com/cabo-frio/</x:v>
      </x:c>
      <x:c r="B1488" s="1" t="str">
        <x:v>cabo frío brasil donde queda</x:v>
      </x:c>
      <x:c r="C1488" s="1" t="str">
        <x:v>col</x:v>
      </x:c>
      <x:c r="D1488" s="1" t="str">
        <x:v>Sin marca</x:v>
      </x:c>
      <x:c r="E1488" s="35" t="n">
        <x:v>1</x:v>
      </x:c>
      <x:c r="F1488" s="36"/>
      <x:c r="G1488" s="36" t="str">
        <x:f>IF(ISNUMBER(F1488),E1488*F1488,"")</x:f>
      </x:c>
      <x:c r="H1488" s="37"/>
      <x:c r="I1488" s="37"/>
      <x:c r="J1488" s="1" t="n">
        <x:f>IF(ISNUMBER(F1488),E1488,0)</x:f>
        <x:v>0</x:v>
      </x:c>
      <x:c r="K1488" s="1"/>
      <x:c r="L1488" s="1" t="str">
        <x:v>https://blog.skyairline.com/cosas-que-hacer-gratis-en-santiago/</x:v>
      </x:c>
      <x:c r="M1488" s="1" t="n">
        <x:v>0</x:v>
      </x:c>
    </x:row>
    <x:row r="1489" ht="18.75" customHeight="1">
      <x:c r="A1489" s="1" t="str">
        <x:v>https://blog.skyairline.com/cafe-chileno-conoce-la-historia-del-cafe-en-chile-tipos-y-donde-probarlo/</x:v>
      </x:c>
      <x:c r="B1489" s="1" t="str">
        <x:v>café</x:v>
      </x:c>
      <x:c r="C1489" s="1" t="str">
        <x:v>chl</x:v>
      </x:c>
      <x:c r="D1489" s="1" t="str">
        <x:v>Sin marca</x:v>
      </x:c>
      <x:c r="E1489" s="35" t="n">
        <x:v>1</x:v>
      </x:c>
      <x:c r="F1489" s="36" t="n">
        <x:v>0.3</x:v>
      </x:c>
      <x:c r="G1489" s="36" t="n">
        <x:f>IF(ISNUMBER(F1489),E1489*F1489,"")</x:f>
        <x:v>0.3</x:v>
      </x:c>
      <x:c r="H1489" s="37" t="d">
        <x:v>2026-10-15T00:00:00.000Z</x:v>
      </x:c>
      <x:c r="I1489" s="37" t="d">
        <x:v>2026-10-15T15:25:35.000Z</x:v>
      </x:c>
      <x:c r="J1489" s="1" t="n">
        <x:f>IF(ISNUMBER(F1489),E1489,0)</x:f>
        <x:v>1</x:v>
      </x:c>
      <x:c r="K1489" s="1"/>
      <x:c r="L1489" s="1" t="str">
        <x:v>https://blog.skyairline.com/cosas-que-puedes-visitar-viajando-desde-puerto-montt-a-cochamo</x:v>
      </x:c>
      <x:c r="M1489" s="1" t="n">
        <x:v>0</x:v>
      </x:c>
    </x:row>
    <x:row r="1490" ht="18.75" customHeight="1">
      <x:c r="A1490" s="1" t="str">
        <x:v>https://blog.skyairline.com/caldera/</x:v>
      </x:c>
      <x:c r="B1490" s="1" t="str">
        <x:v>cómo llegar a caldera</x:v>
      </x:c>
      <x:c r="C1490" s="1" t="str">
        <x:v>chl</x:v>
      </x:c>
      <x:c r="D1490" s="1" t="str">
        <x:v>Sin marca</x:v>
      </x:c>
      <x:c r="E1490" s="35" t="n">
        <x:v>1</x:v>
      </x:c>
      <x:c r="F1490" s="36"/>
      <x:c r="G1490" s="36" t="str">
        <x:f>IF(ISNUMBER(F1490),E1490*F1490,"")</x:f>
      </x:c>
      <x:c r="H1490" s="37"/>
      <x:c r="I1490" s="37"/>
      <x:c r="J1490" s="1" t="n">
        <x:f>IF(ISNUMBER(F1490),E1490,0)</x:f>
        <x:v>0</x:v>
      </x:c>
      <x:c r="K1490" s="1"/>
      <x:c r="L1490" s="1" t="str">
        <x:v>https://blog.skyairline.com/cosas-que-puedes-visitar-viajando-desde-puerto-montt-a-cochamo/</x:v>
      </x:c>
      <x:c r="M1490" s="1" t="n">
        <x:v>0</x:v>
      </x:c>
    </x:row>
    <x:row r="1491" ht="18.75" customHeight="1">
      <x:c r="A1491" s="1" t="str">
        <x:v>https://blog.skyairline.com/calle-aristides/</x:v>
      </x:c>
      <x:c r="B1491" s="1" t="str">
        <x:v>aristides mendoza</x:v>
      </x:c>
      <x:c r="C1491" s="1" t="str">
        <x:v>arg</x:v>
      </x:c>
      <x:c r="D1491" s="1" t="str">
        <x:v>Sin marca</x:v>
      </x:c>
      <x:c r="E1491" s="35" t="n">
        <x:v>1</x:v>
      </x:c>
      <x:c r="F1491" s="36"/>
      <x:c r="G1491" s="36" t="str">
        <x:f>IF(ISNUMBER(F1491),E1491*F1491,"")</x:f>
      </x:c>
      <x:c r="H1491" s="37"/>
      <x:c r="I1491" s="37"/>
      <x:c r="J1491" s="1" t="n">
        <x:f>IF(ISNUMBER(F1491),E1491,0)</x:f>
        <x:v>0</x:v>
      </x:c>
      <x:c r="K1491" s="1"/>
      <x:c r="L1491" s="1" t="str">
        <x:v>https://blog.skyairline.com/cosas-que-que-llevar-a-la-playa/</x:v>
      </x:c>
      <x:c r="M1491" s="1" t="n">
        <x:v>0</x:v>
      </x:c>
    </x:row>
    <x:row r="1492" ht="18.75" customHeight="1">
      <x:c r="A1492" s="1" t="str">
        <x:v>https://blog.skyairline.com/calle-aristides/</x:v>
      </x:c>
      <x:c r="B1492" s="1" t="str">
        <x:v>calle aristides mendoza</x:v>
      </x:c>
      <x:c r="C1492" s="1" t="str">
        <x:v>ury</x:v>
      </x:c>
      <x:c r="D1492" s="1" t="str">
        <x:v>Sin marca</x:v>
      </x:c>
      <x:c r="E1492" s="35" t="n">
        <x:v>1</x:v>
      </x:c>
      <x:c r="F1492" s="36"/>
      <x:c r="G1492" s="36" t="str">
        <x:f>IF(ISNUMBER(F1492),E1492*F1492,"")</x:f>
      </x:c>
      <x:c r="H1492" s="37"/>
      <x:c r="I1492" s="37"/>
      <x:c r="J1492" s="1" t="n">
        <x:f>IF(ISNUMBER(F1492),E1492,0)</x:f>
        <x:v>0</x:v>
      </x:c>
      <x:c r="K1492" s="1"/>
      <x:c r="L1492" s="1" t="str">
        <x:v>https://blog.skyairline.com/costa-atlantica-argentina/</x:v>
      </x:c>
      <x:c r="M1492" s="1" t="n">
        <x:v>0</x:v>
      </x:c>
    </x:row>
    <x:row r="1493" ht="18.75" customHeight="1">
      <x:c r="A1493" s="1" t="str">
        <x:v>https://blog.skyairline.com/cambiar-el-pasaje/</x:v>
      </x:c>
      <x:c r="B1493" s="1" t="str">
        <x:v>cambiar pasaje sky</x:v>
      </x:c>
      <x:c r="C1493" s="1" t="str">
        <x:v>per</x:v>
      </x:c>
      <x:c r="D1493" s="1" t="str">
        <x:v>Marca</x:v>
      </x:c>
      <x:c r="E1493" s="35" t="n">
        <x:v>1</x:v>
      </x:c>
      <x:c r="F1493" s="36" t="n">
        <x:v>0.23</x:v>
      </x:c>
      <x:c r="G1493" s="36" t="n">
        <x:f>IF(ISNUMBER(F1493),E1493*F1493,"")</x:f>
        <x:v>0.23</x:v>
      </x:c>
      <x:c r="H1493" s="37" t="d">
        <x:v>2026-10-15T00:00:00.000Z</x:v>
      </x:c>
      <x:c r="I1493" s="37" t="d">
        <x:v>2026-09-17T19:47:07.000Z</x:v>
      </x:c>
      <x:c r="J1493" s="1" t="n">
        <x:f>IF(ISNUMBER(F1493),E1493,0)</x:f>
        <x:v>1</x:v>
      </x:c>
      <x:c r="K1493" s="1"/>
      <x:c r="L1493" s="1" t="str">
        <x:v>https://blog.skyairline.com/costos-al-viajar/</x:v>
      </x:c>
      <x:c r="M1493" s="1" t="n">
        <x:v>0</x:v>
      </x:c>
    </x:row>
    <x:row r="1494" ht="18.75" customHeight="1">
      <x:c r="A1494" s="1" t="str">
        <x:v>https://blog.skyairline.com/cambiar-el-pasaje/</x:v>
      </x:c>
      <x:c r="B1494" s="1" t="str">
        <x:v>cambiar pasajes sky</x:v>
      </x:c>
      <x:c r="C1494" s="1" t="str">
        <x:v>bra</x:v>
      </x:c>
      <x:c r="D1494" s="1" t="str">
        <x:v>Marca</x:v>
      </x:c>
      <x:c r="E1494" s="35" t="n">
        <x:v>1</x:v>
      </x:c>
      <x:c r="F1494" s="36"/>
      <x:c r="G1494" s="36" t="str">
        <x:f>IF(ISNUMBER(F1494),E1494*F1494,"")</x:f>
      </x:c>
      <x:c r="H1494" s="37"/>
      <x:c r="I1494" s="37"/>
      <x:c r="J1494" s="1" t="n">
        <x:f>IF(ISNUMBER(F1494),E1494,0)</x:f>
        <x:v>0</x:v>
      </x:c>
      <x:c r="K1494" s="1"/>
      <x:c r="L1494" s="1" t="str">
        <x:v>https://blog.skyairline.com/costumbres-de-argentina-la-hacen-unica-8211</x:v>
      </x:c>
      <x:c r="M1494" s="1" t="n">
        <x:v>0</x:v>
      </x:c>
    </x:row>
    <x:row r="1495" ht="18.75" customHeight="1">
      <x:c r="A1495" s="1" t="str">
        <x:v>https://blog.skyairline.com/cambiar-el-pasaje/</x:v>
      </x:c>
      <x:c r="B1495" s="1" t="str">
        <x:v>cambiar vuelo sky</x:v>
      </x:c>
      <x:c r="C1495" s="1" t="str">
        <x:v>chl</x:v>
      </x:c>
      <x:c r="D1495" s="1" t="str">
        <x:v>Marca</x:v>
      </x:c>
      <x:c r="E1495" s="35" t="n">
        <x:v>1</x:v>
      </x:c>
      <x:c r="F1495" s="36" t="n">
        <x:v>0.49</x:v>
      </x:c>
      <x:c r="G1495" s="36" t="n">
        <x:f>IF(ISNUMBER(F1495),E1495*F1495,"")</x:f>
        <x:v>0.49</x:v>
      </x:c>
      <x:c r="H1495" s="37" t="d">
        <x:v>2026-10-15T00:00:00.000Z</x:v>
      </x:c>
      <x:c r="I1495" s="37" t="d">
        <x:v>2026-09-17T15:48:30.000Z</x:v>
      </x:c>
      <x:c r="J1495" s="1" t="n">
        <x:f>IF(ISNUMBER(F1495),E1495,0)</x:f>
        <x:v>1</x:v>
      </x:c>
      <x:c r="K1495" s="1"/>
      <x:c r="L1495" s="1" t="str">
        <x:v>https://blog.skyairline.com/costumbres-de-argentina-que-la-hacen-unica-%E2%80%93-sky-airline-%E2%80%93-blog/</x:v>
      </x:c>
      <x:c r="M1495" s="1" t="n">
        <x:v>0</x:v>
      </x:c>
    </x:row>
    <x:row r="1496" ht="18.75" customHeight="1">
      <x:c r="A1496" s="1" t="str">
        <x:v>https://blog.skyairline.com/cambiar-el-pasaje/</x:v>
      </x:c>
      <x:c r="B1496" s="1" t="str">
        <x:v>cambio de pasaje sky</x:v>
      </x:c>
      <x:c r="C1496" s="1" t="str">
        <x:v>per</x:v>
      </x:c>
      <x:c r="D1496" s="1" t="str">
        <x:v>Marca</x:v>
      </x:c>
      <x:c r="E1496" s="35" t="n">
        <x:v>1</x:v>
      </x:c>
      <x:c r="F1496" s="36" t="n">
        <x:v>0.24</x:v>
      </x:c>
      <x:c r="G1496" s="36" t="n">
        <x:f>IF(ISNUMBER(F1496),E1496*F1496,"")</x:f>
        <x:v>0.24</x:v>
      </x:c>
      <x:c r="H1496" s="37" t="d">
        <x:v>2026-10-15T00:00:00.000Z</x:v>
      </x:c>
      <x:c r="I1496" s="37" t="d">
        <x:v>2026-09-15T03:23:34.000Z</x:v>
      </x:c>
      <x:c r="J1496" s="1" t="n">
        <x:f>IF(ISNUMBER(F1496),E1496,0)</x:f>
        <x:v>1</x:v>
      </x:c>
      <x:c r="K1496" s="1"/>
      <x:c r="L1496" s="1" t="str">
        <x:v>https://blog.skyairline.com/costumbres-de-argentina-que-la-hacen-unica-%EF%BF%BD%EF%BF%BD-sky-airline-%EF%BF%BD%EF%BF%BD-blog/</x:v>
      </x:c>
      <x:c r="M1496" s="1" t="n">
        <x:v>0</x:v>
      </x:c>
    </x:row>
    <x:row r="1497" ht="18.75" customHeight="1">
      <x:c r="A1497" s="1" t="str">
        <x:v>https://blog.skyairline.com/cambiar-el-pasaje/</x:v>
      </x:c>
      <x:c r="B1497" s="1" t="str">
        <x:v>sky cambio de pasajero</x:v>
      </x:c>
      <x:c r="C1497" s="1" t="str">
        <x:v>per</x:v>
      </x:c>
      <x:c r="D1497" s="1" t="str">
        <x:v>Marca</x:v>
      </x:c>
      <x:c r="E1497" s="35" t="n">
        <x:v>1</x:v>
      </x:c>
      <x:c r="F1497" s="36"/>
      <x:c r="G1497" s="36" t="str">
        <x:f>IF(ISNUMBER(F1497),E1497*F1497,"")</x:f>
      </x:c>
      <x:c r="H1497" s="37"/>
      <x:c r="I1497" s="37"/>
      <x:c r="J1497" s="1" t="n">
        <x:f>IF(ISNUMBER(F1497),E1497,0)</x:f>
        <x:v>0</x:v>
      </x:c>
      <x:c r="K1497" s="1"/>
      <x:c r="L1497" s="1" t="str">
        <x:v>https://blog.skyairline.com/coyhaique/</x:v>
      </x:c>
      <x:c r="M1497" s="1" t="n">
        <x:v>0</x:v>
      </x:c>
    </x:row>
    <x:row r="1498" ht="18.75" customHeight="1">
      <x:c r="A1498" s="1" t="str">
        <x:v>https://blog.skyairline.com/cambiar-vuelo-sky/</x:v>
      </x:c>
      <x:c r="B1498" s="1" t="str">
        <x:v>3 dias</x:v>
      </x:c>
      <x:c r="C1498" s="1" t="str">
        <x:v>per</x:v>
      </x:c>
      <x:c r="D1498" s="1" t="str">
        <x:v>Sin marca</x:v>
      </x:c>
      <x:c r="E1498" s="35" t="n">
        <x:v>1</x:v>
      </x:c>
      <x:c r="F1498" s="36"/>
      <x:c r="G1498" s="36" t="str">
        <x:f>IF(ISNUMBER(F1498),E1498*F1498,"")</x:f>
      </x:c>
      <x:c r="H1498" s="37" t="d">
        <x:v>2026-10-15T00:00:00.000Z</x:v>
      </x:c>
      <x:c r="I1498" s="37" t="d">
        <x:v>2026-10-15T13:13:45.000Z</x:v>
      </x:c>
      <x:c r="J1498" s="1" t="n">
        <x:f>IF(ISNUMBER(F1498),E1498,0)</x:f>
        <x:v>0</x:v>
      </x:c>
      <x:c r="K1498" s="1"/>
      <x:c r="L1498" s="1" t="str">
        <x:v>https://blog.skyairline.com/cozumel/</x:v>
      </x:c>
      <x:c r="M1498" s="1" t="n">
        <x:v>0</x:v>
      </x:c>
    </x:row>
    <x:row r="1499" ht="18.75" customHeight="1">
      <x:c r="A1499" s="1" t="str">
        <x:v>https://blog.skyairline.com/cambiar-vuelo-sky/</x:v>
      </x:c>
      <x:c r="B1499" s="1" t="str">
        <x:v>adelantar vuelo sky</x:v>
      </x:c>
      <x:c r="C1499" s="1" t="str">
        <x:v>bra</x:v>
      </x:c>
      <x:c r="D1499" s="1" t="str">
        <x:v>Marca</x:v>
      </x:c>
      <x:c r="E1499" s="35" t="n">
        <x:v>1</x:v>
      </x:c>
      <x:c r="F1499" s="36"/>
      <x:c r="G1499" s="36" t="str">
        <x:f>IF(ISNUMBER(F1499),E1499*F1499,"")</x:f>
      </x:c>
      <x:c r="H1499" s="37"/>
      <x:c r="I1499" s="37"/>
      <x:c r="J1499" s="1" t="n">
        <x:f>IF(ISNUMBER(F1499),E1499,0)</x:f>
        <x:v>0</x:v>
      </x:c>
      <x:c r="K1499" s="1"/>
      <x:c r="L1499" s="1" t="str">
        <x:v>https://blog.skyairline.com/cual-es-el-pais-mas-seguro-del-mundo-para-viajar-dentro-de-latinoamerica/</x:v>
      </x:c>
      <x:c r="M1499" s="1" t="n">
        <x:v>0</x:v>
      </x:c>
    </x:row>
    <x:row r="1500" ht="18.75" customHeight="1">
      <x:c r="A1500" s="1" t="str">
        <x:v>https://blog.skyairline.com/cambiar-vuelo-sky/</x:v>
      </x:c>
      <x:c r="B1500" s="1" t="str">
        <x:v>adelantar vuelo sky</x:v>
      </x:c>
      <x:c r="C1500" s="1" t="str">
        <x:v>chl</x:v>
      </x:c>
      <x:c r="D1500" s="1" t="str">
        <x:v>Marca</x:v>
      </x:c>
      <x:c r="E1500" s="35" t="n">
        <x:v>1</x:v>
      </x:c>
      <x:c r="F1500" s="36"/>
      <x:c r="G1500" s="36" t="str">
        <x:f>IF(ISNUMBER(F1500),E1500*F1500,"")</x:f>
      </x:c>
      <x:c r="H1500" s="37" t="d">
        <x:v>2026-10-15T00:00:00.000Z</x:v>
      </x:c>
      <x:c r="I1500" s="37" t="d">
        <x:v>2026-09-14T22:46:46.000Z</x:v>
      </x:c>
      <x:c r="J1500" s="1" t="n">
        <x:f>IF(ISNUMBER(F1500),E1500,0)</x:f>
        <x:v>0</x:v>
      </x:c>
      <x:c r="K1500" s="1"/>
      <x:c r="L1500" s="1" t="str">
        <x:v>https://blog.skyairline.com/cuales-son-los-mejores-destinos-para-viajar-en-familia/</x:v>
      </x:c>
      <x:c r="M1500" s="1" t="n">
        <x:v>0</x:v>
      </x:c>
    </x:row>
    <x:row r="1501" ht="18.75" customHeight="1">
      <x:c r="A1501" s="1" t="str">
        <x:v>https://blog.skyairline.com/cambiar-vuelo-sky/</x:v>
      </x:c>
      <x:c r="B1501" s="1" t="str">
        <x:v>cambiar fecha de vuelo en sky</x:v>
      </x:c>
      <x:c r="C1501" s="1" t="str">
        <x:v>chl</x:v>
      </x:c>
      <x:c r="D1501" s="1" t="str">
        <x:v>Marca</x:v>
      </x:c>
      <x:c r="E1501" s="35" t="n">
        <x:v>1</x:v>
      </x:c>
      <x:c r="F1501" s="36"/>
      <x:c r="G1501" s="36" t="str">
        <x:f>IF(ISNUMBER(F1501),E1501*F1501,"")</x:f>
      </x:c>
      <x:c r="H1501" s="37"/>
      <x:c r="I1501" s="37"/>
      <x:c r="J1501" s="1" t="n">
        <x:f>IF(ISNUMBER(F1501),E1501,0)</x:f>
        <x:v>0</x:v>
      </x:c>
      <x:c r="K1501" s="1"/>
      <x:c r="L1501" s="1" t="str">
        <x:v>https://blog.skyairline.com/cuando-comienza-el-iniverno-en-chile/</x:v>
      </x:c>
      <x:c r="M1501" s="1" t="n">
        <x:v>0</x:v>
      </x:c>
    </x:row>
    <x:row r="1502" ht="18.75" customHeight="1">
      <x:c r="A1502" s="1" t="str">
        <x:v>https://blog.skyairline.com/cambiar-vuelo-sky/</x:v>
      </x:c>
      <x:c r="B1502" s="1" t="str">
        <x:v>cambiar fecha de vuelo en sky</x:v>
      </x:c>
      <x:c r="C1502" s="1" t="str">
        <x:v>ecu</x:v>
      </x:c>
      <x:c r="D1502" s="1" t="str">
        <x:v>Marca</x:v>
      </x:c>
      <x:c r="E1502" s="35" t="n">
        <x:v>1</x:v>
      </x:c>
      <x:c r="F1502" s="36"/>
      <x:c r="G1502" s="36" t="str">
        <x:f>IF(ISNUMBER(F1502),E1502*F1502,"")</x:f>
      </x:c>
      <x:c r="H1502" s="37"/>
      <x:c r="I1502" s="37"/>
      <x:c r="J1502" s="1" t="n">
        <x:f>IF(ISNUMBER(F1502),E1502,0)</x:f>
        <x:v>0</x:v>
      </x:c>
      <x:c r="K1502" s="1"/>
      <x:c r="L1502" s="1" t="str">
        <x:v>https://blog.skyairline.com/cuando-comienza-el-invierno-en-chile</x:v>
      </x:c>
      <x:c r="M1502" s="1" t="n">
        <x:v>0</x:v>
      </x:c>
    </x:row>
    <x:row r="1503" ht="18.75" customHeight="1">
      <x:c r="A1503" s="1" t="str">
        <x:v>https://blog.skyairline.com/cambiar-vuelo-sky/</x:v>
      </x:c>
      <x:c r="B1503" s="1" t="str">
        <x:v>cambiar fecha de vuelo en sky</x:v>
      </x:c>
      <x:c r="C1503" s="1" t="str">
        <x:v>per</x:v>
      </x:c>
      <x:c r="D1503" s="1" t="str">
        <x:v>Marca</x:v>
      </x:c>
      <x:c r="E1503" s="35" t="n">
        <x:v>1</x:v>
      </x:c>
      <x:c r="F1503" s="36"/>
      <x:c r="G1503" s="36" t="str">
        <x:f>IF(ISNUMBER(F1503),E1503*F1503,"")</x:f>
      </x:c>
      <x:c r="H1503" s="37"/>
      <x:c r="I1503" s="37"/>
      <x:c r="J1503" s="1" t="n">
        <x:f>IF(ISNUMBER(F1503),E1503,0)</x:f>
        <x:v>0</x:v>
      </x:c>
      <x:c r="K1503" s="1"/>
      <x:c r="L1503" s="1" t="str">
        <x:v>https://blog.skyairline.com/cuando-comienza-el-otono-en-chile/</x:v>
      </x:c>
      <x:c r="M1503" s="1" t="n">
        <x:v>0</x:v>
      </x:c>
    </x:row>
    <x:row r="1504" ht="18.75" customHeight="1">
      <x:c r="A1504" s="1" t="str">
        <x:v>https://blog.skyairline.com/cambiar-vuelo-sky/</x:v>
      </x:c>
      <x:c r="B1504" s="1" t="str">
        <x:v>cambiar hora de vuelo sky</x:v>
      </x:c>
      <x:c r="C1504" s="1" t="str">
        <x:v>per</x:v>
      </x:c>
      <x:c r="D1504" s="1" t="str">
        <x:v>Marca</x:v>
      </x:c>
      <x:c r="E1504" s="35" t="n">
        <x:v>1</x:v>
      </x:c>
      <x:c r="F1504" s="36"/>
      <x:c r="G1504" s="36" t="str">
        <x:f>IF(ISNUMBER(F1504),E1504*F1504,"")</x:f>
      </x:c>
      <x:c r="H1504" s="37"/>
      <x:c r="I1504" s="37"/>
      <x:c r="J1504" s="1" t="n">
        <x:f>IF(ISNUMBER(F1504),E1504,0)</x:f>
        <x:v>0</x:v>
      </x:c>
      <x:c r="K1504" s="1"/>
      <x:c r="L1504" s="1" t="str">
        <x:v>https://blog.skyairline.com/cuando-comienza-en-el-invierno-en-chile</x:v>
      </x:c>
      <x:c r="M1504" s="1" t="n">
        <x:v>0</x:v>
      </x:c>
    </x:row>
    <x:row r="1505" ht="18.75" customHeight="1">
      <x:c r="A1505" s="1" t="str">
        <x:v>https://blog.skyairline.com/cambiar-vuelo-sky/</x:v>
      </x:c>
      <x:c r="B1505" s="1" t="str">
        <x:v>cambiar la fecha de un vuelo</x:v>
      </x:c>
      <x:c r="C1505" s="1" t="str">
        <x:v>chl</x:v>
      </x:c>
      <x:c r="D1505" s="1" t="str">
        <x:v>Sin marca</x:v>
      </x:c>
      <x:c r="E1505" s="35" t="n">
        <x:v>1</x:v>
      </x:c>
      <x:c r="F1505" s="36"/>
      <x:c r="G1505" s="36" t="str">
        <x:f>IF(ISNUMBER(F1505),E1505*F1505,"")</x:f>
      </x:c>
      <x:c r="H1505" s="37"/>
      <x:c r="I1505" s="37"/>
      <x:c r="J1505" s="1" t="n">
        <x:f>IF(ISNUMBER(F1505),E1505,0)</x:f>
        <x:v>0</x:v>
      </x:c>
      <x:c r="K1505" s="1"/>
      <x:c r="L1505" s="1" t="str">
        <x:v>https://blog.skyairline.com/cuando-empieza-el-invierno-chile-que-significa-y-como-planear-una</x:v>
      </x:c>
      <x:c r="M1505" s="1" t="n">
        <x:v>0</x:v>
      </x:c>
    </x:row>
    <x:row r="1506" ht="18.75" customHeight="1">
      <x:c r="A1506" s="1" t="str">
        <x:v>https://blog.skyairline.com/cambiar-vuelo-sky/</x:v>
      </x:c>
      <x:c r="B1506" s="1" t="str">
        <x:v>cambiar mi vuelo sky</x:v>
      </x:c>
      <x:c r="C1506" s="1" t="str">
        <x:v>chl</x:v>
      </x:c>
      <x:c r="D1506" s="1" t="str">
        <x:v>Marca</x:v>
      </x:c>
      <x:c r="E1506" s="35" t="n">
        <x:v>1</x:v>
      </x:c>
      <x:c r="F1506" s="36"/>
      <x:c r="G1506" s="36" t="str">
        <x:f>IF(ISNUMBER(F1506),E1506*F1506,"")</x:f>
      </x:c>
      <x:c r="H1506" s="37" t="d">
        <x:v>2026-10-15T00:00:00.000Z</x:v>
      </x:c>
      <x:c r="I1506" s="37" t="d">
        <x:v>2026-09-12T16:53:12.000Z</x:v>
      </x:c>
      <x:c r="J1506" s="1" t="n">
        <x:f>IF(ISNUMBER(F1506),E1506,0)</x:f>
        <x:v>0</x:v>
      </x:c>
      <x:c r="K1506" s="1"/>
      <x:c r="L1506" s="1" t="str">
        <x:v>https://blog.skyairline.com/cuando-empieza-el-otono/</x:v>
      </x:c>
      <x:c r="M1506" s="1" t="n">
        <x:v>0</x:v>
      </x:c>
    </x:row>
    <x:row r="1507" ht="18.75" customHeight="1">
      <x:c r="A1507" s="1" t="str">
        <x:v>https://blog.skyairline.com/cambiar-vuelo-sky/</x:v>
      </x:c>
      <x:c r="B1507" s="1" t="str">
        <x:v>cambiar mi vuelo sky</x:v>
      </x:c>
      <x:c r="C1507" s="1" t="str">
        <x:v>per</x:v>
      </x:c>
      <x:c r="D1507" s="1" t="str">
        <x:v>Marca</x:v>
      </x:c>
      <x:c r="E1507" s="35" t="n">
        <x:v>1</x:v>
      </x:c>
      <x:c r="F1507" s="36"/>
      <x:c r="G1507" s="36" t="str">
        <x:f>IF(ISNUMBER(F1507),E1507*F1507,"")</x:f>
      </x:c>
      <x:c r="H1507" s="37"/>
      <x:c r="I1507" s="37"/>
      <x:c r="J1507" s="1" t="n">
        <x:f>IF(ISNUMBER(F1507),E1507,0)</x:f>
        <x:v>0</x:v>
      </x:c>
      <x:c r="K1507" s="1"/>
      <x:c r="L1507" s="1" t="str">
        <x:v>https://blog.skyairline.com/cuando-s%C3%B3n-las-vacaciones-de-invierno-en-chile/</x:v>
      </x:c>
      <x:c r="M1507" s="1" t="n">
        <x:v>0</x:v>
      </x:c>
    </x:row>
    <x:row r="1508" ht="18.75" customHeight="1">
      <x:c r="A1508" s="1" t="str">
        <x:v>https://blog.skyairline.com/cambiar-vuelo-sky/</x:v>
      </x:c>
      <x:c r="B1508" s="1" t="str">
        <x:v>cambiar pasaje en sky</x:v>
      </x:c>
      <x:c r="C1508" s="1" t="str">
        <x:v>chl</x:v>
      </x:c>
      <x:c r="D1508" s="1" t="str">
        <x:v>Marca</x:v>
      </x:c>
      <x:c r="E1508" s="35" t="n">
        <x:v>1</x:v>
      </x:c>
      <x:c r="F1508" s="36"/>
      <x:c r="G1508" s="36" t="str">
        <x:f>IF(ISNUMBER(F1508),E1508*F1508,"")</x:f>
      </x:c>
      <x:c r="H1508" s="37"/>
      <x:c r="I1508" s="37"/>
      <x:c r="J1508" s="1" t="n">
        <x:f>IF(ISNUMBER(F1508),E1508,0)</x:f>
        <x:v>0</x:v>
      </x:c>
      <x:c r="K1508" s="1"/>
      <x:c r="L1508" s="1" t="str">
        <x:v>https://blog.skyairline.com/cuanto-dinero-se-necesita-para-viajar/</x:v>
      </x:c>
      <x:c r="M1508" s="1" t="n">
        <x:v>0</x:v>
      </x:c>
    </x:row>
    <x:row r="1509" ht="18.75" customHeight="1">
      <x:c r="A1509" s="1" t="str">
        <x:v>https://blog.skyairline.com/cambiar-vuelo-sky/</x:v>
      </x:c>
      <x:c r="B1509" s="1" t="str">
        <x:v>cambiar vuelo sky airline</x:v>
      </x:c>
      <x:c r="C1509" s="1" t="str">
        <x:v>bra</x:v>
      </x:c>
      <x:c r="D1509" s="1" t="str">
        <x:v>Marca</x:v>
      </x:c>
      <x:c r="E1509" s="35" t="n">
        <x:v>1</x:v>
      </x:c>
      <x:c r="F1509" s="36"/>
      <x:c r="G1509" s="36" t="str">
        <x:f>IF(ISNUMBER(F1509),E1509*F1509,"")</x:f>
      </x:c>
      <x:c r="H1509" s="37"/>
      <x:c r="I1509" s="37"/>
      <x:c r="J1509" s="1" t="n">
        <x:f>IF(ISNUMBER(F1509),E1509,0)</x:f>
        <x:v>0</x:v>
      </x:c>
      <x:c r="K1509" s="1"/>
      <x:c r="L1509" s="1" t="str">
        <x:v>https://blog.skyairline.com/cuanto-dinero-se-nesecita-para-viajar/</x:v>
      </x:c>
      <x:c r="M1509" s="1" t="n">
        <x:v>0</x:v>
      </x:c>
    </x:row>
    <x:row r="1510" ht="18.75" customHeight="1">
      <x:c r="A1510" s="1" t="str">
        <x:v>https://blog.skyairline.com/cambiar-vuelo-sky/</x:v>
      </x:c>
      <x:c r="B1510" s="1" t="str">
        <x:v>cambiar vuelo sky airline</x:v>
      </x:c>
      <x:c r="C1510" s="1" t="str">
        <x:v>per</x:v>
      </x:c>
      <x:c r="D1510" s="1" t="str">
        <x:v>Marca</x:v>
      </x:c>
      <x:c r="E1510" s="35" t="n">
        <x:v>1</x:v>
      </x:c>
      <x:c r="F1510" s="36"/>
      <x:c r="G1510" s="36" t="str">
        <x:f>IF(ISNUMBER(F1510),E1510*F1510,"")</x:f>
      </x:c>
      <x:c r="H1510" s="37"/>
      <x:c r="I1510" s="37"/>
      <x:c r="J1510" s="1" t="n">
        <x:f>IF(ISNUMBER(F1510),E1510,0)</x:f>
        <x:v>0</x:v>
      </x:c>
      <x:c r="K1510" s="1"/>
      <x:c r="L1510" s="1" t="str">
        <x:v>https://blog.skyairline.com/cuatro-recomendaciones-para-vuelos-con-ninos-sin-contratiempos/</x:v>
      </x:c>
      <x:c r="M1510" s="1" t="n">
        <x:v>0</x:v>
      </x:c>
    </x:row>
    <x:row r="1511" ht="18.75" customHeight="1">
      <x:c r="A1511" s="1" t="str">
        <x:v>https://blog.skyairline.com/cambiar-vuelo-sky/</x:v>
      </x:c>
      <x:c r="B1511" s="1" t="str">
        <x:v>cambiar vuelos sky</x:v>
      </x:c>
      <x:c r="C1511" s="1" t="str">
        <x:v>per</x:v>
      </x:c>
      <x:c r="D1511" s="1" t="str">
        <x:v>Marca</x:v>
      </x:c>
      <x:c r="E1511" s="35" t="n">
        <x:v>1</x:v>
      </x:c>
      <x:c r="F1511" s="36"/>
      <x:c r="G1511" s="36" t="str">
        <x:f>IF(ISNUMBER(F1511),E1511*F1511,"")</x:f>
      </x:c>
      <x:c r="H1511" s="37"/>
      <x:c r="I1511" s="37"/>
      <x:c r="J1511" s="1" t="n">
        <x:f>IF(ISNUMBER(F1511),E1511,0)</x:f>
        <x:v>0</x:v>
      </x:c>
      <x:c r="K1511" s="1"/>
      <x:c r="L1511" s="1" t="str">
        <x:v>https://blog.skyairline.com/cueva-del-milodon/</x:v>
      </x:c>
      <x:c r="M1511" s="1" t="n">
        <x:v>0</x:v>
      </x:c>
    </x:row>
    <x:row r="1512" ht="18.75" customHeight="1">
      <x:c r="A1512" s="1" t="str">
        <x:v>https://blog.skyairline.com/cambiar-vuelo-sky/</x:v>
      </x:c>
      <x:c r="B1512" s="1" t="str">
        <x:v>cambio de fecha</x:v>
      </x:c>
      <x:c r="C1512" s="1" t="str">
        <x:v>per</x:v>
      </x:c>
      <x:c r="D1512" s="1" t="str">
        <x:v>Sin marca</x:v>
      </x:c>
      <x:c r="E1512" s="35" t="n">
        <x:v>1</x:v>
      </x:c>
      <x:c r="F1512" s="36"/>
      <x:c r="G1512" s="36" t="str">
        <x:f>IF(ISNUMBER(F1512),E1512*F1512,"")</x:f>
      </x:c>
      <x:c r="H1512" s="37"/>
      <x:c r="I1512" s="37"/>
      <x:c r="J1512" s="1" t="n">
        <x:f>IF(ISNUMBER(F1512),E1512,0)</x:f>
        <x:v>0</x:v>
      </x:c>
      <x:c r="K1512" s="1"/>
      <x:c r="L1512" s="1" t="str">
        <x:v>https://blog.skyairline.com/cultura-brasilena/</x:v>
      </x:c>
      <x:c r="M1512" s="1" t="n">
        <x:v>0</x:v>
      </x:c>
    </x:row>
    <x:row r="1513" ht="18.75" customHeight="1">
      <x:c r="A1513" s="1" t="str">
        <x:v>https://blog.skyairline.com/cambiar-vuelo-sky/</x:v>
      </x:c>
      <x:c r="B1513" s="1" t="str">
        <x:v>cambio de pasajes sky</x:v>
      </x:c>
      <x:c r="C1513" s="1" t="str">
        <x:v>bra</x:v>
      </x:c>
      <x:c r="D1513" s="1" t="str">
        <x:v>Marca</x:v>
      </x:c>
      <x:c r="E1513" s="35" t="n">
        <x:v>1</x:v>
      </x:c>
      <x:c r="F1513" s="36"/>
      <x:c r="G1513" s="36" t="str">
        <x:f>IF(ISNUMBER(F1513),E1513*F1513,"")</x:f>
      </x:c>
      <x:c r="H1513" s="37"/>
      <x:c r="I1513" s="37"/>
      <x:c r="J1513" s="1" t="n">
        <x:f>IF(ISNUMBER(F1513),E1513,0)</x:f>
        <x:v>0</x:v>
      </x:c>
      <x:c r="K1513" s="1"/>
      <x:c r="L1513" s="1" t="str">
        <x:v>https://blog.skyairline.com/cultura-de-miami/</x:v>
      </x:c>
      <x:c r="M1513" s="1" t="n">
        <x:v>0</x:v>
      </x:c>
    </x:row>
    <x:row r="1514" ht="18.75" customHeight="1">
      <x:c r="A1514" s="1" t="str">
        <x:v>https://blog.skyairline.com/cambiar-vuelo-sky/</x:v>
      </x:c>
      <x:c r="B1514" s="1" t="str">
        <x:v>cambio de pasajes sky airline</x:v>
      </x:c>
      <x:c r="C1514" s="1" t="str">
        <x:v>chl</x:v>
      </x:c>
      <x:c r="D1514" s="1" t="str">
        <x:v>Marca</x:v>
      </x:c>
      <x:c r="E1514" s="35" t="n">
        <x:v>1</x:v>
      </x:c>
      <x:c r="F1514" s="36"/>
      <x:c r="G1514" s="36" t="str">
        <x:f>IF(ISNUMBER(F1514),E1514*F1514,"")</x:f>
      </x:c>
      <x:c r="H1514" s="37"/>
      <x:c r="I1514" s="37"/>
      <x:c r="J1514" s="1" t="n">
        <x:f>IF(ISNUMBER(F1514),E1514,0)</x:f>
        <x:v>0</x:v>
      </x:c>
      <x:c r="K1514" s="1"/>
      <x:c r="L1514" s="1" t="str">
        <x:v>https://blog.skyairline.com/cultura-general/</x:v>
      </x:c>
      <x:c r="M1514" s="1" t="n">
        <x:v>0</x:v>
      </x:c>
    </x:row>
    <x:row r="1515" ht="18.75" customHeight="1">
      <x:c r="A1515" s="1" t="str">
        <x:v>https://blog.skyairline.com/cambiar-vuelo-sky/</x:v>
      </x:c>
      <x:c r="B1515" s="1" t="str">
        <x:v>cambio de vuelo</x:v>
      </x:c>
      <x:c r="C1515" s="1" t="str">
        <x:v>per</x:v>
      </x:c>
      <x:c r="D1515" s="1" t="str">
        <x:v>Sin marca</x:v>
      </x:c>
      <x:c r="E1515" s="35" t="n">
        <x:v>1</x:v>
      </x:c>
      <x:c r="F1515" s="36"/>
      <x:c r="G1515" s="36" t="str">
        <x:f>IF(ISNUMBER(F1515),E1515*F1515,"")</x:f>
      </x:c>
      <x:c r="H1515" s="37"/>
      <x:c r="I1515" s="37"/>
      <x:c r="J1515" s="1" t="n">
        <x:f>IF(ISNUMBER(F1515),E1515,0)</x:f>
        <x:v>0</x:v>
      </x:c>
      <x:c r="K1515" s="1"/>
      <x:c r="L1515" s="1" t="str">
        <x:v>https://blog.skyairline.com/cultura/bailes-tipicos-chile</x:v>
      </x:c>
      <x:c r="M1515" s="1" t="n">
        <x:v>0</x:v>
      </x:c>
    </x:row>
    <x:row r="1516" ht="18.75" customHeight="1">
      <x:c r="A1516" s="1" t="str">
        <x:v>https://blog.skyairline.com/cambiar-vuelo-sky/</x:v>
      </x:c>
      <x:c r="B1516" s="1" t="str">
        <x:v>cambio de vuelo sky</x:v>
      </x:c>
      <x:c r="C1516" s="1" t="str">
        <x:v>bra</x:v>
      </x:c>
      <x:c r="D1516" s="1" t="str">
        <x:v>Marca</x:v>
      </x:c>
      <x:c r="E1516" s="35" t="n">
        <x:v>1</x:v>
      </x:c>
      <x:c r="F1516" s="36"/>
      <x:c r="G1516" s="36" t="str">
        <x:f>IF(ISNUMBER(F1516),E1516*F1516,"")</x:f>
      </x:c>
      <x:c r="H1516" s="37"/>
      <x:c r="I1516" s="37"/>
      <x:c r="J1516" s="1" t="n">
        <x:f>IF(ISNUMBER(F1516),E1516,0)</x:f>
        <x:v>0</x:v>
      </x:c>
      <x:c r="K1516" s="1"/>
      <x:c r="L1516" s="1" t="str">
        <x:v>https://blog.skyairline.com/curiosidades-de-chile-2/</x:v>
      </x:c>
      <x:c r="M1516" s="1" t="n">
        <x:v>0</x:v>
      </x:c>
    </x:row>
    <x:row r="1517" ht="18.75" customHeight="1">
      <x:c r="A1517" s="1" t="str">
        <x:v>https://blog.skyairline.com/cambiar-vuelo-sky/</x:v>
      </x:c>
      <x:c r="B1517" s="1" t="str">
        <x:v>cambio de vuelo sky chile</x:v>
      </x:c>
      <x:c r="C1517" s="1" t="str">
        <x:v>chl</x:v>
      </x:c>
      <x:c r="D1517" s="1" t="str">
        <x:v>Marca</x:v>
      </x:c>
      <x:c r="E1517" s="35" t="n">
        <x:v>1</x:v>
      </x:c>
      <x:c r="F1517" s="36"/>
      <x:c r="G1517" s="36" t="str">
        <x:f>IF(ISNUMBER(F1517),E1517*F1517,"")</x:f>
      </x:c>
      <x:c r="H1517" s="37" t="d">
        <x:v>2026-10-15T00:00:00.000Z</x:v>
      </x:c>
      <x:c r="I1517" s="37" t="d">
        <x:v>2026-09-16T00:07:43.000Z</x:v>
      </x:c>
      <x:c r="J1517" s="1" t="n">
        <x:f>IF(ISNUMBER(F1517),E1517,0)</x:f>
        <x:v>0</x:v>
      </x:c>
      <x:c r="K1517" s="1"/>
      <x:c r="L1517" s="1" t="str">
        <x:v>https://blog.skyairline.com/curiosidades-de-peru/</x:v>
      </x:c>
      <x:c r="M1517" s="1" t="n">
        <x:v>0</x:v>
      </x:c>
    </x:row>
    <x:row r="1518" ht="18.75" customHeight="1">
      <x:c r="A1518" s="1" t="str">
        <x:v>https://blog.skyairline.com/cambiar-vuelo-sky/</x:v>
      </x:c>
      <x:c r="B1518" s="1" t="str">
        <x:v>cambio pasaje sky</x:v>
      </x:c>
      <x:c r="C1518" s="1" t="str">
        <x:v>per</x:v>
      </x:c>
      <x:c r="D1518" s="1" t="str">
        <x:v>Marca</x:v>
      </x:c>
      <x:c r="E1518" s="35" t="n">
        <x:v>1</x:v>
      </x:c>
      <x:c r="F1518" s="36"/>
      <x:c r="G1518" s="36" t="str">
        <x:f>IF(ISNUMBER(F1518),E1518*F1518,"")</x:f>
      </x:c>
      <x:c r="H1518" s="37"/>
      <x:c r="I1518" s="37"/>
      <x:c r="J1518" s="1" t="n">
        <x:f>IF(ISNUMBER(F1518),E1518,0)</x:f>
        <x:v>0</x:v>
      </x:c>
      <x:c r="K1518" s="1"/>
      <x:c r="L1518" s="1" t="str">
        <x:v>https://blog.skyairline.com/curitiba/</x:v>
      </x:c>
      <x:c r="M1518" s="1" t="n">
        <x:v>0</x:v>
      </x:c>
    </x:row>
    <x:row r="1519" ht="18.75" customHeight="1">
      <x:c r="A1519" s="1" t="str">
        <x:v>https://blog.skyairline.com/cambiar-vuelo-sky/</x:v>
      </x:c>
      <x:c r="B1519" s="1" t="str">
        <x:v>cambio vuelo sky</x:v>
      </x:c>
      <x:c r="C1519" s="1" t="str">
        <x:v>ecu</x:v>
      </x:c>
      <x:c r="D1519" s="1" t="str">
        <x:v>Marca</x:v>
      </x:c>
      <x:c r="E1519" s="35" t="n">
        <x:v>1</x:v>
      </x:c>
      <x:c r="F1519" s="36"/>
      <x:c r="G1519" s="36" t="str">
        <x:f>IF(ISNUMBER(F1519),E1519*F1519,"")</x:f>
      </x:c>
      <x:c r="H1519" s="37"/>
      <x:c r="I1519" s="37"/>
      <x:c r="J1519" s="1" t="n">
        <x:f>IF(ISNUMBER(F1519),E1519,0)</x:f>
        <x:v>0</x:v>
      </x:c>
      <x:c r="K1519" s="1"/>
      <x:c r="L1519" s="1" t="str">
        <x:v>https://blog.skyairline.com/curso-de-tripulante-de-cabina-requisitos-y-que-se-estudia</x:v>
      </x:c>
      <x:c r="M1519" s="1" t="n">
        <x:v>0</x:v>
      </x:c>
    </x:row>
    <x:row r="1520" ht="18.75" customHeight="1">
      <x:c r="A1520" s="1" t="str">
        <x:v>https://blog.skyairline.com/cambiar-vuelo-sky/</x:v>
      </x:c>
      <x:c r="B1520" s="1" t="str">
        <x:v>cambio vuelo sky</x:v>
      </x:c>
      <x:c r="C1520" s="1" t="str">
        <x:v>per</x:v>
      </x:c>
      <x:c r="D1520" s="1" t="str">
        <x:v>Marca</x:v>
      </x:c>
      <x:c r="E1520" s="35" t="n">
        <x:v>1</x:v>
      </x:c>
      <x:c r="F1520" s="36" t="n">
        <x:v>0.24</x:v>
      </x:c>
      <x:c r="G1520" s="36" t="n">
        <x:f>IF(ISNUMBER(F1520),E1520*F1520,"")</x:f>
        <x:v>0.24</x:v>
      </x:c>
      <x:c r="H1520" s="37" t="d">
        <x:v>2026-10-15T00:00:00.000Z</x:v>
      </x:c>
      <x:c r="I1520" s="37" t="d">
        <x:v>2026-09-15T17:10:02.999Z</x:v>
      </x:c>
      <x:c r="J1520" s="1" t="n">
        <x:f>IF(ISNUMBER(F1520),E1520,0)</x:f>
        <x:v>1</x:v>
      </x:c>
      <x:c r="K1520" s="1"/>
      <x:c r="L1520" s="1" t="str">
        <x:v>https://blog.skyairline.com/curso-tripulante-cabina</x:v>
      </x:c>
      <x:c r="M1520" s="1" t="n">
        <x:v>0</x:v>
      </x:c>
    </x:row>
    <x:row r="1521" ht="18.75" customHeight="1">
      <x:c r="A1521" s="1" t="str">
        <x:v>https://blog.skyairline.com/cambiar-vuelo-sky/</x:v>
      </x:c>
      <x:c r="B1521" s="1" t="str">
        <x:v>cancelar vuelo sky</x:v>
      </x:c>
      <x:c r="C1521" s="1" t="str">
        <x:v>chl</x:v>
      </x:c>
      <x:c r="D1521" s="1" t="str">
        <x:v>Marca</x:v>
      </x:c>
      <x:c r="E1521" s="35" t="n">
        <x:v>1</x:v>
      </x:c>
      <x:c r="F1521" s="36"/>
      <x:c r="G1521" s="36" t="str">
        <x:f>IF(ISNUMBER(F1521),E1521*F1521,"")</x:f>
      </x:c>
      <x:c r="H1521" s="37" t="d">
        <x:v>2026-10-15T00:00:00.000Z</x:v>
      </x:c>
      <x:c r="I1521" s="37" t="d">
        <x:v>2026-09-16T16:10:09.000Z</x:v>
      </x:c>
      <x:c r="J1521" s="1" t="n">
        <x:f>IF(ISNUMBER(F1521),E1521,0)</x:f>
        <x:v>0</x:v>
      </x:c>
      <x:c r="K1521" s="1"/>
      <x:c r="L1521" s="1" t="str">
        <x:v>https://blog.skyairline.com/curso-tripulante-cabina-requisitos-y-que-se-estudia</x:v>
      </x:c>
      <x:c r="M1521" s="1" t="n">
        <x:v>0</x:v>
      </x:c>
    </x:row>
    <x:row r="1522" ht="18.75" customHeight="1">
      <x:c r="A1522" s="1" t="str">
        <x:v>https://blog.skyairline.com/cambiar-vuelo-sky/</x:v>
      </x:c>
      <x:c r="B1522" s="1" t="str">
        <x:v>como cambiar la fecha de mi vuelo</x:v>
      </x:c>
      <x:c r="C1522" s="1" t="str">
        <x:v>per</x:v>
      </x:c>
      <x:c r="D1522" s="1" t="str">
        <x:v>Sin marca</x:v>
      </x:c>
      <x:c r="E1522" s="35" t="n">
        <x:v>1</x:v>
      </x:c>
      <x:c r="F1522" s="36"/>
      <x:c r="G1522" s="36" t="str">
        <x:f>IF(ISNUMBER(F1522),E1522*F1522,"")</x:f>
      </x:c>
      <x:c r="H1522" s="37"/>
      <x:c r="I1522" s="37"/>
      <x:c r="J1522" s="1" t="n">
        <x:f>IF(ISNUMBER(F1522),E1522,0)</x:f>
        <x:v>0</x:v>
      </x:c>
      <x:c r="K1522" s="1"/>
      <x:c r="L1522" s="1" t="str">
        <x:v>https://blog.skyairline.com/curso-tripulante-cabina:</x:v>
      </x:c>
      <x:c r="M1522" s="1" t="n">
        <x:v>0</x:v>
      </x:c>
    </x:row>
    <x:row r="1523" ht="18.75" customHeight="1">
      <x:c r="A1523" s="1" t="str">
        <x:v>https://blog.skyairline.com/cambiar-vuelo-sky/</x:v>
      </x:c>
      <x:c r="B1523" s="1" t="str">
        <x:v>como cambiar mi vuelo</x:v>
      </x:c>
      <x:c r="C1523" s="1" t="str">
        <x:v>per</x:v>
      </x:c>
      <x:c r="D1523" s="1" t="str">
        <x:v>Sin marca</x:v>
      </x:c>
      <x:c r="E1523" s="35" t="n">
        <x:v>1</x:v>
      </x:c>
      <x:c r="F1523" s="36"/>
      <x:c r="G1523" s="36" t="str">
        <x:f>IF(ISNUMBER(F1523),E1523*F1523,"")</x:f>
      </x:c>
      <x:c r="H1523" s="37"/>
      <x:c r="I1523" s="37"/>
      <x:c r="J1523" s="1" t="n">
        <x:f>IF(ISNUMBER(F1523),E1523,0)</x:f>
        <x:v>0</x:v>
      </x:c>
      <x:c r="K1523" s="1"/>
      <x:c r="L1523" s="1" t="str">
        <x:v>https://blog.skyairline.com/cuzco-machu-picchu/</x:v>
      </x:c>
      <x:c r="M1523" s="1" t="n">
        <x:v>0</x:v>
      </x:c>
    </x:row>
    <x:row r="1524" ht="18.75" customHeight="1">
      <x:c r="A1524" s="1" t="str">
        <x:v>https://blog.skyairline.com/cambiar-vuelo-sky/</x:v>
      </x:c>
      <x:c r="B1524" s="1" t="str">
        <x:v>como cambiar un pasaje en sky</x:v>
      </x:c>
      <x:c r="C1524" s="1" t="str">
        <x:v>ury</x:v>
      </x:c>
      <x:c r="D1524" s="1" t="str">
        <x:v>Marca</x:v>
      </x:c>
      <x:c r="E1524" s="35" t="n">
        <x:v>1</x:v>
      </x:c>
      <x:c r="F1524" s="36"/>
      <x:c r="G1524" s="36" t="str">
        <x:f>IF(ISNUMBER(F1524),E1524*F1524,"")</x:f>
      </x:c>
      <x:c r="H1524" s="37"/>
      <x:c r="I1524" s="37"/>
      <x:c r="J1524" s="1" t="n">
        <x:f>IF(ISNUMBER(F1524),E1524,0)</x:f>
        <x:v>0</x:v>
      </x:c>
      <x:c r="K1524" s="1"/>
      <x:c r="L1524" s="1" t="str">
        <x:v>https://blog.skyairline.com/cyber-days/</x:v>
      </x:c>
      <x:c r="M1524" s="1" t="n">
        <x:v>0</x:v>
      </x:c>
    </x:row>
    <x:row r="1525" ht="18.75" customHeight="1">
      <x:c r="A1525" s="1" t="str">
        <x:v>https://blog.skyairline.com/cambiar-vuelo-sky/</x:v>
      </x:c>
      <x:c r="B1525" s="1" t="str">
        <x:v>como cambiar un vuelo en sky</x:v>
      </x:c>
      <x:c r="C1525" s="1" t="str">
        <x:v>arg</x:v>
      </x:c>
      <x:c r="D1525" s="1" t="str">
        <x:v>Marca</x:v>
      </x:c>
      <x:c r="E1525" s="35" t="n">
        <x:v>1</x:v>
      </x:c>
      <x:c r="F1525" s="36"/>
      <x:c r="G1525" s="36" t="str">
        <x:f>IF(ISNUMBER(F1525),E1525*F1525,"")</x:f>
      </x:c>
      <x:c r="H1525" s="37"/>
      <x:c r="I1525" s="37"/>
      <x:c r="J1525" s="1" t="n">
        <x:f>IF(ISNUMBER(F1525),E1525,0)</x:f>
        <x:v>0</x:v>
      </x:c>
      <x:c r="K1525" s="1"/>
      <x:c r="L1525" s="1" t="str">
        <x:v>https://blog.skyairline.com/cyber-descuentos-sky-ofrecera-descuentos-de-hasta-un-75-en-pasajes-en-su-campana-sky-sale/</x:v>
      </x:c>
      <x:c r="M1525" s="1" t="n">
        <x:v>0</x:v>
      </x:c>
    </x:row>
    <x:row r="1526" ht="18.75" customHeight="1">
      <x:c r="A1526" s="1" t="str">
        <x:v>https://blog.skyairline.com/cambiar-vuelo-sky/</x:v>
      </x:c>
      <x:c r="B1526" s="1" t="str">
        <x:v>como cambiar un vuelo en sky</x:v>
      </x:c>
      <x:c r="C1526" s="1" t="str">
        <x:v>per</x:v>
      </x:c>
      <x:c r="D1526" s="1" t="str">
        <x:v>Marca</x:v>
      </x:c>
      <x:c r="E1526" s="35" t="n">
        <x:v>1</x:v>
      </x:c>
      <x:c r="F1526" s="36"/>
      <x:c r="G1526" s="36" t="str">
        <x:f>IF(ISNUMBER(F1526),E1526*F1526,"")</x:f>
      </x:c>
      <x:c r="H1526" s="37" t="d">
        <x:v>2026-10-15T00:00:00.000Z</x:v>
      </x:c>
      <x:c r="I1526" s="37" t="d">
        <x:v>2026-09-19T02:41:37.000Z</x:v>
      </x:c>
      <x:c r="J1526" s="1" t="n">
        <x:f>IF(ISNUMBER(F1526),E1526,0)</x:f>
        <x:v>0</x:v>
      </x:c>
      <x:c r="K1526" s="1"/>
      <x:c r="L1526" s="1" t="str">
        <x:v>https://blog.skyairline.com/cyber-peru-descuentos-mas-de-40-mil-pasajes-con-descuentos-de-hasta-47/</x:v>
      </x:c>
      <x:c r="M1526" s="1" t="n">
        <x:v>0</x:v>
      </x:c>
    </x:row>
    <x:row r="1527" ht="18.75" customHeight="1">
      <x:c r="A1527" s="1" t="str">
        <x:v>https://blog.skyairline.com/cambiar-vuelo-sky/</x:v>
      </x:c>
      <x:c r="B1527" s="1" t="str">
        <x:v>como cancelar un vuelo en sky</x:v>
      </x:c>
      <x:c r="C1527" s="1" t="str">
        <x:v>chl</x:v>
      </x:c>
      <x:c r="D1527" s="1" t="str">
        <x:v>Marca</x:v>
      </x:c>
      <x:c r="E1527" s="35" t="n">
        <x:v>1</x:v>
      </x:c>
      <x:c r="F1527" s="36"/>
      <x:c r="G1527" s="36" t="str">
        <x:f>IF(ISNUMBER(F1527),E1527*F1527,"")</x:f>
      </x:c>
      <x:c r="H1527" s="37"/>
      <x:c r="I1527" s="37"/>
      <x:c r="J1527" s="1" t="n">
        <x:f>IF(ISNUMBER(F1527),E1527,0)</x:f>
        <x:v>0</x:v>
      </x:c>
      <x:c r="K1527" s="1"/>
      <x:c r="L1527" s="1" t="str">
        <x:v>https://blog.skyairline.com/dalcahue/</x:v>
      </x:c>
      <x:c r="M1527" s="1" t="n">
        <x:v>0</x:v>
      </x:c>
    </x:row>
    <x:row r="1528" ht="18.75" customHeight="1">
      <x:c r="A1528" s="1" t="str">
        <x:v>https://blog.skyairline.com/cambiar-vuelo-sky/</x:v>
      </x:c>
      <x:c r="B1528" s="1" t="str">
        <x:v>como reprogramar un vuelo en sky</x:v>
      </x:c>
      <x:c r="C1528" s="1" t="str">
        <x:v>chl</x:v>
      </x:c>
      <x:c r="D1528" s="1" t="str">
        <x:v>Marca</x:v>
      </x:c>
      <x:c r="E1528" s="35" t="n">
        <x:v>1</x:v>
      </x:c>
      <x:c r="F1528" s="36"/>
      <x:c r="G1528" s="36" t="str">
        <x:f>IF(ISNUMBER(F1528),E1528*F1528,"")</x:f>
      </x:c>
      <x:c r="H1528" s="37" t="d">
        <x:v>2026-10-15T00:00:00.000Z</x:v>
      </x:c>
      <x:c r="I1528" s="37" t="d">
        <x:v>2026-09-17T12:30:37.000Z</x:v>
      </x:c>
      <x:c r="J1528" s="1" t="n">
        <x:f>IF(ISNUMBER(F1528),E1528,0)</x:f>
        <x:v>0</x:v>
      </x:c>
      <x:c r="K1528" s="1"/>
      <x:c r="L1528" s="1" t="str">
        <x:v>https://blog.skyairline.com/de-santiago-a-antofagasta-que-hacer-en-destino</x:v>
      </x:c>
      <x:c r="M1528" s="1" t="n">
        <x:v>0</x:v>
      </x:c>
    </x:row>
    <x:row r="1529" ht="18.75" customHeight="1">
      <x:c r="A1529" s="1" t="str">
        <x:v>https://blog.skyairline.com/cambiar-vuelo-sky/</x:v>
      </x:c>
      <x:c r="B1529" s="1" t="str">
        <x:v>cuanto es el costo?</x:v>
      </x:c>
      <x:c r="C1529" s="1" t="str">
        <x:v>per</x:v>
      </x:c>
      <x:c r="D1529" s="1" t="str">
        <x:v>Sin marca</x:v>
      </x:c>
      <x:c r="E1529" s="35" t="n">
        <x:v>1</x:v>
      </x:c>
      <x:c r="F1529" s="36"/>
      <x:c r="G1529" s="36" t="str">
        <x:f>IF(ISNUMBER(F1529),E1529*F1529,"")</x:f>
      </x:c>
      <x:c r="H1529" s="37"/>
      <x:c r="I1529" s="37"/>
      <x:c r="J1529" s="1" t="n">
        <x:f>IF(ISNUMBER(F1529),E1529,0)</x:f>
        <x:v>0</x:v>
      </x:c>
      <x:c r="K1529" s="1"/>
      <x:c r="L1529" s="1" t="str">
        <x:v>https://blog.skyairline.com/delta-del-tigre/</x:v>
      </x:c>
      <x:c r="M1529" s="1" t="n">
        <x:v>0</x:v>
      </x:c>
    </x:row>
    <x:row r="1530" ht="18.75" customHeight="1">
      <x:c r="A1530" s="1" t="str">
        <x:v>https://blog.skyairline.com/cambiar-vuelo-sky/</x:v>
      </x:c>
      <x:c r="B1530" s="1" t="str">
        <x:v>cuanto sale cambiar un pasaje de avion</x:v>
      </x:c>
      <x:c r="C1530" s="1" t="str">
        <x:v>chl</x:v>
      </x:c>
      <x:c r="D1530" s="1" t="str">
        <x:v>Sin marca</x:v>
      </x:c>
      <x:c r="E1530" s="35" t="n">
        <x:v>1</x:v>
      </x:c>
      <x:c r="F1530" s="36"/>
      <x:c r="G1530" s="36" t="str">
        <x:f>IF(ISNUMBER(F1530),E1530*F1530,"")</x:f>
      </x:c>
      <x:c r="H1530" s="37"/>
      <x:c r="I1530" s="37"/>
      <x:c r="J1530" s="1" t="n">
        <x:f>IF(ISNUMBER(F1530),E1530,0)</x:f>
        <x:v>0</x:v>
      </x:c>
      <x:c r="K1530" s="1"/>
      <x:c r="L1530" s="1" t="str">
        <x:v>https://blog.skyairline.com/dengue/</x:v>
      </x:c>
      <x:c r="M1530" s="1" t="n">
        <x:v>0</x:v>
      </x:c>
    </x:row>
    <x:row r="1531" ht="18.75" customHeight="1">
      <x:c r="A1531" s="1" t="str">
        <x:v>https://blog.skyairline.com/cambiar-vuelo-sky/</x:v>
      </x:c>
      <x:c r="B1531" s="1" t="str">
        <x:v>lima cusco</x:v>
      </x:c>
      <x:c r="C1531" s="1" t="str">
        <x:v>per</x:v>
      </x:c>
      <x:c r="D1531" s="1" t="str">
        <x:v>Sin marca</x:v>
      </x:c>
      <x:c r="E1531" s="35" t="n">
        <x:v>1</x:v>
      </x:c>
      <x:c r="F1531" s="36" t="n">
        <x:v>0.53</x:v>
      </x:c>
      <x:c r="G1531" s="36" t="n">
        <x:f>IF(ISNUMBER(F1531),E1531*F1531,"")</x:f>
        <x:v>0.53</x:v>
      </x:c>
      <x:c r="H1531" s="37" t="d">
        <x:v>2026-10-15T00:00:00.000Z</x:v>
      </x:c>
      <x:c r="I1531" s="37" t="d">
        <x:v>2026-09-15T15:02:37.000Z</x:v>
      </x:c>
      <x:c r="J1531" s="1" t="n">
        <x:f>IF(ISNUMBER(F1531),E1531,0)</x:f>
        <x:v>1</x:v>
      </x:c>
      <x:c r="K1531" s="1"/>
      <x:c r="L1531" s="1" t="str">
        <x:v>https://blog.skyairline.com/deportes-para-hacer-en-invierno/</x:v>
      </x:c>
      <x:c r="M1531" s="1" t="n">
        <x:v>0</x:v>
      </x:c>
    </x:row>
    <x:row r="1532" ht="18.75" customHeight="1">
      <x:c r="A1532" s="1" t="str">
        <x:v>https://blog.skyairline.com/cambiar-vuelo-sky/</x:v>
      </x:c>
      <x:c r="B1532" s="1" t="str">
        <x:v>mándame links</x:v>
      </x:c>
      <x:c r="C1532" s="1" t="str">
        <x:v>per</x:v>
      </x:c>
      <x:c r="D1532" s="1" t="str">
        <x:v>Sin marca</x:v>
      </x:c>
      <x:c r="E1532" s="35" t="n">
        <x:v>1</x:v>
      </x:c>
      <x:c r="F1532" s="36"/>
      <x:c r="G1532" s="36" t="str">
        <x:f>IF(ISNUMBER(F1532),E1532*F1532,"")</x:f>
      </x:c>
      <x:c r="H1532" s="37"/>
      <x:c r="I1532" s="37"/>
      <x:c r="J1532" s="1" t="n">
        <x:f>IF(ISNUMBER(F1532),E1532,0)</x:f>
        <x:v>0</x:v>
      </x:c>
      <x:c r="K1532" s="1"/>
      <x:c r="L1532" s="1" t="str">
        <x:v>https://blog.skyairline.com/deportes-y-actividades-fisicas/</x:v>
      </x:c>
      <x:c r="M1532" s="1" t="n">
        <x:v>0</x:v>
      </x:c>
    </x:row>
    <x:row r="1533" ht="18.75" customHeight="1">
      <x:c r="A1533" s="1" t="str">
        <x:v>https://blog.skyairline.com/cambiar-vuelo-sky/</x:v>
      </x:c>
      <x:c r="B1533" s="1" t="str">
        <x:v>postergar vuelo sky</x:v>
      </x:c>
      <x:c r="C1533" s="1" t="str">
        <x:v>per</x:v>
      </x:c>
      <x:c r="D1533" s="1" t="str">
        <x:v>Marca</x:v>
      </x:c>
      <x:c r="E1533" s="35" t="n">
        <x:v>1</x:v>
      </x:c>
      <x:c r="F1533" s="36"/>
      <x:c r="G1533" s="36" t="str">
        <x:f>IF(ISNUMBER(F1533),E1533*F1533,"")</x:f>
      </x:c>
      <x:c r="H1533" s="37" t="d">
        <x:v>2026-10-15T00:00:00.000Z</x:v>
      </x:c>
      <x:c r="I1533" s="37" t="d">
        <x:v>2026-09-16T16:31:58.000Z</x:v>
      </x:c>
      <x:c r="J1533" s="1" t="n">
        <x:f>IF(ISNUMBER(F1533),E1533,0)</x:f>
        <x:v>0</x:v>
      </x:c>
      <x:c r="K1533" s="1"/>
      <x:c r="L1533" s="1" t="str">
        <x:v>https://blog.skyairline.com/descubre-economy-economy-premier-la-nueva-experiencia-para-viajar-mas-comodo/</x:v>
      </x:c>
      <x:c r="M1533" s="1" t="n">
        <x:v>0</x:v>
      </x:c>
    </x:row>
    <x:row r="1534" ht="18.75" customHeight="1">
      <x:c r="A1534" s="1" t="str">
        <x:v>https://blog.skyairline.com/cambiar-vuelo-sky/</x:v>
      </x:c>
      <x:c r="B1534" s="1" t="str">
        <x:v>puedo cambiar mi vuelo en sky</x:v>
      </x:c>
      <x:c r="C1534" s="1" t="str">
        <x:v>chl</x:v>
      </x:c>
      <x:c r="D1534" s="1" t="str">
        <x:v>Marca</x:v>
      </x:c>
      <x:c r="E1534" s="35" t="n">
        <x:v>1</x:v>
      </x:c>
      <x:c r="F1534" s="36"/>
      <x:c r="G1534" s="36" t="str">
        <x:f>IF(ISNUMBER(F1534),E1534*F1534,"")</x:f>
      </x:c>
      <x:c r="H1534" s="37"/>
      <x:c r="I1534" s="37"/>
      <x:c r="J1534" s="1" t="n">
        <x:f>IF(ISNUMBER(F1534),E1534,0)</x:f>
        <x:v>0</x:v>
      </x:c>
      <x:c r="K1534" s="1"/>
      <x:c r="L1534" s="1" t="str">
        <x:v>https://blog.skyairline.com/descubre-economy-premier-la-%EC%97%AC%ED%96%89-mas-comodo/</x:v>
      </x:c>
      <x:c r="M1534" s="1" t="n">
        <x:v>0</x:v>
      </x:c>
    </x:row>
    <x:row r="1535" ht="18.75" customHeight="1">
      <x:c r="A1535" s="1" t="str">
        <x:v>https://blog.skyairline.com/cambiar-vuelo-sky/</x:v>
      </x:c>
      <x:c r="B1535" s="1" t="str">
        <x:v>puedo cancelar un vuelo en sky</x:v>
      </x:c>
      <x:c r="C1535" s="1" t="str">
        <x:v>chl</x:v>
      </x:c>
      <x:c r="D1535" s="1" t="str">
        <x:v>Marca</x:v>
      </x:c>
      <x:c r="E1535" s="35" t="n">
        <x:v>1</x:v>
      </x:c>
      <x:c r="F1535" s="36"/>
      <x:c r="G1535" s="36" t="str">
        <x:f>IF(ISNUMBER(F1535),E1535*F1535,"")</x:f>
      </x:c>
      <x:c r="H1535" s="37"/>
      <x:c r="I1535" s="37"/>
      <x:c r="J1535" s="1" t="n">
        <x:f>IF(ISNUMBER(F1535),E1535,0)</x:f>
        <x:v>0</x:v>
      </x:c>
      <x:c r="K1535" s="1"/>
      <x:c r="L1535" s="1" t="str">
        <x:v>https://blog.skyairline.com/descubre-economy-premier-la-experiencia-para-viajar-mas-comodo/</x:v>
      </x:c>
      <x:c r="M1535" s="1" t="n">
        <x:v>0</x:v>
      </x:c>
    </x:row>
    <x:row r="1536" ht="18.75" customHeight="1">
      <x:c r="A1536" s="1" t="str">
        <x:v>https://blog.skyairline.com/cambiar-vuelo-sky/</x:v>
      </x:c>
      <x:c r="B1536" s="1" t="str">
        <x:v>reprogramar vuelo sky</x:v>
      </x:c>
      <x:c r="C1536" s="1" t="str">
        <x:v>chl</x:v>
      </x:c>
      <x:c r="D1536" s="1" t="str">
        <x:v>Marca</x:v>
      </x:c>
      <x:c r="E1536" s="35" t="n">
        <x:v>1</x:v>
      </x:c>
      <x:c r="F1536" s="36" t="n">
        <x:v>0.53</x:v>
      </x:c>
      <x:c r="G1536" s="36" t="n">
        <x:f>IF(ISNUMBER(F1536),E1536*F1536,"")</x:f>
        <x:v>0.53</x:v>
      </x:c>
      <x:c r="H1536" s="37" t="d">
        <x:v>2026-10-15T00:00:00.000Z</x:v>
      </x:c>
      <x:c r="I1536" s="37" t="d">
        <x:v>2026-09-15T00:01:17.000Z</x:v>
      </x:c>
      <x:c r="J1536" s="1" t="n">
        <x:f>IF(ISNUMBER(F1536),E1536,0)</x:f>
        <x:v>1</x:v>
      </x:c>
      <x:c r="K1536" s="1"/>
      <x:c r="L1536" s="1" t="str">
        <x:v>https://blog.skyairline.com/descubre-economy-premier-la-nueva-experience-para-viajar-mas-comodo/</x:v>
      </x:c>
      <x:c r="M1536" s="1" t="n">
        <x:v>0</x:v>
      </x:c>
    </x:row>
    <x:row r="1537" ht="18.75" customHeight="1">
      <x:c r="A1537" s="1" t="str">
        <x:v>https://blog.skyairline.com/cambiar-vuelo-sky/</x:v>
      </x:c>
      <x:c r="B1537" s="1" t="str">
        <x:v>se puede adelantar un vuelo en sky</x:v>
      </x:c>
      <x:c r="C1537" s="1" t="str">
        <x:v>chl</x:v>
      </x:c>
      <x:c r="D1537" s="1" t="str">
        <x:v>Marca</x:v>
      </x:c>
      <x:c r="E1537" s="35" t="n">
        <x:v>1</x:v>
      </x:c>
      <x:c r="F1537" s="36"/>
      <x:c r="G1537" s="36" t="str">
        <x:f>IF(ISNUMBER(F1537),E1537*F1537,"")</x:f>
      </x:c>
      <x:c r="H1537" s="37" t="d">
        <x:v>2026-10-15T00:00:00.000Z</x:v>
      </x:c>
      <x:c r="I1537" s="37" t="d">
        <x:v>2026-09-16T06:03:25.000Z</x:v>
      </x:c>
      <x:c r="J1537" s="1" t="n">
        <x:f>IF(ISNUMBER(F1537),E1537,0)</x:f>
        <x:v>0</x:v>
      </x:c>
      <x:c r="K1537" s="1"/>
      <x:c r="L1537" s="1" t="str">
        <x:v>https://blog.skyairline.com/descubre-economy-premier-la-nueva-experiencia-de-comodidad/</x:v>
      </x:c>
      <x:c r="M1537" s="1" t="n">
        <x:v>0</x:v>
      </x:c>
    </x:row>
    <x:row r="1538" ht="18.75" customHeight="1">
      <x:c r="A1538" s="1" t="str">
        <x:v>https://blog.skyairline.com/cambiar-vuelo-sky/</x:v>
      </x:c>
      <x:c r="B1538" s="1" t="str">
        <x:v>se puede cambiar la fecha de un vuelo</x:v>
      </x:c>
      <x:c r="C1538" s="1" t="str">
        <x:v>chl</x:v>
      </x:c>
      <x:c r="D1538" s="1" t="str">
        <x:v>Sin marca</x:v>
      </x:c>
      <x:c r="E1538" s="35" t="n">
        <x:v>1</x:v>
      </x:c>
      <x:c r="F1538" s="36" t="n">
        <x:v>0.25</x:v>
      </x:c>
      <x:c r="G1538" s="36" t="n">
        <x:f>IF(ISNUMBER(F1538),E1538*F1538,"")</x:f>
        <x:v>0.25</x:v>
      </x:c>
      <x:c r="H1538" s="37" t="d">
        <x:v>2026-10-15T00:00:00.000Z</x:v>
      </x:c>
      <x:c r="I1538" s="37" t="d">
        <x:v>2026-09-15T06:30:47.000Z</x:v>
      </x:c>
      <x:c r="J1538" s="1" t="n">
        <x:f>IF(ISNUMBER(F1538),E1538,0)</x:f>
        <x:v>1</x:v>
      </x:c>
      <x:c r="K1538" s="1"/>
      <x:c r="L1538" s="1" t="str">
        <x:v>https://blog.skyairline.com/descubre-economy-premier-la-nueva-experiencia-for-viajar-mas-comodo/</x:v>
      </x:c>
      <x:c r="M1538" s="1" t="n">
        <x:v>0</x:v>
      </x:c>
    </x:row>
    <x:row r="1539" ht="18.75" customHeight="1">
      <x:c r="A1539" s="1" t="str">
        <x:v>https://blog.skyairline.com/cambiar-vuelo-sky/</x:v>
      </x:c>
      <x:c r="B1539" s="1" t="str">
        <x:v>se puede postergar un vuelo en sky</x:v>
      </x:c>
      <x:c r="C1539" s="1" t="str">
        <x:v>per</x:v>
      </x:c>
      <x:c r="D1539" s="1" t="str">
        <x:v>Marca</x:v>
      </x:c>
      <x:c r="E1539" s="35" t="n">
        <x:v>1</x:v>
      </x:c>
      <x:c r="F1539" s="36"/>
      <x:c r="G1539" s="36" t="str">
        <x:f>IF(ISNUMBER(F1539),E1539*F1539,"")</x:f>
      </x:c>
      <x:c r="H1539" s="37"/>
      <x:c r="I1539" s="37"/>
      <x:c r="J1539" s="1" t="n">
        <x:f>IF(ISNUMBER(F1539),E1539,0)</x:f>
        <x:v>0</x:v>
      </x:c>
      <x:c r="K1539" s="1"/>
      <x:c r="L1539" s="1" t="str">
        <x:v>https://blog.skyairline.com/descubre-economy-premier-la-nueva-experiencia-para-jasajar-mas-comodo/</x:v>
      </x:c>
      <x:c r="M1539" s="1" t="n">
        <x:v>0</x:v>
      </x:c>
    </x:row>
    <x:row r="1540" ht="18.75" customHeight="1">
      <x:c r="A1540" s="1" t="str">
        <x:v>https://blog.skyairline.com/cambiar-vuelo-sky/</x:v>
      </x:c>
      <x:c r="B1540" s="1" t="str">
        <x:v>se puede reprogramar un vuelo</x:v>
      </x:c>
      <x:c r="C1540" s="1" t="str">
        <x:v>per</x:v>
      </x:c>
      <x:c r="D1540" s="1" t="str">
        <x:v>Sin marca</x:v>
      </x:c>
      <x:c r="E1540" s="35" t="n">
        <x:v>1</x:v>
      </x:c>
      <x:c r="F1540" s="36"/>
      <x:c r="G1540" s="36" t="str">
        <x:f>IF(ISNUMBER(F1540),E1540*F1540,"")</x:f>
      </x:c>
      <x:c r="H1540" s="37"/>
      <x:c r="I1540" s="37"/>
      <x:c r="J1540" s="1" t="n">
        <x:f>IF(ISNUMBER(F1540),E1540,0)</x:f>
        <x:v>0</x:v>
      </x:c>
      <x:c r="K1540" s="1"/>
      <x:c r="L1540" s="1" t="str">
        <x:v>https://blog.skyairline.com/descubre-economy-premier-la-nueva-experiencia-para-travel-mas-comodo/</x:v>
      </x:c>
      <x:c r="M1540" s="1" t="n">
        <x:v>0</x:v>
      </x:c>
    </x:row>
    <x:row r="1541" ht="18.75" customHeight="1">
      <x:c r="A1541" s="1" t="str">
        <x:v>https://blog.skyairline.com/cambiar-vuelo-sky/</x:v>
      </x:c>
      <x:c r="B1541" s="1" t="str">
        <x:v>sky airline cambiar vuelo</x:v>
      </x:c>
      <x:c r="C1541" s="1" t="str">
        <x:v>bra</x:v>
      </x:c>
      <x:c r="D1541" s="1" t="str">
        <x:v>Marca</x:v>
      </x:c>
      <x:c r="E1541" s="35" t="n">
        <x:v>1</x:v>
      </x:c>
      <x:c r="F1541" s="36"/>
      <x:c r="G1541" s="36" t="str">
        <x:f>IF(ISNUMBER(F1541),E1541*F1541,"")</x:f>
      </x:c>
      <x:c r="H1541" s="37"/>
      <x:c r="I1541" s="37"/>
      <x:c r="J1541" s="1" t="n">
        <x:f>IF(ISNUMBER(F1541),E1541,0)</x:f>
        <x:v>0</x:v>
      </x:c>
      <x:c r="K1541" s="1"/>
      <x:c r="L1541" s="1" t="str">
        <x:v>https://blog.skyairline.com/descubre-economy-premier-la-nueva-experiencia-para-vender-mas-comodo</x:v>
      </x:c>
      <x:c r="M1541" s="1" t="n">
        <x:v>0</x:v>
      </x:c>
    </x:row>
    <x:row r="1542" ht="18.75" customHeight="1">
      <x:c r="A1542" s="1" t="str">
        <x:v>https://blog.skyairline.com/cambiar-vuelo-sky/</x:v>
      </x:c>
      <x:c r="B1542" s="1" t="str">
        <x:v>sky airlines cambiar fecha de vuelo</x:v>
      </x:c>
      <x:c r="C1542" s="1" t="str">
        <x:v>chl</x:v>
      </x:c>
      <x:c r="D1542" s="1" t="str">
        <x:v>Marca</x:v>
      </x:c>
      <x:c r="E1542" s="35" t="n">
        <x:v>1</x:v>
      </x:c>
      <x:c r="F1542" s="36"/>
      <x:c r="G1542" s="36" t="str">
        <x:f>IF(ISNUMBER(F1542),E1542*F1542,"")</x:f>
      </x:c>
      <x:c r="H1542" s="37"/>
      <x:c r="I1542" s="37"/>
      <x:c r="J1542" s="1" t="n">
        <x:f>IF(ISNUMBER(F1542),E1542,0)</x:f>
        <x:v>0</x:v>
      </x:c>
      <x:c r="K1542" s="1"/>
      <x:c r="L1542" s="1" t="str">
        <x:v>https://blog.skyairline.com/descubre-economy-premier-la-nueva-experiencia-para-viajar-m%C3%A1s-c%C3%B3modo/</x:v>
      </x:c>
      <x:c r="M1542" s="1" t="n">
        <x:v>0</x:v>
      </x:c>
    </x:row>
    <x:row r="1543" ht="18.75" customHeight="1">
      <x:c r="A1543" s="1" t="str">
        <x:v>https://blog.skyairline.com/cambiar-vuelo-sky/</x:v>
      </x:c>
      <x:c r="B1543" s="1" t="str">
        <x:v>sky airlines cambio de vuelo</x:v>
      </x:c>
      <x:c r="C1543" s="1" t="str">
        <x:v>arg</x:v>
      </x:c>
      <x:c r="D1543" s="1" t="str">
        <x:v>Marca</x:v>
      </x:c>
      <x:c r="E1543" s="35" t="n">
        <x:v>1</x:v>
      </x:c>
      <x:c r="F1543" s="36"/>
      <x:c r="G1543" s="36" t="str">
        <x:f>IF(ISNUMBER(F1543),E1543*F1543,"")</x:f>
      </x:c>
      <x:c r="H1543" s="37"/>
      <x:c r="I1543" s="37"/>
      <x:c r="J1543" s="1" t="n">
        <x:f>IF(ISNUMBER(F1543),E1543,0)</x:f>
        <x:v>0</x:v>
      </x:c>
      <x:c r="K1543" s="1"/>
      <x:c r="L1543" s="1" t="str">
        <x:v>https://blog.skyairline.com/descubre-economy-premier-la-nueva-experiencia-para-viajar-m%C3%A1s-comodo/</x:v>
      </x:c>
      <x:c r="M1543" s="1" t="n">
        <x:v>0</x:v>
      </x:c>
    </x:row>
    <x:row r="1544" ht="18.75" customHeight="1">
      <x:c r="A1544" s="1" t="str">
        <x:v>https://blog.skyairline.com/cambiar-vuelo-sky/</x:v>
      </x:c>
      <x:c r="B1544" s="1" t="str">
        <x:v>sky anular pasaje</x:v>
      </x:c>
      <x:c r="C1544" s="1" t="str">
        <x:v>chl</x:v>
      </x:c>
      <x:c r="D1544" s="1" t="str">
        <x:v>Marca</x:v>
      </x:c>
      <x:c r="E1544" s="35" t="n">
        <x:v>1</x:v>
      </x:c>
      <x:c r="F1544" s="36"/>
      <x:c r="G1544" s="36" t="str">
        <x:f>IF(ISNUMBER(F1544),E1544*F1544,"")</x:f>
      </x:c>
      <x:c r="H1544" s="37" t="d">
        <x:v>2026-10-15T00:00:00.000Z</x:v>
      </x:c>
      <x:c r="I1544" s="37" t="d">
        <x:v>2026-09-13T04:12:06.000Z</x:v>
      </x:c>
      <x:c r="J1544" s="1" t="n">
        <x:f>IF(ISNUMBER(F1544),E1544,0)</x:f>
        <x:v>0</x:v>
      </x:c>
      <x:c r="K1544" s="1"/>
      <x:c r="L1544" s="1" t="str">
        <x:v>https://blog.skyairline.com/descubre-economy-premier-la-nueva-experiencia-para-viajar-mas-comodo</x:v>
      </x:c>
      <x:c r="M1544" s="1" t="n">
        <x:v>0</x:v>
      </x:c>
    </x:row>
    <x:row r="1545" ht="18.75" customHeight="1">
      <x:c r="A1545" s="1" t="str">
        <x:v>https://blog.skyairline.com/cambiar-vuelo-sky/</x:v>
      </x:c>
      <x:c r="B1545" s="1" t="str">
        <x:v>sky cambiar pasaje</x:v>
      </x:c>
      <x:c r="C1545" s="1" t="str">
        <x:v>per</x:v>
      </x:c>
      <x:c r="D1545" s="1" t="str">
        <x:v>Marca</x:v>
      </x:c>
      <x:c r="E1545" s="35" t="n">
        <x:v>1</x:v>
      </x:c>
      <x:c r="F1545" s="36"/>
      <x:c r="G1545" s="36" t="str">
        <x:f>IF(ISNUMBER(F1545),E1545*F1545,"")</x:f>
      </x:c>
      <x:c r="H1545" s="37"/>
      <x:c r="I1545" s="37"/>
      <x:c r="J1545" s="1" t="n">
        <x:f>IF(ISNUMBER(F1545),E1545,0)</x:f>
        <x:v>0</x:v>
      </x:c>
      <x:c r="K1545" s="1"/>
      <x:c r="L1545" s="1" t="str">
        <x:v>https://blog.skyairline.com/descubre-economy-premier-la-nueva-experiencia-viajar-mas-comodo/</x:v>
      </x:c>
      <x:c r="M1545" s="1" t="n">
        <x:v>0</x:v>
      </x:c>
    </x:row>
    <x:row r="1546" ht="18.75" customHeight="1">
      <x:c r="A1546" s="1" t="str">
        <x:v>https://blog.skyairline.com/cambiar-vuelo-sky/</x:v>
      </x:c>
      <x:c r="B1546" s="1" t="str">
        <x:v>sky cambio de nombre</x:v>
      </x:c>
      <x:c r="C1546" s="1" t="str">
        <x:v>chl</x:v>
      </x:c>
      <x:c r="D1546" s="1" t="str">
        <x:v>Marca</x:v>
      </x:c>
      <x:c r="E1546" s="35" t="n">
        <x:v>1</x:v>
      </x:c>
      <x:c r="F1546" s="36"/>
      <x:c r="G1546" s="36" t="str">
        <x:f>IF(ISNUMBER(F1546),E1546*F1546,"")</x:f>
      </x:c>
      <x:c r="H1546" s="37" t="d">
        <x:v>2026-10-15T00:00:00.000Z</x:v>
      </x:c>
      <x:c r="I1546" s="37" t="d">
        <x:v>2026-09-13T09:25:33.000Z</x:v>
      </x:c>
      <x:c r="J1546" s="1" t="n">
        <x:f>IF(ISNUMBER(F1546),E1546,0)</x:f>
        <x:v>0</x:v>
      </x:c>
      <x:c r="K1546" s="1"/>
      <x:c r="L1546" s="1" t="str">
        <x:v>https://blog.skyairline.com/descubre-economy-premier-la-nueva-experieza-para-viajar-mas-comodo/</x:v>
      </x:c>
      <x:c r="M1546" s="1" t="n">
        <x:v>0</x:v>
      </x:c>
    </x:row>
    <x:row r="1547" ht="18.75" customHeight="1">
      <x:c r="A1547" s="1" t="str">
        <x:v>https://blog.skyairline.com/cambiar-vuelo-sky/</x:v>
      </x:c>
      <x:c r="B1547" s="1" t="str">
        <x:v>sky cambio de pasaje</x:v>
      </x:c>
      <x:c r="C1547" s="1" t="str">
        <x:v>chl</x:v>
      </x:c>
      <x:c r="D1547" s="1" t="str">
        <x:v>Marca</x:v>
      </x:c>
      <x:c r="E1547" s="35" t="n">
        <x:v>1</x:v>
      </x:c>
      <x:c r="F1547" s="36"/>
      <x:c r="G1547" s="36" t="str">
        <x:f>IF(ISNUMBER(F1547),E1547*F1547,"")</x:f>
      </x:c>
      <x:c r="H1547" s="37"/>
      <x:c r="I1547" s="37"/>
      <x:c r="J1547" s="1" t="n">
        <x:f>IF(ISNUMBER(F1547),E1547,0)</x:f>
        <x:v>0</x:v>
      </x:c>
      <x:c r="K1547" s="1"/>
      <x:c r="L1547" s="1" t="str">
        <x:v>https://blog.skyairline.com/descubre-economy-premier-la-porque-cuando-puedes-disfrutar-de-una-nuev/</x:v>
      </x:c>
      <x:c r="M1547" s="1" t="n">
        <x:v>0</x:v>
      </x:c>
    </x:row>
    <x:row r="1548" ht="18.75" customHeight="1">
      <x:c r="A1548" s="1" t="str">
        <x:v>https://blog.skyairline.com/cambiar-vuelo-sky/</x:v>
      </x:c>
      <x:c r="B1548" s="1" t="str">
        <x:v>sky cambio de pasajes</x:v>
      </x:c>
      <x:c r="C1548" s="1" t="str">
        <x:v>per</x:v>
      </x:c>
      <x:c r="D1548" s="1" t="str">
        <x:v>Marca</x:v>
      </x:c>
      <x:c r="E1548" s="35" t="n">
        <x:v>1</x:v>
      </x:c>
      <x:c r="F1548" s="36"/>
      <x:c r="G1548" s="36" t="str">
        <x:f>IF(ISNUMBER(F1548),E1548*F1548,"")</x:f>
      </x:c>
      <x:c r="H1548" s="37"/>
      <x:c r="I1548" s="37"/>
      <x:c r="J1548" s="1" t="n">
        <x:f>IF(ISNUMBER(F1548),E1548,0)</x:f>
        <x:v>0</x:v>
      </x:c>
      <x:c r="K1548" s="1"/>
      <x:c r="L1548" s="1" t="str">
        <x:v>https://blog.skyairline.com/descubre-la-amazonia-peruana-con-la-nueva-ruta-de-sky-cusco-puerto-maldonado/</x:v>
      </x:c>
      <x:c r="M1548" s="1" t="n">
        <x:v>0</x:v>
      </x:c>
    </x:row>
    <x:row r="1549" ht="18.75" customHeight="1">
      <x:c r="A1549" s="1" t="str">
        <x:v>https://blog.skyairline.com/cambiar-vuelo-sky/</x:v>
      </x:c>
      <x:c r="B1549" s="1" t="str">
        <x:v>sky cancelar vuelo</x:v>
      </x:c>
      <x:c r="C1549" s="1" t="str">
        <x:v>per</x:v>
      </x:c>
      <x:c r="D1549" s="1" t="str">
        <x:v>Marca</x:v>
      </x:c>
      <x:c r="E1549" s="35" t="n">
        <x:v>1</x:v>
      </x:c>
      <x:c r="F1549" s="36"/>
      <x:c r="G1549" s="36" t="str">
        <x:f>IF(ISNUMBER(F1549),E1549*F1549,"")</x:f>
      </x:c>
      <x:c r="H1549" s="37"/>
      <x:c r="I1549" s="37"/>
      <x:c r="J1549" s="1" t="n">
        <x:f>IF(ISNUMBER(F1549),E1549,0)</x:f>
        <x:v>0</x:v>
      </x:c>
      <x:c r="K1549" s="1"/>
      <x:c r="L1549" s="1" t="str">
        <x:v>https://blog.skyairline.com/descubre-la-catarata-palacala-y-como-llegar-a-ella/</x:v>
      </x:c>
      <x:c r="M1549" s="1" t="n">
        <x:v>0</x:v>
      </x:c>
    </x:row>
    <x:row r="1550" ht="18.75" customHeight="1">
      <x:c r="A1550" s="1" t="str">
        <x:v>https://blog.skyairline.com/cambiar-vuelo-sky/</x:v>
      </x:c>
      <x:c r="B1550" s="1" t="str">
        <x:v>sky como cambiar fecha de vuelo</x:v>
      </x:c>
      <x:c r="C1550" s="1" t="str">
        <x:v>chl</x:v>
      </x:c>
      <x:c r="D1550" s="1" t="str">
        <x:v>Marca</x:v>
      </x:c>
      <x:c r="E1550" s="35" t="n">
        <x:v>1</x:v>
      </x:c>
      <x:c r="F1550" s="36"/>
      <x:c r="G1550" s="36" t="str">
        <x:f>IF(ISNUMBER(F1550),E1550*F1550,"")</x:f>
      </x:c>
      <x:c r="H1550" s="37"/>
      <x:c r="I1550" s="37"/>
      <x:c r="J1550" s="1" t="n">
        <x:f>IF(ISNUMBER(F1550),E1550,0)</x:f>
        <x:v>0</x:v>
      </x:c>
      <x:c r="K1550" s="1"/>
      <x:c r="L1550" s="1" t="str">
        <x:v>https://blog.skyairline.com/descubre-la-magia-do-bosque-sumergido-em-villa-traful</x:v>
      </x:c>
      <x:c r="M1550" s="1" t="n">
        <x:v>0</x:v>
      </x:c>
    </x:row>
    <x:row r="1551" ht="18.75" customHeight="1">
      <x:c r="A1551" s="1" t="str">
        <x:v>https://blog.skyairline.com/cambiar-vuelo-sky/</x:v>
      </x:c>
      <x:c r="B1551" s="1" t="str">
        <x:v>sky modificar vuelo</x:v>
      </x:c>
      <x:c r="C1551" s="1" t="str">
        <x:v>per</x:v>
      </x:c>
      <x:c r="D1551" s="1" t="str">
        <x:v>Marca</x:v>
      </x:c>
      <x:c r="E1551" s="35" t="n">
        <x:v>1</x:v>
      </x:c>
      <x:c r="F1551" s="36" t="n">
        <x:v>0.16</x:v>
      </x:c>
      <x:c r="G1551" s="36" t="n">
        <x:f>IF(ISNUMBER(F1551),E1551*F1551,"")</x:f>
        <x:v>0.16</x:v>
      </x:c>
      <x:c r="H1551" s="37" t="d">
        <x:v>2026-10-15T00:00:00.000Z</x:v>
      </x:c>
      <x:c r="I1551" s="37" t="d">
        <x:v>2026-09-14T02:51:35.999Z</x:v>
      </x:c>
      <x:c r="J1551" s="1" t="n">
        <x:f>IF(ISNUMBER(F1551),E1551,0)</x:f>
        <x:v>1</x:v>
      </x:c>
      <x:c r="K1551" s="1"/>
      <x:c r="L1551" s="1" t="str">
        <x:v>https://blog.skyairline.com/descubre-las-fiestas-religiosas-de-famosas</x:v>
      </x:c>
      <x:c r="M1551" s="1" t="n">
        <x:v>0</x:v>
      </x:c>
    </x:row>
    <x:row r="1552" ht="18.75" customHeight="1">
      <x:c r="A1552" s="1" t="str">
        <x:v>https://blog.skyairline.com/cambiar-vuelo-sky/</x:v>
      </x:c>
      <x:c r="B1552" s="1" t="str">
        <x:v>sky peru</x:v>
      </x:c>
      <x:c r="C1552" s="1" t="str">
        <x:v>deu</x:v>
      </x:c>
      <x:c r="D1552" s="1" t="str">
        <x:v>Marca</x:v>
      </x:c>
      <x:c r="E1552" s="35" t="n">
        <x:v>1</x:v>
      </x:c>
      <x:c r="F1552" s="36"/>
      <x:c r="G1552" s="36" t="str">
        <x:f>IF(ISNUMBER(F1552),E1552*F1552,"")</x:f>
      </x:c>
      <x:c r="H1552" s="37"/>
      <x:c r="I1552" s="37"/>
      <x:c r="J1552" s="1" t="n">
        <x:f>IF(ISNUMBER(F1552),E1552,0)</x:f>
        <x:v>0</x:v>
      </x:c>
      <x:c r="K1552" s="1"/>
      <x:c r="L1552" s="1" t="str">
        <x:v>https://blog.skyairline.com/descubre-las-fiestas-religiosas-di-chile-mas-famosas/</x:v>
      </x:c>
      <x:c r="M1552" s="1" t="n">
        <x:v>0</x:v>
      </x:c>
    </x:row>
    <x:row r="1553" ht="18.75" customHeight="1">
      <x:c r="A1553" s="1" t="str">
        <x:v>https://blog.skyairline.com/cambiar-vuelo-sky/</x:v>
      </x:c>
      <x:c r="B1553" s="1" t="str">
        <x:v>sky peru cambiar fecha de vuelo</x:v>
      </x:c>
      <x:c r="C1553" s="1" t="str">
        <x:v>per</x:v>
      </x:c>
      <x:c r="D1553" s="1" t="str">
        <x:v>Marca</x:v>
      </x:c>
      <x:c r="E1553" s="35" t="n">
        <x:v>1</x:v>
      </x:c>
      <x:c r="F1553" s="36" t="n">
        <x:v>0.21</x:v>
      </x:c>
      <x:c r="G1553" s="36" t="n">
        <x:f>IF(ISNUMBER(F1553),E1553*F1553,"")</x:f>
        <x:v>0.21</x:v>
      </x:c>
      <x:c r="H1553" s="37" t="d">
        <x:v>2026-10-15T00:00:00.000Z</x:v>
      </x:c>
      <x:c r="I1553" s="37" t="d">
        <x:v>2026-09-16T16:44:27.000Z</x:v>
      </x:c>
      <x:c r="J1553" s="1" t="n">
        <x:f>IF(ISNUMBER(F1553),E1553,0)</x:f>
        <x:v>1</x:v>
      </x:c>
      <x:c r="K1553" s="1"/>
      <x:c r="L1553" s="1" t="str">
        <x:v>https://blog.skyairline.com/descubre-las-fiestas-religiosas-mas-famosas/</x:v>
      </x:c>
      <x:c r="M1553" s="1" t="n">
        <x:v>0</x:v>
      </x:c>
    </x:row>
    <x:row r="1554" ht="18.75" customHeight="1">
      <x:c r="A1554" s="1" t="str">
        <x:v>https://blog.skyairline.com/cambiar-vuelo-sky/</x:v>
      </x:c>
      <x:c r="B1554" s="1" t="str">
        <x:v>tipo de cambio sky</x:v>
      </x:c>
      <x:c r="C1554" s="1" t="str">
        <x:v>per</x:v>
      </x:c>
      <x:c r="D1554" s="1" t="str">
        <x:v>Marca</x:v>
      </x:c>
      <x:c r="E1554" s="35" t="n">
        <x:v>1</x:v>
      </x:c>
      <x:c r="F1554" s="36"/>
      <x:c r="G1554" s="36" t="str">
        <x:f>IF(ISNUMBER(F1554),E1554*F1554,"")</x:f>
      </x:c>
      <x:c r="H1554" s="37"/>
      <x:c r="I1554" s="37"/>
      <x:c r="J1554" s="1" t="n">
        <x:f>IF(ISNUMBER(F1554),E1554,0)</x:f>
        <x:v>0</x:v>
      </x:c>
      <x:c r="K1554" s="1"/>
      <x:c r="L1554" s="1" t="str">
        <x:v>https://blog.skyairline.com/descubre-los-mejores-destinos-con-sky/</x:v>
      </x:c>
      <x:c r="M1554" s="1" t="n">
        <x:v>0</x:v>
      </x:c>
    </x:row>
    <x:row r="1555" ht="18.75" customHeight="1">
      <x:c r="A1555" s="1" t="str">
        <x:v>https://blog.skyairline.com/camboriu/</x:v>
      </x:c>
      <x:c r="B1555" s="1" t="str">
        <x:v>aeropuerto camboriu brasil</x:v>
      </x:c>
      <x:c r="C1555" s="1" t="str">
        <x:v>chl</x:v>
      </x:c>
      <x:c r="D1555" s="1" t="str">
        <x:v>Sin marca</x:v>
      </x:c>
      <x:c r="E1555" s="35" t="n">
        <x:v>1</x:v>
      </x:c>
      <x:c r="F1555" s="36"/>
      <x:c r="G1555" s="36" t="str">
        <x:f>IF(ISNUMBER(F1555),E1555*F1555,"")</x:f>
      </x:c>
      <x:c r="H1555" s="37"/>
      <x:c r="I1555" s="37"/>
      <x:c r="J1555" s="1" t="n">
        <x:f>IF(ISNUMBER(F1555),E1555,0)</x:f>
        <x:v>0</x:v>
      </x:c>
      <x:c r="K1555" s="1"/>
      <x:c r="L1555" s="1" t="str">
        <x:v>https://blog.skyairline.com/descubre-urca-en-rio-de-janeiro-el-barrio-del-pan-de-azucar/</x:v>
      </x:c>
      <x:c r="M1555" s="1" t="n">
        <x:v>0</x:v>
      </x:c>
    </x:row>
    <x:row r="1556" ht="18.75" customHeight="1">
      <x:c r="A1556" s="1" t="str">
        <x:v>https://blog.skyairline.com/camboriu/</x:v>
      </x:c>
      <x:c r="B1556" s="1" t="str">
        <x:v>balneario camboriu donde queda</x:v>
      </x:c>
      <x:c r="C1556" s="1" t="str">
        <x:v>chl</x:v>
      </x:c>
      <x:c r="D1556" s="1" t="str">
        <x:v>Sin marca</x:v>
      </x:c>
      <x:c r="E1556" s="35" t="n">
        <x:v>1</x:v>
      </x:c>
      <x:c r="F1556" s="36"/>
      <x:c r="G1556" s="36" t="str">
        <x:f>IF(ISNUMBER(F1556),E1556*F1556,"")</x:f>
      </x:c>
      <x:c r="H1556" s="37"/>
      <x:c r="I1556" s="37"/>
      <x:c r="J1556" s="1" t="n">
        <x:f>IF(ISNUMBER(F1556),E1556,0)</x:f>
        <x:v>0</x:v>
      </x:c>
      <x:c r="K1556" s="1"/>
      <x:c r="L1556" s="1" t="str">
        <x:v>https://blog.skyairline.com/descubre-urca-en-rio-de-janeiro-el-pan-de-azucar</x:v>
      </x:c>
      <x:c r="M1556" s="1" t="n">
        <x:v>0</x:v>
      </x:c>
    </x:row>
    <x:row r="1557" ht="18.75" customHeight="1">
      <x:c r="A1557" s="1" t="str">
        <x:v>https://blog.skyairline.com/camboriu/</x:v>
      </x:c>
      <x:c r="B1557" s="1" t="str">
        <x:v>camboriu brasil</x:v>
      </x:c>
      <x:c r="C1557" s="1" t="str">
        <x:v>chl</x:v>
      </x:c>
      <x:c r="D1557" s="1" t="str">
        <x:v>Sin marca</x:v>
      </x:c>
      <x:c r="E1557" s="35" t="n">
        <x:v>1</x:v>
      </x:c>
      <x:c r="F1557" s="36" t="n">
        <x:v>0.67</x:v>
      </x:c>
      <x:c r="G1557" s="36" t="n">
        <x:f>IF(ISNUMBER(F1557),E1557*F1557,"")</x:f>
        <x:v>0.67</x:v>
      </x:c>
      <x:c r="H1557" s="37" t="d">
        <x:v>2026-10-15T00:00:00.000Z</x:v>
      </x:c>
      <x:c r="I1557" s="37" t="d">
        <x:v>2026-09-17T14:00:45.000Z</x:v>
      </x:c>
      <x:c r="J1557" s="1" t="n">
        <x:f>IF(ISNUMBER(F1557),E1557,0)</x:f>
        <x:v>1</x:v>
      </x:c>
      <x:c r="K1557" s="1"/>
      <x:c r="L1557" s="1" t="str">
        <x:v>https://blog.skyairline.com/deseos-de-ano-nuevo/</x:v>
      </x:c>
      <x:c r="M1557" s="1" t="n">
        <x:v>0</x:v>
      </x:c>
    </x:row>
    <x:row r="1558" ht="18.75" customHeight="1">
      <x:c r="A1558" s="1" t="str">
        <x:v>https://blog.skyairline.com/camboriu/</x:v>
      </x:c>
      <x:c r="B1558" s="1" t="str">
        <x:v>camboriu tiene aeropuerto</x:v>
      </x:c>
      <x:c r="C1558" s="1" t="str">
        <x:v>chl</x:v>
      </x:c>
      <x:c r="D1558" s="1" t="str">
        <x:v>Sin marca</x:v>
      </x:c>
      <x:c r="E1558" s="35" t="n">
        <x:v>1</x:v>
      </x:c>
      <x:c r="F1558" s="36"/>
      <x:c r="G1558" s="36" t="str">
        <x:f>IF(ISNUMBER(F1558),E1558*F1558,"")</x:f>
      </x:c>
      <x:c r="H1558" s="37"/>
      <x:c r="I1558" s="37"/>
      <x:c r="J1558" s="1" t="n">
        <x:f>IF(ISNUMBER(F1558),E1558,0)</x:f>
        <x:v>0</x:v>
      </x:c>
      <x:c r="K1558" s="1"/>
      <x:c r="L1558" s="1" t="str">
        <x:v>https://blog.skyairline.com/desierto-florido</x:v>
      </x:c>
      <x:c r="M1558" s="1" t="n">
        <x:v>0</x:v>
      </x:c>
    </x:row>
    <x:row r="1559" ht="18.75" customHeight="1">
      <x:c r="A1559" s="1" t="str">
        <x:v>https://blog.skyairline.com/camboriu/</x:v>
      </x:c>
      <x:c r="B1559" s="1" t="str">
        <x:v>como llegar a camboriu</x:v>
      </x:c>
      <x:c r="C1559" s="1" t="str">
        <x:v>chl</x:v>
      </x:c>
      <x:c r="D1559" s="1" t="str">
        <x:v>Sin marca</x:v>
      </x:c>
      <x:c r="E1559" s="35" t="n">
        <x:v>1</x:v>
      </x:c>
      <x:c r="F1559" s="36"/>
      <x:c r="G1559" s="36" t="str">
        <x:f>IF(ISNUMBER(F1559),E1559*F1559,"")</x:f>
      </x:c>
      <x:c r="H1559" s="37"/>
      <x:c r="I1559" s="37"/>
      <x:c r="J1559" s="1" t="n">
        <x:f>IF(ISNUMBER(F1559),E1559,0)</x:f>
        <x:v>0</x:v>
      </x:c>
      <x:c r="K1559" s="1"/>
      <x:c r="L1559" s="1" t="str">
        <x:v>https://blog.skyairline.com/destinos-andinos-concentraron-mas-de-la-mitad-de-los-pasajeros-de-sky-en-el-primer-trimestre-de-2026/</x:v>
      </x:c>
      <x:c r="M1559" s="1" t="n">
        <x:v>0</x:v>
      </x:c>
    </x:row>
    <x:row r="1560" ht="18.75" customHeight="1">
      <x:c r="A1560" s="1" t="str">
        <x:v>https://blog.skyairline.com/camboriu/</x:v>
      </x:c>
      <x:c r="B1560" s="1" t="str">
        <x:v>donde esta camboriu</x:v>
      </x:c>
      <x:c r="C1560" s="1" t="str">
        <x:v>chl</x:v>
      </x:c>
      <x:c r="D1560" s="1" t="str">
        <x:v>Sin marca</x:v>
      </x:c>
      <x:c r="E1560" s="35" t="n">
        <x:v>1</x:v>
      </x:c>
      <x:c r="F1560" s="36"/>
      <x:c r="G1560" s="36" t="str">
        <x:f>IF(ISNUMBER(F1560),E1560*F1560,"")</x:f>
      </x:c>
      <x:c r="H1560" s="37"/>
      <x:c r="I1560" s="37"/>
      <x:c r="J1560" s="1" t="n">
        <x:f>IF(ISNUMBER(F1560),E1560,0)</x:f>
        <x:v>0</x:v>
      </x:c>
      <x:c r="K1560" s="1"/>
      <x:c r="L1560" s="1" t="str">
        <x:v>https://blog.skyairline.com/destinos-con-vuelos-baratos-de-chile/</x:v>
      </x:c>
      <x:c r="M1560" s="1" t="n">
        <x:v>0</x:v>
      </x:c>
    </x:row>
    <x:row r="1561" ht="18.75" customHeight="1">
      <x:c r="A1561" s="1" t="str">
        <x:v>https://blog.skyairline.com/camboriu/</x:v>
      </x:c>
      <x:c r="B1561" s="1" t="str">
        <x:v>donde queda camboriu</x:v>
      </x:c>
      <x:c r="C1561" s="1" t="str">
        <x:v>per</x:v>
      </x:c>
      <x:c r="D1561" s="1" t="str">
        <x:v>Sin marca</x:v>
      </x:c>
      <x:c r="E1561" s="35" t="n">
        <x:v>1</x:v>
      </x:c>
      <x:c r="F1561" s="36"/>
      <x:c r="G1561" s="36" t="str">
        <x:f>IF(ISNUMBER(F1561),E1561*F1561,"")</x:f>
      </x:c>
      <x:c r="H1561" s="37"/>
      <x:c r="I1561" s="37"/>
      <x:c r="J1561" s="1" t="n">
        <x:f>IF(ISNUMBER(F1561),E1561,0)</x:f>
        <x:v>0</x:v>
      </x:c>
      <x:c r="K1561" s="1"/>
      <x:c r="L1561" s="1" t="str">
        <x:v>https://blog.skyairline.com/destinos-con-vuelos-baratos-del/</x:v>
      </x:c>
      <x:c r="M1561" s="1" t="n">
        <x:v>0</x:v>
      </x:c>
    </x:row>
    <x:row r="1562" ht="18.75" customHeight="1">
      <x:c r="A1562" s="1" t="str">
        <x:v>https://blog.skyairline.com/camping-en-villarrica/</x:v>
      </x:c>
      <x:c r="B1562" s="1" t="str">
        <x:v>camping villarrica</x:v>
      </x:c>
      <x:c r="C1562" s="1" t="str">
        <x:v>chl</x:v>
      </x:c>
      <x:c r="D1562" s="1" t="str">
        <x:v>Sin marca</x:v>
      </x:c>
      <x:c r="E1562" s="35" t="n">
        <x:v>1</x:v>
      </x:c>
      <x:c r="F1562" s="36" t="n">
        <x:v>0.55</x:v>
      </x:c>
      <x:c r="G1562" s="36" t="n">
        <x:f>IF(ISNUMBER(F1562),E1562*F1562,"")</x:f>
        <x:v>0.55</x:v>
      </x:c>
      <x:c r="H1562" s="37" t="d">
        <x:v>2026-10-15T00:00:00.000Z</x:v>
      </x:c>
      <x:c r="I1562" s="37" t="d">
        <x:v>2026-09-15T22:14:35.000Z</x:v>
      </x:c>
      <x:c r="J1562" s="1" t="n">
        <x:f>IF(ISNUMBER(F1562),E1562,0)</x:f>
        <x:v>1</x:v>
      </x:c>
      <x:c r="K1562" s="1"/>
      <x:c r="L1562" s="1" t="str">
        <x:v>https://blog.skyairline.com/destinos-con-vuelos-baratos-desde-chile</x:v>
      </x:c>
      <x:c r="M1562" s="1" t="n">
        <x:v>0</x:v>
      </x:c>
    </x:row>
    <x:row r="1563" ht="18.75" customHeight="1">
      <x:c r="A1563" s="1" t="str">
        <x:v>https://blog.skyairline.com/canasvieiras/</x:v>
      </x:c>
      <x:c r="B1563" s="1" t="str">
        <x:v>canasvieiras</x:v>
      </x:c>
      <x:c r="C1563" s="1" t="str">
        <x:v>pry</x:v>
      </x:c>
      <x:c r="D1563" s="1" t="str">
        <x:v>Sin marca</x:v>
      </x:c>
      <x:c r="E1563" s="35" t="n">
        <x:v>1</x:v>
      </x:c>
      <x:c r="F1563" s="36"/>
      <x:c r="G1563" s="36" t="str">
        <x:f>IF(ISNUMBER(F1563),E1563*F1563,"")</x:f>
      </x:c>
      <x:c r="H1563" s="37"/>
      <x:c r="I1563" s="37"/>
      <x:c r="J1563" s="1" t="n">
        <x:f>IF(ISNUMBER(F1563),E1563,0)</x:f>
        <x:v>0</x:v>
      </x:c>
      <x:c r="K1563" s="1"/>
      <x:c r="L1563" s="1" t="str">
        <x:v>https://blog.skyairline.com/destinos-de-para-navidad/</x:v>
      </x:c>
      <x:c r="M1563" s="1" t="n">
        <x:v>0</x:v>
      </x:c>
    </x:row>
    <x:row r="1564" ht="18.75" customHeight="1">
      <x:c r="A1564" s="1" t="str">
        <x:v>https://blog.skyairline.com/canasvieiras/</x:v>
      </x:c>
      <x:c r="B1564" s="1" t="str">
        <x:v>praia de canasvieiras</x:v>
      </x:c>
      <x:c r="C1564" s="1" t="str">
        <x:v>chl</x:v>
      </x:c>
      <x:c r="D1564" s="1" t="str">
        <x:v>Sin marca</x:v>
      </x:c>
      <x:c r="E1564" s="35" t="n">
        <x:v>1</x:v>
      </x:c>
      <x:c r="F1564" s="36" t="n">
        <x:v>0.61</x:v>
      </x:c>
      <x:c r="G1564" s="36" t="n">
        <x:f>IF(ISNUMBER(F1564),E1564*F1564,"")</x:f>
        <x:v>0.61</x:v>
      </x:c>
      <x:c r="H1564" s="37" t="d">
        <x:v>2026-10-15T00:00:00.000Z</x:v>
      </x:c>
      <x:c r="I1564" s="37" t="d">
        <x:v>2026-09-16T17:47:26.000Z</x:v>
      </x:c>
      <x:c r="J1564" s="1" t="n">
        <x:f>IF(ISNUMBER(F1564),E1564,0)</x:f>
        <x:v>1</x:v>
      </x:c>
      <x:c r="K1564" s="1"/>
      <x:c r="L1564" s="1" t="str">
        <x:v>https://blog.skyairline.com/destinos-de-playa-navidad/</x:v>
      </x:c>
      <x:c r="M1564" s="1" t="n">
        <x:v>0</x:v>
      </x:c>
    </x:row>
    <x:row r="1565" ht="18.75" customHeight="1">
      <x:c r="A1565" s="1" t="str">
        <x:v>https://blog.skyairline.com/canon-de-shucto/</x:v>
      </x:c>
      <x:c r="B1565" s="1" t="str">
        <x:v>cañon de shucto</x:v>
      </x:c>
      <x:c r="C1565" s="1" t="str">
        <x:v>per</x:v>
      </x:c>
      <x:c r="D1565" s="1" t="str">
        <x:v>Sin marca</x:v>
      </x:c>
      <x:c r="E1565" s="35" t="n">
        <x:v>1</x:v>
      </x:c>
      <x:c r="F1565" s="36"/>
      <x:c r="G1565" s="36" t="str">
        <x:f>IF(ISNUMBER(F1565),E1565*F1565,"")</x:f>
      </x:c>
      <x:c r="H1565" s="37" t="d">
        <x:v>2026-10-15T00:00:00.000Z</x:v>
      </x:c>
      <x:c r="I1565" s="37" t="d">
        <x:v>2026-09-13T13:44:51.000Z</x:v>
      </x:c>
      <x:c r="J1565" s="1" t="n">
        <x:f>IF(ISNUMBER(F1565),E1565,0)</x:f>
        <x:v>0</x:v>
      </x:c>
      <x:c r="K1565" s="1"/>
      <x:c r="L1565" s="1" t="str">
        <x:v>https://blog.skyairline.com/destinos-de-sky-en-brasil/</x:v>
      </x:c>
      <x:c r="M1565" s="1" t="n">
        <x:v>0</x:v>
      </x:c>
    </x:row>
    <x:row r="1566" ht="18.75" customHeight="1">
      <x:c r="A1566" s="1" t="str">
        <x:v>https://blog.skyairline.com/canon-de-shucto/</x:v>
      </x:c>
      <x:c r="B1566" s="1" t="str">
        <x:v>cañon de shucto donde queda</x:v>
      </x:c>
      <x:c r="C1566" s="1" t="str">
        <x:v>esp</x:v>
      </x:c>
      <x:c r="D1566" s="1" t="str">
        <x:v>Sin marca</x:v>
      </x:c>
      <x:c r="E1566" s="35" t="n">
        <x:v>1</x:v>
      </x:c>
      <x:c r="F1566" s="36"/>
      <x:c r="G1566" s="36" t="str">
        <x:f>IF(ISNUMBER(F1566),E1566*F1566,"")</x:f>
      </x:c>
      <x:c r="H1566" s="37"/>
      <x:c r="I1566" s="37"/>
      <x:c r="J1566" s="1" t="n">
        <x:f>IF(ISNUMBER(F1566),E1566,0)</x:f>
        <x:v>0</x:v>
      </x:c>
      <x:c r="K1566" s="1"/>
      <x:c r="L1566" s="1" t="str">
        <x:v>https://blog.skyairline.com/destinos-mas-visitados-en-fiestas-patrias/</x:v>
      </x:c>
      <x:c r="M1566" s="1" t="n">
        <x:v>0</x:v>
      </x:c>
    </x:row>
    <x:row r="1567" ht="18.75" customHeight="1">
      <x:c r="A1567" s="1" t="str">
        <x:v>https://blog.skyairline.com/canon-de-shucto/</x:v>
      </x:c>
      <x:c r="B1567" s="1" t="str">
        <x:v>cañon de shucto donde queda</x:v>
      </x:c>
      <x:c r="C1567" s="1" t="str">
        <x:v>per</x:v>
      </x:c>
      <x:c r="D1567" s="1" t="str">
        <x:v>Sin marca</x:v>
      </x:c>
      <x:c r="E1567" s="35" t="n">
        <x:v>1</x:v>
      </x:c>
      <x:c r="F1567" s="36"/>
      <x:c r="G1567" s="36" t="str">
        <x:f>IF(ISNUMBER(F1567),E1567*F1567,"")</x:f>
      </x:c>
      <x:c r="H1567" s="37" t="d">
        <x:v>2026-10-15T00:00:00.000Z</x:v>
      </x:c>
      <x:c r="I1567" s="37" t="d">
        <x:v>2026-09-15T10:02:52.000Z</x:v>
      </x:c>
      <x:c r="J1567" s="1" t="n">
        <x:f>IF(ISNUMBER(F1567),E1567,0)</x:f>
        <x:v>0</x:v>
      </x:c>
      <x:c r="K1567" s="1"/>
      <x:c r="L1567" s="1" t="str">
        <x:v>https://blog.skyairline.com/destinos-nacionales-sky-mas-visitados/</x:v>
      </x:c>
      <x:c r="M1567" s="1" t="n">
        <x:v>0</x:v>
      </x:c>
    </x:row>
    <x:row r="1568" ht="18.75" customHeight="1">
      <x:c r="A1568" s="1" t="str">
        <x:v>https://blog.skyairline.com/canon-de-shucto/</x:v>
      </x:c>
      <x:c r="B1568" s="1" t="str">
        <x:v>cañon de shujto</x:v>
      </x:c>
      <x:c r="C1568" s="1" t="str">
        <x:v>per</x:v>
      </x:c>
      <x:c r="D1568" s="1" t="str">
        <x:v>Sin marca</x:v>
      </x:c>
      <x:c r="E1568" s="35" t="n">
        <x:v>1</x:v>
      </x:c>
      <x:c r="F1568" s="36"/>
      <x:c r="G1568" s="36" t="str">
        <x:f>IF(ISNUMBER(F1568),E1568*F1568,"")</x:f>
      </x:c>
      <x:c r="H1568" s="37"/>
      <x:c r="I1568" s="37"/>
      <x:c r="J1568" s="1" t="n">
        <x:f>IF(ISNUMBER(F1568),E1568,0)</x:f>
        <x:v>0</x:v>
      </x:c>
      <x:c r="K1568" s="1"/>
      <x:c r="L1568" s="1" t="str">
        <x:v>https://blog.skyairline.com/destinos-para-mochileros/</x:v>
      </x:c>
      <x:c r="M1568" s="1" t="n">
        <x:v>0</x:v>
      </x:c>
    </x:row>
    <x:row r="1569" ht="18.75" customHeight="1">
      <x:c r="A1569" s="1" t="str">
        <x:v>https://blog.skyairline.com/canon-de-shucto/</x:v>
      </x:c>
      <x:c r="B1569" s="1" t="str">
        <x:v>cañón de shucto</x:v>
      </x:c>
      <x:c r="C1569" s="1" t="str">
        <x:v>per</x:v>
      </x:c>
      <x:c r="D1569" s="1" t="str">
        <x:v>Sin marca</x:v>
      </x:c>
      <x:c r="E1569" s="35" t="n">
        <x:v>1</x:v>
      </x:c>
      <x:c r="F1569" s="36"/>
      <x:c r="G1569" s="36" t="str">
        <x:f>IF(ISNUMBER(F1569),E1569*F1569,"")</x:f>
      </x:c>
      <x:c r="H1569" s="37" t="d">
        <x:v>2026-10-15T00:00:00.000Z</x:v>
      </x:c>
      <x:c r="I1569" s="37" t="d">
        <x:v>2026-09-14T09:45:38.000Z</x:v>
      </x:c>
      <x:c r="J1569" s="1" t="n">
        <x:f>IF(ISNUMBER(F1569),E1569,0)</x:f>
        <x:v>0</x:v>
      </x:c>
      <x:c r="K1569" s="1"/>
      <x:c r="L1569" s="1" t="str">
        <x:v>https://blog.skyairline.com/destinos-turisticos-que-pasaron-de-moda-o-yo-no-son-tan-visitados/</x:v>
      </x:c>
      <x:c r="M1569" s="1" t="n">
        <x:v>0</x:v>
      </x:c>
    </x:row>
    <x:row r="1570" ht="18.75" customHeight="1">
      <x:c r="A1570" s="1" t="str">
        <x:v>https://blog.skyairline.com/canon-de-shucto/</x:v>
      </x:c>
      <x:c r="B1570" s="1" t="str">
        <x:v>cañón de shucto como llegar</x:v>
      </x:c>
      <x:c r="C1570" s="1" t="str">
        <x:v>per</x:v>
      </x:c>
      <x:c r="D1570" s="1" t="str">
        <x:v>Sin marca</x:v>
      </x:c>
      <x:c r="E1570" s="35" t="n">
        <x:v>1</x:v>
      </x:c>
      <x:c r="F1570" s="36"/>
      <x:c r="G1570" s="36" t="str">
        <x:f>IF(ISNUMBER(F1570),E1570*F1570,"")</x:f>
      </x:c>
      <x:c r="H1570" s="37" t="d">
        <x:v>2026-10-15T00:00:00.000Z</x:v>
      </x:c>
      <x:c r="I1570" s="37" t="d">
        <x:v>2026-09-13T17:41:26.000Z</x:v>
      </x:c>
      <x:c r="J1570" s="1" t="n">
        <x:f>IF(ISNUMBER(F1570),E1570,0)</x:f>
        <x:v>0</x:v>
      </x:c>
      <x:c r="K1570" s="1"/>
      <x:c r="L1570" s="1" t="str">
        <x:v>https://blog.skyairline.com/destinos-turisticos/</x:v>
      </x:c>
      <x:c r="M1570" s="1" t="n">
        <x:v>0</x:v>
      </x:c>
    </x:row>
    <x:row r="1571" ht="18.75" customHeight="1">
      <x:c r="A1571" s="1" t="str">
        <x:v>https://blog.skyairline.com/caracteristicas-de-la-zona-sur-de-chile-geografia-y-biodiversidad/</x:v>
      </x:c>
      <x:c r="B1571" s="1" t="str">
        <x:v>biodiversidad de la zona sur</x:v>
      </x:c>
      <x:c r="C1571" s="1" t="str">
        <x:v>chl</x:v>
      </x:c>
      <x:c r="D1571" s="1" t="str">
        <x:v>Sin marca</x:v>
      </x:c>
      <x:c r="E1571" s="35" t="n">
        <x:v>1</x:v>
      </x:c>
      <x:c r="F1571" s="36"/>
      <x:c r="G1571" s="36" t="str">
        <x:f>IF(ISNUMBER(F1571),E1571*F1571,"")</x:f>
      </x:c>
      <x:c r="H1571" s="37" t="d">
        <x:v>2026-10-15T00:00:00.000Z</x:v>
      </x:c>
      <x:c r="I1571" s="37" t="d">
        <x:v>2026-09-16T04:20:15.000Z</x:v>
      </x:c>
      <x:c r="J1571" s="1" t="n">
        <x:f>IF(ISNUMBER(F1571),E1571,0)</x:f>
        <x:v>0</x:v>
      </x:c>
      <x:c r="K1571" s="1"/>
      <x:c r="L1571" s="1" t="str">
        <x:v>https://blog.skyairline.com/destinos-vuelos-baratos-chile</x:v>
      </x:c>
      <x:c r="M1571" s="1" t="n">
        <x:v>0</x:v>
      </x:c>
    </x:row>
    <x:row r="1572" ht="18.75" customHeight="1">
      <x:c r="A1572" s="1" t="str">
        <x:v>https://blog.skyairline.com/caracteristicas-de-la-zona-sur-de-chile-geografia-y-biodiversidad/</x:v>
      </x:c>
      <x:c r="B1572" s="1" t="str">
        <x:v>caracteristicas de la zona sur</x:v>
      </x:c>
      <x:c r="C1572" s="1" t="str">
        <x:v>chl</x:v>
      </x:c>
      <x:c r="D1572" s="1" t="str">
        <x:v>Sin marca</x:v>
      </x:c>
      <x:c r="E1572" s="35" t="n">
        <x:v>1</x:v>
      </x:c>
      <x:c r="F1572" s="36"/>
      <x:c r="G1572" s="36" t="str">
        <x:f>IF(ISNUMBER(F1572),E1572*F1572,"")</x:f>
      </x:c>
      <x:c r="H1572" s="37" t="d">
        <x:v>2026-10-15T00:00:00.000Z</x:v>
      </x:c>
      <x:c r="I1572" s="37" t="d">
        <x:v>2026-09-14T21:39:58.000Z</x:v>
      </x:c>
      <x:c r="J1572" s="1" t="n">
        <x:f>IF(ISNUMBER(F1572),E1572,0)</x:f>
        <x:v>0</x:v>
      </x:c>
      <x:c r="K1572" s="1"/>
      <x:c r="L1572" s="1" t="str">
        <x:v>https://blog.skyairline.com/dia-de-los-patrimonios/</x:v>
      </x:c>
      <x:c r="M1572" s="1" t="n">
        <x:v>0</x:v>
      </x:c>
    </x:row>
    <x:row r="1573" ht="18.75" customHeight="1">
      <x:c r="A1573" s="1" t="str">
        <x:v>https://blog.skyairline.com/caracteristicas-de-la-zona-sur-de-chile-geografia-y-biodiversidad/</x:v>
      </x:c>
      <x:c r="B1573" s="1" t="str">
        <x:v>características de la zona sur de chile</x:v>
      </x:c>
      <x:c r="C1573" s="1" t="str">
        <x:v>chl</x:v>
      </x:c>
      <x:c r="D1573" s="1" t="str">
        <x:v>Sin marca</x:v>
      </x:c>
      <x:c r="E1573" s="35" t="n">
        <x:v>1</x:v>
      </x:c>
      <x:c r="F1573" s="36"/>
      <x:c r="G1573" s="36" t="str">
        <x:f>IF(ISNUMBER(F1573),E1573*F1573,"")</x:f>
      </x:c>
      <x:c r="H1573" s="37" t="d">
        <x:v>2026-10-15T00:00:00.000Z</x:v>
      </x:c>
      <x:c r="I1573" s="37" t="d">
        <x:v>2026-10-15T02:10:22.000Z</x:v>
      </x:c>
      <x:c r="J1573" s="1" t="n">
        <x:f>IF(ISNUMBER(F1573),E1573,0)</x:f>
        <x:v>0</x:v>
      </x:c>
      <x:c r="K1573" s="1"/>
      <x:c r="L1573" s="1" t="str">
        <x:v>https://blog.skyairline.com/dia-de-playa/</x:v>
      </x:c>
      <x:c r="M1573" s="1" t="n">
        <x:v>0</x:v>
      </x:c>
    </x:row>
    <x:row r="1574" ht="18.75" customHeight="1">
      <x:c r="A1574" s="1" t="str">
        <x:v>https://blog.skyairline.com/caracteristicas-de-la-zona-sur-de-chile-geografia-y-biodiversidad/</x:v>
      </x:c>
      <x:c r="B1574" s="1" t="str">
        <x:v>flora y fauna zona sur de chile</x:v>
      </x:c>
      <x:c r="C1574" s="1" t="str">
        <x:v>chl</x:v>
      </x:c>
      <x:c r="D1574" s="1" t="str">
        <x:v>Sin marca</x:v>
      </x:c>
      <x:c r="E1574" s="35" t="n">
        <x:v>1</x:v>
      </x:c>
      <x:c r="F1574" s="36"/>
      <x:c r="G1574" s="36" t="str">
        <x:f>IF(ISNUMBER(F1574),E1574*F1574,"")</x:f>
      </x:c>
      <x:c r="H1574" s="37" t="d">
        <x:v>2026-10-15T00:00:00.000Z</x:v>
      </x:c>
      <x:c r="I1574" s="37" t="d">
        <x:v>2026-09-16T14:42:50.000Z</x:v>
      </x:c>
      <x:c r="J1574" s="1" t="n">
        <x:f>IF(ISNUMBER(F1574),E1574,0)</x:f>
        <x:v>0</x:v>
      </x:c>
      <x:c r="K1574" s="1"/>
      <x:c r="L1574" s="1" t="str">
        <x:v>https://blog.skyairline.com/dia-del-padre/</x:v>
      </x:c>
      <x:c r="M1574" s="1" t="n">
        <x:v>0</x:v>
      </x:c>
    </x:row>
    <x:row r="1575" ht="18.75" customHeight="1">
      <x:c r="A1575" s="1" t="str">
        <x:v>https://blog.skyairline.com/caracteristicas-de-la-zona-sur-de-chile-geografia-y-biodiversidad/</x:v>
      </x:c>
      <x:c r="B1575" s="1" t="str">
        <x:v>zona sur</x:v>
      </x:c>
      <x:c r="C1575" s="1" t="str">
        <x:v>chl</x:v>
      </x:c>
      <x:c r="D1575" s="1" t="str">
        <x:v>Sin marca</x:v>
      </x:c>
      <x:c r="E1575" s="35" t="n">
        <x:v>1</x:v>
      </x:c>
      <x:c r="F1575" s="36"/>
      <x:c r="G1575" s="36" t="str">
        <x:f>IF(ISNUMBER(F1575),E1575*F1575,"")</x:f>
      </x:c>
      <x:c r="H1575" s="37" t="d">
        <x:v>2026-10-15T00:00:00.000Z</x:v>
      </x:c>
      <x:c r="I1575" s="37" t="d">
        <x:v>2026-09-13T17:49:21.000Z</x:v>
      </x:c>
      <x:c r="J1575" s="1" t="n">
        <x:f>IF(ISNUMBER(F1575),E1575,0)</x:f>
        <x:v>0</x:v>
      </x:c>
      <x:c r="K1575" s="1"/>
      <x:c r="L1575" s="1" t="str">
        <x:v>https://blog.skyairline.com/dia-del-turismo-andino-conoce-los-mejores-destinos-de-la-sierra-sur-del-peru/</x:v>
      </x:c>
      <x:c r="M1575" s="1" t="n">
        <x:v>0</x:v>
      </x:c>
    </x:row>
    <x:row r="1576" ht="18.75" customHeight="1">
      <x:c r="A1576" s="1" t="str">
        <x:v>https://blog.skyairline.com/caracteristicas-de-la-zona-sur-de-chile-geografia-y-biodiversidad/</x:v>
      </x:c>
      <x:c r="B1576" s="1" t="str">
        <x:v>zona sur de chile clima</x:v>
      </x:c>
      <x:c r="C1576" s="1" t="str">
        <x:v>chl</x:v>
      </x:c>
      <x:c r="D1576" s="1" t="str">
        <x:v>Sin marca</x:v>
      </x:c>
      <x:c r="E1576" s="35" t="n">
        <x:v>1</x:v>
      </x:c>
      <x:c r="F1576" s="36"/>
      <x:c r="G1576" s="36" t="str">
        <x:f>IF(ISNUMBER(F1576),E1576*F1576,"")</x:f>
      </x:c>
      <x:c r="H1576" s="37" t="d">
        <x:v>2026-10-15T00:00:00.000Z</x:v>
      </x:c>
      <x:c r="I1576" s="37" t="d">
        <x:v>2026-09-17T12:21:45.000Z</x:v>
      </x:c>
      <x:c r="J1576" s="1" t="n">
        <x:f>IF(ISNUMBER(F1576),E1576,0)</x:f>
        <x:v>0</x:v>
      </x:c>
      <x:c r="K1576" s="1"/>
      <x:c r="L1576" s="1" t="str">
        <x:v>https://blog.skyairline.com/diversidad-biologica/</x:v>
      </x:c>
      <x:c r="M1576" s="1" t="n">
        <x:v>0</x:v>
      </x:c>
    </x:row>
    <x:row r="1577" ht="18.75" customHeight="1">
      <x:c r="A1577" s="1" t="str">
        <x:v>https://blog.skyairline.com/caribe-occidental-paises/</x:v>
      </x:c>
      <x:c r="B1577" s="1" t="str">
        <x:v>caribe occidental</x:v>
      </x:c>
      <x:c r="C1577" s="1" t="str">
        <x:v>col</x:v>
      </x:c>
      <x:c r="D1577" s="1" t="str">
        <x:v>Sin marca</x:v>
      </x:c>
      <x:c r="E1577" s="35" t="n">
        <x:v>1</x:v>
      </x:c>
      <x:c r="F1577" s="36"/>
      <x:c r="G1577" s="36" t="str">
        <x:f>IF(ISNUMBER(F1577),E1577*F1577,"")</x:f>
      </x:c>
      <x:c r="H1577" s="37"/>
      <x:c r="I1577" s="37"/>
      <x:c r="J1577" s="1" t="n">
        <x:f>IF(ISNUMBER(F1577),E1577,0)</x:f>
        <x:v>0</x:v>
      </x:c>
      <x:c r="K1577" s="1"/>
      <x:c r="L1577" s="1" t="str">
        <x:v>https://blog.skyairline.com/diversion-en-famillia/</x:v>
      </x:c>
      <x:c r="M1577" s="1" t="n">
        <x:v>0</x:v>
      </x:c>
    </x:row>
    <x:row r="1578" ht="18.75" customHeight="1">
      <x:c r="A1578" s="1" t="str">
        <x:v>https://blog.skyairline.com/caribe-occidental-paises/</x:v>
      </x:c>
      <x:c r="B1578" s="1" t="str">
        <x:v>el caribe donde queda</x:v>
      </x:c>
      <x:c r="C1578" s="1" t="str">
        <x:v>chl</x:v>
      </x:c>
      <x:c r="D1578" s="1" t="str">
        <x:v>Sin marca</x:v>
      </x:c>
      <x:c r="E1578" s="35" t="n">
        <x:v>1</x:v>
      </x:c>
      <x:c r="F1578" s="36"/>
      <x:c r="G1578" s="36" t="str">
        <x:f>IF(ISNUMBER(F1578),E1578*F1578,"")</x:f>
      </x:c>
      <x:c r="H1578" s="37" t="d">
        <x:v>2026-10-15T00:00:00.000Z</x:v>
      </x:c>
      <x:c r="I1578" s="37" t="d">
        <x:v>2026-09-15T17:14:34.000Z</x:v>
      </x:c>
      <x:c r="J1578" s="1" t="n">
        <x:f>IF(ISNUMBER(F1578),E1578,0)</x:f>
        <x:v>0</x:v>
      </x:c>
      <x:c r="K1578" s="1"/>
      <x:c r="L1578" s="1" t="str">
        <x:v>https://blog.skyairline.com/documentar-tu-viaje/</x:v>
      </x:c>
      <x:c r="M1578" s="1" t="n">
        <x:v>0</x:v>
      </x:c>
    </x:row>
    <x:row r="1579" ht="18.75" customHeight="1">
      <x:c r="A1579" s="1" t="str">
        <x:v>https://blog.skyairline.com/cascada-de-las-animas/</x:v>
      </x:c>
      <x:c r="B1579" s="1" t="str">
        <x:v>cascada de las animas</x:v>
      </x:c>
      <x:c r="C1579" s="1" t="str">
        <x:v>chl</x:v>
      </x:c>
      <x:c r="D1579" s="1" t="str">
        <x:v>Sin marca</x:v>
      </x:c>
      <x:c r="E1579" s="35" t="n">
        <x:v>1</x:v>
      </x:c>
      <x:c r="F1579" s="36" t="n">
        <x:v>0.23</x:v>
      </x:c>
      <x:c r="G1579" s="36" t="n">
        <x:f>IF(ISNUMBER(F1579),E1579*F1579,"")</x:f>
        <x:v>0.23</x:v>
      </x:c>
      <x:c r="H1579" s="37" t="d">
        <x:v>2026-10-15T00:00:00.000Z</x:v>
      </x:c>
      <x:c r="I1579" s="37" t="d">
        <x:v>2026-10-15T07:06:57.000Z</x:v>
      </x:c>
      <x:c r="J1579" s="1" t="n">
        <x:f>IF(ISNUMBER(F1579),E1579,0)</x:f>
        <x:v>1</x:v>
      </x:c>
      <x:c r="K1579" s="1"/>
      <x:c r="L1579" s="1" t="str">
        <x:v>https://blog.skyairline.com/documentos-que-necesitas-para-argentina-desde-chile</x:v>
      </x:c>
      <x:c r="M1579" s="1" t="n">
        <x:v>0</x:v>
      </x:c>
    </x:row>
    <x:row r="1580" ht="18.75" customHeight="1">
      <x:c r="A1580" s="1" t="str">
        <x:v>https://blog.skyairline.com/cascada-de-las-animas/</x:v>
      </x:c>
      <x:c r="B1580" s="1" t="str">
        <x:v>cascada de las animas cajon del maipo</x:v>
      </x:c>
      <x:c r="C1580" s="1" t="str">
        <x:v>chl</x:v>
      </x:c>
      <x:c r="D1580" s="1" t="str">
        <x:v>Sin marca</x:v>
      </x:c>
      <x:c r="E1580" s="35" t="n">
        <x:v>1</x:v>
      </x:c>
      <x:c r="F1580" s="36" t="n">
        <x:v>0.22</x:v>
      </x:c>
      <x:c r="G1580" s="36" t="n">
        <x:f>IF(ISNUMBER(F1580),E1580*F1580,"")</x:f>
        <x:v>0.22</x:v>
      </x:c>
      <x:c r="H1580" s="37" t="d">
        <x:v>2026-10-15T00:00:00.000Z</x:v>
      </x:c>
      <x:c r="I1580" s="37" t="d">
        <x:v>2026-09-17T12:12:47.000Z</x:v>
      </x:c>
      <x:c r="J1580" s="1" t="n">
        <x:f>IF(ISNUMBER(F1580),E1580,0)</x:f>
        <x:v>1</x:v>
      </x:c>
      <x:c r="K1580" s="1"/>
      <x:c r="L1580" s="1" t="str">
        <x:v>https://blog.skyairline.com/documentos-que-necesitas-para-argentina-desde-chile/</x:v>
      </x:c>
      <x:c r="M1580" s="1" t="n">
        <x:v>0</x:v>
      </x:c>
    </x:row>
    <x:row r="1581" ht="18.75" customHeight="1">
      <x:c r="A1581" s="1" t="str">
        <x:v>https://blog.skyairline.com/catedral-brasilia/</x:v>
      </x:c>
      <x:c r="B1581" s="1" t="str">
        <x:v>catedral brasilia</x:v>
      </x:c>
      <x:c r="C1581" s="1" t="str">
        <x:v>mex</x:v>
      </x:c>
      <x:c r="D1581" s="1" t="str">
        <x:v>Sin marca</x:v>
      </x:c>
      <x:c r="E1581" s="35" t="n">
        <x:v>1</x:v>
      </x:c>
      <x:c r="F1581" s="36"/>
      <x:c r="G1581" s="36" t="str">
        <x:f>IF(ISNUMBER(F1581),E1581*F1581,"")</x:f>
      </x:c>
      <x:c r="H1581" s="37"/>
      <x:c r="I1581" s="37"/>
      <x:c r="J1581" s="1" t="n">
        <x:f>IF(ISNUMBER(F1581),E1581,0)</x:f>
        <x:v>0</x:v>
      </x:c>
      <x:c r="K1581" s="1"/>
      <x:c r="L1581" s="1" t="str">
        <x:v>https://blog.skyairline.com/documentos-que-necesitas-para-viajar-a-argentina-che</x:v>
      </x:c>
      <x:c r="M1581" s="1" t="n">
        <x:v>0</x:v>
      </x:c>
    </x:row>
    <x:row r="1582" ht="18.75" customHeight="1">
      <x:c r="A1582" s="1" t="str">
        <x:v>https://blog.skyairline.com/catedral-brasilia/</x:v>
      </x:c>
      <x:c r="B1582" s="1" t="str">
        <x:v>catedral de brasilia</x:v>
      </x:c>
      <x:c r="C1582" s="1" t="str">
        <x:v>per</x:v>
      </x:c>
      <x:c r="D1582" s="1" t="str">
        <x:v>Sin marca</x:v>
      </x:c>
      <x:c r="E1582" s="35" t="n">
        <x:v>1</x:v>
      </x:c>
      <x:c r="F1582" s="36" t="n">
        <x:v>0.02</x:v>
      </x:c>
      <x:c r="G1582" s="36" t="n">
        <x:f>IF(ISNUMBER(F1582),E1582*F1582,"")</x:f>
        <x:v>0.02</x:v>
      </x:c>
      <x:c r="H1582" s="37" t="d">
        <x:v>2026-10-15T00:00:00.000Z</x:v>
      </x:c>
      <x:c r="I1582" s="37" t="d">
        <x:v>2026-09-15T03:06:44.999Z</x:v>
      </x:c>
      <x:c r="J1582" s="1" t="n">
        <x:f>IF(ISNUMBER(F1582),E1582,0)</x:f>
        <x:v>1</x:v>
      </x:c>
      <x:c r="K1582" s="1"/>
      <x:c r="L1582" s="1" t="str">
        <x:v>https://blog.skyairline.com/documentos-que-necesitas-para-viajar-a-argentina-chile</x:v>
      </x:c>
      <x:c r="M1582" s="1" t="n">
        <x:v>0</x:v>
      </x:c>
    </x:row>
    <x:row r="1583" ht="18.75" customHeight="1">
      <x:c r="A1583" s="1" t="str">
        <x:v>https://blog.skyairline.com/catedral-de-tacna/</x:v>
      </x:c>
      <x:c r="B1583" s="1" t="str">
        <x:v>historia de la catedral de tacna</x:v>
      </x:c>
      <x:c r="C1583" s="1" t="str">
        <x:v>per</x:v>
      </x:c>
      <x:c r="D1583" s="1" t="str">
        <x:v>Sin marca</x:v>
      </x:c>
      <x:c r="E1583" s="35" t="n">
        <x:v>1</x:v>
      </x:c>
      <x:c r="F1583" s="36"/>
      <x:c r="G1583" s="36" t="str">
        <x:f>IF(ISNUMBER(F1583),E1583*F1583,"")</x:f>
      </x:c>
      <x:c r="H1583" s="37" t="d">
        <x:v>2026-10-15T00:00:00.000Z</x:v>
      </x:c>
      <x:c r="I1583" s="37" t="d">
        <x:v>2026-09-13T03:46:34.000Z</x:v>
      </x:c>
      <x:c r="J1583" s="1" t="n">
        <x:f>IF(ISNUMBER(F1583),E1583,0)</x:f>
        <x:v>0</x:v>
      </x:c>
      <x:c r="K1583" s="1"/>
      <x:c r="L1583" s="1" t="str">
        <x:v>https://blog.skyairline.com/documentos-que-necesitas-para-viajar-a-argentina-chile-%E2%80%93-sky-airline-%E2%80%93-blog</x:v>
      </x:c>
      <x:c r="M1583" s="1" t="n">
        <x:v>0</x:v>
      </x:c>
    </x:row>
    <x:row r="1584" ht="18.75" customHeight="1">
      <x:c r="A1584" s="1" t="str">
        <x:v>https://blog.skyairline.com/categoria/noticias/</x:v>
      </x:c>
      <x:c r="B1584" s="1" t="str">
        <x:v>sky noticias</x:v>
      </x:c>
      <x:c r="C1584" s="1" t="str">
        <x:v>chl</x:v>
      </x:c>
      <x:c r="D1584" s="1" t="str">
        <x:v>Marca</x:v>
      </x:c>
      <x:c r="E1584" s="35" t="n">
        <x:v>1</x:v>
      </x:c>
      <x:c r="F1584" s="36"/>
      <x:c r="G1584" s="36" t="str">
        <x:f>IF(ISNUMBER(F1584),E1584*F1584,"")</x:f>
      </x:c>
      <x:c r="H1584" s="37" t="d">
        <x:v>2026-10-15T00:00:00.000Z</x:v>
      </x:c>
      <x:c r="I1584" s="37" t="d">
        <x:v>2026-09-17T05:51:04.000Z</x:v>
      </x:c>
      <x:c r="J1584" s="1" t="n">
        <x:f>IF(ISNUMBER(F1584),E1584,0)</x:f>
        <x:v>0</x:v>
      </x:c>
      <x:c r="K1584" s="1"/>
      <x:c r="L1584" s="1" t="str">
        <x:v>https://blog.skyairline.com/documentos-que-necesitas-para-viajar-a-argentina-de-chile</x:v>
      </x:c>
      <x:c r="M1584" s="1" t="n">
        <x:v>0</x:v>
      </x:c>
    </x:row>
    <x:row r="1585" ht="18.75" customHeight="1">
      <x:c r="A1585" s="1" t="str">
        <x:v>https://blog.skyairline.com/categoria/oportunidades/</x:v>
      </x:c>
      <x:c r="B1585" s="1" t="str">
        <x:v>curso tripulante de cabina sky 2026</x:v>
      </x:c>
      <x:c r="C1585" s="1" t="str">
        <x:v>chl</x:v>
      </x:c>
      <x:c r="D1585" s="1" t="str">
        <x:v>Marca</x:v>
      </x:c>
      <x:c r="E1585" s="35" t="n">
        <x:v>1</x:v>
      </x:c>
      <x:c r="F1585" s="36" t="n">
        <x:v>0.41</x:v>
      </x:c>
      <x:c r="G1585" s="36" t="n">
        <x:f>IF(ISNUMBER(F1585),E1585*F1585,"")</x:f>
        <x:v>0.41</x:v>
      </x:c>
      <x:c r="H1585" s="37" t="d">
        <x:v>2026-10-15T00:00:00.000Z</x:v>
      </x:c>
      <x:c r="I1585" s="37" t="d">
        <x:v>2026-09-13T20:33:02.000Z</x:v>
      </x:c>
      <x:c r="J1585" s="1" t="n">
        <x:f>IF(ISNUMBER(F1585),E1585,0)</x:f>
        <x:v>1</x:v>
      </x:c>
      <x:c r="K1585" s="1"/>
      <x:c r="L1585" s="1" t="str">
        <x:v>https://blog.skyairline.com/documentos-que-necesitas-para-viajar-a-argentina-desde-chile</x:v>
      </x:c>
      <x:c r="M1585" s="1" t="n">
        <x:v>0</x:v>
      </x:c>
    </x:row>
    <x:row r="1586" ht="18.75" customHeight="1">
      <x:c r="A1586" s="1" t="str">
        <x:v>https://blog.skyairline.com/categoria/oportunidades/</x:v>
      </x:c>
      <x:c r="B1586" s="1" t="str">
        <x:v>empleo sky</x:v>
      </x:c>
      <x:c r="C1586" s="1" t="str">
        <x:v>chl</x:v>
      </x:c>
      <x:c r="D1586" s="1" t="str">
        <x:v>Marca</x:v>
      </x:c>
      <x:c r="E1586" s="35" t="n">
        <x:v>1</x:v>
      </x:c>
      <x:c r="F1586" s="36"/>
      <x:c r="G1586" s="36" t="str">
        <x:f>IF(ISNUMBER(F1586),E1586*F1586,"")</x:f>
      </x:c>
      <x:c r="H1586" s="37"/>
      <x:c r="I1586" s="37"/>
      <x:c r="J1586" s="1" t="n">
        <x:f>IF(ISNUMBER(F1586),E1586,0)</x:f>
        <x:v>0</x:v>
      </x:c>
      <x:c r="K1586" s="1"/>
      <x:c r="L1586" s="1" t="str">
        <x:v>https://blog.skyairline.com/documentos-que-necesitas-para-viajar-a-argentina-desde-chile-%E2%80%93-sky-airline-%E2%80%93-blog</x:v>
      </x:c>
      <x:c r="M1586" s="1" t="n">
        <x:v>0</x:v>
      </x:c>
    </x:row>
    <x:row r="1587" ht="18.75" customHeight="1">
      <x:c r="A1587" s="1" t="str">
        <x:v>https://blog.skyairline.com/categoria/oportunidades/</x:v>
      </x:c>
      <x:c r="B1587" s="1" t="str">
        <x:v>genomawork sky airline</x:v>
      </x:c>
      <x:c r="C1587" s="1" t="str">
        <x:v>chl</x:v>
      </x:c>
      <x:c r="D1587" s="1" t="str">
        <x:v>Marca</x:v>
      </x:c>
      <x:c r="E1587" s="35" t="n">
        <x:v>1</x:v>
      </x:c>
      <x:c r="F1587" s="36"/>
      <x:c r="G1587" s="36" t="str">
        <x:f>IF(ISNUMBER(F1587),E1587*F1587,"")</x:f>
      </x:c>
      <x:c r="H1587" s="37"/>
      <x:c r="I1587" s="37"/>
      <x:c r="J1587" s="1" t="n">
        <x:f>IF(ISNUMBER(F1587),E1587,0)</x:f>
        <x:v>0</x:v>
      </x:c>
      <x:c r="K1587" s="1"/>
      <x:c r="L1587" s="1" t="str">
        <x:v>https://blog.skyairline.com/documentos-que-necesitas-para-viajar-argentina-desde-chile</x:v>
      </x:c>
      <x:c r="M1587" s="1" t="n">
        <x:v>0</x:v>
      </x:c>
    </x:row>
    <x:row r="1588" ht="18.75" customHeight="1">
      <x:c r="A1588" s="1" t="str">
        <x:v>https://blog.skyairline.com/categoria/oportunidades/</x:v>
      </x:c>
      <x:c r="B1588" s="1" t="str">
        <x:v>sky airline careers</x:v>
      </x:c>
      <x:c r="C1588" s="1" t="str">
        <x:v>chl</x:v>
      </x:c>
      <x:c r="D1588" s="1" t="str">
        <x:v>Marca</x:v>
      </x:c>
      <x:c r="E1588" s="35" t="n">
        <x:v>1</x:v>
      </x:c>
      <x:c r="F1588" s="36"/>
      <x:c r="G1588" s="36" t="str">
        <x:f>IF(ISNUMBER(F1588),E1588*F1588,"")</x:f>
      </x:c>
      <x:c r="H1588" s="37"/>
      <x:c r="I1588" s="37"/>
      <x:c r="J1588" s="1" t="n">
        <x:f>IF(ISNUMBER(F1588),E1588,0)</x:f>
        <x:v>0</x:v>
      </x:c>
      <x:c r="K1588" s="1"/>
      <x:c r="L1588" s="1" t="str">
        <x:v>https://blog.skyairline.com/documentos-que-necesitas-para-viajar-argentina-desde-chile/</x:v>
      </x:c>
      <x:c r="M1588" s="1" t="n">
        <x:v>0</x:v>
      </x:c>
    </x:row>
    <x:row r="1589" ht="18.75" customHeight="1">
      <x:c r="A1589" s="1" t="str">
        <x:v>https://blog.skyairline.com/categoria/oportunidades/</x:v>
      </x:c>
      <x:c r="B1589" s="1" t="str">
        <x:v>sky airline careers</x:v>
      </x:c>
      <x:c r="C1589" s="1" t="str">
        <x:v>per</x:v>
      </x:c>
      <x:c r="D1589" s="1" t="str">
        <x:v>Marca</x:v>
      </x:c>
      <x:c r="E1589" s="35" t="n">
        <x:v>1</x:v>
      </x:c>
      <x:c r="F1589" s="36"/>
      <x:c r="G1589" s="36" t="str">
        <x:f>IF(ISNUMBER(F1589),E1589*F1589,"")</x:f>
      </x:c>
      <x:c r="H1589" s="37"/>
      <x:c r="I1589" s="37"/>
      <x:c r="J1589" s="1" t="n">
        <x:f>IF(ISNUMBER(F1589),E1589,0)</x:f>
        <x:v>0</x:v>
      </x:c>
      <x:c r="K1589" s="1"/>
      <x:c r="L1589" s="1" t="str">
        <x:v>https://blog.skyairline.com/dolares-a-pesos-chilenos/</x:v>
      </x:c>
      <x:c r="M1589" s="1" t="n">
        <x:v>0</x:v>
      </x:c>
    </x:row>
    <x:row r="1590" ht="18.75" customHeight="1">
      <x:c r="A1590" s="1" t="str">
        <x:v>https://blog.skyairline.com/categoria/oportunidades/</x:v>
      </x:c>
      <x:c r="B1590" s="1" t="str">
        <x:v>sky airline jobs</x:v>
      </x:c>
      <x:c r="C1590" s="1" t="str">
        <x:v>arg</x:v>
      </x:c>
      <x:c r="D1590" s="1" t="str">
        <x:v>Marca</x:v>
      </x:c>
      <x:c r="E1590" s="35" t="n">
        <x:v>1</x:v>
      </x:c>
      <x:c r="F1590" s="36"/>
      <x:c r="G1590" s="36" t="str">
        <x:f>IF(ISNUMBER(F1590),E1590*F1590,"")</x:f>
      </x:c>
      <x:c r="H1590" s="37"/>
      <x:c r="I1590" s="37"/>
      <x:c r="J1590" s="1" t="n">
        <x:f>IF(ISNUMBER(F1590),E1590,0)</x:f>
        <x:v>0</x:v>
      </x:c>
      <x:c r="K1590" s="1"/>
      <x:c r="L1590" s="1" t="str">
        <x:v>https://blog.skyairline.com/donde-alojarse-en-concepcion/</x:v>
      </x:c>
      <x:c r="M1590" s="1" t="n">
        <x:v>0</x:v>
      </x:c>
    </x:row>
    <x:row r="1591" ht="18.75" customHeight="1">
      <x:c r="A1591" s="1" t="str">
        <x:v>https://blog.skyairline.com/categoria/oportunidades/</x:v>
      </x:c>
      <x:c r="B1591" s="1" t="str">
        <x:v>sky airline jobs</x:v>
      </x:c>
      <x:c r="C1591" s="1" t="str">
        <x:v>mex</x:v>
      </x:c>
      <x:c r="D1591" s="1" t="str">
        <x:v>Marca</x:v>
      </x:c>
      <x:c r="E1591" s="35" t="n">
        <x:v>1</x:v>
      </x:c>
      <x:c r="F1591" s="36"/>
      <x:c r="G1591" s="36" t="str">
        <x:f>IF(ISNUMBER(F1591),E1591*F1591,"")</x:f>
      </x:c>
      <x:c r="H1591" s="37"/>
      <x:c r="I1591" s="37"/>
      <x:c r="J1591" s="1" t="n">
        <x:f>IF(ISNUMBER(F1591),E1591,0)</x:f>
        <x:v>0</x:v>
      </x:c>
      <x:c r="K1591" s="1"/>
      <x:c r="L1591" s="1" t="str">
        <x:v>https://blog.skyairline.com/donde-comer-en-talara/</x:v>
      </x:c>
      <x:c r="M1591" s="1" t="n">
        <x:v>0</x:v>
      </x:c>
    </x:row>
    <x:row r="1592" ht="18.75" customHeight="1">
      <x:c r="A1592" s="1" t="str">
        <x:v>https://blog.skyairline.com/categoria/oportunidades/</x:v>
      </x:c>
      <x:c r="B1592" s="1" t="str">
        <x:v>sky airline trabaja con nosotros</x:v>
      </x:c>
      <x:c r="C1592" s="1" t="str">
        <x:v>col</x:v>
      </x:c>
      <x:c r="D1592" s="1" t="str">
        <x:v>Marca</x:v>
      </x:c>
      <x:c r="E1592" s="35" t="n">
        <x:v>1</x:v>
      </x:c>
      <x:c r="F1592" s="36"/>
      <x:c r="G1592" s="36" t="str">
        <x:f>IF(ISNUMBER(F1592),E1592*F1592,"")</x:f>
      </x:c>
      <x:c r="H1592" s="37"/>
      <x:c r="I1592" s="37"/>
      <x:c r="J1592" s="1" t="n">
        <x:f>IF(ISNUMBER(F1592),E1592,0)</x:f>
        <x:v>0</x:v>
      </x:c>
      <x:c r="K1592" s="1"/>
      <x:c r="L1592" s="1" t="str">
        <x:v>https://blog.skyairline.com/donde-ir-de-vacaciones-con-ninos/</x:v>
      </x:c>
      <x:c r="M1592" s="1" t="n">
        <x:v>0</x:v>
      </x:c>
    </x:row>
    <x:row r="1593" ht="18.75" customHeight="1">
      <x:c r="A1593" s="1" t="str">
        <x:v>https://blog.skyairline.com/categoria/oportunidades/</x:v>
      </x:c>
      <x:c r="B1593" s="1" t="str">
        <x:v>sky airline trabajo</x:v>
      </x:c>
      <x:c r="C1593" s="1" t="str">
        <x:v>chl</x:v>
      </x:c>
      <x:c r="D1593" s="1" t="str">
        <x:v>Marca</x:v>
      </x:c>
      <x:c r="E1593" s="35" t="n">
        <x:v>1</x:v>
      </x:c>
      <x:c r="F1593" s="36" t="n">
        <x:v>0.06</x:v>
      </x:c>
      <x:c r="G1593" s="36" t="n">
        <x:f>IF(ISNUMBER(F1593),E1593*F1593,"")</x:f>
        <x:v>0.06</x:v>
      </x:c>
      <x:c r="H1593" s="37" t="d">
        <x:v>2026-10-15T00:00:00.000Z</x:v>
      </x:c>
      <x:c r="I1593" s="37" t="d">
        <x:v>2026-09-14T12:14:25.000Z</x:v>
      </x:c>
      <x:c r="J1593" s="1" t="n">
        <x:f>IF(ISNUMBER(F1593),E1593,0)</x:f>
        <x:v>1</x:v>
      </x:c>
      <x:c r="K1593" s="1"/>
      <x:c r="L1593" s="1" t="str">
        <x:v>https://blog.skyairline.com/donde-ir-en-las-vacaciones-de-inierno-en-chile-5-destinos-imperdibles/</x:v>
      </x:c>
      <x:c r="M1593" s="1" t="n">
        <x:v>0</x:v>
      </x:c>
    </x:row>
    <x:row r="1594" ht="18.75" customHeight="1">
      <x:c r="A1594" s="1" t="str">
        <x:v>https://blog.skyairline.com/categoria/oportunidades/</x:v>
      </x:c>
      <x:c r="B1594" s="1" t="str">
        <x:v>sky airline tripulante de cabina</x:v>
      </x:c>
      <x:c r="C1594" s="1" t="str">
        <x:v>chl</x:v>
      </x:c>
      <x:c r="D1594" s="1" t="str">
        <x:v>Marca</x:v>
      </x:c>
      <x:c r="E1594" s="35" t="n">
        <x:v>1</x:v>
      </x:c>
      <x:c r="F1594" s="36"/>
      <x:c r="G1594" s="36" t="str">
        <x:f>IF(ISNUMBER(F1594),E1594*F1594,"")</x:f>
      </x:c>
      <x:c r="H1594" s="37"/>
      <x:c r="I1594" s="37"/>
      <x:c r="J1594" s="1" t="n">
        <x:f>IF(ISNUMBER(F1594),E1594,0)</x:f>
        <x:v>0</x:v>
      </x:c>
      <x:c r="K1594" s="1"/>
      <x:c r="L1594" s="1" t="str">
        <x:v>https://blog.skyairline.com/donde-ir-en-las-vacaciones-de-iniverno-en-chile-5-destinos-imperdibles/</x:v>
      </x:c>
      <x:c r="M1594" s="1" t="n">
        <x:v>0</x:v>
      </x:c>
    </x:row>
    <x:row r="1595" ht="18.75" customHeight="1">
      <x:c r="A1595" s="1" t="str">
        <x:v>https://blog.skyairline.com/categoria/oportunidades/</x:v>
      </x:c>
      <x:c r="B1595" s="1" t="str">
        <x:v>sky airlines careers</x:v>
      </x:c>
      <x:c r="C1595" s="1" t="str">
        <x:v>chl</x:v>
      </x:c>
      <x:c r="D1595" s="1" t="str">
        <x:v>Marca</x:v>
      </x:c>
      <x:c r="E1595" s="35" t="n">
        <x:v>1</x:v>
      </x:c>
      <x:c r="F1595" s="36"/>
      <x:c r="G1595" s="36" t="str">
        <x:f>IF(ISNUMBER(F1595),E1595*F1595,"")</x:f>
      </x:c>
      <x:c r="H1595" s="37" t="d">
        <x:v>2026-10-15T00:00:00.000Z</x:v>
      </x:c>
      <x:c r="I1595" s="37" t="d">
        <x:v>2026-10-15T15:01:36.000Z</x:v>
      </x:c>
      <x:c r="J1595" s="1" t="n">
        <x:f>IF(ISNUMBER(F1595),E1595,0)</x:f>
        <x:v>0</x:v>
      </x:c>
      <x:c r="K1595" s="1"/>
      <x:c r="L1595" s="1" t="str">
        <x:v>https://blog.skyairline.com/donde-ir-en-las-vacaciones-de-invernadero-en-chile-5-destinos-imperdibles/</x:v>
      </x:c>
      <x:c r="M1595" s="1" t="n">
        <x:v>0</x:v>
      </x:c>
    </x:row>
    <x:row r="1596" ht="18.75" customHeight="1">
      <x:c r="A1596" s="1" t="str">
        <x:v>https://blog.skyairline.com/categoria/oportunidades/</x:v>
      </x:c>
      <x:c r="B1596" s="1" t="str">
        <x:v>sky airlines careers</x:v>
      </x:c>
      <x:c r="C1596" s="1" t="str">
        <x:v>mex</x:v>
      </x:c>
      <x:c r="D1596" s="1" t="str">
        <x:v>Marca</x:v>
      </x:c>
      <x:c r="E1596" s="35" t="n">
        <x:v>1</x:v>
      </x:c>
      <x:c r="F1596" s="36"/>
      <x:c r="G1596" s="36" t="str">
        <x:f>IF(ISNUMBER(F1596),E1596*F1596,"")</x:f>
      </x:c>
      <x:c r="H1596" s="37"/>
      <x:c r="I1596" s="37"/>
      <x:c r="J1596" s="1" t="n">
        <x:f>IF(ISNUMBER(F1596),E1596,0)</x:f>
        <x:v>0</x:v>
      </x:c>
      <x:c r="K1596" s="1"/>
      <x:c r="L1596" s="1" t="str">
        <x:v>https://blog.skyairline.com/donde-ir-en-las-vacaciones-de-invierno-chile-5-destinos-imperdibles/</x:v>
      </x:c>
      <x:c r="M1596" s="1" t="n">
        <x:v>0</x:v>
      </x:c>
    </x:row>
    <x:row r="1597" ht="18.75" customHeight="1">
      <x:c r="A1597" s="1" t="str">
        <x:v>https://blog.skyairline.com/categoria/oportunidades/</x:v>
      </x:c>
      <x:c r="B1597" s="1" t="str">
        <x:v>sky airlines empleos</x:v>
      </x:c>
      <x:c r="C1597" s="1" t="str">
        <x:v>arg</x:v>
      </x:c>
      <x:c r="D1597" s="1" t="str">
        <x:v>Marca</x:v>
      </x:c>
      <x:c r="E1597" s="35" t="n">
        <x:v>1</x:v>
      </x:c>
      <x:c r="F1597" s="36"/>
      <x:c r="G1597" s="36" t="str">
        <x:f>IF(ISNUMBER(F1597),E1597*F1597,"")</x:f>
      </x:c>
      <x:c r="H1597" s="37"/>
      <x:c r="I1597" s="37"/>
      <x:c r="J1597" s="1" t="n">
        <x:f>IF(ISNUMBER(F1597),E1597,0)</x:f>
        <x:v>0</x:v>
      </x:c>
      <x:c r="K1597" s="1"/>
      <x:c r="L1597" s="1" t="str">
        <x:v>https://blog.skyairline.com/donde-ir-en-las-vacaciones-de-invierno-en-chile-5-destinos-imperdibles</x:v>
      </x:c>
      <x:c r="M1597" s="1" t="n">
        <x:v>0</x:v>
      </x:c>
    </x:row>
    <x:row r="1598" ht="18.75" customHeight="1">
      <x:c r="A1598" s="1" t="str">
        <x:v>https://blog.skyairline.com/categoria/oportunidades/</x:v>
      </x:c>
      <x:c r="B1598" s="1" t="str">
        <x:v>sky airlines jobs</x:v>
      </x:c>
      <x:c r="C1598" s="1" t="str">
        <x:v>chl</x:v>
      </x:c>
      <x:c r="D1598" s="1" t="str">
        <x:v>Marca</x:v>
      </x:c>
      <x:c r="E1598" s="35" t="n">
        <x:v>1</x:v>
      </x:c>
      <x:c r="F1598" s="36"/>
      <x:c r="G1598" s="36" t="str">
        <x:f>IF(ISNUMBER(F1598),E1598*F1598,"")</x:f>
      </x:c>
      <x:c r="H1598" s="37" t="d">
        <x:v>2026-10-15T00:00:00.000Z</x:v>
      </x:c>
      <x:c r="I1598" s="37" t="d">
        <x:v>2026-09-13T17:22:50.000Z</x:v>
      </x:c>
      <x:c r="J1598" s="1" t="n">
        <x:f>IF(ISNUMBER(F1598),E1598,0)</x:f>
        <x:v>0</x:v>
      </x:c>
      <x:c r="K1598" s="1"/>
      <x:c r="L1598" s="1" t="str">
        <x:v>https://blog.skyairline.com/donde-ir-en-las-vacaciones-de-invierno-en-chile-5-destinos-imperdibles/</x:v>
      </x:c>
      <x:c r="M1598" s="1" t="n">
        <x:v>0</x:v>
      </x:c>
    </x:row>
    <x:row r="1599" ht="18.75" customHeight="1">
      <x:c r="A1599" s="1" t="str">
        <x:v>https://blog.skyairline.com/categoria/oportunidades/</x:v>
      </x:c>
      <x:c r="B1599" s="1" t="str">
        <x:v>sky airlines jobs</x:v>
      </x:c>
      <x:c r="C1599" s="1" t="str">
        <x:v>per</x:v>
      </x:c>
      <x:c r="D1599" s="1" t="str">
        <x:v>Marca</x:v>
      </x:c>
      <x:c r="E1599" s="35" t="n">
        <x:v>1</x:v>
      </x:c>
      <x:c r="F1599" s="36"/>
      <x:c r="G1599" s="36" t="str">
        <x:f>IF(ISNUMBER(F1599),E1599*F1599,"")</x:f>
      </x:c>
      <x:c r="H1599" s="37"/>
      <x:c r="I1599" s="37"/>
      <x:c r="J1599" s="1" t="n">
        <x:f>IF(ISNUMBER(F1599),E1599,0)</x:f>
        <x:v>0</x:v>
      </x:c>
      <x:c r="K1599" s="1"/>
      <x:c r="L1599" s="1" t="str">
        <x:v>https://blog.skyairline.com/donde-ir-en-las-vacaciones-de-invierno-en-chile-5-imperdibles/</x:v>
      </x:c>
      <x:c r="M1599" s="1" t="n">
        <x:v>0</x:v>
      </x:c>
    </x:row>
    <x:row r="1600" ht="18.75" customHeight="1">
      <x:c r="A1600" s="1" t="str">
        <x:v>https://blog.skyairline.com/categoria/oportunidades/</x:v>
      </x:c>
      <x:c r="B1600" s="1" t="str">
        <x:v>sky airlines postulaciones</x:v>
      </x:c>
      <x:c r="C1600" s="1" t="str">
        <x:v>chl</x:v>
      </x:c>
      <x:c r="D1600" s="1" t="str">
        <x:v>Marca</x:v>
      </x:c>
      <x:c r="E1600" s="35" t="n">
        <x:v>1</x:v>
      </x:c>
      <x:c r="F1600" s="36"/>
      <x:c r="G1600" s="36" t="str">
        <x:f>IF(ISNUMBER(F1600),E1600*F1600,"")</x:f>
      </x:c>
      <x:c r="H1600" s="37"/>
      <x:c r="I1600" s="37"/>
      <x:c r="J1600" s="1" t="n">
        <x:f>IF(ISNUMBER(F1600),E1600,0)</x:f>
        <x:v>0</x:v>
      </x:c>
      <x:c r="K1600" s="1"/>
      <x:c r="L1600" s="1" t="str">
        <x:v>https://blog.skyairline.com/donde-ir-en-las-vacaciones-de-winter-en-chile-5-destinos-imperdibles/</x:v>
      </x:c>
      <x:c r="M1600" s="1" t="n">
        <x:v>0</x:v>
      </x:c>
    </x:row>
    <x:row r="1601" ht="18.75" customHeight="1">
      <x:c r="A1601" s="1" t="str">
        <x:v>https://blog.skyairline.com/categoria/oportunidades/</x:v>
      </x:c>
      <x:c r="B1601" s="1" t="str">
        <x:v>sky airlines practicas</x:v>
      </x:c>
      <x:c r="C1601" s="1" t="str">
        <x:v>chl</x:v>
      </x:c>
      <x:c r="D1601" s="1" t="str">
        <x:v>Marca</x:v>
      </x:c>
      <x:c r="E1601" s="35" t="n">
        <x:v>1</x:v>
      </x:c>
      <x:c r="F1601" s="36"/>
      <x:c r="G1601" s="36" t="str">
        <x:f>IF(ISNUMBER(F1601),E1601*F1601,"")</x:f>
      </x:c>
      <x:c r="H1601" s="37"/>
      <x:c r="I1601" s="37"/>
      <x:c r="J1601" s="1" t="n">
        <x:f>IF(ISNUMBER(F1601),E1601,0)</x:f>
        <x:v>0</x:v>
      </x:c>
      <x:c r="K1601" s="1"/>
      <x:c r="L1601" s="1" t="str">
        <x:v>https://blog.skyairline.com/donde-que-da-frutillar-y-que-hacer-en-esta-magica-ciudad-chilena/</x:v>
      </x:c>
      <x:c r="M1601" s="1" t="n">
        <x:v>0</x:v>
      </x:c>
    </x:row>
    <x:row r="1602" ht="18.75" customHeight="1">
      <x:c r="A1602" s="1" t="str">
        <x:v>https://blog.skyairline.com/categoria/oportunidades/</x:v>
      </x:c>
      <x:c r="B1602" s="1" t="str">
        <x:v>sky airlines trabaja con nosotros</x:v>
      </x:c>
      <x:c r="C1602" s="1" t="str">
        <x:v>esp</x:v>
      </x:c>
      <x:c r="D1602" s="1" t="str">
        <x:v>Marca</x:v>
      </x:c>
      <x:c r="E1602" s="35" t="n">
        <x:v>1</x:v>
      </x:c>
      <x:c r="F1602" s="36"/>
      <x:c r="G1602" s="36" t="str">
        <x:f>IF(ISNUMBER(F1602),E1602*F1602,"")</x:f>
      </x:c>
      <x:c r="H1602" s="37"/>
      <x:c r="I1602" s="37"/>
      <x:c r="J1602" s="1" t="n">
        <x:f>IF(ISNUMBER(F1602),E1602,0)</x:f>
        <x:v>0</x:v>
      </x:c>
      <x:c r="K1602" s="1"/>
      <x:c r="L1602" s="1" t="str">
        <x:v>https://blog.skyairline.com/donde-queda-frutillar-y-que-hacer-en-esta-magica-ciudad-chilena</x:v>
      </x:c>
      <x:c r="M1602" s="1" t="n">
        <x:v>0</x:v>
      </x:c>
    </x:row>
    <x:row r="1603" ht="18.75" customHeight="1">
      <x:c r="A1603" s="1" t="str">
        <x:v>https://blog.skyairline.com/categoria/oportunidades/</x:v>
      </x:c>
      <x:c r="B1603" s="1" t="str">
        <x:v>sky airlines trabaja con nosotros</x:v>
      </x:c>
      <x:c r="C1603" s="1" t="str">
        <x:v>per</x:v>
      </x:c>
      <x:c r="D1603" s="1" t="str">
        <x:v>Marca</x:v>
      </x:c>
      <x:c r="E1603" s="35" t="n">
        <x:v>1</x:v>
      </x:c>
      <x:c r="F1603" s="36" t="n">
        <x:v>0.02</x:v>
      </x:c>
      <x:c r="G1603" s="36" t="n">
        <x:f>IF(ISNUMBER(F1603),E1603*F1603,"")</x:f>
        <x:v>0.02</x:v>
      </x:c>
      <x:c r="H1603" s="37" t="d">
        <x:v>2026-10-15T00:00:00.000Z</x:v>
      </x:c>
      <x:c r="I1603" s="37" t="d">
        <x:v>2026-09-15T03:37:38.000Z</x:v>
      </x:c>
      <x:c r="J1603" s="1" t="n">
        <x:f>IF(ISNUMBER(F1603),E1603,0)</x:f>
        <x:v>1</x:v>
      </x:c>
      <x:c r="K1603" s="1"/>
      <x:c r="L1603" s="1" t="str">
        <x:v>https://blog.skyairline.com/donde-queda-punta-cana</x:v>
      </x:c>
      <x:c r="M1603" s="1" t="n">
        <x:v>0</x:v>
      </x:c>
    </x:row>
    <x:row r="1604" ht="18.75" customHeight="1">
      <x:c r="A1604" s="1" t="str">
        <x:v>https://blog.skyairline.com/categoria/oportunidades/</x:v>
      </x:c>
      <x:c r="B1604" s="1" t="str">
        <x:v>sky airlines trabajo</x:v>
      </x:c>
      <x:c r="C1604" s="1" t="str">
        <x:v>col</x:v>
      </x:c>
      <x:c r="D1604" s="1" t="str">
        <x:v>Marca</x:v>
      </x:c>
      <x:c r="E1604" s="35" t="n">
        <x:v>1</x:v>
      </x:c>
      <x:c r="F1604" s="36"/>
      <x:c r="G1604" s="36" t="str">
        <x:f>IF(ISNUMBER(F1604),E1604*F1604,"")</x:f>
      </x:c>
      <x:c r="H1604" s="37"/>
      <x:c r="I1604" s="37"/>
      <x:c r="J1604" s="1" t="n">
        <x:f>IF(ISNUMBER(F1604),E1604,0)</x:f>
        <x:v>0</x:v>
      </x:c>
      <x:c r="K1604" s="1"/>
      <x:c r="L1604" s="1" t="str">
        <x:v>https://blog.skyairline.com/donde-queda-punta-cana-en-que-pais-queda-mapa-de-ubicacion-y-como-es-el-clima-2025101711534</x:v>
      </x:c>
      <x:c r="M1604" s="1" t="n">
        <x:v>0</x:v>
      </x:c>
    </x:row>
    <x:row r="1605" ht="18.75" customHeight="1">
      <x:c r="A1605" s="1" t="str">
        <x:v>https://blog.skyairline.com/categoria/oportunidades/</x:v>
      </x:c>
      <x:c r="B1605" s="1" t="str">
        <x:v>sky bolsa de trabajo</x:v>
      </x:c>
      <x:c r="C1605" s="1" t="str">
        <x:v>chl</x:v>
      </x:c>
      <x:c r="D1605" s="1" t="str">
        <x:v>Marca</x:v>
      </x:c>
      <x:c r="E1605" s="35" t="n">
        <x:v>1</x:v>
      </x:c>
      <x:c r="F1605" s="36"/>
      <x:c r="G1605" s="36" t="str">
        <x:f>IF(ISNUMBER(F1605),E1605*F1605,"")</x:f>
      </x:c>
      <x:c r="H1605" s="37" t="d">
        <x:v>2026-10-15T00:00:00.000Z</x:v>
      </x:c>
      <x:c r="I1605" s="37" t="d">
        <x:v>2026-09-15T10:34:38.000Z</x:v>
      </x:c>
      <x:c r="J1605" s="1" t="n">
        <x:f>IF(ISNUMBER(F1605),E1605,0)</x:f>
        <x:v>0</x:v>
      </x:c>
      <x:c r="K1605" s="1"/>
      <x:c r="L1605" s="1" t="str">
        <x:v>https://blog.skyairline.com/donde-queda-punta-cana-y-como-llegar-a-este-paraiso-del-caribe/</x:v>
      </x:c>
      <x:c r="M1605" s="1" t="n">
        <x:v>0</x:v>
      </x:c>
    </x:row>
    <x:row r="1606" ht="18.75" customHeight="1">
      <x:c r="A1606" s="1" t="str">
        <x:v>https://blog.skyairline.com/categoria/oportunidades/</x:v>
      </x:c>
      <x:c r="B1606" s="1" t="str">
        <x:v>sky convocatoria</x:v>
      </x:c>
      <x:c r="C1606" s="1" t="str">
        <x:v>chl</x:v>
      </x:c>
      <x:c r="D1606" s="1" t="str">
        <x:v>Marca</x:v>
      </x:c>
      <x:c r="E1606" s="35" t="n">
        <x:v>1</x:v>
      </x:c>
      <x:c r="F1606" s="36"/>
      <x:c r="G1606" s="36" t="str">
        <x:f>IF(ISNUMBER(F1606),E1606*F1606,"")</x:f>
      </x:c>
      <x:c r="H1606" s="37"/>
      <x:c r="I1606" s="37"/>
      <x:c r="J1606" s="1" t="n">
        <x:f>IF(ISNUMBER(F1606),E1606,0)</x:f>
        <x:v>0</x:v>
      </x:c>
      <x:c r="K1606" s="1"/>
      <x:c r="L1606" s="1" t="str">
        <x:v>https://blog.skyairline.com/donde-queda-punta-canada/</x:v>
      </x:c>
      <x:c r="M1606" s="1" t="n">
        <x:v>0</x:v>
      </x:c>
    </x:row>
    <x:row r="1607" ht="18.75" customHeight="1">
      <x:c r="A1607" s="1" t="str">
        <x:v>https://blog.skyairline.com/categoria/oportunidades/</x:v>
      </x:c>
      <x:c r="B1607" s="1" t="str">
        <x:v>sky convocatoria</x:v>
      </x:c>
      <x:c r="C1607" s="1" t="str">
        <x:v>per</x:v>
      </x:c>
      <x:c r="D1607" s="1" t="str">
        <x:v>Marca</x:v>
      </x:c>
      <x:c r="E1607" s="35" t="n">
        <x:v>1</x:v>
      </x:c>
      <x:c r="F1607" s="36"/>
      <x:c r="G1607" s="36" t="str">
        <x:f>IF(ISNUMBER(F1607),E1607*F1607,"")</x:f>
      </x:c>
      <x:c r="H1607" s="37"/>
      <x:c r="I1607" s="37"/>
      <x:c r="J1607" s="1" t="n">
        <x:f>IF(ISNUMBER(F1607),E1607,0)</x:f>
        <x:v>0</x:v>
      </x:c>
      <x:c r="K1607" s="1"/>
      <x:c r="L1607" s="1" t="str">
        <x:v>https://blog.skyairline.com/donde-se-juega-copa-america-2024/</x:v>
      </x:c>
      <x:c r="M1607" s="1" t="n">
        <x:v>0</x:v>
      </x:c>
    </x:row>
    <x:row r="1608" ht="18.75" customHeight="1">
      <x:c r="A1608" s="1" t="str">
        <x:v>https://blog.skyairline.com/categoria/oportunidades/</x:v>
      </x:c>
      <x:c r="B1608" s="1" t="str">
        <x:v>sky postulaciones</x:v>
      </x:c>
      <x:c r="C1608" s="1" t="str">
        <x:v>per</x:v>
      </x:c>
      <x:c r="D1608" s="1" t="str">
        <x:v>Marca</x:v>
      </x:c>
      <x:c r="E1608" s="35" t="n">
        <x:v>1</x:v>
      </x:c>
      <x:c r="F1608" s="36"/>
      <x:c r="G1608" s="36" t="str">
        <x:f>IF(ISNUMBER(F1608),E1608*F1608,"")</x:f>
      </x:c>
      <x:c r="H1608" s="37"/>
      <x:c r="I1608" s="37"/>
      <x:c r="J1608" s="1" t="n">
        <x:f>IF(ISNUMBER(F1608),E1608,0)</x:f>
        <x:v>0</x:v>
      </x:c>
      <x:c r="K1608" s="1"/>
      <x:c r="L1608" s="1" t="str">
        <x:v>https://blog.skyairline.com/donde-viajar-con-ninos</x:v>
      </x:c>
      <x:c r="M1608" s="1" t="n">
        <x:v>0</x:v>
      </x:c>
    </x:row>
    <x:row r="1609" ht="18.75" customHeight="1">
      <x:c r="A1609" s="1" t="str">
        <x:v>https://blog.skyairline.com/categoria/oportunidades/</x:v>
      </x:c>
      <x:c r="B1609" s="1" t="str">
        <x:v>sky trabaja con nosotros</x:v>
      </x:c>
      <x:c r="C1609" s="1" t="str">
        <x:v>arg</x:v>
      </x:c>
      <x:c r="D1609" s="1" t="str">
        <x:v>Marca</x:v>
      </x:c>
      <x:c r="E1609" s="35" t="n">
        <x:v>1</x:v>
      </x:c>
      <x:c r="F1609" s="36"/>
      <x:c r="G1609" s="36" t="str">
        <x:f>IF(ISNUMBER(F1609),E1609*F1609,"")</x:f>
      </x:c>
      <x:c r="H1609" s="37"/>
      <x:c r="I1609" s="37"/>
      <x:c r="J1609" s="1" t="n">
        <x:f>IF(ISNUMBER(F1609),E1609,0)</x:f>
        <x:v>0</x:v>
      </x:c>
      <x:c r="K1609" s="1"/>
      <x:c r="L1609" s="1" t="str">
        <x:v>https://blog.skyairline.com/donde-viajar-en-con-ninos/</x:v>
      </x:c>
      <x:c r="M1609" s="1" t="n">
        <x:v>0</x:v>
      </x:c>
    </x:row>
    <x:row r="1610" ht="18.75" customHeight="1">
      <x:c r="A1610" s="1" t="str">
        <x:v>https://blog.skyairline.com/categoria/oportunidades/</x:v>
      </x:c>
      <x:c r="B1610" s="1" t="str">
        <x:v>sky trabaja con nosotros</x:v>
      </x:c>
      <x:c r="C1610" s="1" t="str">
        <x:v>ury</x:v>
      </x:c>
      <x:c r="D1610" s="1" t="str">
        <x:v>Marca</x:v>
      </x:c>
      <x:c r="E1610" s="35" t="n">
        <x:v>1</x:v>
      </x:c>
      <x:c r="F1610" s="36"/>
      <x:c r="G1610" s="36" t="str">
        <x:f>IF(ISNUMBER(F1610),E1610*F1610,"")</x:f>
      </x:c>
      <x:c r="H1610" s="37"/>
      <x:c r="I1610" s="37"/>
      <x:c r="J1610" s="1" t="n">
        <x:f>IF(ISNUMBER(F1610),E1610,0)</x:f>
        <x:v>0</x:v>
      </x:c>
      <x:c r="K1610" s="1"/>
      <x:c r="L1610" s="1" t="str">
        <x:v>https://blog.skyairline.com/donde-viajar-ninos/</x:v>
      </x:c>
      <x:c r="M1610" s="1" t="n">
        <x:v>0</x:v>
      </x:c>
    </x:row>
    <x:row r="1611" ht="18.75" customHeight="1">
      <x:c r="A1611" s="1" t="str">
        <x:v>https://blog.skyairline.com/categoria/oportunidades/</x:v>
      </x:c>
      <x:c r="B1611" s="1" t="str">
        <x:v>sky trabaja con nosotros chile</x:v>
      </x:c>
      <x:c r="C1611" s="1" t="str">
        <x:v>arg</x:v>
      </x:c>
      <x:c r="D1611" s="1" t="str">
        <x:v>Marca</x:v>
      </x:c>
      <x:c r="E1611" s="35" t="n">
        <x:v>1</x:v>
      </x:c>
      <x:c r="F1611" s="36"/>
      <x:c r="G1611" s="36" t="str">
        <x:f>IF(ISNUMBER(F1611),E1611*F1611,"")</x:f>
      </x:c>
      <x:c r="H1611" s="37"/>
      <x:c r="I1611" s="37"/>
      <x:c r="J1611" s="1" t="n">
        <x:f>IF(ISNUMBER(F1611),E1611,0)</x:f>
        <x:v>0</x:v>
      </x:c>
      <x:c r="K1611" s="1"/>
      <x:c r="L1611" s="1" t="str">
        <x:v>https://blog.skyairline.com/dunas-de-concon/</x:v>
      </x:c>
      <x:c r="M1611" s="1" t="n">
        <x:v>0</x:v>
      </x:c>
    </x:row>
    <x:row r="1612" ht="18.75" customHeight="1">
      <x:c r="A1612" s="1" t="str">
        <x:v>https://blog.skyairline.com/categoria/oportunidades/</x:v>
      </x:c>
      <x:c r="B1612" s="1" t="str">
        <x:v>sky trabajos</x:v>
      </x:c>
      <x:c r="C1612" s="1" t="str">
        <x:v>per</x:v>
      </x:c>
      <x:c r="D1612" s="1" t="str">
        <x:v>Marca</x:v>
      </x:c>
      <x:c r="E1612" s="35" t="n">
        <x:v>1</x:v>
      </x:c>
      <x:c r="F1612" s="36"/>
      <x:c r="G1612" s="36" t="str">
        <x:f>IF(ISNUMBER(F1612),E1612*F1612,"")</x:f>
      </x:c>
      <x:c r="H1612" s="37"/>
      <x:c r="I1612" s="37"/>
      <x:c r="J1612" s="1" t="n">
        <x:f>IF(ISNUMBER(F1612),E1612,0)</x:f>
        <x:v>0</x:v>
      </x:c>
      <x:c r="K1612" s="1"/>
      <x:c r="L1612" s="1" t="str">
        <x:v>https://blog.skyairline.com/ecoturismo-en-punta-cana/</x:v>
      </x:c>
      <x:c r="M1612" s="1" t="n">
        <x:v>0</x:v>
      </x:c>
    </x:row>
    <x:row r="1613" ht="18.75" customHeight="1">
      <x:c r="A1613" s="1" t="str">
        <x:v>https://blog.skyairline.com/categoria/oportunidades/</x:v>
      </x:c>
      <x:c r="B1613" s="1" t="str">
        <x:v>sky tripulante de cabina</x:v>
      </x:c>
      <x:c r="C1613" s="1" t="str">
        <x:v>per</x:v>
      </x:c>
      <x:c r="D1613" s="1" t="str">
        <x:v>Marca</x:v>
      </x:c>
      <x:c r="E1613" s="35" t="n">
        <x:v>1</x:v>
      </x:c>
      <x:c r="F1613" s="36" t="n">
        <x:v>0.58</x:v>
      </x:c>
      <x:c r="G1613" s="36" t="n">
        <x:f>IF(ISNUMBER(F1613),E1613*F1613,"")</x:f>
        <x:v>0.58</x:v>
      </x:c>
      <x:c r="H1613" s="37" t="d">
        <x:v>2026-10-15T00:00:00.000Z</x:v>
      </x:c>
      <x:c r="I1613" s="37" t="d">
        <x:v>2026-09-17T09:37:17.000Z</x:v>
      </x:c>
      <x:c r="J1613" s="1" t="n">
        <x:f>IF(ISNUMBER(F1613),E1613,0)</x:f>
        <x:v>1</x:v>
      </x:c>
      <x:c r="K1613" s="1"/>
      <x:c r="L1613" s="1" t="str">
        <x:v>https://blog.skyairline.com/ecoturismo/</x:v>
      </x:c>
      <x:c r="M1613" s="1" t="n">
        <x:v>0</x:v>
      </x:c>
    </x:row>
    <x:row r="1614" ht="18.75" customHeight="1">
      <x:c r="A1614" s="1" t="str">
        <x:v>https://blog.skyairline.com/categoria/oportunidades/</x:v>
      </x:c>
      <x:c r="B1614" s="1" t="str">
        <x:v>sky tripulante de cabina trabajo</x:v>
      </x:c>
      <x:c r="C1614" s="1" t="str">
        <x:v>chl</x:v>
      </x:c>
      <x:c r="D1614" s="1" t="str">
        <x:v>Marca</x:v>
      </x:c>
      <x:c r="E1614" s="35" t="n">
        <x:v>1</x:v>
      </x:c>
      <x:c r="F1614" s="36"/>
      <x:c r="G1614" s="36" t="str">
        <x:f>IF(ISNUMBER(F1614),E1614*F1614,"")</x:f>
      </x:c>
      <x:c r="H1614" s="37"/>
      <x:c r="I1614" s="37"/>
      <x:c r="J1614" s="1" t="n">
        <x:f>IF(ISNUMBER(F1614),E1614,0)</x:f>
        <x:v>0</x:v>
      </x:c>
      <x:c r="K1614" s="1"/>
      <x:c r="L1614" s="1" t="str">
        <x:v>https://blog.skyairline.com/edifio-santa-cruz/</x:v>
      </x:c>
      <x:c r="M1614" s="1" t="n">
        <x:v>0</x:v>
      </x:c>
    </x:row>
    <x:row r="1615" ht="18.75" customHeight="1">
      <x:c r="A1615" s="1" t="str">
        <x:v>https://blog.skyairline.com/categoria/oportunidades/</x:v>
      </x:c>
      <x:c r="B1615" s="1" t="str">
        <x:v>sky vacantes</x:v>
      </x:c>
      <x:c r="C1615" s="1" t="str">
        <x:v>chl</x:v>
      </x:c>
      <x:c r="D1615" s="1" t="str">
        <x:v>Marca</x:v>
      </x:c>
      <x:c r="E1615" s="35" t="n">
        <x:v>1</x:v>
      </x:c>
      <x:c r="F1615" s="36"/>
      <x:c r="G1615" s="36" t="str">
        <x:f>IF(ISNUMBER(F1615),E1615*F1615,"")</x:f>
      </x:c>
      <x:c r="H1615" s="37"/>
      <x:c r="I1615" s="37"/>
      <x:c r="J1615" s="1" t="n">
        <x:f>IF(ISNUMBER(F1615),E1615,0)</x:f>
        <x:v>0</x:v>
      </x:c>
      <x:c r="K1615" s="1"/>
      <x:c r="L1615" s="1" t="str">
        <x:v>https://blog.skyairline.com/el-ateneo-grand-splendid/</x:v>
      </x:c>
      <x:c r="M1615" s="1" t="n">
        <x:v>0</x:v>
      </x:c>
    </x:row>
    <x:row r="1616" ht="18.75" customHeight="1">
      <x:c r="A1616" s="1" t="str">
        <x:v>https://blog.skyairline.com/categoria/oportunidades/</x:v>
      </x:c>
      <x:c r="B1616" s="1" t="str">
        <x:v>trabaja con nosotros sky</x:v>
      </x:c>
      <x:c r="C1616" s="1" t="str">
        <x:v>per</x:v>
      </x:c>
      <x:c r="D1616" s="1" t="str">
        <x:v>Marca</x:v>
      </x:c>
      <x:c r="E1616" s="35" t="n">
        <x:v>1</x:v>
      </x:c>
      <x:c r="F1616" s="36"/>
      <x:c r="G1616" s="36" t="str">
        <x:f>IF(ISNUMBER(F1616),E1616*F1616,"")</x:f>
      </x:c>
      <x:c r="H1616" s="37"/>
      <x:c r="I1616" s="37"/>
      <x:c r="J1616" s="1" t="n">
        <x:f>IF(ISNUMBER(F1616),E1616,0)</x:f>
        <x:v>0</x:v>
      </x:c>
      <x:c r="K1616" s="1"/>
      <x:c r="L1616" s="1" t="str">
        <x:v>https://blog.skyairline.com/el-calafate</x:v>
      </x:c>
      <x:c r="M1616" s="1" t="n">
        <x:v>0</x:v>
      </x:c>
    </x:row>
    <x:row r="1617" ht="18.75" customHeight="1">
      <x:c r="A1617" s="1" t="str">
        <x:v>https://blog.skyairline.com/categoria/oportunidades/</x:v>
      </x:c>
      <x:c r="B1617" s="1" t="str">
        <x:v>trabaja con nosotros sky airline</x:v>
      </x:c>
      <x:c r="C1617" s="1" t="str">
        <x:v>chl</x:v>
      </x:c>
      <x:c r="D1617" s="1" t="str">
        <x:v>Marca</x:v>
      </x:c>
      <x:c r="E1617" s="35" t="n">
        <x:v>1</x:v>
      </x:c>
      <x:c r="F1617" s="36"/>
      <x:c r="G1617" s="36" t="str">
        <x:f>IF(ISNUMBER(F1617),E1617*F1617,"")</x:f>
      </x:c>
      <x:c r="H1617" s="37"/>
      <x:c r="I1617" s="37"/>
      <x:c r="J1617" s="1" t="n">
        <x:f>IF(ISNUMBER(F1617),E1617,0)</x:f>
        <x:v>0</x:v>
      </x:c>
      <x:c r="K1617" s="1"/>
      <x:c r="L1617" s="1" t="str">
        <x:v>https://blog.skyairline.com/el-caleuche-el-barco-fantasma-de-chiloe</x:v>
      </x:c>
      <x:c r="M1617" s="1" t="n">
        <x:v>0</x:v>
      </x:c>
    </x:row>
    <x:row r="1618" ht="18.75" customHeight="1">
      <x:c r="A1618" s="1" t="str">
        <x:v>https://blog.skyairline.com/categoria/oportunidades/</x:v>
      </x:c>
      <x:c r="B1618" s="1" t="str">
        <x:v>trabajar en sky</x:v>
      </x:c>
      <x:c r="C1618" s="1" t="str">
        <x:v>per</x:v>
      </x:c>
      <x:c r="D1618" s="1" t="str">
        <x:v>Marca</x:v>
      </x:c>
      <x:c r="E1618" s="35" t="n">
        <x:v>1</x:v>
      </x:c>
      <x:c r="F1618" s="36"/>
      <x:c r="G1618" s="36" t="str">
        <x:f>IF(ISNUMBER(F1618),E1618*F1618,"")</x:f>
      </x:c>
      <x:c r="H1618" s="37"/>
      <x:c r="I1618" s="37"/>
      <x:c r="J1618" s="1" t="n">
        <x:f>IF(ISNUMBER(F1618),E1618,0)</x:f>
        <x:v>0</x:v>
      </x:c>
      <x:c r="K1618" s="1"/>
      <x:c r="L1618" s="1" t="str">
        <x:v>https://blog.skyairline.com/el-chalten/</x:v>
      </x:c>
      <x:c r="M1618" s="1" t="n">
        <x:v>0</x:v>
      </x:c>
    </x:row>
    <x:row r="1619" ht="18.75" customHeight="1">
      <x:c r="A1619" s="1" t="str">
        <x:v>https://blog.skyairline.com/categoria/oportunidades/</x:v>
      </x:c>
      <x:c r="B1619" s="1" t="str">
        <x:v>trabajar en sky airlines</x:v>
      </x:c>
      <x:c r="C1619" s="1" t="str">
        <x:v>per</x:v>
      </x:c>
      <x:c r="D1619" s="1" t="str">
        <x:v>Marca</x:v>
      </x:c>
      <x:c r="E1619" s="35" t="n">
        <x:v>1</x:v>
      </x:c>
      <x:c r="F1619" s="36"/>
      <x:c r="G1619" s="36" t="str">
        <x:f>IF(ISNUMBER(F1619),E1619*F1619,"")</x:f>
      </x:c>
      <x:c r="H1619" s="37"/>
      <x:c r="I1619" s="37"/>
      <x:c r="J1619" s="1" t="n">
        <x:f>IF(ISNUMBER(F1619),E1619,0)</x:f>
        <x:v>0</x:v>
      </x:c>
      <x:c r="K1619" s="1"/>
      <x:c r="L1619" s="1" t="str">
        <x:v>https://blog.skyairline.com/el-equipaje-de-mano-permitido/</x:v>
      </x:c>
      <x:c r="M1619" s="1" t="n">
        <x:v>0</x:v>
      </x:c>
    </x:row>
    <x:row r="1620" ht="18.75" customHeight="1">
      <x:c r="A1620" s="1" t="str">
        <x:v>https://blog.skyairline.com/categoria/oportunidades/</x:v>
      </x:c>
      <x:c r="B1620" s="1" t="str">
        <x:v>trabajo en sky airlines</x:v>
      </x:c>
      <x:c r="C1620" s="1" t="str">
        <x:v>chl</x:v>
      </x:c>
      <x:c r="D1620" s="1" t="str">
        <x:v>Marca</x:v>
      </x:c>
      <x:c r="E1620" s="35" t="n">
        <x:v>1</x:v>
      </x:c>
      <x:c r="F1620" s="36" t="n">
        <x:v>0.28</x:v>
      </x:c>
      <x:c r="G1620" s="36" t="n">
        <x:f>IF(ISNUMBER(F1620),E1620*F1620,"")</x:f>
        <x:v>0.28</x:v>
      </x:c>
      <x:c r="H1620" s="37" t="d">
        <x:v>2026-10-15T00:00:00.000Z</x:v>
      </x:c>
      <x:c r="I1620" s="37" t="d">
        <x:v>2026-10-15T16:46:57.999Z</x:v>
      </x:c>
      <x:c r="J1620" s="1" t="n">
        <x:f>IF(ISNUMBER(F1620),E1620,0)</x:f>
        <x:v>1</x:v>
      </x:c>
      <x:c r="K1620" s="1"/>
      <x:c r="L1620" s="1" t="str">
        <x:v>https://blog.skyairline.com/el-fruto-de-calafate/</x:v>
      </x:c>
      <x:c r="M1620" s="1" t="n">
        <x:v>0</x:v>
      </x:c>
    </x:row>
    <x:row r="1621" ht="18.75" customHeight="1">
      <x:c r="A1621" s="1" t="str">
        <x:v>https://blog.skyairline.com/categoria/oportunidades/</x:v>
      </x:c>
      <x:c r="B1621" s="1" t="str">
        <x:v>trabajo sky</x:v>
      </x:c>
      <x:c r="C1621" s="1" t="str">
        <x:v>per</x:v>
      </x:c>
      <x:c r="D1621" s="1" t="str">
        <x:v>Marca</x:v>
      </x:c>
      <x:c r="E1621" s="35" t="n">
        <x:v>1</x:v>
      </x:c>
      <x:c r="F1621" s="36"/>
      <x:c r="G1621" s="36" t="str">
        <x:f>IF(ISNUMBER(F1621),E1621*F1621,"")</x:f>
      </x:c>
      <x:c r="H1621" s="37" t="d">
        <x:v>2026-10-15T00:00:00.000Z</x:v>
      </x:c>
      <x:c r="I1621" s="37" t="d">
        <x:v>2026-09-13T11:05:59.000Z</x:v>
      </x:c>
      <x:c r="J1621" s="1" t="n">
        <x:f>IF(ISNUMBER(F1621),E1621,0)</x:f>
        <x:v>0</x:v>
      </x:c>
      <x:c r="K1621" s="1"/>
      <x:c r="L1621" s="1" t="str">
        <x:v>https://blog.skyairline.com/el-tiempo-en_osorno/</x:v>
      </x:c>
      <x:c r="M1621" s="1" t="n">
        <x:v>0</x:v>
      </x:c>
    </x:row>
    <x:row r="1622" ht="18.75" customHeight="1">
      <x:c r="A1622" s="1" t="str">
        <x:v>https://blog.skyairline.com/categoria/oportunidades/</x:v>
      </x:c>
      <x:c r="B1622" s="1" t="str">
        <x:v>trabajo tripulante de cabina sky</x:v>
      </x:c>
      <x:c r="C1622" s="1" t="str">
        <x:v>chl</x:v>
      </x:c>
      <x:c r="D1622" s="1" t="str">
        <x:v>Marca</x:v>
      </x:c>
      <x:c r="E1622" s="35" t="n">
        <x:v>1</x:v>
      </x:c>
      <x:c r="F1622" s="36" t="n">
        <x:v>0.19</x:v>
      </x:c>
      <x:c r="G1622" s="36" t="n">
        <x:f>IF(ISNUMBER(F1622),E1622*F1622,"")</x:f>
        <x:v>0.19</x:v>
      </x:c>
      <x:c r="H1622" s="37" t="d">
        <x:v>2026-10-15T00:00:00.000Z</x:v>
      </x:c>
      <x:c r="I1622" s="37" t="d">
        <x:v>2026-10-15T16:23:44.000Z</x:v>
      </x:c>
      <x:c r="J1622" s="1" t="n">
        <x:f>IF(ISNUMBER(F1622),E1622,0)</x:f>
        <x:v>1</x:v>
      </x:c>
      <x:c r="K1622" s="1"/>
      <x:c r="L1622" s="1" t="str">
        <x:v>https://blog.skyairline.com/el-valle-del-elqui-en-la-serena-que-tiene-de-especial/</x:v>
      </x:c>
      <x:c r="M1622" s="1" t="n">
        <x:v>0</x:v>
      </x:c>
    </x:row>
    <x:row r="1623" ht="18.75" customHeight="1">
      <x:c r="A1623" s="1" t="str">
        <x:v>https://blog.skyairline.com/categoria/oportunidades/</x:v>
      </x:c>
      <x:c r="B1623" s="1" t="str">
        <x:v>trabajo tripulante de cabina sky</x:v>
      </x:c>
      <x:c r="C1623" s="1" t="str">
        <x:v>per</x:v>
      </x:c>
      <x:c r="D1623" s="1" t="str">
        <x:v>Marca</x:v>
      </x:c>
      <x:c r="E1623" s="35" t="n">
        <x:v>1</x:v>
      </x:c>
      <x:c r="F1623" s="36"/>
      <x:c r="G1623" s="36" t="str">
        <x:f>IF(ISNUMBER(F1623),E1623*F1623,"")</x:f>
      </x:c>
      <x:c r="H1623" s="37" t="d">
        <x:v>2026-10-15T00:00:00.000Z</x:v>
      </x:c>
      <x:c r="I1623" s="37" t="d">
        <x:v>2026-09-16T21:50:33.000Z</x:v>
      </x:c>
      <x:c r="J1623" s="1" t="n">
        <x:f>IF(ISNUMBER(F1623),E1623,0)</x:f>
        <x:v>0</x:v>
      </x:c>
      <x:c r="K1623" s="1"/>
      <x:c r="L1623" s="1" t="str">
        <x:v>https://blog.skyairline.com/el-valle-del-elqui-en-que-tiene-de-especial/</x:v>
      </x:c>
      <x:c r="M1623" s="1" t="n">
        <x:v>0</x:v>
      </x:c>
    </x:row>
    <x:row r="1624" ht="18.75" customHeight="1">
      <x:c r="A1624" s="1" t="str">
        <x:v>https://blog.skyairline.com/categoria/oportunidades/</x:v>
      </x:c>
      <x:c r="B1624" s="1" t="str">
        <x:v>trabajos en sky</x:v>
      </x:c>
      <x:c r="C1624" s="1" t="str">
        <x:v>chl</x:v>
      </x:c>
      <x:c r="D1624" s="1" t="str">
        <x:v>Marca</x:v>
      </x:c>
      <x:c r="E1624" s="35" t="n">
        <x:v>1</x:v>
      </x:c>
      <x:c r="F1624" s="36"/>
      <x:c r="G1624" s="36" t="str">
        <x:f>IF(ISNUMBER(F1624),E1624*F1624,"")</x:f>
      </x:c>
      <x:c r="H1624" s="37"/>
      <x:c r="I1624" s="37"/>
      <x:c r="J1624" s="1" t="n">
        <x:f>IF(ISNUMBER(F1624),E1624,0)</x:f>
        <x:v>0</x:v>
      </x:c>
      <x:c r="K1624" s="1"/>
      <x:c r="L1624" s="1" t="str">
        <x:v>https://blog.skyairline.com/el-viaje-de-la-ranita-de-loa-sky-airline-transporto-a-la-especie-en-peligro-critico-de-extincion-rumbo-a-calama/</x:v>
      </x:c>
      <x:c r="M1624" s="1" t="n">
        <x:v>0</x:v>
      </x:c>
    </x:row>
    <x:row r="1625" ht="18.75" customHeight="1">
      <x:c r="A1625" s="1" t="str">
        <x:v>https://blog.skyairline.com/categoria/oportunidades/</x:v>
      </x:c>
      <x:c r="B1625" s="1" t="str">
        <x:v>trabajos en sky airline</x:v>
      </x:c>
      <x:c r="C1625" s="1" t="str">
        <x:v>per</x:v>
      </x:c>
      <x:c r="D1625" s="1" t="str">
        <x:v>Marca</x:v>
      </x:c>
      <x:c r="E1625" s="35" t="n">
        <x:v>1</x:v>
      </x:c>
      <x:c r="F1625" s="36"/>
      <x:c r="G1625" s="36" t="str">
        <x:f>IF(ISNUMBER(F1625),E1625*F1625,"")</x:f>
      </x:c>
      <x:c r="H1625" s="37"/>
      <x:c r="I1625" s="37"/>
      <x:c r="J1625" s="1" t="n">
        <x:f>IF(ISNUMBER(F1625),E1625,0)</x:f>
        <x:v>0</x:v>
      </x:c>
      <x:c r="K1625" s="1"/>
      <x:c r="L1625" s="1" t="str">
        <x:v>https://blog.skyairline.com/eliminatorias-2026-parte-el-avion-de-la-bicolor-rumbo-al-clasico-del-pacifico/</x:v>
      </x:c>
      <x:c r="M1625" s="1" t="n">
        <x:v>0</x:v>
      </x:c>
    </x:row>
    <x:row r="1626" ht="18.75" customHeight="1">
      <x:c r="A1626" s="1" t="str">
        <x:v>https://blog.skyairline.com/categoria/oportunidades/</x:v>
      </x:c>
      <x:c r="B1626" s="1" t="str">
        <x:v>tripulante cabina sky</x:v>
      </x:c>
      <x:c r="C1626" s="1" t="str">
        <x:v>chl</x:v>
      </x:c>
      <x:c r="D1626" s="1" t="str">
        <x:v>Marca</x:v>
      </x:c>
      <x:c r="E1626" s="35" t="n">
        <x:v>1</x:v>
      </x:c>
      <x:c r="F1626" s="36"/>
      <x:c r="G1626" s="36" t="str">
        <x:f>IF(ISNUMBER(F1626),E1626*F1626,"")</x:f>
      </x:c>
      <x:c r="H1626" s="37"/>
      <x:c r="I1626" s="37"/>
      <x:c r="J1626" s="1" t="n">
        <x:f>IF(ISNUMBER(F1626),E1626,0)</x:f>
        <x:v>0</x:v>
      </x:c>
      <x:c r="K1626" s="1"/>
      <x:c r="L1626" s="1" t="str">
        <x:v>https://blog.skyairline.com/en-el-2023-sky-aumenta-en-un-50-los-pasajeros-transportados-en-el-escenario-pre-pandemia/</x:v>
      </x:c>
      <x:c r="M1626" s="1" t="n">
        <x:v>0</x:v>
      </x:c>
    </x:row>
    <x:row r="1627" ht="18.75" customHeight="1">
      <x:c r="A1627" s="1" t="str">
        <x:v>https://blog.skyairline.com/categoria/oportunidades/</x:v>
      </x:c>
      <x:c r="B1627" s="1" t="str">
        <x:v>tripulante de cabina sky airline perú</x:v>
      </x:c>
      <x:c r="C1627" s="1" t="str">
        <x:v>per</x:v>
      </x:c>
      <x:c r="D1627" s="1" t="str">
        <x:v>Marca</x:v>
      </x:c>
      <x:c r="E1627" s="35" t="n">
        <x:v>1</x:v>
      </x:c>
      <x:c r="F1627" s="36" t="n">
        <x:v>0.8</x:v>
      </x:c>
      <x:c r="G1627" s="36" t="n">
        <x:f>IF(ISNUMBER(F1627),E1627*F1627,"")</x:f>
        <x:v>0.8</x:v>
      </x:c>
      <x:c r="H1627" s="37" t="d">
        <x:v>2026-10-15T00:00:00.000Z</x:v>
      </x:c>
      <x:c r="I1627" s="37" t="d">
        <x:v>2026-09-15T04:12:48.000Z</x:v>
      </x:c>
      <x:c r="J1627" s="1" t="n">
        <x:f>IF(ISNUMBER(F1627),E1627,0)</x:f>
        <x:v>1</x:v>
      </x:c>
      <x:c r="K1627" s="1"/>
      <x:c r="L1627" s="1" t="str">
        <x:v>https://blog.skyairline.com/en-que-region-esta-villarrica-y-que-hacer-al-visitarla</x:v>
      </x:c>
      <x:c r="M1627" s="1" t="n">
        <x:v>0</x:v>
      </x:c>
    </x:row>
    <x:row r="1628" ht="18.75" customHeight="1">
      <x:c r="A1628" s="1" t="str">
        <x:v>https://blog.skyairline.com/categoria/oportunidades/</x:v>
      </x:c>
      <x:c r="B1628" s="1" t="str">
        <x:v>tripulante de cabina sky chile</x:v>
      </x:c>
      <x:c r="C1628" s="1" t="str">
        <x:v>chl</x:v>
      </x:c>
      <x:c r="D1628" s="1" t="str">
        <x:v>Marca</x:v>
      </x:c>
      <x:c r="E1628" s="35" t="n">
        <x:v>1</x:v>
      </x:c>
      <x:c r="F1628" s="36" t="n">
        <x:v>0.49</x:v>
      </x:c>
      <x:c r="G1628" s="36" t="n">
        <x:f>IF(ISNUMBER(F1628),E1628*F1628,"")</x:f>
        <x:v>0.49</x:v>
      </x:c>
      <x:c r="H1628" s="37" t="d">
        <x:v>2026-10-15T00:00:00.000Z</x:v>
      </x:c>
      <x:c r="I1628" s="37" t="d">
        <x:v>2026-09-13T17:38:49.000Z</x:v>
      </x:c>
      <x:c r="J1628" s="1" t="n">
        <x:f>IF(ISNUMBER(F1628),E1628,0)</x:f>
        <x:v>1</x:v>
      </x:c>
      <x:c r="K1628" s="1"/>
      <x:c r="L1628" s="1" t="str">
        <x:v>https://blog.skyairline.com/enchufe-estadounidense-preparando-las-maletas-a-miami</x:v>
      </x:c>
      <x:c r="M1628" s="1" t="n">
        <x:v>0</x:v>
      </x:c>
    </x:row>
    <x:row r="1629" ht="18.75" customHeight="1">
      <x:c r="A1629" s="1" t="str">
        <x:v>https://blog.skyairline.com/categoria/oportunidades/</x:v>
      </x:c>
      <x:c r="B1629" s="1" t="str">
        <x:v>tripulante de cabina trabajo sky</x:v>
      </x:c>
      <x:c r="C1629" s="1" t="str">
        <x:v>per</x:v>
      </x:c>
      <x:c r="D1629" s="1" t="str">
        <x:v>Marca</x:v>
      </x:c>
      <x:c r="E1629" s="35" t="n">
        <x:v>1</x:v>
      </x:c>
      <x:c r="F1629" s="36"/>
      <x:c r="G1629" s="36" t="str">
        <x:f>IF(ISNUMBER(F1629),E1629*F1629,"")</x:f>
      </x:c>
      <x:c r="H1629" s="37" t="d">
        <x:v>2026-10-15T00:00:00.000Z</x:v>
      </x:c>
      <x:c r="I1629" s="37" t="d">
        <x:v>2026-09-14T07:03:39.000Z</x:v>
      </x:c>
      <x:c r="J1629" s="1" t="n">
        <x:f>IF(ISNUMBER(F1629),E1629,0)</x:f>
        <x:v>0</x:v>
      </x:c>
      <x:c r="K1629" s="1"/>
      <x:c r="L1629" s="1" t="str">
        <x:v>https://blog.skyairline.com/enchufer-argentina/</x:v>
      </x:c>
      <x:c r="M1629" s="1" t="n">
        <x:v>0</x:v>
      </x:c>
    </x:row>
    <x:row r="1630" ht="18.75" customHeight="1">
      <x:c r="A1630" s="1" t="str">
        <x:v>https://blog.skyairline.com/centro-historico-lima/</x:v>
      </x:c>
      <x:c r="B1630" s="1" t="str">
        <x:v>centro histórico de lima</x:v>
      </x:c>
      <x:c r="C1630" s="1" t="str">
        <x:v>per</x:v>
      </x:c>
      <x:c r="D1630" s="1" t="str">
        <x:v>Sin marca</x:v>
      </x:c>
      <x:c r="E1630" s="35" t="n">
        <x:v>1</x:v>
      </x:c>
      <x:c r="F1630" s="36" t="n">
        <x:v>0.53</x:v>
      </x:c>
      <x:c r="G1630" s="36" t="n">
        <x:f>IF(ISNUMBER(F1630),E1630*F1630,"")</x:f>
        <x:v>0.53</x:v>
      </x:c>
      <x:c r="H1630" s="37" t="d">
        <x:v>2026-10-15T00:00:00.000Z</x:v>
      </x:c>
      <x:c r="I1630" s="37" t="d">
        <x:v>2026-09-14T11:09:14.000Z</x:v>
      </x:c>
      <x:c r="J1630" s="1" t="n">
        <x:f>IF(ISNUMBER(F1630),E1630,0)</x:f>
        <x:v>1</x:v>
      </x:c>
      <x:c r="K1630" s="1"/>
      <x:c r="L1630" s="1" t="str">
        <x:v>https://blog.skyairline.com/encontrar-pasajes-al-mejor-precio/</x:v>
      </x:c>
      <x:c r="M1630" s="1" t="n">
        <x:v>0</x:v>
      </x:c>
    </x:row>
    <x:row r="1631" ht="18.75" customHeight="1">
      <x:c r="A1631" s="1" t="str">
        <x:v>https://blog.skyairline.com/centros-comerciales-de-miami/</x:v>
      </x:c>
      <x:c r="B1631" s="1" t="str">
        <x:v>centro comercial en miami</x:v>
      </x:c>
      <x:c r="C1631" s="1" t="str">
        <x:v>mex</x:v>
      </x:c>
      <x:c r="D1631" s="1" t="str">
        <x:v>Sin marca</x:v>
      </x:c>
      <x:c r="E1631" s="35" t="n">
        <x:v>1</x:v>
      </x:c>
      <x:c r="F1631" s="36"/>
      <x:c r="G1631" s="36" t="str">
        <x:f>IF(ISNUMBER(F1631),E1631*F1631,"")</x:f>
      </x:c>
      <x:c r="H1631" s="37"/>
      <x:c r="I1631" s="37"/>
      <x:c r="J1631" s="1" t="n">
        <x:f>IF(ISNUMBER(F1631),E1631,0)</x:f>
        <x:v>0</x:v>
      </x:c>
      <x:c r="K1631" s="1"/>
      <x:c r="L1631" s="1" t="str">
        <x:v>https://blog.skyairline.com/end-of-the-year-sales</x:v>
      </x:c>
      <x:c r="M1631" s="1" t="n">
        <x:v>0</x:v>
      </x:c>
    </x:row>
    <x:row r="1632" ht="18.75" customHeight="1">
      <x:c r="A1632" s="1" t="str">
        <x:v>https://blog.skyairline.com/centros-comerciales-de-miami/</x:v>
      </x:c>
      <x:c r="B1632" s="1" t="str">
        <x:v>centro comerciales en miami</x:v>
      </x:c>
      <x:c r="C1632" s="1" t="str">
        <x:v>per</x:v>
      </x:c>
      <x:c r="D1632" s="1" t="str">
        <x:v>Sin marca</x:v>
      </x:c>
      <x:c r="E1632" s="35" t="n">
        <x:v>1</x:v>
      </x:c>
      <x:c r="F1632" s="36"/>
      <x:c r="G1632" s="36" t="str">
        <x:f>IF(ISNUMBER(F1632),E1632*F1632,"")</x:f>
      </x:c>
      <x:c r="H1632" s="37"/>
      <x:c r="I1632" s="37"/>
      <x:c r="J1632" s="1" t="n">
        <x:f>IF(ISNUMBER(F1632),E1632,0)</x:f>
        <x:v>0</x:v>
      </x:c>
      <x:c r="K1632" s="1"/>
      <x:c r="L1632" s="1" t="str">
        <x:v>https://blog.skyairline.com/enoturismo-en-chile/</x:v>
      </x:c>
      <x:c r="M1632" s="1" t="n">
        <x:v>0</x:v>
      </x:c>
    </x:row>
    <x:row r="1633" ht="18.75" customHeight="1">
      <x:c r="A1633" s="1" t="str">
        <x:v>https://blog.skyairline.com/centros-comerciales-de-miami/</x:v>
      </x:c>
      <x:c r="B1633" s="1" t="str">
        <x:v>centros comerciales miami</x:v>
      </x:c>
      <x:c r="C1633" s="1" t="str">
        <x:v>col</x:v>
      </x:c>
      <x:c r="D1633" s="1" t="str">
        <x:v>Sin marca</x:v>
      </x:c>
      <x:c r="E1633" s="35" t="n">
        <x:v>1</x:v>
      </x:c>
      <x:c r="F1633" s="36"/>
      <x:c r="G1633" s="36" t="str">
        <x:f>IF(ISNUMBER(F1633),E1633*F1633,"")</x:f>
      </x:c>
      <x:c r="H1633" s="37"/>
      <x:c r="I1633" s="37"/>
      <x:c r="J1633" s="1" t="n">
        <x:f>IF(ISNUMBER(F1633),E1633,0)</x:f>
        <x:v>0</x:v>
      </x:c>
      <x:c r="K1633" s="1"/>
      <x:c r="L1633" s="1" t="str">
        <x:v>https://blog.skyairline.com/epocas-para-comprar-pasajes-baratos/</x:v>
      </x:c>
      <x:c r="M1633" s="1" t="n">
        <x:v>0</x:v>
      </x:c>
    </x:row>
    <x:row r="1634" ht="18.75" customHeight="1">
      <x:c r="A1634" s="1" t="str">
        <x:v>https://blog.skyairline.com/centros-comerciales-de-miami/</x:v>
      </x:c>
      <x:c r="B1634" s="1" t="str">
        <x:v>tiendas outlet en miami</x:v>
      </x:c>
      <x:c r="C1634" s="1" t="str">
        <x:v>chl</x:v>
      </x:c>
      <x:c r="D1634" s="1" t="str">
        <x:v>Sin marca</x:v>
      </x:c>
      <x:c r="E1634" s="35" t="n">
        <x:v>1</x:v>
      </x:c>
      <x:c r="F1634" s="36"/>
      <x:c r="G1634" s="36" t="str">
        <x:f>IF(ISNUMBER(F1634),E1634*F1634,"")</x:f>
      </x:c>
      <x:c r="H1634" s="37"/>
      <x:c r="I1634" s="37"/>
      <x:c r="J1634" s="1" t="n">
        <x:f>IF(ISNUMBER(F1634),E1634,0)</x:f>
        <x:v>0</x:v>
      </x:c>
      <x:c r="K1634" s="1"/>
      <x:c r="L1634" s="1" t="str">
        <x:v>https://blog.skyairline.com/equipaje-bodega/</x:v>
      </x:c>
      <x:c r="M1634" s="1" t="n">
        <x:v>0</x:v>
      </x:c>
    </x:row>
    <x:row r="1635" ht="18.75" customHeight="1">
      <x:c r="A1635" s="1" t="str">
        <x:v>https://blog.skyairline.com/centros-comerciales-en-mendoza/</x:v>
      </x:c>
      <x:c r="B1635" s="1" t="str">
        <x:v>centro comercial</x:v>
      </x:c>
      <x:c r="C1635" s="1" t="str">
        <x:v>arg</x:v>
      </x:c>
      <x:c r="D1635" s="1" t="str">
        <x:v>Sin marca</x:v>
      </x:c>
      <x:c r="E1635" s="35" t="n">
        <x:v>1</x:v>
      </x:c>
      <x:c r="F1635" s="36"/>
      <x:c r="G1635" s="36" t="str">
        <x:f>IF(ISNUMBER(F1635),E1635*F1635,"")</x:f>
      </x:c>
      <x:c r="H1635" s="37"/>
      <x:c r="I1635" s="37"/>
      <x:c r="J1635" s="1" t="n">
        <x:f>IF(ISNUMBER(F1635),E1635,0)</x:f>
        <x:v>0</x:v>
      </x:c>
      <x:c r="K1635" s="1"/>
      <x:c r="L1635" s="1" t="str">
        <x:v>https://blog.skyairline.com/equipaje-cabina/</x:v>
      </x:c>
      <x:c r="M1635" s="1" t="n">
        <x:v>0</x:v>
      </x:c>
    </x:row>
    <x:row r="1636" ht="18.75" customHeight="1">
      <x:c r="A1636" s="1" t="str">
        <x:v>https://blog.skyairline.com/centros-comerciales-en-mendoza/</x:v>
      </x:c>
      <x:c r="B1636" s="1" t="str">
        <x:v>centro comercial ciudad</x:v>
      </x:c>
      <x:c r="C1636" s="1" t="str">
        <x:v>arg</x:v>
      </x:c>
      <x:c r="D1636" s="1" t="str">
        <x:v>Sin marca</x:v>
      </x:c>
      <x:c r="E1636" s="35" t="n">
        <x:v>1</x:v>
      </x:c>
      <x:c r="F1636" s="36"/>
      <x:c r="G1636" s="36" t="str">
        <x:f>IF(ISNUMBER(F1636),E1636*F1636,"")</x:f>
      </x:c>
      <x:c r="H1636" s="37"/>
      <x:c r="I1636" s="37"/>
      <x:c r="J1636" s="1" t="n">
        <x:f>IF(ISNUMBER(F1636),E1636,0)</x:f>
        <x:v>0</x:v>
      </x:c>
      <x:c r="K1636" s="1"/>
      <x:c r="L1636" s="1" t="str">
        <x:v>https://blog.skyairline.com/equipaje-de-bodega-y-de-mano-que-llevar-y-como-prepararte-para-tu-v%E3%80%81</x:v>
      </x:c>
      <x:c r="M1636" s="1" t="n">
        <x:v>0</x:v>
      </x:c>
    </x:row>
    <x:row r="1637" ht="18.75" customHeight="1">
      <x:c r="A1637" s="1" t="str">
        <x:v>https://blog.skyairline.com/centros-comerciales-en-mendoza/</x:v>
      </x:c>
      <x:c r="B1637" s="1" t="str">
        <x:v>mall en mendoza</x:v>
      </x:c>
      <x:c r="C1637" s="1" t="str">
        <x:v>arg</x:v>
      </x:c>
      <x:c r="D1637" s="1" t="str">
        <x:v>Sin marca</x:v>
      </x:c>
      <x:c r="E1637" s="35" t="n">
        <x:v>1</x:v>
      </x:c>
      <x:c r="F1637" s="36"/>
      <x:c r="G1637" s="36" t="str">
        <x:f>IF(ISNUMBER(F1637),E1637*F1637,"")</x:f>
      </x:c>
      <x:c r="H1637" s="37"/>
      <x:c r="I1637" s="37"/>
      <x:c r="J1637" s="1" t="n">
        <x:f>IF(ISNUMBER(F1637),E1637,0)</x:f>
        <x:v>0</x:v>
      </x:c>
      <x:c r="K1637" s="1"/>
      <x:c r="L1637" s="1" t="str">
        <x:v>https://blog.skyairline.com/equipaje-de-bodega-y-de-mano-que-llevar-y-como-prepararte-para-tu-viaje/</x:v>
      </x:c>
      <x:c r="M1637" s="1" t="n">
        <x:v>0</x:v>
      </x:c>
    </x:row>
    <x:row r="1638" ht="18.75" customHeight="1">
      <x:c r="A1638" s="1" t="str">
        <x:v>https://blog.skyairline.com/centros-comerciales-en-mendoza/</x:v>
      </x:c>
      <x:c r="B1638" s="1" t="str">
        <x:v>mall mendoza</x:v>
      </x:c>
      <x:c r="C1638" s="1" t="str">
        <x:v>arg</x:v>
      </x:c>
      <x:c r="D1638" s="1" t="str">
        <x:v>Sin marca</x:v>
      </x:c>
      <x:c r="E1638" s="35" t="n">
        <x:v>1</x:v>
      </x:c>
      <x:c r="F1638" s="36"/>
      <x:c r="G1638" s="36" t="str">
        <x:f>IF(ISNUMBER(F1638),E1638*F1638,"")</x:f>
      </x:c>
      <x:c r="H1638" s="37"/>
      <x:c r="I1638" s="37"/>
      <x:c r="J1638" s="1" t="n">
        <x:f>IF(ISNUMBER(F1638),E1638,0)</x:f>
        <x:v>0</x:v>
      </x:c>
      <x:c r="K1638" s="1"/>
      <x:c r="L1638" s="1" t="str">
        <x:v>https://blog.skyairline.com/equipaje-de-bodega-y-de-mano-que-llevar-y-como-prepararte-para-tu-vuelo/</x:v>
      </x:c>
      <x:c r="M1638" s="1" t="n">
        <x:v>0</x:v>
      </x:c>
    </x:row>
    <x:row r="1639" ht="18.75" customHeight="1">
      <x:c r="A1639" s="1" t="str">
        <x:v>https://blog.skyairline.com/centros-comerciales-en-mendoza/</x:v>
      </x:c>
      <x:c r="B1639" s="1" t="str">
        <x:v>mendoza plaza shopping</x:v>
      </x:c>
      <x:c r="C1639" s="1" t="str">
        <x:v>arg</x:v>
      </x:c>
      <x:c r="D1639" s="1" t="str">
        <x:v>Sin marca</x:v>
      </x:c>
      <x:c r="E1639" s="35" t="n">
        <x:v>1</x:v>
      </x:c>
      <x:c r="F1639" s="36"/>
      <x:c r="G1639" s="36" t="str">
        <x:f>IF(ISNUMBER(F1639),E1639*F1639,"")</x:f>
      </x:c>
      <x:c r="H1639" s="37"/>
      <x:c r="I1639" s="37"/>
      <x:c r="J1639" s="1" t="n">
        <x:f>IF(ISNUMBER(F1639),E1639,0)</x:f>
        <x:v>0</x:v>
      </x:c>
      <x:c r="K1639" s="1"/>
      <x:c r="L1639" s="1" t="str">
        <x:v>https://blog.skyairline.com/equipaje-de-cabinav</x:v>
      </x:c>
      <x:c r="M1639" s="1" t="n">
        <x:v>0</x:v>
      </x:c>
    </x:row>
    <x:row r="1640" ht="18.75" customHeight="1">
      <x:c r="A1640" s="1" t="str">
        <x:v>https://blog.skyairline.com/centros-comerciales-en-mendoza/</x:v>
      </x:c>
      <x:c r="B1640" s="1" t="str">
        <x:v>paseo de compras mendoza</x:v>
      </x:c>
      <x:c r="C1640" s="1" t="str">
        <x:v>arg</x:v>
      </x:c>
      <x:c r="D1640" s="1" t="str">
        <x:v>Sin marca</x:v>
      </x:c>
      <x:c r="E1640" s="35" t="n">
        <x:v>1</x:v>
      </x:c>
      <x:c r="F1640" s="36"/>
      <x:c r="G1640" s="36" t="str">
        <x:f>IF(ISNUMBER(F1640),E1640*F1640,"")</x:f>
      </x:c>
      <x:c r="H1640" s="37"/>
      <x:c r="I1640" s="37"/>
      <x:c r="J1640" s="1" t="n">
        <x:f>IF(ISNUMBER(F1640),E1640,0)</x:f>
        <x:v>0</x:v>
      </x:c>
      <x:c r="K1640" s="1"/>
      <x:c r="L1640" s="1" t="str">
        <x:v>https://blog.skyairline.com/equipaje-de-de-bodega/</x:v>
      </x:c>
      <x:c r="M1640" s="1" t="n">
        <x:v>0</x:v>
      </x:c>
    </x:row>
    <x:row r="1641" ht="18.75" customHeight="1">
      <x:c r="A1641" s="1" t="str">
        <x:v>https://blog.skyairline.com/centros-comerciales-en-mendoza/</x:v>
      </x:c>
      <x:c r="B1641" s="1" t="str">
        <x:v>shopping de mendoza</x:v>
      </x:c>
      <x:c r="C1641" s="1" t="str">
        <x:v>arg</x:v>
      </x:c>
      <x:c r="D1641" s="1" t="str">
        <x:v>Sin marca</x:v>
      </x:c>
      <x:c r="E1641" s="35" t="n">
        <x:v>1</x:v>
      </x:c>
      <x:c r="F1641" s="36"/>
      <x:c r="G1641" s="36" t="str">
        <x:f>IF(ISNUMBER(F1641),E1641*F1641,"")</x:f>
      </x:c>
      <x:c r="H1641" s="37"/>
      <x:c r="I1641" s="37"/>
      <x:c r="J1641" s="1" t="n">
        <x:f>IF(ISNUMBER(F1641),E1641,0)</x:f>
        <x:v>0</x:v>
      </x:c>
      <x:c r="K1641" s="1"/>
      <x:c r="L1641" s="1" t="str">
        <x:v>https://blog.skyairline.com/equipaje-de-mano-y-de-mano-que-llevar-y-como-prepararte-para-tu-viaje/</x:v>
      </x:c>
      <x:c r="M1641" s="1" t="n">
        <x:v>0</x:v>
      </x:c>
    </x:row>
    <x:row r="1642" ht="18.75" customHeight="1">
      <x:c r="A1642" s="1" t="str">
        <x:v>https://blog.skyairline.com/centros-comerciales-en-mendoza/</x:v>
      </x:c>
      <x:c r="B1642" s="1" t="str">
        <x:v>shopping en mendoza</x:v>
      </x:c>
      <x:c r="C1642" s="1" t="str">
        <x:v>arg</x:v>
      </x:c>
      <x:c r="D1642" s="1" t="str">
        <x:v>Sin marca</x:v>
      </x:c>
      <x:c r="E1642" s="35" t="n">
        <x:v>1</x:v>
      </x:c>
      <x:c r="F1642" s="36"/>
      <x:c r="G1642" s="36" t="str">
        <x:f>IF(ISNUMBER(F1642),E1642*F1642,"")</x:f>
      </x:c>
      <x:c r="H1642" s="37"/>
      <x:c r="I1642" s="37"/>
      <x:c r="J1642" s="1" t="n">
        <x:f>IF(ISNUMBER(F1642),E1642,0)</x:f>
        <x:v>0</x:v>
      </x:c>
      <x:c r="K1642" s="1"/>
      <x:c r="L1642" s="1" t="str">
        <x:v>https://blog.skyairline.com/equipaje-nieve/</x:v>
      </x:c>
      <x:c r="M1642" s="1" t="n">
        <x:v>0</x:v>
      </x:c>
    </x:row>
    <x:row r="1643" ht="18.75" customHeight="1">
      <x:c r="A1643" s="1" t="str">
        <x:v>https://blog.skyairline.com/centros-comerciales-en-mendoza/</x:v>
      </x:c>
      <x:c r="B1643" s="1" t="str">
        <x:v>shopping mendoza capital</x:v>
      </x:c>
      <x:c r="C1643" s="1" t="str">
        <x:v>arg</x:v>
      </x:c>
      <x:c r="D1643" s="1" t="str">
        <x:v>Sin marca</x:v>
      </x:c>
      <x:c r="E1643" s="35" t="n">
        <x:v>1</x:v>
      </x:c>
      <x:c r="F1643" s="36"/>
      <x:c r="G1643" s="36" t="str">
        <x:f>IF(ISNUMBER(F1643),E1643*F1643,"")</x:f>
      </x:c>
      <x:c r="H1643" s="37"/>
      <x:c r="I1643" s="37"/>
      <x:c r="J1643" s="1" t="n">
        <x:f>IF(ISNUMBER(F1643),E1643,0)</x:f>
        <x:v>0</x:v>
      </x:c>
      <x:c r="K1643" s="1"/>
      <x:c r="L1643" s="1" t="str">
        <x:v>https://blog.skyairline.com/equipaje-permitido/</x:v>
      </x:c>
      <x:c r="M1643" s="1" t="n">
        <x:v>0</x:v>
      </x:c>
    </x:row>
    <x:row r="1644" ht="18.75" customHeight="1">
      <x:c r="A1644" s="1" t="str">
        <x:v>https://blog.skyairline.com/centros-comerciales-en-mendoza/</x:v>
      </x:c>
      <x:c r="B1644" s="1" t="str">
        <x:v>shopping más grande de mendoza</x:v>
      </x:c>
      <x:c r="C1644" s="1" t="str">
        <x:v>arg</x:v>
      </x:c>
      <x:c r="D1644" s="1" t="str">
        <x:v>Sin marca</x:v>
      </x:c>
      <x:c r="E1644" s="35" t="n">
        <x:v>1</x:v>
      </x:c>
      <x:c r="F1644" s="36"/>
      <x:c r="G1644" s="36" t="str">
        <x:f>IF(ISNUMBER(F1644),E1644*F1644,"")</x:f>
      </x:c>
      <x:c r="H1644" s="37"/>
      <x:c r="I1644" s="37"/>
      <x:c r="J1644" s="1" t="n">
        <x:f>IF(ISNUMBER(F1644),E1644,0)</x:f>
        <x:v>0</x:v>
      </x:c>
      <x:c r="K1644" s="1"/>
      <x:c r="L1644" s="1" t="str">
        <x:v>https://blog.skyairline.com/es/chile/skyplus</x:v>
      </x:c>
      <x:c r="M1644" s="1" t="n">
        <x:v>0</x:v>
      </x:c>
    </x:row>
    <x:row r="1645" ht="18.75" customHeight="1">
      <x:c r="A1645" s="1" t="str">
        <x:v>https://blog.skyairline.com/cerro-de-la-cruz/</x:v>
      </x:c>
      <x:c r="B1645" s="1" t="str">
        <x:v>cerro de la cruz punta arenas</x:v>
      </x:c>
      <x:c r="C1645" s="1" t="str">
        <x:v>chl</x:v>
      </x:c>
      <x:c r="D1645" s="1" t="str">
        <x:v>Sin marca</x:v>
      </x:c>
      <x:c r="E1645" s="35" t="n">
        <x:v>1</x:v>
      </x:c>
      <x:c r="F1645" s="36" t="n">
        <x:v>0.46</x:v>
      </x:c>
      <x:c r="G1645" s="36" t="n">
        <x:f>IF(ISNUMBER(F1645),E1645*F1645,"")</x:f>
        <x:v>0.46</x:v>
      </x:c>
      <x:c r="H1645" s="37" t="d">
        <x:v>2026-10-15T00:00:00.000Z</x:v>
      </x:c>
      <x:c r="I1645" s="37" t="d">
        <x:v>2026-09-12T21:42:05.000Z</x:v>
      </x:c>
      <x:c r="J1645" s="1" t="n">
        <x:f>IF(ISNUMBER(F1645),E1645,0)</x:f>
        <x:v>1</x:v>
      </x:c>
      <x:c r="K1645" s="1"/>
      <x:c r="L1645" s="1" t="str">
        <x:v>https://blog.skyairline.com/es/peru/skyplus</x:v>
      </x:c>
      <x:c r="M1645" s="1" t="n">
        <x:v>0</x:v>
      </x:c>
    </x:row>
    <x:row r="1646" ht="18.75" customHeight="1">
      <x:c r="A1646" s="1" t="str">
        <x:v>https://blog.skyairline.com/cerros-mas-altas-de-chile/</x:v>
      </x:c>
      <x:c r="B1646" s="1" t="str">
        <x:v>cerro el nido antofagasta</x:v>
      </x:c>
      <x:c r="C1646" s="1" t="str">
        <x:v>chl</x:v>
      </x:c>
      <x:c r="D1646" s="1" t="str">
        <x:v>Sin marca</x:v>
      </x:c>
      <x:c r="E1646" s="35" t="n">
        <x:v>1</x:v>
      </x:c>
      <x:c r="F1646" s="36"/>
      <x:c r="G1646" s="36" t="str">
        <x:f>IF(ISNUMBER(F1646),E1646*F1646,"")</x:f>
      </x:c>
      <x:c r="H1646" s="37"/>
      <x:c r="I1646" s="37"/>
      <x:c r="J1646" s="1" t="n">
        <x:f>IF(ISNUMBER(F1646),E1646,0)</x:f>
        <x:v>0</x:v>
      </x:c>
      <x:c r="K1646" s="1"/>
      <x:c r="L1646" s="1" t="str">
        <x:v>https://blog.skyairline.com/esquiar-en-america-latina/</x:v>
      </x:c>
      <x:c r="M1646" s="1" t="n">
        <x:v>0</x:v>
      </x:c>
    </x:row>
    <x:row r="1647" ht="18.75" customHeight="1">
      <x:c r="A1647" s="1" t="str">
        <x:v>https://blog.skyairline.com/check-in-automatico/</x:v>
      </x:c>
      <x:c r="B1647" s="1" t="str">
        <x:v>check in sky airlines</x:v>
      </x:c>
      <x:c r="C1647" s="1" t="str">
        <x:v>chl</x:v>
      </x:c>
      <x:c r="D1647" s="1" t="str">
        <x:v>Marca</x:v>
      </x:c>
      <x:c r="E1647" s="35" t="n">
        <x:v>1</x:v>
      </x:c>
      <x:c r="F1647" s="36" t="n">
        <x:v>0.2</x:v>
      </x:c>
      <x:c r="G1647" s="36" t="n">
        <x:f>IF(ISNUMBER(F1647),E1647*F1647,"")</x:f>
        <x:v>0.2</x:v>
      </x:c>
      <x:c r="H1647" s="37" t="d">
        <x:v>2026-10-15T00:00:00.000Z</x:v>
      </x:c>
      <x:c r="I1647" s="37" t="d">
        <x:v>2026-09-15T16:10:46.000Z</x:v>
      </x:c>
      <x:c r="J1647" s="1" t="n">
        <x:f>IF(ISNUMBER(F1647),E1647,0)</x:f>
        <x:v>1</x:v>
      </x:c>
      <x:c r="K1647" s="1"/>
      <x:c r="L1647" s="1" t="str">
        <x:v>https://blog.skyairline.com/esquiar-en-chile/</x:v>
      </x:c>
      <x:c r="M1647" s="1" t="n">
        <x:v>0</x:v>
      </x:c>
    </x:row>
    <x:row r="1648" ht="18.75" customHeight="1">
      <x:c r="A1648" s="1" t="str">
        <x:v>https://blog.skyairline.com/check-in-automatico/</x:v>
      </x:c>
      <x:c r="B1648" s="1" t="str">
        <x:v>check in sky cuantas horas antes</x:v>
      </x:c>
      <x:c r="C1648" s="1" t="str">
        <x:v>per</x:v>
      </x:c>
      <x:c r="D1648" s="1" t="str">
        <x:v>Marca</x:v>
      </x:c>
      <x:c r="E1648" s="35" t="n">
        <x:v>1</x:v>
      </x:c>
      <x:c r="F1648" s="36"/>
      <x:c r="G1648" s="36" t="str">
        <x:f>IF(ISNUMBER(F1648),E1648*F1648,"")</x:f>
      </x:c>
      <x:c r="H1648" s="37" t="d">
        <x:v>2026-10-15T00:00:00.000Z</x:v>
      </x:c>
      <x:c r="I1648" s="37" t="d">
        <x:v>2026-09-17T07:57:40.000Z</x:v>
      </x:c>
      <x:c r="J1648" s="1" t="n">
        <x:f>IF(ISNUMBER(F1648),E1648,0)</x:f>
        <x:v>0</x:v>
      </x:c>
      <x:c r="K1648" s="1"/>
      <x:c r="L1648" s="1" t="str">
        <x:v>https://blog.skyairline.com/estaciones-climaticas/</x:v>
      </x:c>
      <x:c r="M1648" s="1" t="n">
        <x:v>0</x:v>
      </x:c>
    </x:row>
    <x:row r="1649" ht="18.75" customHeight="1">
      <x:c r="A1649" s="1" t="str">
        <x:v>https://blog.skyairline.com/check-in-automatico/</x:v>
      </x:c>
      <x:c r="B1649" s="1" t="str">
        <x:v>check-in sky high dominicana</x:v>
      </x:c>
      <x:c r="C1649" s="1" t="str">
        <x:v>dom</x:v>
      </x:c>
      <x:c r="D1649" s="1" t="str">
        <x:v>Marca</x:v>
      </x:c>
      <x:c r="E1649" s="35" t="n">
        <x:v>1</x:v>
      </x:c>
      <x:c r="F1649" s="36"/>
      <x:c r="G1649" s="36" t="str">
        <x:f>IF(ISNUMBER(F1649),E1649*F1649,"")</x:f>
      </x:c>
      <x:c r="H1649" s="37"/>
      <x:c r="I1649" s="37"/>
      <x:c r="J1649" s="1" t="n">
        <x:f>IF(ISNUMBER(F1649),E1649,0)</x:f>
        <x:v>0</x:v>
      </x:c>
      <x:c r="K1649" s="1"/>
      <x:c r="L1649" s="1" t="str">
        <x:v>https://blog.skyairline.com/estaciones-del-ano-en-chile/</x:v>
      </x:c>
      <x:c r="M1649" s="1" t="n">
        <x:v>0</x:v>
      </x:c>
    </x:row>
    <x:row r="1650" ht="18.75" customHeight="1">
      <x:c r="A1650" s="1" t="str">
        <x:v>https://blog.skyairline.com/check-in-automatico/</x:v>
      </x:c>
      <x:c r="B1650" s="1" t="str">
        <x:v>chek in sky</x:v>
      </x:c>
      <x:c r="C1650" s="1" t="str">
        <x:v>per</x:v>
      </x:c>
      <x:c r="D1650" s="1" t="str">
        <x:v>Marca</x:v>
      </x:c>
      <x:c r="E1650" s="35" t="n">
        <x:v>1</x:v>
      </x:c>
      <x:c r="F1650" s="36"/>
      <x:c r="G1650" s="36" t="str">
        <x:f>IF(ISNUMBER(F1650),E1650*F1650,"")</x:f>
      </x:c>
      <x:c r="H1650" s="37"/>
      <x:c r="I1650" s="37"/>
      <x:c r="J1650" s="1" t="n">
        <x:f>IF(ISNUMBER(F1650),E1650,0)</x:f>
        <x:v>0</x:v>
      </x:c>
      <x:c r="K1650" s="1"/>
      <x:c r="L1650" s="1" t="str">
        <x:v>https://blog.skyairline.com/estaciones-en-chile</x:v>
      </x:c>
      <x:c r="M1650" s="1" t="n">
        <x:v>0</x:v>
      </x:c>
    </x:row>
    <x:row r="1651" ht="18.75" customHeight="1">
      <x:c r="A1651" s="1" t="str">
        <x:v>https://blog.skyairline.com/check-in-automatico/</x:v>
      </x:c>
      <x:c r="B1651" s="1" t="str">
        <x:v>como hacer check in en sky</x:v>
      </x:c>
      <x:c r="C1651" s="1" t="str">
        <x:v>bol</x:v>
      </x:c>
      <x:c r="D1651" s="1" t="str">
        <x:v>Marca</x:v>
      </x:c>
      <x:c r="E1651" s="35" t="n">
        <x:v>1</x:v>
      </x:c>
      <x:c r="F1651" s="36"/>
      <x:c r="G1651" s="36" t="str">
        <x:f>IF(ISNUMBER(F1651),E1651*F1651,"")</x:f>
      </x:c>
      <x:c r="H1651" s="37"/>
      <x:c r="I1651" s="37"/>
      <x:c r="J1651" s="1" t="n">
        <x:f>IF(ISNUMBER(F1651),E1651,0)</x:f>
        <x:v>0</x:v>
      </x:c>
      <x:c r="K1651" s="1"/>
      <x:c r="L1651" s="1" t="str">
        <x:v>https://blog.skyairline.com/estaciones-en-chile-2/</x:v>
      </x:c>
      <x:c r="M1651" s="1" t="n">
        <x:v>0</x:v>
      </x:c>
    </x:row>
    <x:row r="1652" ht="18.75" customHeight="1">
      <x:c r="A1652" s="1" t="str">
        <x:v>https://blog.skyairline.com/check-in-automatico/</x:v>
      </x:c>
      <x:c r="B1652" s="1" t="str">
        <x:v>como hacer check in en sky</x:v>
      </x:c>
      <x:c r="C1652" s="1" t="str">
        <x:v>chl</x:v>
      </x:c>
      <x:c r="D1652" s="1" t="str">
        <x:v>Marca</x:v>
      </x:c>
      <x:c r="E1652" s="35" t="n">
        <x:v>1</x:v>
      </x:c>
      <x:c r="F1652" s="36" t="n">
        <x:v>0.36</x:v>
      </x:c>
      <x:c r="G1652" s="36" t="n">
        <x:f>IF(ISNUMBER(F1652),E1652*F1652,"")</x:f>
        <x:v>0.36</x:v>
      </x:c>
      <x:c r="H1652" s="37" t="d">
        <x:v>2026-10-15T00:00:00.000Z</x:v>
      </x:c>
      <x:c r="I1652" s="37" t="d">
        <x:v>2026-09-15T21:54:15.000Z</x:v>
      </x:c>
      <x:c r="J1652" s="1" t="n">
        <x:f>IF(ISNUMBER(F1652),E1652,0)</x:f>
        <x:v>1</x:v>
      </x:c>
      <x:c r="K1652" s="1"/>
      <x:c r="L1652" s="1" t="str">
        <x:v>https://blog.skyairline.com/estaciones-en-chile-lo-que-debes-saber-antes-de-viajar</x:v>
      </x:c>
      <x:c r="M1652" s="1" t="n">
        <x:v>0</x:v>
      </x:c>
    </x:row>
    <x:row r="1653" ht="18.75" customHeight="1">
      <x:c r="A1653" s="1" t="str">
        <x:v>https://blog.skyairline.com/check-in-automatico/</x:v>
      </x:c>
      <x:c r="B1653" s="1" t="str">
        <x:v>como hacer check in sky</x:v>
      </x:c>
      <x:c r="C1653" s="1" t="str">
        <x:v>chl</x:v>
      </x:c>
      <x:c r="D1653" s="1" t="str">
        <x:v>Marca</x:v>
      </x:c>
      <x:c r="E1653" s="35" t="n">
        <x:v>1</x:v>
      </x:c>
      <x:c r="F1653" s="36" t="n">
        <x:v>0.36</x:v>
      </x:c>
      <x:c r="G1653" s="36" t="n">
        <x:f>IF(ISNUMBER(F1653),E1653*F1653,"")</x:f>
        <x:v>0.36</x:v>
      </x:c>
      <x:c r="H1653" s="37" t="d">
        <x:v>2026-10-15T00:00:00.000Z</x:v>
      </x:c>
      <x:c r="I1653" s="37" t="d">
        <x:v>2026-09-16T19:34:38.000Z</x:v>
      </x:c>
      <x:c r="J1653" s="1" t="n">
        <x:f>IF(ISNUMBER(F1653),E1653,0)</x:f>
        <x:v>1</x:v>
      </x:c>
      <x:c r="K1653" s="1"/>
      <x:c r="L1653" s="1" t="str">
        <x:v>https://blog.skyairline.com/estaciones-en-el-cono-sur</x:v>
      </x:c>
      <x:c r="M1653" s="1" t="n">
        <x:v>0</x:v>
      </x:c>
    </x:row>
    <x:row r="1654" ht="18.75" customHeight="1">
      <x:c r="A1654" s="1" t="str">
        <x:v>https://blog.skyairline.com/check-in-automatico/</x:v>
      </x:c>
      <x:c r="B1654" s="1" t="str">
        <x:v>como hacer el check in en sky</x:v>
      </x:c>
      <x:c r="C1654" s="1" t="str">
        <x:v>chl</x:v>
      </x:c>
      <x:c r="D1654" s="1" t="str">
        <x:v>Marca</x:v>
      </x:c>
      <x:c r="E1654" s="35" t="n">
        <x:v>1</x:v>
      </x:c>
      <x:c r="F1654" s="36"/>
      <x:c r="G1654" s="36" t="str">
        <x:f>IF(ISNUMBER(F1654),E1654*F1654,"")</x:f>
      </x:c>
      <x:c r="H1654" s="37"/>
      <x:c r="I1654" s="37"/>
      <x:c r="J1654" s="1" t="n">
        <x:f>IF(ISNUMBER(F1654),E1654,0)</x:f>
        <x:v>0</x:v>
      </x:c>
      <x:c r="K1654" s="1"/>
      <x:c r="L1654" s="1" t="str">
        <x:v>https://blog.skyairline.com/estacoes-en-chile/</x:v>
      </x:c>
      <x:c r="M1654" s="1" t="n">
        <x:v>0</x:v>
      </x:c>
    </x:row>
    <x:row r="1655" ht="18.75" customHeight="1">
      <x:c r="A1655" s="1" t="str">
        <x:v>https://blog.skyairline.com/check-in-automatico/</x:v>
      </x:c>
      <x:c r="B1655" s="1" t="str">
        <x:v>como hacer el check in en sky</x:v>
      </x:c>
      <x:c r="C1655" s="1" t="str">
        <x:v>ecu</x:v>
      </x:c>
      <x:c r="D1655" s="1" t="str">
        <x:v>Marca</x:v>
      </x:c>
      <x:c r="E1655" s="35" t="n">
        <x:v>1</x:v>
      </x:c>
      <x:c r="F1655" s="36"/>
      <x:c r="G1655" s="36" t="str">
        <x:f>IF(ISNUMBER(F1655),E1655*F1655,"")</x:f>
      </x:c>
      <x:c r="H1655" s="37"/>
      <x:c r="I1655" s="37"/>
      <x:c r="J1655" s="1" t="n">
        <x:f>IF(ISNUMBER(F1655),E1655,0)</x:f>
        <x:v>0</x:v>
      </x:c>
      <x:c r="K1655" s="1"/>
      <x:c r="L1655" s="1" t="str">
        <x:v>https://blog.skyairline.com/estadia-en-buenos-aires/</x:v>
      </x:c>
      <x:c r="M1655" s="1" t="n">
        <x:v>0</x:v>
      </x:c>
    </x:row>
    <x:row r="1656" ht="18.75" customHeight="1">
      <x:c r="A1656" s="1" t="str">
        <x:v>https://blog.skyairline.com/check-in-automatico/</x:v>
      </x:c>
      <x:c r="B1656" s="1" t="str">
        <x:v>como hacer el check in en sky</x:v>
      </x:c>
      <x:c r="C1656" s="1" t="str">
        <x:v>per</x:v>
      </x:c>
      <x:c r="D1656" s="1" t="str">
        <x:v>Marca</x:v>
      </x:c>
      <x:c r="E1656" s="35" t="n">
        <x:v>1</x:v>
      </x:c>
      <x:c r="F1656" s="36"/>
      <x:c r="G1656" s="36" t="str">
        <x:f>IF(ISNUMBER(F1656),E1656*F1656,"")</x:f>
      </x:c>
      <x:c r="H1656" s="37"/>
      <x:c r="I1656" s="37"/>
      <x:c r="J1656" s="1" t="n">
        <x:f>IF(ISNUMBER(F1656),E1656,0)</x:f>
        <x:v>0</x:v>
      </x:c>
      <x:c r="K1656" s="1"/>
      <x:c r="L1656" s="1" t="str">
        <x:v>https://blog.skyairline.com/estadia-en-un-hotel/</x:v>
      </x:c>
      <x:c r="M1656" s="1" t="n">
        <x:v>0</x:v>
      </x:c>
    </x:row>
    <x:row r="1657" ht="18.75" customHeight="1">
      <x:c r="A1657" s="1" t="str">
        <x:v>https://blog.skyairline.com/check-in-automatico/</x:v>
      </x:c>
      <x:c r="B1657" s="1" t="str">
        <x:v>como hago mi check in en sky</x:v>
      </x:c>
      <x:c r="C1657" s="1" t="str">
        <x:v>per</x:v>
      </x:c>
      <x:c r="D1657" s="1" t="str">
        <x:v>Marca</x:v>
      </x:c>
      <x:c r="E1657" s="35" t="n">
        <x:v>1</x:v>
      </x:c>
      <x:c r="F1657" s="36"/>
      <x:c r="G1657" s="36" t="str">
        <x:f>IF(ISNUMBER(F1657),E1657*F1657,"")</x:f>
      </x:c>
      <x:c r="H1657" s="37"/>
      <x:c r="I1657" s="37"/>
      <x:c r="J1657" s="1" t="n">
        <x:f>IF(ISNUMBER(F1657),E1657,0)</x:f>
        <x:v>0</x:v>
      </x:c>
      <x:c r="K1657" s="1"/>
      <x:c r="L1657" s="1" t="str">
        <x:v>https://blog.skyairline.com/estadio-centenario-de-uruguay-un-recinto-historico-para-tu-visita-futbolera/</x:v>
      </x:c>
      <x:c r="M1657" s="1" t="n">
        <x:v>0</x:v>
      </x:c>
    </x:row>
    <x:row r="1658" ht="18.75" customHeight="1">
      <x:c r="A1658" s="1" t="str">
        <x:v>https://blog.skyairline.com/check-in-automatico/</x:v>
      </x:c>
      <x:c r="B1658" s="1" t="str">
        <x:v>cuando se hace el check in en sky</x:v>
      </x:c>
      <x:c r="C1658" s="1" t="str">
        <x:v>chl</x:v>
      </x:c>
      <x:c r="D1658" s="1" t="str">
        <x:v>Marca</x:v>
      </x:c>
      <x:c r="E1658" s="35" t="n">
        <x:v>1</x:v>
      </x:c>
      <x:c r="F1658" s="36"/>
      <x:c r="G1658" s="36" t="str">
        <x:f>IF(ISNUMBER(F1658),E1658*F1658,"")</x:f>
      </x:c>
      <x:c r="H1658" s="37"/>
      <x:c r="I1658" s="37"/>
      <x:c r="J1658" s="1" t="n">
        <x:f>IF(ISNUMBER(F1658),E1658,0)</x:f>
        <x:v>0</x:v>
      </x:c>
      <x:c r="K1658" s="1"/>
      <x:c r="L1658" s="1" t="str">
        <x:v>https://blog.skyairline.com/estadio-nade-chile/</x:v>
      </x:c>
      <x:c r="M1658" s="1" t="n">
        <x:v>0</x:v>
      </x:c>
    </x:row>
    <x:row r="1659" ht="18.75" customHeight="1">
      <x:c r="A1659" s="1" t="str">
        <x:v>https://blog.skyairline.com/check-in-automatico/</x:v>
      </x:c>
      <x:c r="B1659" s="1" t="str">
        <x:v>sky</x:v>
      </x:c>
      <x:c r="C1659" s="1" t="str">
        <x:v>per</x:v>
      </x:c>
      <x:c r="D1659" s="1" t="str">
        <x:v>Marca</x:v>
      </x:c>
      <x:c r="E1659" s="35" t="n">
        <x:v>1</x:v>
      </x:c>
      <x:c r="F1659" s="36" t="n">
        <x:v>0.16</x:v>
      </x:c>
      <x:c r="G1659" s="36" t="n">
        <x:f>IF(ISNUMBER(F1659),E1659*F1659,"")</x:f>
        <x:v>0.16</x:v>
      </x:c>
      <x:c r="H1659" s="37" t="d">
        <x:v>2026-10-15T00:00:00.000Z</x:v>
      </x:c>
      <x:c r="I1659" s="37" t="d">
        <x:v>2026-09-15T03:38:50.000Z</x:v>
      </x:c>
      <x:c r="J1659" s="1" t="n">
        <x:f>IF(ISNUMBER(F1659),E1659,0)</x:f>
        <x:v>1</x:v>
      </x:c>
      <x:c r="K1659" s="1"/>
      <x:c r="L1659" s="1" t="str">
        <x:v>https://blog.skyairline.com/estadio-national-de-chile/</x:v>
      </x:c>
      <x:c r="M1659" s="1" t="n">
        <x:v>0</x:v>
      </x:c>
    </x:row>
    <x:row r="1660" ht="18.75" customHeight="1">
      <x:c r="A1660" s="1" t="str">
        <x:v>https://blog.skyairline.com/check-in-automatico/</x:v>
      </x:c>
      <x:c r="B1660" s="1" t="str">
        <x:v>sky airline check-in</x:v>
      </x:c>
      <x:c r="C1660" s="1" t="str">
        <x:v>chl</x:v>
      </x:c>
      <x:c r="D1660" s="1" t="str">
        <x:v>Marca</x:v>
      </x:c>
      <x:c r="E1660" s="35" t="n">
        <x:v>1</x:v>
      </x:c>
      <x:c r="F1660" s="36" t="n">
        <x:v>0.21</x:v>
      </x:c>
      <x:c r="G1660" s="36" t="n">
        <x:f>IF(ISNUMBER(F1660),E1660*F1660,"")</x:f>
        <x:v>0.21</x:v>
      </x:c>
      <x:c r="H1660" s="37" t="d">
        <x:v>2026-10-15T00:00:00.000Z</x:v>
      </x:c>
      <x:c r="I1660" s="37" t="d">
        <x:v>2026-09-14T01:49:54.000Z</x:v>
      </x:c>
      <x:c r="J1660" s="1" t="n">
        <x:f>IF(ISNUMBER(F1660),E1660,0)</x:f>
        <x:v>1</x:v>
      </x:c>
      <x:c r="K1660" s="1"/>
      <x:c r="L1660" s="1" t="str">
        <x:v>https://blog.skyairline.com/estadio-necesario/</x:v>
      </x:c>
      <x:c r="M1660" s="1" t="n">
        <x:v>0</x:v>
      </x:c>
    </x:row>
    <x:row r="1661" ht="18.75" customHeight="1">
      <x:c r="A1661" s="1" t="str">
        <x:v>https://blog.skyairline.com/check-in-automatico/</x:v>
      </x:c>
      <x:c r="B1661" s="1" t="str">
        <x:v>sky airlines check in</x:v>
      </x:c>
      <x:c r="C1661" s="1" t="str">
        <x:v>chl</x:v>
      </x:c>
      <x:c r="D1661" s="1" t="str">
        <x:v>Marca</x:v>
      </x:c>
      <x:c r="E1661" s="35" t="n">
        <x:v>1</x:v>
      </x:c>
      <x:c r="F1661" s="36" t="n">
        <x:v>0.07</x:v>
      </x:c>
      <x:c r="G1661" s="36" t="n">
        <x:f>IF(ISNUMBER(F1661),E1661*F1661,"")</x:f>
        <x:v>0.07</x:v>
      </x:c>
      <x:c r="H1661" s="37" t="d">
        <x:v>2026-10-15T00:00:00.000Z</x:v>
      </x:c>
      <x:c r="I1661" s="37" t="d">
        <x:v>2026-10-15T08:21:22.000Z</x:v>
      </x:c>
      <x:c r="J1661" s="1" t="n">
        <x:f>IF(ISNUMBER(F1661),E1661,0)</x:f>
        <x:v>1</x:v>
      </x:c>
      <x:c r="K1661" s="1"/>
      <x:c r="L1661" s="1" t="str">
        <x:v>https://blog.skyairline.com/estado-of-vuelo/</x:v>
      </x:c>
      <x:c r="M1661" s="1" t="n">
        <x:v>0</x:v>
      </x:c>
    </x:row>
    <x:row r="1662" ht="18.75" customHeight="1">
      <x:c r="A1662" s="1" t="str">
        <x:v>https://blog.skyairline.com/check-in-automatico/</x:v>
      </x:c>
      <x:c r="B1662" s="1" t="str">
        <x:v>sky airlines check in</x:v>
      </x:c>
      <x:c r="C1662" s="1" t="str">
        <x:v>per</x:v>
      </x:c>
      <x:c r="D1662" s="1" t="str">
        <x:v>Marca</x:v>
      </x:c>
      <x:c r="E1662" s="35" t="n">
        <x:v>1</x:v>
      </x:c>
      <x:c r="F1662" s="36" t="n">
        <x:v>0.15</x:v>
      </x:c>
      <x:c r="G1662" s="36" t="n">
        <x:f>IF(ISNUMBER(F1662),E1662*F1662,"")</x:f>
        <x:v>0.15</x:v>
      </x:c>
      <x:c r="H1662" s="37" t="d">
        <x:v>2026-10-15T00:00:00.000Z</x:v>
      </x:c>
      <x:c r="I1662" s="37" t="d">
        <x:v>2026-09-14T06:33:16.999Z</x:v>
      </x:c>
      <x:c r="J1662" s="1" t="n">
        <x:f>IF(ISNUMBER(F1662),E1662,0)</x:f>
        <x:v>1</x:v>
      </x:c>
      <x:c r="K1662" s="1"/>
      <x:c r="L1662" s="1" t="str">
        <x:v>https://blog.skyairline.com/estado-oficial/</x:v>
      </x:c>
      <x:c r="M1662" s="1" t="n">
        <x:v>0</x:v>
      </x:c>
    </x:row>
    <x:row r="1663" ht="18.75" customHeight="1">
      <x:c r="A1663" s="1" t="str">
        <x:v>https://blog.skyairline.com/check-in-automatico/</x:v>
      </x:c>
      <x:c r="B1663" s="1" t="str">
        <x:v>sky airlines check-in</x:v>
      </x:c>
      <x:c r="C1663" s="1" t="str">
        <x:v>chl</x:v>
      </x:c>
      <x:c r="D1663" s="1" t="str">
        <x:v>Marca</x:v>
      </x:c>
      <x:c r="E1663" s="35" t="n">
        <x:v>1</x:v>
      </x:c>
      <x:c r="F1663" s="36" t="n">
        <x:v>0.21</x:v>
      </x:c>
      <x:c r="G1663" s="36" t="n">
        <x:f>IF(ISNUMBER(F1663),E1663*F1663,"")</x:f>
        <x:v>0.21</x:v>
      </x:c>
      <x:c r="H1663" s="37" t="d">
        <x:v>2026-10-15T00:00:00.000Z</x:v>
      </x:c>
      <x:c r="I1663" s="37" t="d">
        <x:v>2026-09-14T18:20:42.000Z</x:v>
      </x:c>
      <x:c r="J1663" s="1" t="n">
        <x:f>IF(ISNUMBER(F1663),E1663,0)</x:f>
        <x:v>1</x:v>
      </x:c>
      <x:c r="K1663" s="1"/>
      <x:c r="L1663" s="1" t="str">
        <x:v>https://blog.skyairline.com/estudiar-trabajar-extranjero/</x:v>
      </x:c>
      <x:c r="M1663" s="1" t="n">
        <x:v>0</x:v>
      </x:c>
    </x:row>
    <x:row r="1664" ht="18.75" customHeight="1">
      <x:c r="A1664" s="1" t="str">
        <x:v>https://blog.skyairline.com/check-in-automatico/</x:v>
      </x:c>
      <x:c r="B1664" s="1" t="str">
        <x:v>sky check</x:v>
      </x:c>
      <x:c r="C1664" s="1" t="str">
        <x:v>chl</x:v>
      </x:c>
      <x:c r="D1664" s="1" t="str">
        <x:v>Marca</x:v>
      </x:c>
      <x:c r="E1664" s="35" t="n">
        <x:v>1</x:v>
      </x:c>
      <x:c r="F1664" s="36"/>
      <x:c r="G1664" s="36" t="str">
        <x:f>IF(ISNUMBER(F1664),E1664*F1664,"")</x:f>
      </x:c>
      <x:c r="H1664" s="37"/>
      <x:c r="I1664" s="37"/>
      <x:c r="J1664" s="1" t="n">
        <x:f>IF(ISNUMBER(F1664),E1664,0)</x:f>
        <x:v>0</x:v>
      </x:c>
      <x:c r="K1664" s="1"/>
      <x:c r="L1664" s="1" t="str">
        <x:v>https://blog.skyairline.com/excursiones-en-punta-cana/</x:v>
      </x:c>
      <x:c r="M1664" s="1" t="n">
        <x:v>0</x:v>
      </x:c>
    </x:row>
    <x:row r="1665" ht="18.75" customHeight="1">
      <x:c r="A1665" s="1" t="str">
        <x:v>https://blog.skyairline.com/check-in-automatico/</x:v>
      </x:c>
      <x:c r="B1665" s="1" t="str">
        <x:v>sky check in</x:v>
      </x:c>
      <x:c r="C1665" s="1" t="str">
        <x:v>chl</x:v>
      </x:c>
      <x:c r="D1665" s="1" t="str">
        <x:v>Marca</x:v>
      </x:c>
      <x:c r="E1665" s="35" t="n">
        <x:v>1</x:v>
      </x:c>
      <x:c r="F1665" s="36" t="n">
        <x:v>0.19</x:v>
      </x:c>
      <x:c r="G1665" s="36" t="n">
        <x:f>IF(ISNUMBER(F1665),E1665*F1665,"")</x:f>
        <x:v>0.19</x:v>
      </x:c>
      <x:c r="H1665" s="37" t="d">
        <x:v>2026-10-15T00:00:00.000Z</x:v>
      </x:c>
      <x:c r="I1665" s="37" t="d">
        <x:v>2026-09-15T15:26:25.000Z</x:v>
      </x:c>
      <x:c r="J1665" s="1" t="n">
        <x:f>IF(ISNUMBER(F1665),E1665,0)</x:f>
        <x:v>1</x:v>
      </x:c>
      <x:c r="K1665" s="1"/>
      <x:c r="L1665" s="1" t="str">
        <x:v>https://blog.skyairline.com/excursiones-en-rio-de-janeiro/</x:v>
      </x:c>
      <x:c r="M1665" s="1" t="n">
        <x:v>0</x:v>
      </x:c>
    </x:row>
    <x:row r="1666" ht="18.75" customHeight="1">
      <x:c r="A1666" s="1" t="str">
        <x:v>https://blog.skyairline.com/check-in-automatico/</x:v>
      </x:c>
      <x:c r="B1666" s="1" t="str">
        <x:v>skyairlines check in</x:v>
      </x:c>
      <x:c r="C1666" s="1" t="str">
        <x:v>chl</x:v>
      </x:c>
      <x:c r="D1666" s="1" t="str">
        <x:v>Marca</x:v>
      </x:c>
      <x:c r="E1666" s="35" t="n">
        <x:v>1</x:v>
      </x:c>
      <x:c r="F1666" s="36"/>
      <x:c r="G1666" s="36" t="str">
        <x:f>IF(ISNUMBER(F1666),E1666*F1666,"")</x:f>
      </x:c>
      <x:c r="H1666" s="37"/>
      <x:c r="I1666" s="37"/>
      <x:c r="J1666" s="1" t="n">
        <x:f>IF(ISNUMBER(F1666),E1666,0)</x:f>
        <x:v>0</x:v>
      </x:c>
      <x:c r="K1666" s="1"/>
      <x:c r="L1666" s="1" t="str">
        <x:v>https://blog.skyairline.com/externalizando-servicios-de-aeropuertos-en-chile/</x:v>
      </x:c>
      <x:c r="M1666" s="1" t="n">
        <x:v>0</x:v>
      </x:c>
    </x:row>
    <x:row r="1667" ht="18.75" customHeight="1">
      <x:c r="A1667" s="1" t="str">
        <x:v>https://blog.skyairline.com/check-in-automatico/</x:v>
      </x:c>
      <x:c r="B1667" s="1" t="str">
        <x:v>tarjeta de embarque sky</x:v>
      </x:c>
      <x:c r="C1667" s="1" t="str">
        <x:v>per</x:v>
      </x:c>
      <x:c r="D1667" s="1" t="str">
        <x:v>Marca</x:v>
      </x:c>
      <x:c r="E1667" s="35" t="n">
        <x:v>1</x:v>
      </x:c>
      <x:c r="F1667" s="36" t="n">
        <x:v>0.26</x:v>
      </x:c>
      <x:c r="G1667" s="36" t="n">
        <x:f>IF(ISNUMBER(F1667),E1667*F1667,"")</x:f>
        <x:v>0.26</x:v>
      </x:c>
      <x:c r="H1667" s="37" t="d">
        <x:v>2026-10-15T00:00:00.000Z</x:v>
      </x:c>
      <x:c r="I1667" s="37" t="d">
        <x:v>2026-09-14T01:57:02.000Z</x:v>
      </x:c>
      <x:c r="J1667" s="1" t="n">
        <x:f>IF(ISNUMBER(F1667),E1667,0)</x:f>
        <x:v>1</x:v>
      </x:c>
      <x:c r="K1667" s="1"/>
      <x:c r="L1667" s="1" t="str">
        <x:v>https://blog.skyairline.com/feriados-largos-2/</x:v>
      </x:c>
      <x:c r="M1667" s="1" t="n">
        <x:v>0</x:v>
      </x:c>
    </x:row>
    <x:row r="1668" ht="18.75" customHeight="1">
      <x:c r="A1668" s="1" t="str">
        <x:v>https://blog.skyairline.com/check-in-en-linea/</x:v>
      </x:c>
      <x:c r="B1668" s="1" t="str">
        <x:v>check in skyairlines</x:v>
      </x:c>
      <x:c r="C1668" s="1" t="str">
        <x:v>chl</x:v>
      </x:c>
      <x:c r="D1668" s="1" t="str">
        <x:v>Marca</x:v>
      </x:c>
      <x:c r="E1668" s="35" t="n">
        <x:v>1</x:v>
      </x:c>
      <x:c r="F1668" s="36"/>
      <x:c r="G1668" s="36" t="str">
        <x:f>IF(ISNUMBER(F1668),E1668*F1668,"")</x:f>
      </x:c>
      <x:c r="H1668" s="37"/>
      <x:c r="I1668" s="37"/>
      <x:c r="J1668" s="1" t="n">
        <x:f>IF(ISNUMBER(F1668),E1668,0)</x:f>
        <x:v>0</x:v>
      </x:c>
      <x:c r="K1668" s="1"/>
      <x:c r="L1668" s="1" t="str">
        <x:v>https://blog.skyairline.com/feriados-largos/</x:v>
      </x:c>
      <x:c r="M1668" s="1" t="n">
        <x:v>0</x:v>
      </x:c>
    </x:row>
    <x:row r="1669" ht="18.75" customHeight="1">
      <x:c r="A1669" s="1" t="str">
        <x:v>https://blog.skyairline.com/check-in-en-linea/</x:v>
      </x:c>
      <x:c r="B1669" s="1" t="str">
        <x:v>check-in sky chile</x:v>
      </x:c>
      <x:c r="C1669" s="1" t="str">
        <x:v>chl</x:v>
      </x:c>
      <x:c r="D1669" s="1" t="str">
        <x:v>Marca</x:v>
      </x:c>
      <x:c r="E1669" s="35" t="n">
        <x:v>1</x:v>
      </x:c>
      <x:c r="F1669" s="36" t="n">
        <x:v>0.07</x:v>
      </x:c>
      <x:c r="G1669" s="36" t="n">
        <x:f>IF(ISNUMBER(F1669),E1669*F1669,"")</x:f>
        <x:v>0.07</x:v>
      </x:c>
      <x:c r="H1669" s="37" t="d">
        <x:v>2026-10-15T00:00:00.000Z</x:v>
      </x:c>
      <x:c r="I1669" s="37" t="d">
        <x:v>2026-10-15T12:59:28.000Z</x:v>
      </x:c>
      <x:c r="J1669" s="1" t="n">
        <x:f>IF(ISNUMBER(F1669),E1669,0)</x:f>
        <x:v>1</x:v>
      </x:c>
      <x:c r="K1669" s="1"/>
      <x:c r="L1669" s="1" t="str">
        <x:v>https://blog.skyairline.com/festivales-musicales-en-america-latina/</x:v>
      </x:c>
      <x:c r="M1669" s="1" t="n">
        <x:v>0</x:v>
      </x:c>
    </x:row>
    <x:row r="1670" ht="18.75" customHeight="1">
      <x:c r="A1670" s="1" t="str">
        <x:v>https://blog.skyairline.com/check-in-en-linea/</x:v>
      </x:c>
      <x:c r="B1670" s="1" t="str">
        <x:v>sky airline check in</x:v>
      </x:c>
      <x:c r="C1670" s="1" t="str">
        <x:v>chl</x:v>
      </x:c>
      <x:c r="D1670" s="1" t="str">
        <x:v>Marca</x:v>
      </x:c>
      <x:c r="E1670" s="35" t="n">
        <x:v>1</x:v>
      </x:c>
      <x:c r="F1670" s="36" t="n">
        <x:v>0.21</x:v>
      </x:c>
      <x:c r="G1670" s="36" t="n">
        <x:f>IF(ISNUMBER(F1670),E1670*F1670,"")</x:f>
        <x:v>0.21</x:v>
      </x:c>
      <x:c r="H1670" s="37" t="d">
        <x:v>2026-10-15T00:00:00.000Z</x:v>
      </x:c>
      <x:c r="I1670" s="37" t="d">
        <x:v>2026-09-16T22:00:41.000Z</x:v>
      </x:c>
      <x:c r="J1670" s="1" t="n">
        <x:f>IF(ISNUMBER(F1670),E1670,0)</x:f>
        <x:v>1</x:v>
      </x:c>
      <x:c r="K1670" s="1"/>
      <x:c r="L1670" s="1" t="str">
        <x:v>https://blog.skyairline.com/festivos-por-fiestas-patrias/</x:v>
      </x:c>
      <x:c r="M1670" s="1" t="n">
        <x:v>0</x:v>
      </x:c>
    </x:row>
    <x:row r="1671" ht="18.75" customHeight="1">
      <x:c r="A1671" s="1" t="str">
        <x:v>https://blog.skyairline.com/check-in-en-linea/</x:v>
      </x:c>
      <x:c r="B1671" s="1" t="str">
        <x:v>sky check in</x:v>
      </x:c>
      <x:c r="C1671" s="1" t="str">
        <x:v>arg</x:v>
      </x:c>
      <x:c r="D1671" s="1" t="str">
        <x:v>Marca</x:v>
      </x:c>
      <x:c r="E1671" s="35" t="n">
        <x:v>1</x:v>
      </x:c>
      <x:c r="F1671" s="36"/>
      <x:c r="G1671" s="36" t="str">
        <x:f>IF(ISNUMBER(F1671),E1671*F1671,"")</x:f>
      </x:c>
      <x:c r="H1671" s="37"/>
      <x:c r="I1671" s="37"/>
      <x:c r="J1671" s="1" t="n">
        <x:f>IF(ISNUMBER(F1671),E1671,0)</x:f>
        <x:v>0</x:v>
      </x:c>
      <x:c r="K1671" s="1"/>
      <x:c r="L1671" s="1" t="str">
        <x:v>https://blog.skyairline.com/fiesta-de-la-tirana</x:v>
      </x:c>
      <x:c r="M1671" s="1" t="n">
        <x:v>0</x:v>
      </x:c>
    </x:row>
    <x:row r="1672" ht="18.75" customHeight="1">
      <x:c r="A1672" s="1" t="str">
        <x:v>https://blog.skyairline.com/check-in-en-linea/</x:v>
      </x:c>
      <x:c r="B1672" s="1" t="str">
        <x:v>sky check in</x:v>
      </x:c>
      <x:c r="C1672" s="1" t="str">
        <x:v>chl</x:v>
      </x:c>
      <x:c r="D1672" s="1" t="str">
        <x:v>Marca</x:v>
      </x:c>
      <x:c r="E1672" s="35" t="n">
        <x:v>1</x:v>
      </x:c>
      <x:c r="F1672" s="36" t="n">
        <x:v>0.19</x:v>
      </x:c>
      <x:c r="G1672" s="36" t="n">
        <x:f>IF(ISNUMBER(F1672),E1672*F1672,"")</x:f>
        <x:v>0.19</x:v>
      </x:c>
      <x:c r="H1672" s="37" t="d">
        <x:v>2026-10-15T00:00:00.000Z</x:v>
      </x:c>
      <x:c r="I1672" s="37" t="d">
        <x:v>2026-09-15T15:26:25.000Z</x:v>
      </x:c>
      <x:c r="J1672" s="1" t="n">
        <x:f>IF(ISNUMBER(F1672),E1672,0)</x:f>
        <x:v>1</x:v>
      </x:c>
      <x:c r="K1672" s="1"/>
      <x:c r="L1672" s="1" t="str">
        <x:v>https://blog.skyairline.com/fiesta-de-la-tradicion-historia-y-celebracion</x:v>
      </x:c>
      <x:c r="M1672" s="1" t="n">
        <x:v>0</x:v>
      </x:c>
    </x:row>
    <x:row r="1673" ht="18.75" customHeight="1">
      <x:c r="A1673" s="1" t="str">
        <x:v>https://blog.skyairline.com/check-in-en-linea/</x:v>
      </x:c>
      <x:c r="B1673" s="1" t="str">
        <x:v>sky check in</x:v>
      </x:c>
      <x:c r="C1673" s="1" t="str">
        <x:v>per</x:v>
      </x:c>
      <x:c r="D1673" s="1" t="str">
        <x:v>Marca</x:v>
      </x:c>
      <x:c r="E1673" s="35" t="n">
        <x:v>1</x:v>
      </x:c>
      <x:c r="F1673" s="36" t="n">
        <x:v>0.11</x:v>
      </x:c>
      <x:c r="G1673" s="36" t="n">
        <x:f>IF(ISNUMBER(F1673),E1673*F1673,"")</x:f>
        <x:v>0.11</x:v>
      </x:c>
      <x:c r="H1673" s="37" t="d">
        <x:v>2026-10-15T00:00:00.000Z</x:v>
      </x:c>
      <x:c r="I1673" s="37" t="d">
        <x:v>2026-09-14T05:32:28.000Z</x:v>
      </x:c>
      <x:c r="J1673" s="1" t="n">
        <x:f>IF(ISNUMBER(F1673),E1673,0)</x:f>
        <x:v>1</x:v>
      </x:c>
      <x:c r="K1673" s="1"/>
      <x:c r="L1673" s="1" t="str">
        <x:v>https://blog.skyairline.com/fiestas-patrias-de-chile/</x:v>
      </x:c>
      <x:c r="M1673" s="1" t="n">
        <x:v>0</x:v>
      </x:c>
    </x:row>
    <x:row r="1674" ht="18.75" customHeight="1">
      <x:c r="A1674" s="1" t="str">
        <x:v>https://blog.skyairline.com/check-in-en-linea/</x:v>
      </x:c>
      <x:c r="B1674" s="1" t="str">
        <x:v>sky check in</x:v>
      </x:c>
      <x:c r="C1674" s="1" t="str">
        <x:v>ury</x:v>
      </x:c>
      <x:c r="D1674" s="1" t="str">
        <x:v>Marca</x:v>
      </x:c>
      <x:c r="E1674" s="35" t="n">
        <x:v>1</x:v>
      </x:c>
      <x:c r="F1674" s="36"/>
      <x:c r="G1674" s="36" t="str">
        <x:f>IF(ISNUMBER(F1674),E1674*F1674,"")</x:f>
      </x:c>
      <x:c r="H1674" s="37"/>
      <x:c r="I1674" s="37"/>
      <x:c r="J1674" s="1" t="n">
        <x:f>IF(ISNUMBER(F1674),E1674,0)</x:f>
        <x:v>0</x:v>
      </x:c>
      <x:c r="K1674" s="1"/>
      <x:c r="L1674" s="1" t="str">
        <x:v>https://blog.skyairline.com/fiestas-patrias-peruanas-conoce-los-destinos-mas-visitados-de-cada-region-del-peru/</x:v>
      </x:c>
      <x:c r="M1674" s="1" t="n">
        <x:v>0</x:v>
      </x:c>
    </x:row>
    <x:row r="1675" ht="18.75" customHeight="1">
      <x:c r="A1675" s="1" t="str">
        <x:v>https://blog.skyairline.com/chile-a-cancun-opciones-de-vuelos-y-recomendaciones/</x:v>
      </x:c>
      <x:c r="B1675" s="1" t="str">
        <x:v>aerolineas que van a cancun</x:v>
      </x:c>
      <x:c r="C1675" s="1" t="str">
        <x:v>chl</x:v>
      </x:c>
      <x:c r="D1675" s="1" t="str">
        <x:v>Sin marca</x:v>
      </x:c>
      <x:c r="E1675" s="35" t="n">
        <x:v>1</x:v>
      </x:c>
      <x:c r="F1675" s="36"/>
      <x:c r="G1675" s="36" t="str">
        <x:f>IF(ISNUMBER(F1675),E1675*F1675,"")</x:f>
      </x:c>
      <x:c r="H1675" s="37"/>
      <x:c r="I1675" s="37"/>
      <x:c r="J1675" s="1" t="n">
        <x:f>IF(ISNUMBER(F1675),E1675,0)</x:f>
        <x:v>0</x:v>
      </x:c>
      <x:c r="K1675" s="1"/>
      <x:c r="L1675" s="1" t="str">
        <x:v>https://blog.skyairline.com/fin-de-ano-en-cancun/</x:v>
      </x:c>
      <x:c r="M1675" s="1" t="n">
        <x:v>0</x:v>
      </x:c>
    </x:row>
    <x:row r="1676" ht="18.75" customHeight="1">
      <x:c r="A1676" s="1" t="str">
        <x:v>https://blog.skyairline.com/chile-a-punta-cana/</x:v>
      </x:c>
      <x:c r="B1676" s="1" t="str">
        <x:v>documentos para viajar a punta cana</x:v>
      </x:c>
      <x:c r="C1676" s="1" t="str">
        <x:v>chl</x:v>
      </x:c>
      <x:c r="D1676" s="1" t="str">
        <x:v>Sin marca</x:v>
      </x:c>
      <x:c r="E1676" s="35" t="n">
        <x:v>1</x:v>
      </x:c>
      <x:c r="F1676" s="36" t="n">
        <x:v>0.88</x:v>
      </x:c>
      <x:c r="G1676" s="36" t="n">
        <x:f>IF(ISNUMBER(F1676),E1676*F1676,"")</x:f>
        <x:v>0.88</x:v>
      </x:c>
      <x:c r="H1676" s="37" t="d">
        <x:v>2026-10-15T00:00:00.000Z</x:v>
      </x:c>
      <x:c r="I1676" s="37" t="d">
        <x:v>2026-09-17T15:08:25.000Z</x:v>
      </x:c>
      <x:c r="J1676" s="1" t="n">
        <x:f>IF(ISNUMBER(F1676),E1676,0)</x:f>
        <x:v>1</x:v>
      </x:c>
      <x:c r="K1676" s="1"/>
      <x:c r="L1676" s="1" t="str">
        <x:v>https://blog.skyairline.com/final-libertadores/</x:v>
      </x:c>
      <x:c r="M1676" s="1" t="n">
        <x:v>0</x:v>
      </x:c>
    </x:row>
    <x:row r="1677" ht="18.75" customHeight="1">
      <x:c r="A1677" s="1" t="str">
        <x:v>https://blog.skyairline.com/chile-a-punta-cana/</x:v>
      </x:c>
      <x:c r="B1677" s="1" t="str">
        <x:v>que necesito para viajar a punta cana desde chile</x:v>
      </x:c>
      <x:c r="C1677" s="1" t="str">
        <x:v>chl</x:v>
      </x:c>
      <x:c r="D1677" s="1" t="str">
        <x:v>Sin marca</x:v>
      </x:c>
      <x:c r="E1677" s="35" t="n">
        <x:v>1</x:v>
      </x:c>
      <x:c r="F1677" s="36" t="n">
        <x:v>1.28</x:v>
      </x:c>
      <x:c r="G1677" s="36" t="n">
        <x:f>IF(ISNUMBER(F1677),E1677*F1677,"")</x:f>
        <x:v>1.28</x:v>
      </x:c>
      <x:c r="H1677" s="37" t="d">
        <x:v>2026-10-15T00:00:00.000Z</x:v>
      </x:c>
      <x:c r="I1677" s="37" t="d">
        <x:v>2026-09-16T13:09:25.000Z</x:v>
      </x:c>
      <x:c r="J1677" s="1" t="n">
        <x:f>IF(ISNUMBER(F1677),E1677,0)</x:f>
        <x:v>1</x:v>
      </x:c>
      <x:c r="K1677" s="1"/>
      <x:c r="L1677" s="1" t="str">
        <x:v>https://blog.skyairline.com/finanzas-familiares/</x:v>
      </x:c>
      <x:c r="M1677" s="1" t="n">
        <x:v>0</x:v>
      </x:c>
    </x:row>
    <x:row r="1678" ht="18.75" customHeight="1">
      <x:c r="A1678" s="1" t="str">
        <x:v>https://blog.skyairline.com/chile-a-punta-cana/</x:v>
      </x:c>
      <x:c r="B1678" s="1" t="str">
        <x:v>requisitos para viajar a punta cana desde chile</x:v>
      </x:c>
      <x:c r="C1678" s="1" t="str">
        <x:v>chl</x:v>
      </x:c>
      <x:c r="D1678" s="1" t="str">
        <x:v>Sin marca</x:v>
      </x:c>
      <x:c r="E1678" s="35" t="n">
        <x:v>1</x:v>
      </x:c>
      <x:c r="F1678" s="36" t="n">
        <x:v>1.38</x:v>
      </x:c>
      <x:c r="G1678" s="36" t="n">
        <x:f>IF(ISNUMBER(F1678),E1678*F1678,"")</x:f>
        <x:v>1.38</x:v>
      </x:c>
      <x:c r="H1678" s="37" t="d">
        <x:v>2026-10-15T00:00:00.000Z</x:v>
      </x:c>
      <x:c r="I1678" s="37" t="d">
        <x:v>2026-09-17T03:15:37.000Z</x:v>
      </x:c>
      <x:c r="J1678" s="1" t="n">
        <x:f>IF(ISNUMBER(F1678),E1678,0)</x:f>
        <x:v>1</x:v>
      </x:c>
      <x:c r="K1678" s="1"/>
      <x:c r="L1678" s="1" t="str">
        <x:v>https://blog.skyairline.com/flights/es-cl/vuelos-desde-santiago-a-florianopolis</x:v>
      </x:c>
      <x:c r="M1678" s="1" t="n">
        <x:v>0</x:v>
      </x:c>
    </x:row>
    <x:row r="1679" ht="18.75" customHeight="1">
      <x:c r="A1679" s="1" t="str">
        <x:v>https://blog.skyairline.com/chile-argentina/</x:v>
      </x:c>
      <x:c r="B1679" s="1" t="str">
        <x:v>pasos fronterizos chile argentina sur</x:v>
      </x:c>
      <x:c r="C1679" s="1" t="str">
        <x:v>chl</x:v>
      </x:c>
      <x:c r="D1679" s="1" t="str">
        <x:v>Sin marca</x:v>
      </x:c>
      <x:c r="E1679" s="35" t="n">
        <x:v>1</x:v>
      </x:c>
      <x:c r="F1679" s="36"/>
      <x:c r="G1679" s="36" t="str">
        <x:f>IF(ISNUMBER(F1679),E1679*F1679,"")</x:f>
      </x:c>
      <x:c r="H1679" s="37" t="d">
        <x:v>2026-10-15T00:00:00.000Z</x:v>
      </x:c>
      <x:c r="I1679" s="37" t="d">
        <x:v>2026-09-13T07:19:50.999Z</x:v>
      </x:c>
      <x:c r="J1679" s="1" t="n">
        <x:f>IF(ISNUMBER(F1679),E1679,0)</x:f>
        <x:v>0</x:v>
      </x:c>
      <x:c r="K1679" s="1"/>
      <x:c r="L1679" s="1" t="str">
        <x:v>https://blog.skyairline.com/flights/es-pe/vuelos-desde-lima-pucallpa</x:v>
      </x:c>
      <x:c r="M1679" s="1" t="n">
        <x:v>0</x:v>
      </x:c>
    </x:row>
    <x:row r="1680" ht="18.75" customHeight="1">
      <x:c r="A1680" s="1" t="str">
        <x:v>https://blog.skyairline.com/choripanes-en-buenos-aires/</x:v>
      </x:c>
      <x:c r="B1680" s="1" t="str">
        <x:v>choripan buenos aires</x:v>
      </x:c>
      <x:c r="C1680" s="1" t="str">
        <x:v>arg</x:v>
      </x:c>
      <x:c r="D1680" s="1" t="str">
        <x:v>Sin marca</x:v>
      </x:c>
      <x:c r="E1680" s="35" t="n">
        <x:v>1</x:v>
      </x:c>
      <x:c r="F1680" s="36"/>
      <x:c r="G1680" s="36" t="str">
        <x:f>IF(ISNUMBER(F1680),E1680*F1680,"")</x:f>
      </x:c>
      <x:c r="H1680" s="37"/>
      <x:c r="I1680" s="37"/>
      <x:c r="J1680" s="1" t="n">
        <x:f>IF(ISNUMBER(F1680),E1680,0)</x:f>
        <x:v>0</x:v>
      </x:c>
      <x:c r="K1680" s="1"/>
      <x:c r="L1680" s="1" t="str">
        <x:v>https://blog.skyairline.com/flights/es/que-hacer-punta-del-este</x:v>
      </x:c>
      <x:c r="M1680" s="1" t="n">
        <x:v>0</x:v>
      </x:c>
    </x:row>
    <x:row r="1681" ht="18.75" customHeight="1">
      <x:c r="A1681" s="1" t="str">
        <x:v>https://blog.skyairline.com/chuquicamata/</x:v>
      </x:c>
      <x:c r="B1681" s="1" t="str">
        <x:v>minera mas alta de chile</x:v>
      </x:c>
      <x:c r="C1681" s="1" t="str">
        <x:v>chl</x:v>
      </x:c>
      <x:c r="D1681" s="1" t="str">
        <x:v>Sin marca</x:v>
      </x:c>
      <x:c r="E1681" s="35" t="n">
        <x:v>1</x:v>
      </x:c>
      <x:c r="F1681" s="36"/>
      <x:c r="G1681" s="36" t="str">
        <x:f>IF(ISNUMBER(F1681),E1681*F1681,"")</x:f>
      </x:c>
      <x:c r="H1681" s="37" t="d">
        <x:v>2026-10-15T00:00:00.000Z</x:v>
      </x:c>
      <x:c r="I1681" s="37" t="d">
        <x:v>2026-09-14T05:31:30.999Z</x:v>
      </x:c>
      <x:c r="J1681" s="1" t="n">
        <x:f>IF(ISNUMBER(F1681),E1681,0)</x:f>
        <x:v>0</x:v>
      </x:c>
      <x:c r="K1681" s="1"/>
      <x:c r="L1681" s="1" t="str">
        <x:v>https://blog.skyairline.com/floralis-gen%C3%A9rica/</x:v>
      </x:c>
      <x:c r="M1681" s="1" t="n">
        <x:v>0</x:v>
      </x:c>
    </x:row>
    <x:row r="1682" ht="18.75" customHeight="1">
      <x:c r="A1682" s="1" t="str">
        <x:v>https://blog.skyairline.com/ciudad-de-llanquihue-historia-y-sitios-imperdibles/</x:v>
      </x:c>
      <x:c r="B1682" s="1" t="str">
        <x:v>qué hacer en llanquihue</x:v>
      </x:c>
      <x:c r="C1682" s="1" t="str">
        <x:v>chl</x:v>
      </x:c>
      <x:c r="D1682" s="1" t="str">
        <x:v>Sin marca</x:v>
      </x:c>
      <x:c r="E1682" s="35" t="n">
        <x:v>1</x:v>
      </x:c>
      <x:c r="F1682" s="36" t="n">
        <x:v>0.25</x:v>
      </x:c>
      <x:c r="G1682" s="36" t="n">
        <x:f>IF(ISNUMBER(F1682),E1682*F1682,"")</x:f>
        <x:v>0.25</x:v>
      </x:c>
      <x:c r="H1682" s="37" t="d">
        <x:v>2026-10-15T00:00:00.000Z</x:v>
      </x:c>
      <x:c r="I1682" s="37" t="d">
        <x:v>2026-09-15T08:18:28.000Z</x:v>
      </x:c>
      <x:c r="J1682" s="1" t="n">
        <x:f>IF(ISNUMBER(F1682),E1682,0)</x:f>
        <x:v>1</x:v>
      </x:c>
      <x:c r="K1682" s="1"/>
      <x:c r="L1682" s="1" t="str">
        <x:v>https://blog.skyairline.com/florianopolis-a-rio-de-janeiro</x:v>
      </x:c>
      <x:c r="M1682" s="1" t="n">
        <x:v>0</x:v>
      </x:c>
    </x:row>
    <x:row r="1683" ht="18.75" customHeight="1">
      <x:c r="A1683" s="1" t="str">
        <x:v>https://blog.skyairline.com/ciudad-de-mendoza/</x:v>
      </x:c>
      <x:c r="B1683" s="1" t="str">
        <x:v>mendoza esta cerca de chile</x:v>
      </x:c>
      <x:c r="C1683" s="1" t="str">
        <x:v>arg</x:v>
      </x:c>
      <x:c r="D1683" s="1" t="str">
        <x:v>Sin marca</x:v>
      </x:c>
      <x:c r="E1683" s="35" t="n">
        <x:v>1</x:v>
      </x:c>
      <x:c r="F1683" s="36"/>
      <x:c r="G1683" s="36" t="str">
        <x:f>IF(ISNUMBER(F1683),E1683*F1683,"")</x:f>
      </x:c>
      <x:c r="H1683" s="37"/>
      <x:c r="I1683" s="37"/>
      <x:c r="J1683" s="1" t="n">
        <x:f>IF(ISNUMBER(F1683),E1683,0)</x:f>
        <x:v>0</x:v>
      </x:c>
      <x:c r="K1683" s="1"/>
      <x:c r="L1683" s="1" t="str">
        <x:v>https://blog.skyairline.com/florianopolis-playas/</x:v>
      </x:c>
      <x:c r="M1683" s="1" t="n">
        <x:v>0</x:v>
      </x:c>
    </x:row>
    <x:row r="1684" ht="18.75" customHeight="1">
      <x:c r="A1684" s="1" t="str">
        <x:v>https://blog.skyairline.com/ciudades-brasilenas/</x:v>
      </x:c>
      <x:c r="B1684" s="1" t="str">
        <x:v>brasil y sus ciudades</x:v>
      </x:c>
      <x:c r="C1684" s="1" t="str">
        <x:v>chl</x:v>
      </x:c>
      <x:c r="D1684" s="1" t="str">
        <x:v>Sin marca</x:v>
      </x:c>
      <x:c r="E1684" s="35" t="n">
        <x:v>1</x:v>
      </x:c>
      <x:c r="F1684" s="36"/>
      <x:c r="G1684" s="36" t="str">
        <x:f>IF(ISNUMBER(F1684),E1684*F1684,"")</x:f>
      </x:c>
      <x:c r="H1684" s="37" t="d">
        <x:v>2026-10-15T00:00:00.000Z</x:v>
      </x:c>
      <x:c r="I1684" s="37" t="d">
        <x:v>2026-09-13T03:45:18.000Z</x:v>
      </x:c>
      <x:c r="J1684" s="1" t="n">
        <x:f>IF(ISNUMBER(F1684),E1684,0)</x:f>
        <x:v>0</x:v>
      </x:c>
      <x:c r="K1684" s="1"/>
      <x:c r="L1684" s="1" t="str">
        <x:v>https://blog.skyairline.com/florianopolis-rio-de-janeiro/</x:v>
      </x:c>
      <x:c r="M1684" s="1" t="n">
        <x:v>0</x:v>
      </x:c>
    </x:row>
    <x:row r="1685" ht="18.75" customHeight="1">
      <x:c r="A1685" s="1" t="str">
        <x:v>https://blog.skyairline.com/ciudades-cercanas-rio-de-janeiro/</x:v>
      </x:c>
      <x:c r="B1685" s="1" t="str">
        <x:v>cerca de rio de janeiro</x:v>
      </x:c>
      <x:c r="C1685" s="1" t="str">
        <x:v>arg</x:v>
      </x:c>
      <x:c r="D1685" s="1" t="str">
        <x:v>Sin marca</x:v>
      </x:c>
      <x:c r="E1685" s="35" t="n">
        <x:v>1</x:v>
      </x:c>
      <x:c r="F1685" s="36"/>
      <x:c r="G1685" s="36" t="str">
        <x:f>IF(ISNUMBER(F1685),E1685*F1685,"")</x:f>
      </x:c>
      <x:c r="H1685" s="37"/>
      <x:c r="I1685" s="37"/>
      <x:c r="J1685" s="1" t="n">
        <x:f>IF(ISNUMBER(F1685),E1685,0)</x:f>
        <x:v>0</x:v>
      </x:c>
      <x:c r="K1685" s="1"/>
      <x:c r="L1685" s="1" t="str">
        <x:v>https://blog.skyairline.com/florianopolis/</x:v>
      </x:c>
      <x:c r="M1685" s="1" t="n">
        <x:v>0</x:v>
      </x:c>
    </x:row>
    <x:row r="1686" ht="18.75" customHeight="1">
      <x:c r="A1686" s="1" t="str">
        <x:v>https://blog.skyairline.com/ciudades-cercanas-rio-de-janeiro/</x:v>
      </x:c>
      <x:c r="B1686" s="1" t="str">
        <x:v>ciudad cerca de rio de janeiro</x:v>
      </x:c>
      <x:c r="C1686" s="1" t="str">
        <x:v>can</x:v>
      </x:c>
      <x:c r="D1686" s="1" t="str">
        <x:v>Sin marca</x:v>
      </x:c>
      <x:c r="E1686" s="35" t="n">
        <x:v>1</x:v>
      </x:c>
      <x:c r="F1686" s="36"/>
      <x:c r="G1686" s="36" t="str">
        <x:f>IF(ISNUMBER(F1686),E1686*F1686,"")</x:f>
      </x:c>
      <x:c r="H1686" s="37"/>
      <x:c r="I1686" s="37"/>
      <x:c r="J1686" s="1" t="n">
        <x:f>IF(ISNUMBER(F1686),E1686,0)</x:f>
        <x:v>0</x:v>
      </x:c>
      <x:c r="K1686" s="1"/>
      <x:c r="L1686" s="1" t="str">
        <x:v>https://blog.skyairline.com/folklore-chile/</x:v>
      </x:c>
      <x:c r="M1686" s="1" t="n">
        <x:v>0</x:v>
      </x:c>
    </x:row>
    <x:row r="1687" ht="18.75" customHeight="1">
      <x:c r="A1687" s="1" t="str">
        <x:v>https://blog.skyairline.com/ciudades-cercanas-rio-de-janeiro/</x:v>
      </x:c>
      <x:c r="B1687" s="1" t="str">
        <x:v>ciudades cerca a rio de janeiro</x:v>
      </x:c>
      <x:c r="C1687" s="1" t="str">
        <x:v>col</x:v>
      </x:c>
      <x:c r="D1687" s="1" t="str">
        <x:v>Sin marca</x:v>
      </x:c>
      <x:c r="E1687" s="35" t="n">
        <x:v>1</x:v>
      </x:c>
      <x:c r="F1687" s="36"/>
      <x:c r="G1687" s="36" t="str">
        <x:f>IF(ISNUMBER(F1687),E1687*F1687,"")</x:f>
      </x:c>
      <x:c r="H1687" s="37"/>
      <x:c r="I1687" s="37"/>
      <x:c r="J1687" s="1" t="n">
        <x:f>IF(ISNUMBER(F1687),E1687,0)</x:f>
        <x:v>0</x:v>
      </x:c>
      <x:c r="K1687" s="1"/>
      <x:c r="L1687" s="1" t="str">
        <x:v>https://blog.skyairline.com/folklore-de-chil/</x:v>
      </x:c>
      <x:c r="M1687" s="1" t="n">
        <x:v>0</x:v>
      </x:c>
    </x:row>
    <x:row r="1688" ht="18.75" customHeight="1">
      <x:c r="A1688" s="1" t="str">
        <x:v>https://blog.skyairline.com/ciudades-cercanas-rio-de-janeiro/</x:v>
      </x:c>
      <x:c r="B1688" s="1" t="str">
        <x:v>ciudades cerca a rio de janeiro</x:v>
      </x:c>
      <x:c r="C1688" s="1" t="str">
        <x:v>per</x:v>
      </x:c>
      <x:c r="D1688" s="1" t="str">
        <x:v>Sin marca</x:v>
      </x:c>
      <x:c r="E1688" s="35" t="n">
        <x:v>1</x:v>
      </x:c>
      <x:c r="F1688" s="36"/>
      <x:c r="G1688" s="36" t="str">
        <x:f>IF(ISNUMBER(F1688),E1688*F1688,"")</x:f>
      </x:c>
      <x:c r="H1688" s="37"/>
      <x:c r="I1688" s="37"/>
      <x:c r="J1688" s="1" t="n">
        <x:f>IF(ISNUMBER(F1688),E1688,0)</x:f>
        <x:v>0</x:v>
      </x:c>
      <x:c r="K1688" s="1"/>
      <x:c r="L1688" s="1" t="str">
        <x:v>https://blog.skyairline.com/frutas-del-sur-chile-variedades-y-beneficios/</x:v>
      </x:c>
      <x:c r="M1688" s="1" t="n">
        <x:v>0</x:v>
      </x:c>
    </x:row>
    <x:row r="1689" ht="18.75" customHeight="1">
      <x:c r="A1689" s="1" t="str">
        <x:v>https://blog.skyairline.com/ciudades-cercanas-rio-de-janeiro/</x:v>
      </x:c>
      <x:c r="B1689" s="1" t="str">
        <x:v>ciudades cerca de rio de janeiro</x:v>
      </x:c>
      <x:c r="C1689" s="1" t="str">
        <x:v>arg</x:v>
      </x:c>
      <x:c r="D1689" s="1" t="str">
        <x:v>Sin marca</x:v>
      </x:c>
      <x:c r="E1689" s="35" t="n">
        <x:v>1</x:v>
      </x:c>
      <x:c r="F1689" s="36"/>
      <x:c r="G1689" s="36" t="str">
        <x:f>IF(ISNUMBER(F1689),E1689*F1689,"")</x:f>
      </x:c>
      <x:c r="H1689" s="37"/>
      <x:c r="I1689" s="37"/>
      <x:c r="J1689" s="1" t="n">
        <x:f>IF(ISNUMBER(F1689),E1689,0)</x:f>
        <x:v>0</x:v>
      </x:c>
      <x:c r="K1689" s="1"/>
      <x:c r="L1689" s="1" t="str">
        <x:v>https://blog.skyairline.com/frutillar/</x:v>
      </x:c>
      <x:c r="M1689" s="1" t="n">
        <x:v>0</x:v>
      </x:c>
    </x:row>
    <x:row r="1690" ht="18.75" customHeight="1">
      <x:c r="A1690" s="1" t="str">
        <x:v>https://blog.skyairline.com/ciudades-cercanas-rio-de-janeiro/</x:v>
      </x:c>
      <x:c r="B1690" s="1" t="str">
        <x:v>ciudades cerca de rio de janeiro</x:v>
      </x:c>
      <x:c r="C1690" s="1" t="str">
        <x:v>chl</x:v>
      </x:c>
      <x:c r="D1690" s="1" t="str">
        <x:v>Sin marca</x:v>
      </x:c>
      <x:c r="E1690" s="35" t="n">
        <x:v>1</x:v>
      </x:c>
      <x:c r="F1690" s="36" t="n">
        <x:v>0.91</x:v>
      </x:c>
      <x:c r="G1690" s="36" t="n">
        <x:f>IF(ISNUMBER(F1690),E1690*F1690,"")</x:f>
        <x:v>0.91</x:v>
      </x:c>
      <x:c r="H1690" s="37" t="d">
        <x:v>2026-10-15T00:00:00.000Z</x:v>
      </x:c>
      <x:c r="I1690" s="37" t="d">
        <x:v>2026-09-12T18:14:29.999Z</x:v>
      </x:c>
      <x:c r="J1690" s="1" t="n">
        <x:f>IF(ISNUMBER(F1690),E1690,0)</x:f>
        <x:v>1</x:v>
      </x:c>
      <x:c r="K1690" s="1"/>
      <x:c r="L1690" s="1" t="str">
        <x:v>https://blog.skyairline.com/gastos-hormiga/</x:v>
      </x:c>
      <x:c r="M1690" s="1" t="n">
        <x:v>0</x:v>
      </x:c>
    </x:row>
    <x:row r="1691" ht="18.75" customHeight="1">
      <x:c r="A1691" s="1" t="str">
        <x:v>https://blog.skyairline.com/ciudades-cercanas-rio-de-janeiro/</x:v>
      </x:c>
      <x:c r="B1691" s="1" t="str">
        <x:v>ciudades cerca de rio de janeiro</x:v>
      </x:c>
      <x:c r="C1691" s="1" t="str">
        <x:v>col</x:v>
      </x:c>
      <x:c r="D1691" s="1" t="str">
        <x:v>Sin marca</x:v>
      </x:c>
      <x:c r="E1691" s="35" t="n">
        <x:v>1</x:v>
      </x:c>
      <x:c r="F1691" s="36"/>
      <x:c r="G1691" s="36" t="str">
        <x:f>IF(ISNUMBER(F1691),E1691*F1691,"")</x:f>
      </x:c>
      <x:c r="H1691" s="37"/>
      <x:c r="I1691" s="37"/>
      <x:c r="J1691" s="1" t="n">
        <x:f>IF(ISNUMBER(F1691),E1691,0)</x:f>
        <x:v>0</x:v>
      </x:c>
      <x:c r="K1691" s="1"/>
      <x:c r="L1691" s="1" t="str">
        <x:v>https://blog.skyairline.com/gastronom%C3%ADa_peruana/</x:v>
      </x:c>
      <x:c r="M1691" s="1" t="n">
        <x:v>0</x:v>
      </x:c>
    </x:row>
    <x:row r="1692" ht="18.75" customHeight="1">
      <x:c r="A1692" s="1" t="str">
        <x:v>https://blog.skyairline.com/ciudades-cercanas-rio-de-janeiro/</x:v>
      </x:c>
      <x:c r="B1692" s="1" t="str">
        <x:v>ciudades cerca de rio de janeiro</x:v>
      </x:c>
      <x:c r="C1692" s="1" t="str">
        <x:v>esp</x:v>
      </x:c>
      <x:c r="D1692" s="1" t="str">
        <x:v>Sin marca</x:v>
      </x:c>
      <x:c r="E1692" s="35" t="n">
        <x:v>1</x:v>
      </x:c>
      <x:c r="F1692" s="36"/>
      <x:c r="G1692" s="36" t="str">
        <x:f>IF(ISNUMBER(F1692),E1692*F1692,"")</x:f>
      </x:c>
      <x:c r="H1692" s="37"/>
      <x:c r="I1692" s="37"/>
      <x:c r="J1692" s="1" t="n">
        <x:f>IF(ISNUMBER(F1692),E1692,0)</x:f>
        <x:v>0</x:v>
      </x:c>
      <x:c r="K1692" s="1"/>
      <x:c r="L1692" s="1" t="str">
        <x:v>https://blog.skyairline.com/gastronomia-chilena/</x:v>
      </x:c>
      <x:c r="M1692" s="1" t="n">
        <x:v>0</x:v>
      </x:c>
    </x:row>
    <x:row r="1693" ht="18.75" customHeight="1">
      <x:c r="A1693" s="1" t="str">
        <x:v>https://blog.skyairline.com/ciudades-cercanas-rio-de-janeiro/</x:v>
      </x:c>
      <x:c r="B1693" s="1" t="str">
        <x:v>ciudades cerca de río de janeiro</x:v>
      </x:c>
      <x:c r="C1693" s="1" t="str">
        <x:v>col</x:v>
      </x:c>
      <x:c r="D1693" s="1" t="str">
        <x:v>Sin marca</x:v>
      </x:c>
      <x:c r="E1693" s="35" t="n">
        <x:v>1</x:v>
      </x:c>
      <x:c r="F1693" s="36"/>
      <x:c r="G1693" s="36" t="str">
        <x:f>IF(ISNUMBER(F1693),E1693*F1693,"")</x:f>
      </x:c>
      <x:c r="H1693" s="37"/>
      <x:c r="I1693" s="37"/>
      <x:c r="J1693" s="1" t="n">
        <x:f>IF(ISNUMBER(F1693),E1693,0)</x:f>
        <x:v>0</x:v>
      </x:c>
      <x:c r="K1693" s="1"/>
      <x:c r="L1693" s="1" t="str">
        <x:v>https://blog.skyairline.com/gastronomia-colombiana/</x:v>
      </x:c>
      <x:c r="M1693" s="1" t="n">
        <x:v>0</x:v>
      </x:c>
    </x:row>
    <x:row r="1694" ht="18.75" customHeight="1">
      <x:c r="A1694" s="1" t="str">
        <x:v>https://blog.skyairline.com/ciudades-cercanas-rio-de-janeiro/</x:v>
      </x:c>
      <x:c r="B1694" s="1" t="str">
        <x:v>ciudades cercanas a rio de janeiro</x:v>
      </x:c>
      <x:c r="C1694" s="1" t="str">
        <x:v>col</x:v>
      </x:c>
      <x:c r="D1694" s="1" t="str">
        <x:v>Sin marca</x:v>
      </x:c>
      <x:c r="E1694" s="35" t="n">
        <x:v>1</x:v>
      </x:c>
      <x:c r="F1694" s="36"/>
      <x:c r="G1694" s="36" t="str">
        <x:f>IF(ISNUMBER(F1694),E1694*F1694,"")</x:f>
      </x:c>
      <x:c r="H1694" s="37"/>
      <x:c r="I1694" s="37"/>
      <x:c r="J1694" s="1" t="n">
        <x:f>IF(ISNUMBER(F1694),E1694,0)</x:f>
        <x:v>0</x:v>
      </x:c>
      <x:c r="K1694" s="1"/>
      <x:c r="L1694" s="1" t="str">
        <x:v>https://blog.skyairline.com/gastronomia-de-rio-de-janeiro-platos-tipicos-imperdibles</x:v>
      </x:c>
      <x:c r="M1694" s="1" t="n">
        <x:v>0</x:v>
      </x:c>
    </x:row>
    <x:row r="1695" ht="18.75" customHeight="1">
      <x:c r="A1695" s="1" t="str">
        <x:v>https://blog.skyairline.com/ciudades-cercanas-rio-de-janeiro/</x:v>
      </x:c>
      <x:c r="B1695" s="1" t="str">
        <x:v>ciudades cercanas a rio de janeiro</x:v>
      </x:c>
      <x:c r="C1695" s="1" t="str">
        <x:v>mex</x:v>
      </x:c>
      <x:c r="D1695" s="1" t="str">
        <x:v>Sin marca</x:v>
      </x:c>
      <x:c r="E1695" s="35" t="n">
        <x:v>1</x:v>
      </x:c>
      <x:c r="F1695" s="36"/>
      <x:c r="G1695" s="36" t="str">
        <x:f>IF(ISNUMBER(F1695),E1695*F1695,"")</x:f>
      </x:c>
      <x:c r="H1695" s="37"/>
      <x:c r="I1695" s="37"/>
      <x:c r="J1695" s="1" t="n">
        <x:f>IF(ISNUMBER(F1695),E1695,0)</x:f>
        <x:v>0</x:v>
      </x:c>
      <x:c r="K1695" s="1"/>
      <x:c r="L1695" s="1" t="str">
        <x:v>https://blog.skyairline.com/gastronomia-de-rio-de-janeiro/platillos-tipicos-imperdibles/</x:v>
      </x:c>
      <x:c r="M1695" s="1" t="n">
        <x:v>0</x:v>
      </x:c>
    </x:row>
    <x:row r="1696" ht="18.75" customHeight="1">
      <x:c r="A1696" s="1" t="str">
        <x:v>https://blog.skyairline.com/ciudades-cercanas-rio-de-janeiro/</x:v>
      </x:c>
      <x:c r="B1696" s="1" t="str">
        <x:v>ciudades cercanas a rio de janeiro</x:v>
      </x:c>
      <x:c r="C1696" s="1" t="str">
        <x:v>pry</x:v>
      </x:c>
      <x:c r="D1696" s="1" t="str">
        <x:v>Sin marca</x:v>
      </x:c>
      <x:c r="E1696" s="35" t="n">
        <x:v>1</x:v>
      </x:c>
      <x:c r="F1696" s="36"/>
      <x:c r="G1696" s="36" t="str">
        <x:f>IF(ISNUMBER(F1696),E1696*F1696,"")</x:f>
      </x:c>
      <x:c r="H1696" s="37"/>
      <x:c r="I1696" s="37"/>
      <x:c r="J1696" s="1" t="n">
        <x:f>IF(ISNUMBER(F1696),E1696,0)</x:f>
        <x:v>0</x:v>
      </x:c>
      <x:c r="K1696" s="1"/>
      <x:c r="L1696" s="1" t="str">
        <x:v>https://blog.skyairline.com/gastronomia-de-rio-de-janeiro/platos-tipicos-imperdibles</x:v>
      </x:c>
      <x:c r="M1696" s="1" t="n">
        <x:v>0</x:v>
      </x:c>
    </x:row>
    <x:row r="1697" ht="18.75" customHeight="1">
      <x:c r="A1697" s="1" t="str">
        <x:v>https://blog.skyairline.com/ciudades-cercanas-rio-de-janeiro/</x:v>
      </x:c>
      <x:c r="B1697" s="1" t="str">
        <x:v>ciudades de rio de janeiro</x:v>
      </x:c>
      <x:c r="C1697" s="1" t="str">
        <x:v>arg</x:v>
      </x:c>
      <x:c r="D1697" s="1" t="str">
        <x:v>Sin marca</x:v>
      </x:c>
      <x:c r="E1697" s="35" t="n">
        <x:v>1</x:v>
      </x:c>
      <x:c r="F1697" s="36"/>
      <x:c r="G1697" s="36" t="str">
        <x:f>IF(ISNUMBER(F1697),E1697*F1697,"")</x:f>
      </x:c>
      <x:c r="H1697" s="37"/>
      <x:c r="I1697" s="37"/>
      <x:c r="J1697" s="1" t="n">
        <x:f>IF(ISNUMBER(F1697),E1697,0)</x:f>
        <x:v>0</x:v>
      </x:c>
      <x:c r="K1697" s="1"/>
      <x:c r="L1697" s="1" t="str">
        <x:v>https://blog.skyairline.com/gastronomia-de-rio-de-janeiro/platose-imperdibles-en-rio-de-janeiro</x:v>
      </x:c>
      <x:c r="M1697" s="1" t="n">
        <x:v>0</x:v>
      </x:c>
    </x:row>
    <x:row r="1698" ht="18.75" customHeight="1">
      <x:c r="A1698" s="1" t="str">
        <x:v>https://blog.skyairline.com/ciudades-cercanas-rio-de-janeiro/</x:v>
      </x:c>
      <x:c r="B1698" s="1" t="str">
        <x:v>ciudades de rio de janeiro</x:v>
      </x:c>
      <x:c r="C1698" s="1" t="str">
        <x:v>chl</x:v>
      </x:c>
      <x:c r="D1698" s="1" t="str">
        <x:v>Sin marca</x:v>
      </x:c>
      <x:c r="E1698" s="35" t="n">
        <x:v>1</x:v>
      </x:c>
      <x:c r="F1698" s="36"/>
      <x:c r="G1698" s="36" t="str">
        <x:f>IF(ISNUMBER(F1698),E1698*F1698,"")</x:f>
      </x:c>
      <x:c r="H1698" s="37" t="d">
        <x:v>2026-10-15T00:00:00.000Z</x:v>
      </x:c>
      <x:c r="I1698" s="37" t="d">
        <x:v>2026-09-17T17:58:58.000Z</x:v>
      </x:c>
      <x:c r="J1698" s="1" t="n">
        <x:f>IF(ISNUMBER(F1698),E1698,0)</x:f>
        <x:v>0</x:v>
      </x:c>
      <x:c r="K1698" s="1"/>
      <x:c r="L1698" s="1" t="str">
        <x:v>https://blog.skyairline.com/gastronomia-del-peru/</x:v>
      </x:c>
      <x:c r="M1698" s="1" t="n">
        <x:v>0</x:v>
      </x:c>
    </x:row>
    <x:row r="1699" ht="18.75" customHeight="1">
      <x:c r="A1699" s="1" t="str">
        <x:v>https://blog.skyairline.com/ciudades-cercanas-rio-de-janeiro/</x:v>
      </x:c>
      <x:c r="B1699" s="1" t="str">
        <x:v>ciudades de rio de janeiro</x:v>
      </x:c>
      <x:c r="C1699" s="1" t="str">
        <x:v>per</x:v>
      </x:c>
      <x:c r="D1699" s="1" t="str">
        <x:v>Sin marca</x:v>
      </x:c>
      <x:c r="E1699" s="35" t="n">
        <x:v>1</x:v>
      </x:c>
      <x:c r="F1699" s="36"/>
      <x:c r="G1699" s="36" t="str">
        <x:f>IF(ISNUMBER(F1699),E1699*F1699,"")</x:f>
      </x:c>
      <x:c r="H1699" s="37"/>
      <x:c r="I1699" s="37"/>
      <x:c r="J1699" s="1" t="n">
        <x:f>IF(ISNUMBER(F1699),E1699,0)</x:f>
        <x:v>0</x:v>
      </x:c>
      <x:c r="K1699" s="1"/>
      <x:c r="L1699" s="1" t="str">
        <x:v>https://blog.skyairline.com/gastronomia-mexicana/</x:v>
      </x:c>
      <x:c r="M1699" s="1" t="n">
        <x:v>0</x:v>
      </x:c>
    </x:row>
    <x:row r="1700" ht="18.75" customHeight="1">
      <x:c r="A1700" s="1" t="str">
        <x:v>https://blog.skyairline.com/ciudades-cercanas-rio-de-janeiro/</x:v>
      </x:c>
      <x:c r="B1700" s="1" t="str">
        <x:v>destinos cerca de rio de janeiro</x:v>
      </x:c>
      <x:c r="C1700" s="1" t="str">
        <x:v>col</x:v>
      </x:c>
      <x:c r="D1700" s="1" t="str">
        <x:v>Sin marca</x:v>
      </x:c>
      <x:c r="E1700" s="35" t="n">
        <x:v>1</x:v>
      </x:c>
      <x:c r="F1700" s="36"/>
      <x:c r="G1700" s="36" t="str">
        <x:f>IF(ISNUMBER(F1700),E1700*F1700,"")</x:f>
      </x:c>
      <x:c r="H1700" s="37"/>
      <x:c r="I1700" s="37"/>
      <x:c r="J1700" s="1" t="n">
        <x:f>IF(ISNUMBER(F1700),E1700,0)</x:f>
        <x:v>0</x:v>
      </x:c>
      <x:c r="K1700" s="1"/>
      <x:c r="L1700" s="1" t="str">
        <x:v>https://blog.skyairline.com/geografia-clima-y-turismo/</x:v>
      </x:c>
      <x:c r="M1700" s="1" t="n">
        <x:v>0</x:v>
      </x:c>
    </x:row>
    <x:row r="1701" ht="18.75" customHeight="1">
      <x:c r="A1701" s="1" t="str">
        <x:v>https://blog.skyairline.com/ciudades-cercanas-rio-de-janeiro/</x:v>
      </x:c>
      <x:c r="B1701" s="1" t="str">
        <x:v>lugares cerca de rio</x:v>
      </x:c>
      <x:c r="C1701" s="1" t="str">
        <x:v>chl</x:v>
      </x:c>
      <x:c r="D1701" s="1" t="str">
        <x:v>Sin marca</x:v>
      </x:c>
      <x:c r="E1701" s="35" t="n">
        <x:v>1</x:v>
      </x:c>
      <x:c r="F1701" s="36"/>
      <x:c r="G1701" s="36" t="str">
        <x:f>IF(ISNUMBER(F1701),E1701*F1701,"")</x:f>
      </x:c>
      <x:c r="H1701" s="37"/>
      <x:c r="I1701" s="37"/>
      <x:c r="J1701" s="1" t="n">
        <x:f>IF(ISNUMBER(F1701),E1701,0)</x:f>
        <x:v>0</x:v>
      </x:c>
      <x:c r="K1701" s="1"/>
      <x:c r="L1701" s="1" t="str">
        <x:v>https://blog.skyairline.com/glaciar-spegazzini/</x:v>
      </x:c>
      <x:c r="M1701" s="1" t="n">
        <x:v>0</x:v>
      </x:c>
    </x:row>
    <x:row r="1702" ht="18.75" customHeight="1">
      <x:c r="A1702" s="1" t="str">
        <x:v>https://blog.skyairline.com/ciudades-cercanas-rio-de-janeiro/</x:v>
      </x:c>
      <x:c r="B1702" s="1" t="str">
        <x:v>lugares cerca de rio de janeiro</x:v>
      </x:c>
      <x:c r="C1702" s="1" t="str">
        <x:v>arg</x:v>
      </x:c>
      <x:c r="D1702" s="1" t="str">
        <x:v>Sin marca</x:v>
      </x:c>
      <x:c r="E1702" s="35" t="n">
        <x:v>1</x:v>
      </x:c>
      <x:c r="F1702" s="36"/>
      <x:c r="G1702" s="36" t="str">
        <x:f>IF(ISNUMBER(F1702),E1702*F1702,"")</x:f>
      </x:c>
      <x:c r="H1702" s="37"/>
      <x:c r="I1702" s="37"/>
      <x:c r="J1702" s="1" t="n">
        <x:f>IF(ISNUMBER(F1702),E1702,0)</x:f>
        <x:v>0</x:v>
      </x:c>
      <x:c r="K1702" s="1"/>
      <x:c r="L1702" s="1" t="str">
        <x:v>https://blog.skyairline.com/glaciares-balmaceda-y-serrano/</x:v>
      </x:c>
      <x:c r="M1702" s="1" t="n">
        <x:v>0</x:v>
      </x:c>
    </x:row>
    <x:row r="1703" ht="18.75" customHeight="1">
      <x:c r="A1703" s="1" t="str">
        <x:v>https://blog.skyairline.com/ciudades-cercanas-rio-de-janeiro/</x:v>
      </x:c>
      <x:c r="B1703" s="1" t="str">
        <x:v>lugares cerca de rio de janeiro</x:v>
      </x:c>
      <x:c r="C1703" s="1" t="str">
        <x:v>ury</x:v>
      </x:c>
      <x:c r="D1703" s="1" t="str">
        <x:v>Sin marca</x:v>
      </x:c>
      <x:c r="E1703" s="35" t="n">
        <x:v>1</x:v>
      </x:c>
      <x:c r="F1703" s="36"/>
      <x:c r="G1703" s="36" t="str">
        <x:f>IF(ISNUMBER(F1703),E1703*F1703,"")</x:f>
      </x:c>
      <x:c r="H1703" s="37"/>
      <x:c r="I1703" s="37"/>
      <x:c r="J1703" s="1" t="n">
        <x:f>IF(ISNUMBER(F1703),E1703,0)</x:f>
        <x:v>0</x:v>
      </x:c>
      <x:c r="K1703" s="1"/>
      <x:c r="L1703" s="1" t="str">
        <x:v>https://blog.skyairline.com/glamping-buenos-aires/</x:v>
      </x:c>
      <x:c r="M1703" s="1" t="n">
        <x:v>0</x:v>
      </x:c>
    </x:row>
    <x:row r="1704" ht="18.75" customHeight="1">
      <x:c r="A1704" s="1" t="str">
        <x:v>https://blog.skyairline.com/ciudades-cercanas-rio-de-janeiro/</x:v>
      </x:c>
      <x:c r="B1704" s="1" t="str">
        <x:v>lugares cerca de río de janeiro para vacacionar</x:v>
      </x:c>
      <x:c r="C1704" s="1" t="str">
        <x:v>arg</x:v>
      </x:c>
      <x:c r="D1704" s="1" t="str">
        <x:v>Sin marca</x:v>
      </x:c>
      <x:c r="E1704" s="35" t="n">
        <x:v>1</x:v>
      </x:c>
      <x:c r="F1704" s="36"/>
      <x:c r="G1704" s="36" t="str">
        <x:f>IF(ISNUMBER(F1704),E1704*F1704,"")</x:f>
      </x:c>
      <x:c r="H1704" s="37"/>
      <x:c r="I1704" s="37"/>
      <x:c r="J1704" s="1" t="n">
        <x:f>IF(ISNUMBER(F1704),E1704,0)</x:f>
        <x:v>0</x:v>
      </x:c>
      <x:c r="K1704" s="1"/>
      <x:c r="L1704" s="1" t="str">
        <x:v>https://blog.skyairline.com/gramado/</x:v>
      </x:c>
      <x:c r="M1704" s="1" t="n">
        <x:v>0</x:v>
      </x:c>
    </x:row>
    <x:row r="1705" ht="18.75" customHeight="1">
      <x:c r="A1705" s="1" t="str">
        <x:v>https://blog.skyairline.com/ciudades-cercanas-rio-de-janeiro/</x:v>
      </x:c>
      <x:c r="B1705" s="1" t="str">
        <x:v>lugares cerca de río de janeiro para vacacionar</x:v>
      </x:c>
      <x:c r="C1705" s="1" t="str">
        <x:v>chl</x:v>
      </x:c>
      <x:c r="D1705" s="1" t="str">
        <x:v>Sin marca</x:v>
      </x:c>
      <x:c r="E1705" s="35" t="n">
        <x:v>1</x:v>
      </x:c>
      <x:c r="F1705" s="36" t="n">
        <x:v>0.61</x:v>
      </x:c>
      <x:c r="G1705" s="36" t="n">
        <x:f>IF(ISNUMBER(F1705),E1705*F1705,"")</x:f>
        <x:v>0.61</x:v>
      </x:c>
      <x:c r="H1705" s="37" t="d">
        <x:v>2026-10-15T00:00:00.000Z</x:v>
      </x:c>
      <x:c r="I1705" s="37" t="d">
        <x:v>2026-09-17T07:51:38.000Z</x:v>
      </x:c>
      <x:c r="J1705" s="1" t="n">
        <x:f>IF(ISNUMBER(F1705),E1705,0)</x:f>
        <x:v>1</x:v>
      </x:c>
      <x:c r="K1705" s="1"/>
      <x:c r="L1705" s="1" t="str">
        <x:v>https://blog.skyairline.com/grande-de-chiloe/</x:v>
      </x:c>
      <x:c r="M1705" s="1" t="n">
        <x:v>0</x:v>
      </x:c>
    </x:row>
    <x:row r="1706" ht="18.75" customHeight="1">
      <x:c r="A1706" s="1" t="str">
        <x:v>https://blog.skyairline.com/ciudades-cercanas-rio-de-janeiro/</x:v>
      </x:c>
      <x:c r="B1706" s="1" t="str">
        <x:v>lugares para conocer cerca de rio de janeiro</x:v>
      </x:c>
      <x:c r="C1706" s="1" t="str">
        <x:v>arg</x:v>
      </x:c>
      <x:c r="D1706" s="1" t="str">
        <x:v>Sin marca</x:v>
      </x:c>
      <x:c r="E1706" s="35" t="n">
        <x:v>1</x:v>
      </x:c>
      <x:c r="F1706" s="36"/>
      <x:c r="G1706" s="36" t="str">
        <x:f>IF(ISNUMBER(F1706),E1706*F1706,"")</x:f>
      </x:c>
      <x:c r="H1706" s="37"/>
      <x:c r="I1706" s="37"/>
      <x:c r="J1706" s="1" t="n">
        <x:f>IF(ISNUMBER(F1706),E1706,0)</x:f>
        <x:v>0</x:v>
      </x:c>
      <x:c r="K1706" s="1"/>
      <x:c r="L1706" s="1" t="str">
        <x:v>https://blog.skyairline.com/guia-turistica/</x:v>
      </x:c>
      <x:c r="M1706" s="1" t="n">
        <x:v>0</x:v>
      </x:c>
    </x:row>
    <x:row r="1707" ht="18.75" customHeight="1">
      <x:c r="A1707" s="1" t="str">
        <x:v>https://blog.skyairline.com/ciudades-cercanas-rio-de-janeiro/</x:v>
      </x:c>
      <x:c r="B1707" s="1" t="str">
        <x:v>mapa de rio de janeiro</x:v>
      </x:c>
      <x:c r="C1707" s="1" t="str">
        <x:v>arg</x:v>
      </x:c>
      <x:c r="D1707" s="1" t="str">
        <x:v>Sin marca</x:v>
      </x:c>
      <x:c r="E1707" s="35" t="n">
        <x:v>1</x:v>
      </x:c>
      <x:c r="F1707" s="36"/>
      <x:c r="G1707" s="36" t="str">
        <x:f>IF(ISNUMBER(F1707),E1707*F1707,"")</x:f>
      </x:c>
      <x:c r="H1707" s="37"/>
      <x:c r="I1707" s="37"/>
      <x:c r="J1707" s="1" t="n">
        <x:f>IF(ISNUMBER(F1707),E1707,0)</x:f>
        <x:v>0</x:v>
      </x:c>
      <x:c r="K1707" s="1"/>
      <x:c r="L1707" s="1" t="str">
        <x:v>https://blog.skyairline.com/guias-turisticos/</x:v>
      </x:c>
      <x:c r="M1707" s="1" t="n">
        <x:v>0</x:v>
      </x:c>
    </x:row>
    <x:row r="1708" ht="18.75" customHeight="1">
      <x:c r="A1708" s="1" t="str">
        <x:v>https://blog.skyairline.com/ciudades-cercanas-rio-de-janeiro/</x:v>
      </x:c>
      <x:c r="B1708" s="1" t="str">
        <x:v>mejores playas cerca de rio de janeiro</x:v>
      </x:c>
      <x:c r="C1708" s="1" t="str">
        <x:v>can</x:v>
      </x:c>
      <x:c r="D1708" s="1" t="str">
        <x:v>Sin marca</x:v>
      </x:c>
      <x:c r="E1708" s="35" t="n">
        <x:v>1</x:v>
      </x:c>
      <x:c r="F1708" s="36"/>
      <x:c r="G1708" s="36" t="str">
        <x:f>IF(ISNUMBER(F1708),E1708*F1708,"")</x:f>
      </x:c>
      <x:c r="H1708" s="37"/>
      <x:c r="I1708" s="37"/>
      <x:c r="J1708" s="1" t="n">
        <x:f>IF(ISNUMBER(F1708),E1708,0)</x:f>
        <x:v>0</x:v>
      </x:c>
      <x:c r="K1708" s="1"/>
      <x:c r="L1708" s="1" t="str">
        <x:v>https://blog.skyairline.com/hacer-surf/</x:v>
      </x:c>
      <x:c r="M1708" s="1" t="n">
        <x:v>0</x:v>
      </x:c>
    </x:row>
    <x:row r="1709" ht="18.75" customHeight="1">
      <x:c r="A1709" s="1" t="str">
        <x:v>https://blog.skyairline.com/ciudades-cercanas-rio-de-janeiro/</x:v>
      </x:c>
      <x:c r="B1709" s="1" t="str">
        <x:v>otros</x:v>
      </x:c>
      <x:c r="C1709" s="1" t="str">
        <x:v>per</x:v>
      </x:c>
      <x:c r="D1709" s="1" t="str">
        <x:v>Sin marca</x:v>
      </x:c>
      <x:c r="E1709" s="35" t="n">
        <x:v>1</x:v>
      </x:c>
      <x:c r="F1709" s="36" t="n">
        <x:v>0.03</x:v>
      </x:c>
      <x:c r="G1709" s="36" t="n">
        <x:f>IF(ISNUMBER(F1709),E1709*F1709,"")</x:f>
        <x:v>0.03</x:v>
      </x:c>
      <x:c r="H1709" s="37" t="d">
        <x:v>2026-10-15T00:00:00.000Z</x:v>
      </x:c>
      <x:c r="I1709" s="37" t="d">
        <x:v>2026-09-12T21:21:55.000Z</x:v>
      </x:c>
      <x:c r="J1709" s="1" t="n">
        <x:f>IF(ISNUMBER(F1709),E1709,0)</x:f>
        <x:v>1</x:v>
      </x:c>
      <x:c r="K1709" s="1"/>
      <x:c r="L1709" s="1" t="str">
        <x:v>https://blog.skyairline.com/hiking-outdoor/</x:v>
      </x:c>
      <x:c r="M1709" s="1" t="n">
        <x:v>0</x:v>
      </x:c>
    </x:row>
    <x:row r="1710" ht="18.75" customHeight="1">
      <x:c r="A1710" s="1" t="str">
        <x:v>https://blog.skyairline.com/ciudades-cercanas-rio-de-janeiro/</x:v>
      </x:c>
      <x:c r="B1710" s="1" t="str">
        <x:v>playas cerca de rio de janeiro</x:v>
      </x:c>
      <x:c r="C1710" s="1" t="str">
        <x:v>chl</x:v>
      </x:c>
      <x:c r="D1710" s="1" t="str">
        <x:v>Sin marca</x:v>
      </x:c>
      <x:c r="E1710" s="35" t="n">
        <x:v>1</x:v>
      </x:c>
      <x:c r="F1710" s="36" t="n">
        <x:v>0.5</x:v>
      </x:c>
      <x:c r="G1710" s="36" t="n">
        <x:f>IF(ISNUMBER(F1710),E1710*F1710,"")</x:f>
        <x:v>0.5</x:v>
      </x:c>
      <x:c r="H1710" s="37" t="d">
        <x:v>2026-10-15T00:00:00.000Z</x:v>
      </x:c>
      <x:c r="I1710" s="37" t="d">
        <x:v>2026-09-13T14:21:39.000Z</x:v>
      </x:c>
      <x:c r="J1710" s="1" t="n">
        <x:f>IF(ISNUMBER(F1710),E1710,0)</x:f>
        <x:v>1</x:v>
      </x:c>
      <x:c r="K1710" s="1"/>
      <x:c r="L1710" s="1" t="str">
        <x:v>https://blog.skyairline.com/holger-paulmann-es-reconocido-por-la-sofofa-con-el-premio/</x:v>
      </x:c>
      <x:c r="M1710" s="1" t="n">
        <x:v>0</x:v>
      </x:c>
    </x:row>
    <x:row r="1711" ht="18.75" customHeight="1">
      <x:c r="A1711" s="1" t="str">
        <x:v>https://blog.skyairline.com/ciudades-cercanas-rio-de-janeiro/</x:v>
      </x:c>
      <x:c r="B1711" s="1" t="str">
        <x:v>que hay cerca de rio de janeiro</x:v>
      </x:c>
      <x:c r="C1711" s="1" t="str">
        <x:v>mex</x:v>
      </x:c>
      <x:c r="D1711" s="1" t="str">
        <x:v>Sin marca</x:v>
      </x:c>
      <x:c r="E1711" s="35" t="n">
        <x:v>1</x:v>
      </x:c>
      <x:c r="F1711" s="36"/>
      <x:c r="G1711" s="36" t="str">
        <x:f>IF(ISNUMBER(F1711),E1711*F1711,"")</x:f>
      </x:c>
      <x:c r="H1711" s="37"/>
      <x:c r="I1711" s="37"/>
      <x:c r="J1711" s="1" t="n">
        <x:f>IF(ISNUMBER(F1711),E1711,0)</x:f>
        <x:v>0</x:v>
      </x:c>
      <x:c r="K1711" s="1"/>
      <x:c r="L1711" s="1" t="str">
        <x:v>https://blog.skyairline.com/holger-paulmann-reconocido/</x:v>
      </x:c>
      <x:c r="M1711" s="1" t="n">
        <x:v>0</x:v>
      </x:c>
    </x:row>
    <x:row r="1712" ht="18.75" customHeight="1">
      <x:c r="A1712" s="1" t="str">
        <x:v>https://blog.skyairline.com/ciudades-cercanas-rio-de-janeiro/</x:v>
      </x:c>
      <x:c r="B1712" s="1" t="str">
        <x:v>que hay cerca de rio de janeiro</x:v>
      </x:c>
      <x:c r="C1712" s="1" t="str">
        <x:v>ury</x:v>
      </x:c>
      <x:c r="D1712" s="1" t="str">
        <x:v>Sin marca</x:v>
      </x:c>
      <x:c r="E1712" s="35" t="n">
        <x:v>1</x:v>
      </x:c>
      <x:c r="F1712" s="36"/>
      <x:c r="G1712" s="36" t="str">
        <x:f>IF(ISNUMBER(F1712),E1712*F1712,"")</x:f>
      </x:c>
      <x:c r="H1712" s="37"/>
      <x:c r="I1712" s="37"/>
      <x:c r="J1712" s="1" t="n">
        <x:f>IF(ISNUMBER(F1712),E1712,0)</x:f>
        <x:v>0</x:v>
      </x:c>
      <x:c r="K1712" s="1"/>
      <x:c r="L1712" s="1" t="str">
        <x:v>https://blog.skyairline.com/hornopiren-2/</x:v>
      </x:c>
      <x:c r="M1712" s="1" t="n">
        <x:v>0</x:v>
      </x:c>
    </x:row>
    <x:row r="1713" ht="18.75" customHeight="1">
      <x:c r="A1713" s="1" t="str">
        <x:v>https://blog.skyairline.com/ciudades-cercanas-rio-de-janeiro/</x:v>
      </x:c>
      <x:c r="B1713" s="1" t="str">
        <x:v>rio de janeiro ciudades</x:v>
      </x:c>
      <x:c r="C1713" s="1" t="str">
        <x:v>arg</x:v>
      </x:c>
      <x:c r="D1713" s="1" t="str">
        <x:v>Sin marca</x:v>
      </x:c>
      <x:c r="E1713" s="35" t="n">
        <x:v>1</x:v>
      </x:c>
      <x:c r="F1713" s="36"/>
      <x:c r="G1713" s="36" t="str">
        <x:f>IF(ISNUMBER(F1713),E1713*F1713,"")</x:f>
      </x:c>
      <x:c r="H1713" s="37"/>
      <x:c r="I1713" s="37"/>
      <x:c r="J1713" s="1" t="n">
        <x:f>IF(ISNUMBER(F1713),E1713,0)</x:f>
        <x:v>0</x:v>
      </x:c>
      <x:c r="K1713" s="1"/>
      <x:c r="L1713" s="1" t="str">
        <x:v>https://blog.skyairline.com/hotel-o-airbnb/</x:v>
      </x:c>
      <x:c r="M1713" s="1" t="n">
        <x:v>0</x:v>
      </x:c>
    </x:row>
    <x:row r="1714" ht="18.75" customHeight="1">
      <x:c r="A1714" s="1" t="str">
        <x:v>https://blog.skyairline.com/ciudades-cercanas-rio-de-janeiro/</x:v>
      </x:c>
      <x:c r="B1714" s="1" t="str">
        <x:v>rio de janeiro ciudades</x:v>
      </x:c>
      <x:c r="C1714" s="1" t="str">
        <x:v>per</x:v>
      </x:c>
      <x:c r="D1714" s="1" t="str">
        <x:v>Sin marca</x:v>
      </x:c>
      <x:c r="E1714" s="35" t="n">
        <x:v>1</x:v>
      </x:c>
      <x:c r="F1714" s="36"/>
      <x:c r="G1714" s="36" t="str">
        <x:f>IF(ISNUMBER(F1714),E1714*F1714,"")</x:f>
      </x:c>
      <x:c r="H1714" s="37"/>
      <x:c r="I1714" s="37"/>
      <x:c r="J1714" s="1" t="n">
        <x:f>IF(ISNUMBER(F1714),E1714,0)</x:f>
        <x:v>0</x:v>
      </x:c>
      <x:c r="K1714" s="1"/>
      <x:c r="L1714" s="1" t="str">
        <x:v>https://blog.skyairline.com/hotel-osorno/</x:v>
      </x:c>
      <x:c r="M1714" s="1" t="n">
        <x:v>0</x:v>
      </x:c>
    </x:row>
    <x:row r="1715" ht="18.75" customHeight="1">
      <x:c r="A1715" s="1" t="str">
        <x:v>https://blog.skyairline.com/ciudades-de-peru/</x:v>
      </x:c>
      <x:c r="B1715" s="1" t="str">
        <x:v>las 10 ciudades más importantes de perú</x:v>
      </x:c>
      <x:c r="C1715" s="1" t="str">
        <x:v>per</x:v>
      </x:c>
      <x:c r="D1715" s="1" t="str">
        <x:v>Sin marca</x:v>
      </x:c>
      <x:c r="E1715" s="35" t="n">
        <x:v>1</x:v>
      </x:c>
      <x:c r="F1715" s="36"/>
      <x:c r="G1715" s="36" t="str">
        <x:f>IF(ISNUMBER(F1715),E1715*F1715,"")</x:f>
      </x:c>
      <x:c r="H1715" s="37" t="d">
        <x:v>2026-10-15T00:00:00.000Z</x:v>
      </x:c>
      <x:c r="I1715" s="37" t="d">
        <x:v>2026-09-14T09:03:03.000Z</x:v>
      </x:c>
      <x:c r="J1715" s="1" t="n">
        <x:f>IF(ISNUMBER(F1715),E1715,0)</x:f>
        <x:v>0</x:v>
      </x:c>
      <x:c r="K1715" s="1"/>
      <x:c r="L1715" s="1" t="str">
        <x:v>https://blog.skyairline.com/hotel-todo-incluido/</x:v>
      </x:c>
      <x:c r="M1715" s="1" t="n">
        <x:v>0</x:v>
      </x:c>
    </x:row>
    <x:row r="1716" ht="18.75" customHeight="1">
      <x:c r="A1716" s="1" t="str">
        <x:v>https://blog.skyairline.com/ciudades-peruanas/</x:v>
      </x:c>
      <x:c r="B1716" s="1" t="str">
        <x:v>sky peru</x:v>
      </x:c>
      <x:c r="C1716" s="1" t="str">
        <x:v>chl</x:v>
      </x:c>
      <x:c r="D1716" s="1" t="str">
        <x:v>Marca</x:v>
      </x:c>
      <x:c r="E1716" s="35" t="n">
        <x:v>1</x:v>
      </x:c>
      <x:c r="F1716" s="36" t="n">
        <x:v>0.5</x:v>
      </x:c>
      <x:c r="G1716" s="36" t="n">
        <x:f>IF(ISNUMBER(F1716),E1716*F1716,"")</x:f>
        <x:v>0.5</x:v>
      </x:c>
      <x:c r="H1716" s="37" t="d">
        <x:v>2026-10-15T00:00:00.000Z</x:v>
      </x:c>
      <x:c r="I1716" s="37" t="d">
        <x:v>2026-09-12T19:01:49.000Z</x:v>
      </x:c>
      <x:c r="J1716" s="1" t="n">
        <x:f>IF(ISNUMBER(F1716),E1716,0)</x:f>
        <x:v>1</x:v>
      </x:c>
      <x:c r="K1716" s="1"/>
      <x:c r="L1716" s="1" t="str">
        <x:v>https://blog.skyairline.com/hoteles-de-miami/</x:v>
      </x:c>
      <x:c r="M1716" s="1" t="n">
        <x:v>0</x:v>
      </x:c>
    </x:row>
    <x:row r="1717" ht="18.75" customHeight="1">
      <x:c r="A1717" s="1" t="str">
        <x:v>https://blog.skyairline.com/clima-de-la-zona-norte-de-chile-temperaturas-y-estaciones/</x:v>
      </x:c>
      <x:c r="B1717" s="1" t="str">
        <x:v>clima de la zona norte</x:v>
      </x:c>
      <x:c r="C1717" s="1" t="str">
        <x:v>chl</x:v>
      </x:c>
      <x:c r="D1717" s="1" t="str">
        <x:v>Sin marca</x:v>
      </x:c>
      <x:c r="E1717" s="35" t="n">
        <x:v>1</x:v>
      </x:c>
      <x:c r="F1717" s="36"/>
      <x:c r="G1717" s="36" t="str">
        <x:f>IF(ISNUMBER(F1717),E1717*F1717,"")</x:f>
      </x:c>
      <x:c r="H1717" s="37" t="d">
        <x:v>2026-10-15T00:00:00.000Z</x:v>
      </x:c>
      <x:c r="I1717" s="37" t="d">
        <x:v>2026-09-17T23:17:55.000Z</x:v>
      </x:c>
      <x:c r="J1717" s="1" t="n">
        <x:f>IF(ISNUMBER(F1717),E1717,0)</x:f>
        <x:v>0</x:v>
      </x:c>
      <x:c r="K1717" s="1"/>
      <x:c r="L1717" s="1" t="str">
        <x:v>https://blog.skyairline.com/hoteles-en-cancun-como-encontrar-la-mejor-opcion-segun-tu-presupuesto-2/</x:v>
      </x:c>
      <x:c r="M1717" s="1" t="n">
        <x:v>0</x:v>
      </x:c>
    </x:row>
    <x:row r="1718" ht="18.75" customHeight="1">
      <x:c r="A1718" s="1" t="str">
        <x:v>https://blog.skyairline.com/clima-de-la-zona-norte-de-chile-temperaturas-y-estaciones/</x:v>
      </x:c>
      <x:c r="B1718" s="1" t="str">
        <x:v>clima en el norte de chile</x:v>
      </x:c>
      <x:c r="C1718" s="1" t="str">
        <x:v>chl</x:v>
      </x:c>
      <x:c r="D1718" s="1" t="str">
        <x:v>Sin marca</x:v>
      </x:c>
      <x:c r="E1718" s="35" t="n">
        <x:v>1</x:v>
      </x:c>
      <x:c r="F1718" s="36" t="n">
        <x:v>0.07</x:v>
      </x:c>
      <x:c r="G1718" s="36" t="n">
        <x:f>IF(ISNUMBER(F1718),E1718*F1718,"")</x:f>
        <x:v>0.07</x:v>
      </x:c>
      <x:c r="H1718" s="37" t="d">
        <x:v>2026-10-15T00:00:00.000Z</x:v>
      </x:c>
      <x:c r="I1718" s="37" t="d">
        <x:v>2026-09-14T22:59:30.999Z</x:v>
      </x:c>
      <x:c r="J1718" s="1" t="n">
        <x:f>IF(ISNUMBER(F1718),E1718,0)</x:f>
        <x:v>1</x:v>
      </x:c>
      <x:c r="K1718" s="1"/>
      <x:c r="L1718" s="1" t="str">
        <x:v>https://blog.skyairline.com/hoteles-en-mendoza/</x:v>
      </x:c>
      <x:c r="M1718" s="1" t="n">
        <x:v>0</x:v>
      </x:c>
    </x:row>
    <x:row r="1719" ht="18.75" customHeight="1">
      <x:c r="A1719" s="1" t="str">
        <x:v>https://blog.skyairline.com/clima-de-la-zona-norte-de-chile-temperaturas-y-estaciones/</x:v>
      </x:c>
      <x:c r="B1719" s="1" t="str">
        <x:v>zona norte clima</x:v>
      </x:c>
      <x:c r="C1719" s="1" t="str">
        <x:v>chl</x:v>
      </x:c>
      <x:c r="D1719" s="1" t="str">
        <x:v>Sin marca</x:v>
      </x:c>
      <x:c r="E1719" s="35" t="n">
        <x:v>1</x:v>
      </x:c>
      <x:c r="F1719" s="36"/>
      <x:c r="G1719" s="36" t="str">
        <x:f>IF(ISNUMBER(F1719),E1719*F1719,"")</x:f>
      </x:c>
      <x:c r="H1719" s="37" t="d">
        <x:v>2026-10-15T00:00:00.000Z</x:v>
      </x:c>
      <x:c r="I1719" s="37" t="d">
        <x:v>2026-09-12T21:06:28.000Z</x:v>
      </x:c>
      <x:c r="J1719" s="1" t="n">
        <x:f>IF(ISNUMBER(F1719),E1719,0)</x:f>
        <x:v>0</x:v>
      </x:c>
      <x:c r="K1719" s="1"/>
      <x:c r="L1719" s="1" t="str">
        <x:v>https://blog.skyairline.com/hoteles-en-porto-alegre/</x:v>
      </x:c>
      <x:c r="M1719" s="1" t="n">
        <x:v>0</x:v>
      </x:c>
    </x:row>
    <x:row r="1720" ht="18.75" customHeight="1">
      <x:c r="A1720" s="1" t="str">
        <x:v>https://blog.skyairline.com/clima-de-la-zona-sur-de-chile-temperaturas-y-estaciones/</x:v>
      </x:c>
      <x:c r="B1720" s="1" t="str">
        <x:v>clima de la zona sur de chile</x:v>
      </x:c>
      <x:c r="C1720" s="1" t="str">
        <x:v>chl</x:v>
      </x:c>
      <x:c r="D1720" s="1" t="str">
        <x:v>Sin marca</x:v>
      </x:c>
      <x:c r="E1720" s="35" t="n">
        <x:v>1</x:v>
      </x:c>
      <x:c r="F1720" s="36"/>
      <x:c r="G1720" s="36" t="str">
        <x:f>IF(ISNUMBER(F1720),E1720*F1720,"")</x:f>
      </x:c>
      <x:c r="H1720" s="37" t="d">
        <x:v>2026-10-15T00:00:00.000Z</x:v>
      </x:c>
      <x:c r="I1720" s="37" t="d">
        <x:v>2026-09-15T18:04:10.000Z</x:v>
      </x:c>
      <x:c r="J1720" s="1" t="n">
        <x:f>IF(ISNUMBER(F1720),E1720,0)</x:f>
        <x:v>0</x:v>
      </x:c>
      <x:c r="K1720" s="1"/>
      <x:c r="L1720" s="1" t="str">
        <x:v>https://blog.skyairline.com/hoteles-en-santiago/</x:v>
      </x:c>
      <x:c r="M1720" s="1" t="n">
        <x:v>0</x:v>
      </x:c>
    </x:row>
    <x:row r="1721" ht="18.75" customHeight="1">
      <x:c r="A1721" s="1" t="str">
        <x:v>https://blog.skyairline.com/clima-de-la-zona-sur-de-chile-temperaturas-y-estaciones/</x:v>
      </x:c>
      <x:c r="B1721" s="1" t="str">
        <x:v>clima en el sur de chile</x:v>
      </x:c>
      <x:c r="C1721" s="1" t="str">
        <x:v>col</x:v>
      </x:c>
      <x:c r="D1721" s="1" t="str">
        <x:v>Sin marca</x:v>
      </x:c>
      <x:c r="E1721" s="35" t="n">
        <x:v>1</x:v>
      </x:c>
      <x:c r="F1721" s="36"/>
      <x:c r="G1721" s="36" t="str">
        <x:f>IF(ISNUMBER(F1721),E1721*F1721,"")</x:f>
      </x:c>
      <x:c r="H1721" s="37"/>
      <x:c r="I1721" s="37"/>
      <x:c r="J1721" s="1" t="n">
        <x:f>IF(ISNUMBER(F1721),E1721,0)</x:f>
        <x:v>0</x:v>
      </x:c>
      <x:c r="K1721" s="1"/>
      <x:c r="L1721" s="1" t="str">
        <x:v>https://blog.skyairline.com/hoteles-para-una-sola-persona/</x:v>
      </x:c>
      <x:c r="M1721" s="1" t="n">
        <x:v>0</x:v>
      </x:c>
    </x:row>
    <x:row r="1722" ht="18.75" customHeight="1">
      <x:c r="A1722" s="1" t="str">
        <x:v>https://blog.skyairline.com/clima-de-la-zona-sur-de-chile-temperaturas-y-estaciones/</x:v>
      </x:c>
      <x:c r="B1722" s="1" t="str">
        <x:v>clima en el sur de chile</x:v>
      </x:c>
      <x:c r="C1722" s="1" t="str">
        <x:v>cub</x:v>
      </x:c>
      <x:c r="D1722" s="1" t="str">
        <x:v>Sin marca</x:v>
      </x:c>
      <x:c r="E1722" s="35" t="n">
        <x:v>1</x:v>
      </x:c>
      <x:c r="F1722" s="36"/>
      <x:c r="G1722" s="36" t="str">
        <x:f>IF(ISNUMBER(F1722),E1722*F1722,"")</x:f>
      </x:c>
      <x:c r="H1722" s="37"/>
      <x:c r="I1722" s="37"/>
      <x:c r="J1722" s="1" t="n">
        <x:f>IF(ISNUMBER(F1722),E1722,0)</x:f>
        <x:v>0</x:v>
      </x:c>
      <x:c r="K1722" s="1"/>
      <x:c r="L1722" s="1" t="str">
        <x:v>https://blog.skyairline.com/hoteles-tematicos/</x:v>
      </x:c>
      <x:c r="M1722" s="1" t="n">
        <x:v>0</x:v>
      </x:c>
    </x:row>
    <x:row r="1723" ht="18.75" customHeight="1">
      <x:c r="A1723" s="1" t="str">
        <x:v>https://blog.skyairline.com/clima-en-cancun-temperatura-y-mejor-temporada-para-ir/</x:v>
      </x:c>
      <x:c r="B1723" s="1" t="str">
        <x:v>cual es la mejor fecha para viajar a cancun</x:v>
      </x:c>
      <x:c r="C1723" s="1" t="str">
        <x:v>chl</x:v>
      </x:c>
      <x:c r="D1723" s="1" t="str">
        <x:v>Sin marca</x:v>
      </x:c>
      <x:c r="E1723" s="35" t="n">
        <x:v>1</x:v>
      </x:c>
      <x:c r="F1723" s="36" t="n">
        <x:v>0.2</x:v>
      </x:c>
      <x:c r="G1723" s="36" t="n">
        <x:f>IF(ISNUMBER(F1723),E1723*F1723,"")</x:f>
        <x:v>0.2</x:v>
      </x:c>
      <x:c r="H1723" s="37" t="d">
        <x:v>2026-10-15T00:00:00.000Z</x:v>
      </x:c>
      <x:c r="I1723" s="37" t="d">
        <x:v>2026-09-13T18:12:47.999Z</x:v>
      </x:c>
      <x:c r="J1723" s="1" t="n">
        <x:f>IF(ISNUMBER(F1723),E1723,0)</x:f>
        <x:v>1</x:v>
      </x:c>
      <x:c r="K1723" s="1"/>
      <x:c r="L1723" s="1" t="str">
        <x:v>https://blog.skyairline.com/huanchaco/</x:v>
      </x:c>
      <x:c r="M1723" s="1" t="n">
        <x:v>0</x:v>
      </x:c>
    </x:row>
    <x:row r="1724" ht="18.75" customHeight="1">
      <x:c r="A1724" s="1" t="str">
        <x:v>https://blog.skyairline.com/clima-en-cancun-temperatura-y-mejor-temporada-para-ir/</x:v>
      </x:c>
      <x:c r="B1724" s="1" t="str">
        <x:v>mejor epoca para ir a cancun</x:v>
      </x:c>
      <x:c r="C1724" s="1" t="str">
        <x:v>chl</x:v>
      </x:c>
      <x:c r="D1724" s="1" t="str">
        <x:v>Sin marca</x:v>
      </x:c>
      <x:c r="E1724" s="35" t="n">
        <x:v>1</x:v>
      </x:c>
      <x:c r="F1724" s="36" t="n">
        <x:v>0.95</x:v>
      </x:c>
      <x:c r="G1724" s="36" t="n">
        <x:f>IF(ISNUMBER(F1724),E1724*F1724,"")</x:f>
        <x:v>0.95</x:v>
      </x:c>
      <x:c r="H1724" s="37" t="d">
        <x:v>2026-10-15T00:00:00.000Z</x:v>
      </x:c>
      <x:c r="I1724" s="37" t="d">
        <x:v>2026-09-13T22:09:30.000Z</x:v>
      </x:c>
      <x:c r="J1724" s="1" t="n">
        <x:f>IF(ISNUMBER(F1724),E1724,0)</x:f>
        <x:v>1</x:v>
      </x:c>
      <x:c r="K1724" s="1"/>
      <x:c r="L1724" s="1" t="str">
        <x:v>https://blog.skyairline.com/huaraz/</x:v>
      </x:c>
      <x:c r="M1724" s="1" t="n">
        <x:v>0</x:v>
      </x:c>
    </x:row>
    <x:row r="1725" ht="18.75" customHeight="1">
      <x:c r="A1725" s="1" t="str">
        <x:v>https://blog.skyairline.com/clima-en-cancun-temperatura-y-mejor-temporada-para-ir/</x:v>
      </x:c>
      <x:c r="B1725" s="1" t="str">
        <x:v>mejor epoca para viajar a cancun</x:v>
      </x:c>
      <x:c r="C1725" s="1" t="str">
        <x:v>chl</x:v>
      </x:c>
      <x:c r="D1725" s="1" t="str">
        <x:v>Sin marca</x:v>
      </x:c>
      <x:c r="E1725" s="35" t="n">
        <x:v>1</x:v>
      </x:c>
      <x:c r="F1725" s="36" t="n">
        <x:v>0.03</x:v>
      </x:c>
      <x:c r="G1725" s="36" t="n">
        <x:f>IF(ISNUMBER(F1725),E1725*F1725,"")</x:f>
        <x:v>0.03</x:v>
      </x:c>
      <x:c r="H1725" s="37" t="d">
        <x:v>2026-10-15T00:00:00.000Z</x:v>
      </x:c>
      <x:c r="I1725" s="37" t="d">
        <x:v>2026-09-14T19:20:51.000Z</x:v>
      </x:c>
      <x:c r="J1725" s="1" t="n">
        <x:f>IF(ISNUMBER(F1725),E1725,0)</x:f>
        <x:v>1</x:v>
      </x:c>
      <x:c r="K1725" s="1"/>
      <x:c r="L1725" s="1" t="str">
        <x:v>https://blog.skyairline.com/iglesias-chiloe/</x:v>
      </x:c>
      <x:c r="M1725" s="1" t="n">
        <x:v>0</x:v>
      </x:c>
    </x:row>
    <x:row r="1726" ht="18.75" customHeight="1">
      <x:c r="A1726" s="1" t="str">
        <x:v>https://blog.skyairline.com/clima-en-cancun-temperatura-y-mejor-temporada-para-ir/</x:v>
      </x:c>
      <x:c r="B1726" s="1" t="str">
        <x:v>mejores fechas para ir a cancun</x:v>
      </x:c>
      <x:c r="C1726" s="1" t="str">
        <x:v>chl</x:v>
      </x:c>
      <x:c r="D1726" s="1" t="str">
        <x:v>Sin marca</x:v>
      </x:c>
      <x:c r="E1726" s="35" t="n">
        <x:v>1</x:v>
      </x:c>
      <x:c r="F1726" s="36" t="n">
        <x:v>0.74</x:v>
      </x:c>
      <x:c r="G1726" s="36" t="n">
        <x:f>IF(ISNUMBER(F1726),E1726*F1726,"")</x:f>
        <x:v>0.74</x:v>
      </x:c>
      <x:c r="H1726" s="37" t="d">
        <x:v>2026-10-15T00:00:00.000Z</x:v>
      </x:c>
      <x:c r="I1726" s="37" t="d">
        <x:v>2026-10-15T04:29:25.000Z</x:v>
      </x:c>
      <x:c r="J1726" s="1" t="n">
        <x:f>IF(ISNUMBER(F1726),E1726,0)</x:f>
        <x:v>1</x:v>
      </x:c>
      <x:c r="K1726" s="1"/>
      <x:c r="L1726" s="1" t="str">
        <x:v>https://blog.skyairline.com/invierno-brasil/</x:v>
      </x:c>
      <x:c r="M1726" s="1" t="n">
        <x:v>0</x:v>
      </x:c>
    </x:row>
    <x:row r="1727" ht="18.75" customHeight="1">
      <x:c r="A1727" s="1" t="str">
        <x:v>https://blog.skyairline.com/clima-en-punta-cana-cual-es-la-mejor-epoca-para-viajar/</x:v>
      </x:c>
      <x:c r="B1727" s="1" t="str">
        <x:v>clima en mayo en punta cana</x:v>
      </x:c>
      <x:c r="C1727" s="1" t="str">
        <x:v>chl</x:v>
      </x:c>
      <x:c r="D1727" s="1" t="str">
        <x:v>Sin marca</x:v>
      </x:c>
      <x:c r="E1727" s="35" t="n">
        <x:v>1</x:v>
      </x:c>
      <x:c r="F1727" s="36"/>
      <x:c r="G1727" s="36" t="str">
        <x:f>IF(ISNUMBER(F1727),E1727*F1727,"")</x:f>
      </x:c>
      <x:c r="H1727" s="37" t="d">
        <x:v>2026-10-15T00:00:00.000Z</x:v>
      </x:c>
      <x:c r="I1727" s="37" t="d">
        <x:v>2026-09-16T18:35:52.000Z</x:v>
      </x:c>
      <x:c r="J1727" s="1" t="n">
        <x:f>IF(ISNUMBER(F1727),E1727,0)</x:f>
        <x:v>0</x:v>
      </x:c>
      <x:c r="K1727" s="1"/>
      <x:c r="L1727" s="1" t="str">
        <x:v>https://blog.skyairline.com/invierno-en-concepcion/</x:v>
      </x:c>
      <x:c r="M1727" s="1" t="n">
        <x:v>0</x:v>
      </x:c>
    </x:row>
    <x:row r="1728" ht="18.75" customHeight="1">
      <x:c r="A1728" s="1" t="str">
        <x:v>https://blog.skyairline.com/clima-en-punta-cana-cual-es-la-mejor-epoca-para-viajar/</x:v>
      </x:c>
      <x:c r="B1728" s="1" t="str">
        <x:v>clima en punta cana</x:v>
      </x:c>
      <x:c r="C1728" s="1" t="str">
        <x:v>chl</x:v>
      </x:c>
      <x:c r="D1728" s="1" t="str">
        <x:v>Sin marca</x:v>
      </x:c>
      <x:c r="E1728" s="35" t="n">
        <x:v>1</x:v>
      </x:c>
      <x:c r="F1728" s="36" t="n">
        <x:v>0.42</x:v>
      </x:c>
      <x:c r="G1728" s="36" t="n">
        <x:f>IF(ISNUMBER(F1728),E1728*F1728,"")</x:f>
        <x:v>0.42</x:v>
      </x:c>
      <x:c r="H1728" s="37" t="d">
        <x:v>2026-10-15T00:00:00.000Z</x:v>
      </x:c>
      <x:c r="I1728" s="37" t="d">
        <x:v>2026-09-15T05:32:43.000Z</x:v>
      </x:c>
      <x:c r="J1728" s="1" t="n">
        <x:f>IF(ISNUMBER(F1728),E1728,0)</x:f>
        <x:v>1</x:v>
      </x:c>
      <x:c r="K1728" s="1"/>
      <x:c r="L1728" s="1" t="str">
        <x:v>https://blog.skyairline.com/invierno-en-peru/</x:v>
      </x:c>
      <x:c r="M1728" s="1" t="n">
        <x:v>0</x:v>
      </x:c>
    </x:row>
    <x:row r="1729" ht="18.75" customHeight="1">
      <x:c r="A1729" s="1" t="str">
        <x:v>https://blog.skyairline.com/clima-en-punta-cana-cual-es-la-mejor-epoca-para-viajar/</x:v>
      </x:c>
      <x:c r="B1729" s="1" t="str">
        <x:v>clima punta cana</x:v>
      </x:c>
      <x:c r="C1729" s="1" t="str">
        <x:v>per</x:v>
      </x:c>
      <x:c r="D1729" s="1" t="str">
        <x:v>Sin marca</x:v>
      </x:c>
      <x:c r="E1729" s="35" t="n">
        <x:v>1</x:v>
      </x:c>
      <x:c r="F1729" s="36"/>
      <x:c r="G1729" s="36" t="str">
        <x:f>IF(ISNUMBER(F1729),E1729*F1729,"")</x:f>
      </x:c>
      <x:c r="H1729" s="37" t="d">
        <x:v>2026-10-15T00:00:00.000Z</x:v>
      </x:c>
      <x:c r="I1729" s="37" t="d">
        <x:v>2026-10-15T11:53:25.000Z</x:v>
      </x:c>
      <x:c r="J1729" s="1" t="n">
        <x:f>IF(ISNUMBER(F1729),E1729,0)</x:f>
        <x:v>0</x:v>
      </x:c>
      <x:c r="K1729" s="1"/>
      <x:c r="L1729" s="1" t="str">
        <x:v>https://blog.skyairline.com/invierno-en-punta-arenas/</x:v>
      </x:c>
      <x:c r="M1729" s="1" t="n">
        <x:v>0</x:v>
      </x:c>
    </x:row>
    <x:row r="1730" ht="18.75" customHeight="1">
      <x:c r="A1730" s="1" t="str">
        <x:v>https://blog.skyairline.com/clima-en-punta-cana-cual-es-la-mejor-epoca-para-viajar/</x:v>
      </x:c>
      <x:c r="B1730" s="1" t="str">
        <x:v>mejores fechas para ir a punta cana</x:v>
      </x:c>
      <x:c r="C1730" s="1" t="str">
        <x:v>mex</x:v>
      </x:c>
      <x:c r="D1730" s="1" t="str">
        <x:v>Sin marca</x:v>
      </x:c>
      <x:c r="E1730" s="35" t="n">
        <x:v>1</x:v>
      </x:c>
      <x:c r="F1730" s="36"/>
      <x:c r="G1730" s="36" t="str">
        <x:f>IF(ISNUMBER(F1730),E1730*F1730,"")</x:f>
      </x:c>
      <x:c r="H1730" s="37"/>
      <x:c r="I1730" s="37"/>
      <x:c r="J1730" s="1" t="n">
        <x:f>IF(ISNUMBER(F1730),E1730,0)</x:f>
        <x:v>0</x:v>
      </x:c>
      <x:c r="K1730" s="1"/>
      <x:c r="L1730" s="1" t="str">
        <x:v>https://blog.skyairline.com/invierno-en-temuco/</x:v>
      </x:c>
      <x:c r="M1730" s="1" t="n">
        <x:v>0</x:v>
      </x:c>
    </x:row>
    <x:row r="1731" ht="18.75" customHeight="1">
      <x:c r="A1731" s="1" t="str">
        <x:v>https://blog.skyairline.com/clima-en-punta-cana-cual-es-la-mejor-epoca-para-viajar/</x:v>
      </x:c>
      <x:c r="B1731" s="1" t="str">
        <x:v>punta cana en diciembre clima</x:v>
      </x:c>
      <x:c r="C1731" s="1" t="str">
        <x:v>ury</x:v>
      </x:c>
      <x:c r="D1731" s="1" t="str">
        <x:v>Sin marca</x:v>
      </x:c>
      <x:c r="E1731" s="35" t="n">
        <x:v>1</x:v>
      </x:c>
      <x:c r="F1731" s="36"/>
      <x:c r="G1731" s="36" t="str">
        <x:f>IF(ISNUMBER(F1731),E1731*F1731,"")</x:f>
      </x:c>
      <x:c r="H1731" s="37"/>
      <x:c r="I1731" s="37"/>
      <x:c r="J1731" s="1" t="n">
        <x:f>IF(ISNUMBER(F1731),E1731,0)</x:f>
        <x:v>0</x:v>
      </x:c>
      <x:c r="K1731" s="1"/>
      <x:c r="L1731" s="1" t="str">
        <x:v>https://blog.skyairline.com/iquique/</x:v>
      </x:c>
      <x:c r="M1731" s="1" t="n">
        <x:v>0</x:v>
      </x:c>
    </x:row>
    <x:row r="1732" ht="18.75" customHeight="1">
      <x:c r="A1732" s="1" t="str">
        <x:v>https://blog.skyairline.com/clima-en-rio-de-janeiro/</x:v>
      </x:c>
      <x:c r="B1732" s="1" t="str">
        <x:v>cuando llueve mas en rio de janeiro</x:v>
      </x:c>
      <x:c r="C1732" s="1" t="str">
        <x:v>chl</x:v>
      </x:c>
      <x:c r="D1732" s="1" t="str">
        <x:v>Sin marca</x:v>
      </x:c>
      <x:c r="E1732" s="35" t="n">
        <x:v>1</x:v>
      </x:c>
      <x:c r="F1732" s="36"/>
      <x:c r="G1732" s="36" t="str">
        <x:f>IF(ISNUMBER(F1732),E1732*F1732,"")</x:f>
      </x:c>
      <x:c r="H1732" s="37"/>
      <x:c r="I1732" s="37"/>
      <x:c r="J1732" s="1" t="n">
        <x:f>IF(ISNUMBER(F1732),E1732,0)</x:f>
        <x:v>0</x:v>
      </x:c>
      <x:c r="K1732" s="1"/>
      <x:c r="L1732" s="1" t="str">
        <x:v>https://blog.skyairline.com/ir-a-machu-picchu-en-tiempos-de-covid-19/</x:v>
      </x:c>
      <x:c r="M1732" s="1" t="n">
        <x:v>0</x:v>
      </x:c>
    </x:row>
    <x:row r="1733" ht="18.75" customHeight="1">
      <x:c r="A1733" s="1" t="str">
        <x:v>https://blog.skyairline.com/clima-en-salvador-de-bahia-temperatura-y-mejor-epoca-para-viajar/</x:v>
      </x:c>
      <x:c r="B1733" s="1" t="str">
        <x:v>el tiempo en salvador de bahía</x:v>
      </x:c>
      <x:c r="C1733" s="1" t="str">
        <x:v>bra</x:v>
      </x:c>
      <x:c r="D1733" s="1" t="str">
        <x:v>Sin marca</x:v>
      </x:c>
      <x:c r="E1733" s="35" t="n">
        <x:v>1</x:v>
      </x:c>
      <x:c r="F1733" s="36"/>
      <x:c r="G1733" s="36" t="str">
        <x:f>IF(ISNUMBER(F1733),E1733*F1733,"")</x:f>
      </x:c>
      <x:c r="H1733" s="37"/>
      <x:c r="I1733" s="37"/>
      <x:c r="J1733" s="1" t="n">
        <x:f>IF(ISNUMBER(F1733),E1733,0)</x:f>
        <x:v>0</x:v>
      </x:c>
      <x:c r="K1733" s="1"/>
      <x:c r="L1733" s="1" t="str">
        <x:v>https://blog.skyairline.com/isla-de-monos/</x:v>
      </x:c>
      <x:c r="M1733" s="1" t="n">
        <x:v>0</x:v>
      </x:c>
    </x:row>
    <x:row r="1734" ht="18.75" customHeight="1">
      <x:c r="A1734" s="1" t="str">
        <x:v>https://blog.skyairline.com/clima-en-salvador-de-bahia-temperatura-y-mejor-epoca-para-viajar/</x:v>
      </x:c>
      <x:c r="B1734" s="1" t="str">
        <x:v>salvador de bahia clima</x:v>
      </x:c>
      <x:c r="C1734" s="1" t="str">
        <x:v>chl</x:v>
      </x:c>
      <x:c r="D1734" s="1" t="str">
        <x:v>Sin marca</x:v>
      </x:c>
      <x:c r="E1734" s="35" t="n">
        <x:v>1</x:v>
      </x:c>
      <x:c r="F1734" s="36"/>
      <x:c r="G1734" s="36" t="str">
        <x:f>IF(ISNUMBER(F1734),E1734*F1734,"")</x:f>
      </x:c>
      <x:c r="H1734" s="37" t="d">
        <x:v>2026-10-15T00:00:00.000Z</x:v>
      </x:c>
      <x:c r="I1734" s="37" t="d">
        <x:v>2026-10-15T04:29:25.000Z</x:v>
      </x:c>
      <x:c r="J1734" s="1" t="n">
        <x:f>IF(ISNUMBER(F1734),E1734,0)</x:f>
        <x:v>0</x:v>
      </x:c>
      <x:c r="K1734" s="1"/>
      <x:c r="L1734" s="1" t="str">
        <x:v>https://blog.skyairline.com/isla-de-nos-monos/</x:v>
      </x:c>
      <x:c r="M1734" s="1" t="n">
        <x:v>0</x:v>
      </x:c>
    </x:row>
    <x:row r="1735" ht="18.75" customHeight="1">
      <x:c r="A1735" s="1" t="str">
        <x:v>https://blog.skyairline.com/clima-en-salvador-de-bahia-temperatura-y-mejor-epoca-para-viajar/</x:v>
      </x:c>
      <x:c r="B1735" s="1" t="str">
        <x:v>salvador de bahía</x:v>
      </x:c>
      <x:c r="C1735" s="1" t="str">
        <x:v>chl</x:v>
      </x:c>
      <x:c r="D1735" s="1" t="str">
        <x:v>Sin marca</x:v>
      </x:c>
      <x:c r="E1735" s="35" t="n">
        <x:v>1</x:v>
      </x:c>
      <x:c r="F1735" s="36" t="n">
        <x:v>0.73</x:v>
      </x:c>
      <x:c r="G1735" s="36" t="n">
        <x:f>IF(ISNUMBER(F1735),E1735*F1735,"")</x:f>
        <x:v>0.73</x:v>
      </x:c>
      <x:c r="H1735" s="37" t="d">
        <x:v>2026-10-15T00:00:00.000Z</x:v>
      </x:c>
      <x:c r="I1735" s="37" t="d">
        <x:v>2026-09-15T18:12:25.000Z</x:v>
      </x:c>
      <x:c r="J1735" s="1" t="n">
        <x:f>IF(ISNUMBER(F1735),E1735,0)</x:f>
        <x:v>1</x:v>
      </x:c>
      <x:c r="K1735" s="1"/>
      <x:c r="L1735" s="1" t="str">
        <x:v>https://blog.skyairline.com/isla-desierta/</x:v>
      </x:c>
      <x:c r="M1735" s="1" t="n">
        <x:v>0</x:v>
      </x:c>
    </x:row>
    <x:row r="1736" ht="18.75" customHeight="1">
      <x:c r="A1736" s="1" t="str">
        <x:v>https://blog.skyairline.com/clima-en-salvador-de-bahia-temperatura-y-mejor-epoca-para-viajar/</x:v>
      </x:c>
      <x:c r="B1736" s="1" t="str">
        <x:v>salvador de la bahia brasil</x:v>
      </x:c>
      <x:c r="C1736" s="1" t="str">
        <x:v>chl</x:v>
      </x:c>
      <x:c r="D1736" s="1" t="str">
        <x:v>Sin marca</x:v>
      </x:c>
      <x:c r="E1736" s="35" t="n">
        <x:v>1</x:v>
      </x:c>
      <x:c r="F1736" s="36"/>
      <x:c r="G1736" s="36" t="str">
        <x:f>IF(ISNUMBER(F1736),E1736*F1736,"")</x:f>
      </x:c>
      <x:c r="H1736" s="37"/>
      <x:c r="I1736" s="37"/>
      <x:c r="J1736" s="1" t="n">
        <x:f>IF(ISNUMBER(F1736),E1736,0)</x:f>
        <x:v>0</x:v>
      </x:c>
      <x:c r="K1736" s="1"/>
      <x:c r="L1736" s="1" t="str">
        <x:v>https://blog.skyairline.com/isla-foca/</x:v>
      </x:c>
      <x:c r="M1736" s="1" t="n">
        <x:v>0</x:v>
      </x:c>
    </x:row>
    <x:row r="1737" ht="18.75" customHeight="1">
      <x:c r="A1737" s="1" t="str">
        <x:v>https://blog.skyairline.com/clima-florianopolis/</x:v>
      </x:c>
      <x:c r="B1737" s="1" t="str">
        <x:v>clima en florianopolis</x:v>
      </x:c>
      <x:c r="C1737" s="1" t="str">
        <x:v>bol</x:v>
      </x:c>
      <x:c r="D1737" s="1" t="str">
        <x:v>Sin marca</x:v>
      </x:c>
      <x:c r="E1737" s="35" t="n">
        <x:v>1</x:v>
      </x:c>
      <x:c r="F1737" s="36"/>
      <x:c r="G1737" s="36" t="str">
        <x:f>IF(ISNUMBER(F1737),E1737*F1737,"")</x:f>
      </x:c>
      <x:c r="H1737" s="37"/>
      <x:c r="I1737" s="37"/>
      <x:c r="J1737" s="1" t="n">
        <x:f>IF(ISNUMBER(F1737),E1737,0)</x:f>
        <x:v>0</x:v>
      </x:c>
      <x:c r="K1737" s="1"/>
      <x:c r="L1737" s="1" t="str">
        <x:v>https://blog.skyairline.com/isla-mujeres/</x:v>
      </x:c>
      <x:c r="M1737" s="1" t="n">
        <x:v>0</x:v>
      </x:c>
    </x:row>
    <x:row r="1738" ht="18.75" customHeight="1">
      <x:c r="A1738" s="1" t="str">
        <x:v>https://blog.skyairline.com/clima-florianopolis/</x:v>
      </x:c>
      <x:c r="B1738" s="1" t="str">
        <x:v>clima en noviembre en florianopolis</x:v>
      </x:c>
      <x:c r="C1738" s="1" t="str">
        <x:v>chl</x:v>
      </x:c>
      <x:c r="D1738" s="1" t="str">
        <x:v>Sin marca</x:v>
      </x:c>
      <x:c r="E1738" s="35" t="n">
        <x:v>1</x:v>
      </x:c>
      <x:c r="F1738" s="36"/>
      <x:c r="G1738" s="36" t="str">
        <x:f>IF(ISNUMBER(F1738),E1738*F1738,"")</x:f>
      </x:c>
      <x:c r="H1738" s="37"/>
      <x:c r="I1738" s="37"/>
      <x:c r="J1738" s="1" t="n">
        <x:f>IF(ISNUMBER(F1738),E1738,0)</x:f>
        <x:v>0</x:v>
      </x:c>
      <x:c r="K1738" s="1"/>
      <x:c r="L1738" s="1" t="str">
        <x:v>https://blog.skyairline.com/isla-san-lorenzo-callao</x:v>
      </x:c>
      <x:c r="M1738" s="1" t="n">
        <x:v>0</x:v>
      </x:c>
    </x:row>
    <x:row r="1739" ht="18.75" customHeight="1">
      <x:c r="A1739" s="1" t="str">
        <x:v>https://blog.skyairline.com/clima-florianopolis/</x:v>
      </x:c>
      <x:c r="B1739" s="1" t="str">
        <x:v>clima florianopolis</x:v>
      </x:c>
      <x:c r="C1739" s="1" t="str">
        <x:v>chl</x:v>
      </x:c>
      <x:c r="D1739" s="1" t="str">
        <x:v>Sin marca</x:v>
      </x:c>
      <x:c r="E1739" s="35" t="n">
        <x:v>1</x:v>
      </x:c>
      <x:c r="F1739" s="36" t="n">
        <x:v>0.03</x:v>
      </x:c>
      <x:c r="G1739" s="36" t="n">
        <x:f>IF(ISNUMBER(F1739),E1739*F1739,"")</x:f>
        <x:v>0.03</x:v>
      </x:c>
      <x:c r="H1739" s="37" t="d">
        <x:v>2026-10-15T00:00:00.000Z</x:v>
      </x:c>
      <x:c r="I1739" s="37" t="d">
        <x:v>2026-09-17T10:35:58.000Z</x:v>
      </x:c>
      <x:c r="J1739" s="1" t="n">
        <x:f>IF(ISNUMBER(F1739),E1739,0)</x:f>
        <x:v>1</x:v>
      </x:c>
      <x:c r="K1739" s="1"/>
      <x:c r="L1739" s="1" t="str">
        <x:v>https://blog.skyairline.com/isla_mujeres/</x:v>
      </x:c>
      <x:c r="M1739" s="1" t="n">
        <x:v>0</x:v>
      </x:c>
    </x:row>
    <x:row r="1740" ht="18.75" customHeight="1">
      <x:c r="A1740" s="1" t="str">
        <x:v>https://blog.skyairline.com/clima-florianopolis/</x:v>
      </x:c>
      <x:c r="B1740" s="1" t="str">
        <x:v>cual es el mejor mes para ir a florianopolis</x:v>
      </x:c>
      <x:c r="C1740" s="1" t="str">
        <x:v>chl</x:v>
      </x:c>
      <x:c r="D1740" s="1" t="str">
        <x:v>Sin marca</x:v>
      </x:c>
      <x:c r="E1740" s="35" t="n">
        <x:v>1</x:v>
      </x:c>
      <x:c r="F1740" s="36"/>
      <x:c r="G1740" s="36" t="str">
        <x:f>IF(ISNUMBER(F1740),E1740*F1740,"")</x:f>
      </x:c>
      <x:c r="H1740" s="37"/>
      <x:c r="I1740" s="37"/>
      <x:c r="J1740" s="1" t="n">
        <x:f>IF(ISNUMBER(F1740),E1740,0)</x:f>
        <x:v>0</x:v>
      </x:c>
      <x:c r="K1740" s="1"/>
      <x:c r="L1740" s="1" t="str">
        <x:v>https://blog.skyairline.com/islas-de-los-uros/</x:v>
      </x:c>
      <x:c r="M1740" s="1" t="n">
        <x:v>0</x:v>
      </x:c>
    </x:row>
    <x:row r="1741" ht="18.75" customHeight="1">
      <x:c r="A1741" s="1" t="str">
        <x:v>https://blog.skyairline.com/clima-florianopolis/</x:v>
      </x:c>
      <x:c r="B1741" s="1" t="str">
        <x:v>florianapolis</x:v>
      </x:c>
      <x:c r="C1741" s="1" t="str">
        <x:v>cub</x:v>
      </x:c>
      <x:c r="D1741" s="1" t="str">
        <x:v>Sin marca</x:v>
      </x:c>
      <x:c r="E1741" s="35" t="n">
        <x:v>1</x:v>
      </x:c>
      <x:c r="F1741" s="36"/>
      <x:c r="G1741" s="36" t="str">
        <x:f>IF(ISNUMBER(F1741),E1741*F1741,"")</x:f>
      </x:c>
      <x:c r="H1741" s="37"/>
      <x:c r="I1741" s="37"/>
      <x:c r="J1741" s="1" t="n">
        <x:f>IF(ISNUMBER(F1741),E1741,0)</x:f>
        <x:v>0</x:v>
      </x:c>
      <x:c r="K1741" s="1"/>
      <x:c r="L1741" s="1" t="str">
        <x:v>https://blog.skyairline.com/islas-paradisiacas-de-cancun/</x:v>
      </x:c>
      <x:c r="M1741" s="1" t="n">
        <x:v>0</x:v>
      </x:c>
    </x:row>
    <x:row r="1742" ht="18.75" customHeight="1">
      <x:c r="A1742" s="1" t="str">
        <x:v>https://blog.skyairline.com/clima-florianopolis/</x:v>
      </x:c>
      <x:c r="B1742" s="1" t="str">
        <x:v>florianopolis</x:v>
      </x:c>
      <x:c r="C1742" s="1" t="str">
        <x:v>chl</x:v>
      </x:c>
      <x:c r="D1742" s="1" t="str">
        <x:v>Sin marca</x:v>
      </x:c>
      <x:c r="E1742" s="35" t="n">
        <x:v>1</x:v>
      </x:c>
      <x:c r="F1742" s="36" t="n">
        <x:v>0.44</x:v>
      </x:c>
      <x:c r="G1742" s="36" t="n">
        <x:f>IF(ISNUMBER(F1742),E1742*F1742,"")</x:f>
        <x:v>0.44</x:v>
      </x:c>
      <x:c r="H1742" s="37" t="d">
        <x:v>2026-10-15T00:00:00.000Z</x:v>
      </x:c>
      <x:c r="I1742" s="37" t="d">
        <x:v>2026-09-15T04:04:10.000Z</x:v>
      </x:c>
      <x:c r="J1742" s="1" t="n">
        <x:f>IF(ISNUMBER(F1742),E1742,0)</x:f>
        <x:v>1</x:v>
      </x:c>
      <x:c r="K1742" s="1"/>
      <x:c r="L1742" s="1" t="str">
        <x:v>https://blog.skyairline.com/itata/</x:v>
      </x:c>
      <x:c r="M1742" s="1" t="n">
        <x:v>0</x:v>
      </x:c>
    </x:row>
    <x:row r="1743" ht="18.75" customHeight="1">
      <x:c r="A1743" s="1" t="str">
        <x:v>https://blog.skyairline.com/clima-florianopolis/</x:v>
      </x:c>
      <x:c r="B1743" s="1" t="str">
        <x:v>florianópolis brasil</x:v>
      </x:c>
      <x:c r="C1743" s="1" t="str">
        <x:v>cub</x:v>
      </x:c>
      <x:c r="D1743" s="1" t="str">
        <x:v>Sin marca</x:v>
      </x:c>
      <x:c r="E1743" s="35" t="n">
        <x:v>1</x:v>
      </x:c>
      <x:c r="F1743" s="36"/>
      <x:c r="G1743" s="36" t="str">
        <x:f>IF(ISNUMBER(F1743),E1743*F1743,"")</x:f>
      </x:c>
      <x:c r="H1743" s="37"/>
      <x:c r="I1743" s="37"/>
      <x:c r="J1743" s="1" t="n">
        <x:f>IF(ISNUMBER(F1743),E1743,0)</x:f>
        <x:v>0</x:v>
      </x:c>
      <x:c r="K1743" s="1"/>
      <x:c r="L1743" s="1" t="str">
        <x:v>https://blog.skyairline.com/itinerario-de-viaje/</x:v>
      </x:c>
      <x:c r="M1743" s="1" t="n">
        <x:v>0</x:v>
      </x:c>
    </x:row>
    <x:row r="1744" ht="18.75" customHeight="1">
      <x:c r="A1744" s="1" t="str">
        <x:v>https://blog.skyairline.com/clima-florianopolis/</x:v>
      </x:c>
      <x:c r="B1744" s="1" t="str">
        <x:v>floripa</x:v>
      </x:c>
      <x:c r="C1744" s="1" t="str">
        <x:v>chl</x:v>
      </x:c>
      <x:c r="D1744" s="1" t="str">
        <x:v>Sin marca</x:v>
      </x:c>
      <x:c r="E1744" s="35" t="n">
        <x:v>1</x:v>
      </x:c>
      <x:c r="F1744" s="36" t="n">
        <x:v>0.68</x:v>
      </x:c>
      <x:c r="G1744" s="36" t="n">
        <x:f>IF(ISNUMBER(F1744),E1744*F1744,"")</x:f>
        <x:v>0.68</x:v>
      </x:c>
      <x:c r="H1744" s="37" t="d">
        <x:v>2026-10-15T00:00:00.000Z</x:v>
      </x:c>
      <x:c r="I1744" s="37" t="d">
        <x:v>2026-09-15T14:12:46.000Z</x:v>
      </x:c>
      <x:c r="J1744" s="1" t="n">
        <x:f>IF(ISNUMBER(F1744),E1744,0)</x:f>
        <x:v>1</x:v>
      </x:c>
      <x:c r="K1744" s="1"/>
      <x:c r="L1744" s="1" t="str">
        <x:v>https://blog.skyairline.com/itinerario-de-vuelo/</x:v>
      </x:c>
      <x:c r="M1744" s="1" t="n">
        <x:v>0</x:v>
      </x:c>
    </x:row>
    <x:row r="1745" ht="18.75" customHeight="1">
      <x:c r="A1745" s="1" t="str">
        <x:v>https://blog.skyairline.com/clima-florianopolis/</x:v>
      </x:c>
      <x:c r="B1745" s="1" t="str">
        <x:v>santa catarina, florianopolis</x:v>
      </x:c>
      <x:c r="C1745" s="1" t="str">
        <x:v>col</x:v>
      </x:c>
      <x:c r="D1745" s="1" t="str">
        <x:v>Sin marca</x:v>
      </x:c>
      <x:c r="E1745" s="35" t="n">
        <x:v>1</x:v>
      </x:c>
      <x:c r="F1745" s="36"/>
      <x:c r="G1745" s="36" t="str">
        <x:f>IF(ISNUMBER(F1745),E1745*F1745,"")</x:f>
      </x:c>
      <x:c r="H1745" s="37"/>
      <x:c r="I1745" s="37"/>
      <x:c r="J1745" s="1" t="n">
        <x:f>IF(ISNUMBER(F1745),E1745,0)</x:f>
        <x:v>0</x:v>
      </x:c>
      <x:c r="K1745" s="1"/>
      <x:c r="L1745" s="1" t="str">
        <x:v>https://blog.skyairline.com/itinerario-para-viajar-a-chile/</x:v>
      </x:c>
      <x:c r="M1745" s="1" t="n">
        <x:v>0</x:v>
      </x:c>
    </x:row>
    <x:row r="1746" ht="18.75" customHeight="1">
      <x:c r="A1746" s="1" t="str">
        <x:v>https://blog.skyairline.com/comer-antes-de-subir-al-avion/</x:v>
      </x:c>
      <x:c r="B1746" s="1" t="str">
        <x:v>que comer antes de viajar en avion</x:v>
      </x:c>
      <x:c r="C1746" s="1" t="str">
        <x:v>gbr</x:v>
      </x:c>
      <x:c r="D1746" s="1" t="str">
        <x:v>Sin marca</x:v>
      </x:c>
      <x:c r="E1746" s="35" t="n">
        <x:v>1</x:v>
      </x:c>
      <x:c r="F1746" s="36"/>
      <x:c r="G1746" s="36" t="str">
        <x:f>IF(ISNUMBER(F1746),E1746*F1746,"")</x:f>
      </x:c>
      <x:c r="H1746" s="37"/>
      <x:c r="I1746" s="37"/>
      <x:c r="J1746" s="1" t="n">
        <x:f>IF(ISNUMBER(F1746),E1746,0)</x:f>
        <x:v>0</x:v>
      </x:c>
      <x:c r="K1746" s="1"/>
      <x:c r="L1746" s="1" t="str">
        <x:v>https://blog.skyairline.com/junto-a-fundacion-ingeniosas-inspiramos-a-las-mujeres-que-conquistaran-el-cielo/</x:v>
      </x:c>
      <x:c r="M1746" s="1" t="n">
        <x:v>0</x:v>
      </x:c>
    </x:row>
    <x:row r="1747" ht="18.75" customHeight="1">
      <x:c r="A1747" s="1" t="str">
        <x:v>https://blog.skyairline.com/comidas-de-la-costa-peruana/</x:v>
      </x:c>
      <x:c r="B1747" s="1" t="str">
        <x:v>comidas de la costa</x:v>
      </x:c>
      <x:c r="C1747" s="1" t="str">
        <x:v>per</x:v>
      </x:c>
      <x:c r="D1747" s="1" t="str">
        <x:v>Sin marca</x:v>
      </x:c>
      <x:c r="E1747" s="35" t="n">
        <x:v>1</x:v>
      </x:c>
      <x:c r="F1747" s="36"/>
      <x:c r="G1747" s="36" t="str">
        <x:f>IF(ISNUMBER(F1747),E1747*F1747,"")</x:f>
      </x:c>
      <x:c r="H1747" s="37" t="d">
        <x:v>2026-10-15T00:00:00.000Z</x:v>
      </x:c>
      <x:c r="I1747" s="37" t="d">
        <x:v>2026-09-15T12:34:32.000Z</x:v>
      </x:c>
      <x:c r="J1747" s="1" t="n">
        <x:f>IF(ISNUMBER(F1747),E1747,0)</x:f>
        <x:v>0</x:v>
      </x:c>
      <x:c r="K1747" s="1"/>
      <x:c r="L1747" s="1" t="str">
        <x:v>https://blog.skyairline.com/karol-g-sky/</x:v>
      </x:c>
      <x:c r="M1747" s="1" t="n">
        <x:v>0</x:v>
      </x:c>
    </x:row>
    <x:row r="1748" ht="18.75" customHeight="1">
      <x:c r="A1748" s="1" t="str">
        <x:v>https://blog.skyairline.com/comidas-de-la-costa-peruana/</x:v>
      </x:c>
      <x:c r="B1748" s="1" t="str">
        <x:v>platos tipicos de costa</x:v>
      </x:c>
      <x:c r="C1748" s="1" t="str">
        <x:v>per</x:v>
      </x:c>
      <x:c r="D1748" s="1" t="str">
        <x:v>Sin marca</x:v>
      </x:c>
      <x:c r="E1748" s="35" t="n">
        <x:v>1</x:v>
      </x:c>
      <x:c r="F1748" s="36"/>
      <x:c r="G1748" s="36" t="str">
        <x:f>IF(ISNUMBER(F1748),E1748*F1748,"")</x:f>
      </x:c>
      <x:c r="H1748" s="37" t="d">
        <x:v>2026-10-15T00:00:00.000Z</x:v>
      </x:c>
      <x:c r="I1748" s="37" t="d">
        <x:v>2026-09-17T12:22:15.000Z</x:v>
      </x:c>
      <x:c r="J1748" s="1" t="n">
        <x:f>IF(ISNUMBER(F1748),E1748,0)</x:f>
        <x:v>0</x:v>
      </x:c>
      <x:c r="K1748" s="1"/>
      <x:c r="L1748" s="1" t="str">
        <x:v>https://blog.skyairline.com/la-bicolor-y-sky-compensaran-las-emisiones-de-los-vuelos-de-la-seleccion-peruana/</x:v>
      </x:c>
      <x:c r="M1748" s="1" t="n">
        <x:v>0</x:v>
      </x:c>
    </x:row>
    <x:row r="1749" ht="18.75" customHeight="1">
      <x:c r="A1749" s="1" t="str">
        <x:v>https://blog.skyairline.com/comidas-de-la-costa-peruana/</x:v>
      </x:c>
      <x:c r="B1749" s="1" t="str">
        <x:v>una comida típica de la costa</x:v>
      </x:c>
      <x:c r="C1749" s="1" t="str">
        <x:v>per</x:v>
      </x:c>
      <x:c r="D1749" s="1" t="str">
        <x:v>Sin marca</x:v>
      </x:c>
      <x:c r="E1749" s="35" t="n">
        <x:v>1</x:v>
      </x:c>
      <x:c r="F1749" s="36"/>
      <x:c r="G1749" s="36" t="str">
        <x:f>IF(ISNUMBER(F1749),E1749*F1749,"")</x:f>
      </x:c>
      <x:c r="H1749" s="37"/>
      <x:c r="I1749" s="37"/>
      <x:c r="J1749" s="1" t="n">
        <x:f>IF(ISNUMBER(F1749),E1749,0)</x:f>
        <x:v>0</x:v>
      </x:c>
      <x:c r="K1749" s="1"/>
      <x:c r="L1749" s="1" t="str">
        <x:v>https://blog.skyairline.com/la-candelaria/</x:v>
      </x:c>
      <x:c r="M1749" s="1" t="n">
        <x:v>0</x:v>
      </x:c>
    </x:row>
    <x:row r="1750" ht="18.75" customHeight="1">
      <x:c r="A1750" s="1" t="str">
        <x:v>https://blog.skyairline.com/comidas-tipicas-chilenas/</x:v>
      </x:c>
      <x:c r="B1750" s="1" t="str">
        <x:v>comida marina chilena</x:v>
      </x:c>
      <x:c r="C1750" s="1" t="str">
        <x:v>chl</x:v>
      </x:c>
      <x:c r="D1750" s="1" t="str">
        <x:v>Sin marca</x:v>
      </x:c>
      <x:c r="E1750" s="35" t="n">
        <x:v>1</x:v>
      </x:c>
      <x:c r="F1750" s="36"/>
      <x:c r="G1750" s="36" t="str">
        <x:f>IF(ISNUMBER(F1750),E1750*F1750,"")</x:f>
      </x:c>
      <x:c r="H1750" s="37" t="d">
        <x:v>2026-10-15T00:00:00.000Z</x:v>
      </x:c>
      <x:c r="I1750" s="37" t="d">
        <x:v>2026-09-16T13:28:45.000Z</x:v>
      </x:c>
      <x:c r="J1750" s="1" t="n">
        <x:f>IF(ISNUMBER(F1750),E1750,0)</x:f>
        <x:v>0</x:v>
      </x:c>
      <x:c r="K1750" s="1"/>
      <x:c r="L1750" s="1" t="str">
        <x:v>https://blog.skyairline.com/la-portada-de-antofagasta/</x:v>
      </x:c>
      <x:c r="M1750" s="1" t="n">
        <x:v>0</x:v>
      </x:c>
    </x:row>
    <x:row r="1751" ht="18.75" customHeight="1">
      <x:c r="A1751" s="1" t="str">
        <x:v>https://blog.skyairline.com/comidas-y-bebidas-tipicas-del-18-de-septiembre/</x:v>
      </x:c>
      <x:c r="B1751" s="1" t="str">
        <x:v>comida tipica 18 de septiembre</x:v>
      </x:c>
      <x:c r="C1751" s="1" t="str">
        <x:v>chl</x:v>
      </x:c>
      <x:c r="D1751" s="1" t="str">
        <x:v>Sin marca</x:v>
      </x:c>
      <x:c r="E1751" s="35" t="n">
        <x:v>1</x:v>
      </x:c>
      <x:c r="F1751" s="36"/>
      <x:c r="G1751" s="36" t="str">
        <x:f>IF(ISNUMBER(F1751),E1751*F1751,"")</x:f>
      </x:c>
      <x:c r="H1751" s="37" t="d">
        <x:v>2026-10-15T00:00:00.000Z</x:v>
      </x:c>
      <x:c r="I1751" s="37" t="d">
        <x:v>2026-09-17T22:00:06.000Z</x:v>
      </x:c>
      <x:c r="J1751" s="1" t="n">
        <x:f>IF(ISNUMBER(F1751),E1751,0)</x:f>
        <x:v>0</x:v>
      </x:c>
      <x:c r="K1751" s="1"/>
      <x:c r="L1751" s="1" t="str">
        <x:v>https://blog.skyairline.com/la-serena/</x:v>
      </x:c>
      <x:c r="M1751" s="1" t="n">
        <x:v>0</x:v>
      </x:c>
    </x:row>
    <x:row r="1752" ht="18.75" customHeight="1">
      <x:c r="A1752" s="1" t="str">
        <x:v>https://blog.skyairline.com/comidas-y-bebidas-tipicas-del-18-de-septiembre/</x:v>
      </x:c>
      <x:c r="B1752" s="1" t="str">
        <x:v>comida típica 18 de septiembre</x:v>
      </x:c>
      <x:c r="C1752" s="1" t="str">
        <x:v>chl</x:v>
      </x:c>
      <x:c r="D1752" s="1" t="str">
        <x:v>Sin marca</x:v>
      </x:c>
      <x:c r="E1752" s="35" t="n">
        <x:v>1</x:v>
      </x:c>
      <x:c r="F1752" s="36"/>
      <x:c r="G1752" s="36" t="str">
        <x:f>IF(ISNUMBER(F1752),E1752*F1752,"")</x:f>
      </x:c>
      <x:c r="H1752" s="37" t="d">
        <x:v>2026-10-15T00:00:00.000Z</x:v>
      </x:c>
      <x:c r="I1752" s="37" t="d">
        <x:v>2026-09-13T16:52:21.000Z</x:v>
      </x:c>
      <x:c r="J1752" s="1" t="n">
        <x:f>IF(ISNUMBER(F1752),E1752,0)</x:f>
        <x:v>0</x:v>
      </x:c>
      <x:c r="K1752" s="1"/>
      <x:c r="L1752" s="1" t="str">
        <x:v>https://blog.skyairline.com/labicolor-anuncia-a-sky-airline-como-nuevo-patrocinador/</x:v>
      </x:c>
      <x:c r="M1752" s="1" t="n">
        <x:v>0</x:v>
      </x:c>
    </x:row>
    <x:row r="1753" ht="18.75" customHeight="1">
      <x:c r="A1753" s="1" t="str">
        <x:v>https://blog.skyairline.com/comidas-y-bebidas-tipicas-del-18-de-septiembre/</x:v>
      </x:c>
      <x:c r="B1753" s="1" t="str">
        <x:v>comidas tipicas 18 de septiembre</x:v>
      </x:c>
      <x:c r="C1753" s="1" t="str">
        <x:v>chl</x:v>
      </x:c>
      <x:c r="D1753" s="1" t="str">
        <x:v>Sin marca</x:v>
      </x:c>
      <x:c r="E1753" s="35" t="n">
        <x:v>1</x:v>
      </x:c>
      <x:c r="F1753" s="36"/>
      <x:c r="G1753" s="36" t="str">
        <x:f>IF(ISNUMBER(F1753),E1753*F1753,"")</x:f>
      </x:c>
      <x:c r="H1753" s="37"/>
      <x:c r="I1753" s="37"/>
      <x:c r="J1753" s="1" t="n">
        <x:f>IF(ISNUMBER(F1753),E1753,0)</x:f>
        <x:v>0</x:v>
      </x:c>
      <x:c r="K1753" s="1"/>
      <x:c r="L1753" s="1" t="str">
        <x:v>https://blog.skyairline.com/lago-chungara/</x:v>
      </x:c>
      <x:c r="M1753" s="1" t="n">
        <x:v>0</x:v>
      </x:c>
    </x:row>
    <x:row r="1754" ht="18.75" customHeight="1">
      <x:c r="A1754" s="1" t="str">
        <x:v>https://blog.skyairline.com/comidas-y-bebidas-tipicas-del-18-de-septiembre/</x:v>
      </x:c>
      <x:c r="B1754" s="1" t="str">
        <x:v>comidas tipicas 18 septiembre</x:v>
      </x:c>
      <x:c r="C1754" s="1" t="str">
        <x:v>chl</x:v>
      </x:c>
      <x:c r="D1754" s="1" t="str">
        <x:v>Sin marca</x:v>
      </x:c>
      <x:c r="E1754" s="35" t="n">
        <x:v>1</x:v>
      </x:c>
      <x:c r="F1754" s="36"/>
      <x:c r="G1754" s="36" t="str">
        <x:f>IF(ISNUMBER(F1754),E1754*F1754,"")</x:f>
      </x:c>
      <x:c r="H1754" s="37" t="d">
        <x:v>2026-10-15T00:00:00.000Z</x:v>
      </x:c>
      <x:c r="I1754" s="37" t="d">
        <x:v>2026-09-13T09:50:42.000Z</x:v>
      </x:c>
      <x:c r="J1754" s="1" t="n">
        <x:f>IF(ISNUMBER(F1754),E1754,0)</x:f>
        <x:v>0</x:v>
      </x:c>
      <x:c r="K1754" s="1"/>
      <x:c r="L1754" s="1" t="str">
        <x:v>https://blog.skyairline.com/lago-mas-grande-de-chile</x:v>
      </x:c>
      <x:c r="M1754" s="1" t="n">
        <x:v>0</x:v>
      </x:c>
    </x:row>
    <x:row r="1755" ht="18.75" customHeight="1">
      <x:c r="A1755" s="1" t="str">
        <x:v>https://blog.skyairline.com/comidas-y-bebidas-tipicas-del-18-de-septiembre/</x:v>
      </x:c>
      <x:c r="B1755" s="1" t="str">
        <x:v>comidas tipicas chilenas 18 de septiembre</x:v>
      </x:c>
      <x:c r="C1755" s="1" t="str">
        <x:v>chl</x:v>
      </x:c>
      <x:c r="D1755" s="1" t="str">
        <x:v>Sin marca</x:v>
      </x:c>
      <x:c r="E1755" s="35" t="n">
        <x:v>1</x:v>
      </x:c>
      <x:c r="F1755" s="36"/>
      <x:c r="G1755" s="36" t="str">
        <x:f>IF(ISNUMBER(F1755),E1755*F1755,"")</x:f>
      </x:c>
      <x:c r="H1755" s="37" t="d">
        <x:v>2026-10-15T00:00:00.000Z</x:v>
      </x:c>
      <x:c r="I1755" s="37" t="d">
        <x:v>2026-09-13T03:41:22.000Z</x:v>
      </x:c>
      <x:c r="J1755" s="1" t="n">
        <x:f>IF(ISNUMBER(F1755),E1755,0)</x:f>
        <x:v>0</x:v>
      </x:c>
      <x:c r="K1755" s="1"/>
      <x:c r="L1755" s="1" t="str">
        <x:v>https://blog.skyairline.com/lago-mas-grande-de-chile/</x:v>
      </x:c>
      <x:c r="M1755" s="1" t="n">
        <x:v>0</x:v>
      </x:c>
    </x:row>
    <x:row r="1756" ht="18.75" customHeight="1">
      <x:c r="A1756" s="1" t="str">
        <x:v>https://blog.skyairline.com/comidas-y-bebidas-tipicas-del-18-de-septiembre/</x:v>
      </x:c>
      <x:c r="B1756" s="1" t="str">
        <x:v>comidas tipicas para el 18 de septiembre</x:v>
      </x:c>
      <x:c r="C1756" s="1" t="str">
        <x:v>chl</x:v>
      </x:c>
      <x:c r="D1756" s="1" t="str">
        <x:v>Sin marca</x:v>
      </x:c>
      <x:c r="E1756" s="35" t="n">
        <x:v>1</x:v>
      </x:c>
      <x:c r="F1756" s="36" t="n">
        <x:v>0.03</x:v>
      </x:c>
      <x:c r="G1756" s="36" t="n">
        <x:f>IF(ISNUMBER(F1756),E1756*F1756,"")</x:f>
        <x:v>0.03</x:v>
      </x:c>
      <x:c r="H1756" s="37" t="d">
        <x:v>2026-10-15T00:00:00.000Z</x:v>
      </x:c>
      <x:c r="I1756" s="37" t="d">
        <x:v>2026-09-15T09:52:59.000Z</x:v>
      </x:c>
      <x:c r="J1756" s="1" t="n">
        <x:f>IF(ISNUMBER(F1756),E1756,0)</x:f>
        <x:v>1</x:v>
      </x:c>
      <x:c r="K1756" s="1"/>
      <x:c r="L1756" s="1" t="str">
        <x:v>https://blog.skyairline.com/lago-mas-grandes-de-chile/</x:v>
      </x:c>
      <x:c r="M1756" s="1" t="n">
        <x:v>0</x:v>
      </x:c>
    </x:row>
    <x:row r="1757" ht="18.75" customHeight="1">
      <x:c r="A1757" s="1" t="str">
        <x:v>https://blog.skyairline.com/comidas-y-bebidas-tipicas-del-18-de-septiembre/</x:v>
      </x:c>
      <x:c r="B1757" s="1" t="str">
        <x:v>comidas típicas de fiestas patrias chile</x:v>
      </x:c>
      <x:c r="C1757" s="1" t="str">
        <x:v>chl</x:v>
      </x:c>
      <x:c r="D1757" s="1" t="str">
        <x:v>Sin marca</x:v>
      </x:c>
      <x:c r="E1757" s="35" t="n">
        <x:v>1</x:v>
      </x:c>
      <x:c r="F1757" s="36" t="n">
        <x:v>1.18</x:v>
      </x:c>
      <x:c r="G1757" s="36" t="n">
        <x:f>IF(ISNUMBER(F1757),E1757*F1757,"")</x:f>
        <x:v>1.18</x:v>
      </x:c>
      <x:c r="H1757" s="37" t="d">
        <x:v>2026-10-15T00:00:00.000Z</x:v>
      </x:c>
      <x:c r="I1757" s="37" t="d">
        <x:v>2026-09-14T06:25:44.000Z</x:v>
      </x:c>
      <x:c r="J1757" s="1" t="n">
        <x:f>IF(ISNUMBER(F1757),E1757,0)</x:f>
        <x:v>1</x:v>
      </x:c>
      <x:c r="K1757" s="1"/>
      <x:c r="L1757" s="1" t="str">
        <x:v>https://blog.skyairline.com/lago-todos-los-santos-y-sus-alrededores</x:v>
      </x:c>
      <x:c r="M1757" s="1" t="n">
        <x:v>0</x:v>
      </x:c>
    </x:row>
    <x:row r="1758" ht="18.75" customHeight="1">
      <x:c r="A1758" s="1" t="str">
        <x:v>https://blog.skyairline.com/comidas-y-bebidas-tipicas-del-18-de-septiembre/</x:v>
      </x:c>
      <x:c r="B1758" s="1" t="str">
        <x:v>dulces típicos chilenos para el 18 de septiembre</x:v>
      </x:c>
      <x:c r="C1758" s="1" t="str">
        <x:v>chl</x:v>
      </x:c>
      <x:c r="D1758" s="1" t="str">
        <x:v>Sin marca</x:v>
      </x:c>
      <x:c r="E1758" s="35" t="n">
        <x:v>1</x:v>
      </x:c>
      <x:c r="F1758" s="36" t="n">
        <x:v>0.09</x:v>
      </x:c>
      <x:c r="G1758" s="36" t="n">
        <x:f>IF(ISNUMBER(F1758),E1758*F1758,"")</x:f>
        <x:v>0.09</x:v>
      </x:c>
      <x:c r="H1758" s="37" t="d">
        <x:v>2026-10-15T00:00:00.000Z</x:v>
      </x:c>
      <x:c r="I1758" s="37" t="d">
        <x:v>2026-09-13T08:36:38.000Z</x:v>
      </x:c>
      <x:c r="J1758" s="1" t="n">
        <x:f>IF(ISNUMBER(F1758),E1758,0)</x:f>
        <x:v>1</x:v>
      </x:c>
      <x:c r="K1758" s="1"/>
      <x:c r="L1758" s="1" t="str">
        <x:v>https://blog.skyairline.com/laguna-cejar/</x:v>
      </x:c>
      <x:c r="M1758" s="1" t="n">
        <x:v>0</x:v>
      </x:c>
    </x:row>
    <x:row r="1759" ht="18.75" customHeight="1">
      <x:c r="A1759" s="1" t="str">
        <x:v>https://blog.skyairline.com/comidas-y-bebidas-tipicas-del-18-de-septiembre/</x:v>
      </x:c>
      <x:c r="B1759" s="1" t="str">
        <x:v>platos tipicos de chile 18 de septiembre</x:v>
      </x:c>
      <x:c r="C1759" s="1" t="str">
        <x:v>chl</x:v>
      </x:c>
      <x:c r="D1759" s="1" t="str">
        <x:v>Sin marca</x:v>
      </x:c>
      <x:c r="E1759" s="35" t="n">
        <x:v>1</x:v>
      </x:c>
      <x:c r="F1759" s="36"/>
      <x:c r="G1759" s="36" t="str">
        <x:f>IF(ISNUMBER(F1759),E1759*F1759,"")</x:f>
      </x:c>
      <x:c r="H1759" s="37" t="d">
        <x:v>2026-10-15T00:00:00.000Z</x:v>
      </x:c>
      <x:c r="I1759" s="37" t="d">
        <x:v>2026-09-16T07:43:11.999Z</x:v>
      </x:c>
      <x:c r="J1759" s="1" t="n">
        <x:f>IF(ISNUMBER(F1759),E1759,0)</x:f>
        <x:v>0</x:v>
      </x:c>
      <x:c r="K1759" s="1"/>
      <x:c r="L1759" s="1" t="str">
        <x:v>https://blog.skyairline.com/laguna-del-huemul/</x:v>
      </x:c>
      <x:c r="M1759" s="1" t="n">
        <x:v>0</x:v>
      </x:c>
    </x:row>
    <x:row r="1760" ht="18.75" customHeight="1">
      <x:c r="A1760" s="1" t="str">
        <x:v>https://blog.skyairline.com/como-financiar-viaje/</x:v>
      </x:c>
      <x:c r="B1760" s="1" t="str">
        <x:v>en uruguay?</x:v>
      </x:c>
      <x:c r="C1760" s="1" t="str">
        <x:v>ury</x:v>
      </x:c>
      <x:c r="D1760" s="1" t="str">
        <x:v>Sin marca</x:v>
      </x:c>
      <x:c r="E1760" s="35" t="n">
        <x:v>1</x:v>
      </x:c>
      <x:c r="F1760" s="36"/>
      <x:c r="G1760" s="36" t="str">
        <x:f>IF(ISNUMBER(F1760),E1760*F1760,"")</x:f>
      </x:c>
      <x:c r="H1760" s="37"/>
      <x:c r="I1760" s="37"/>
      <x:c r="J1760" s="1" t="n">
        <x:f>IF(ISNUMBER(F1760),E1760,0)</x:f>
        <x:v>0</x:v>
      </x:c>
      <x:c r="K1760" s="1"/>
      <x:c r="L1760" s="1" t="str">
        <x:v>https://blog.skyairline.com/laguna-humantay/</x:v>
      </x:c>
      <x:c r="M1760" s="1" t="n">
        <x:v>0</x:v>
      </x:c>
    </x:row>
    <x:row r="1761" ht="18.75" customHeight="1">
      <x:c r="A1761" s="1" t="str">
        <x:v>https://blog.skyairline.com/como-funciona-un-seguro-de-viaje/</x:v>
      </x:c>
      <x:c r="B1761" s="1" t="str">
        <x:v>seguro de viaje sky</x:v>
      </x:c>
      <x:c r="C1761" s="1" t="str">
        <x:v>per</x:v>
      </x:c>
      <x:c r="D1761" s="1" t="str">
        <x:v>Marca</x:v>
      </x:c>
      <x:c r="E1761" s="35" t="n">
        <x:v>1</x:v>
      </x:c>
      <x:c r="F1761" s="36" t="n">
        <x:v>3.07</x:v>
      </x:c>
      <x:c r="G1761" s="36" t="n">
        <x:f>IF(ISNUMBER(F1761),E1761*F1761,"")</x:f>
        <x:v>3.07</x:v>
      </x:c>
      <x:c r="H1761" s="37" t="d">
        <x:v>2026-10-15T00:00:00.000Z</x:v>
      </x:c>
      <x:c r="I1761" s="37" t="d">
        <x:v>2026-09-13T04:10:27.000Z</x:v>
      </x:c>
      <x:c r="J1761" s="1" t="n">
        <x:f>IF(ISNUMBER(F1761),E1761,0)</x:f>
        <x:v>1</x:v>
      </x:c>
      <x:c r="K1761" s="1"/>
      <x:c r="L1761" s="1" t="str">
        <x:v>https://blog.skyairline.com/laguna-laja/</x:v>
      </x:c>
      <x:c r="M1761" s="1" t="n">
        <x:v>0</x:v>
      </x:c>
    </x:row>
    <x:row r="1762" ht="18.75" customHeight="1">
      <x:c r="A1762" s="1" t="str">
        <x:v>https://blog.skyairline.com/como-identificar-fraudes-en-la-compra-de-boletos-de-avion/</x:v>
      </x:c>
      <x:c r="B1762" s="1" t="str">
        <x:v>necesito verificar</x:v>
      </x:c>
      <x:c r="C1762" s="1" t="str">
        <x:v>per</x:v>
      </x:c>
      <x:c r="D1762" s="1" t="str">
        <x:v>Sin marca</x:v>
      </x:c>
      <x:c r="E1762" s="35" t="n">
        <x:v>1</x:v>
      </x:c>
      <x:c r="F1762" s="36"/>
      <x:c r="G1762" s="36" t="str">
        <x:f>IF(ISNUMBER(F1762),E1762*F1762,"")</x:f>
      </x:c>
      <x:c r="H1762" s="37"/>
      <x:c r="I1762" s="37"/>
      <x:c r="J1762" s="1" t="n">
        <x:f>IF(ISNUMBER(F1762),E1762,0)</x:f>
        <x:v>0</x:v>
      </x:c>
      <x:c r="K1762" s="1"/>
      <x:c r="L1762" s="1" t="str">
        <x:v>https://blog.skyairline.com/laguna-piquecocha-descubre-esta-maravilla-color-esmeralda/</x:v>
      </x:c>
      <x:c r="M1762" s="1" t="n">
        <x:v>0</x:v>
      </x:c>
    </x:row>
    <x:row r="1763" ht="18.75" customHeight="1">
      <x:c r="A1763" s="1" t="str">
        <x:v>https://blog.skyairline.com/como-ir-de-puerto-natales-a-el-calafate/</x:v>
      </x:c>
      <x:c r="B1763" s="1" t="str">
        <x:v>como ir de puerto natales a el calafate</x:v>
      </x:c>
      <x:c r="C1763" s="1" t="str">
        <x:v>bra</x:v>
      </x:c>
      <x:c r="D1763" s="1" t="str">
        <x:v>Sin marca</x:v>
      </x:c>
      <x:c r="E1763" s="35" t="n">
        <x:v>1</x:v>
      </x:c>
      <x:c r="F1763" s="36"/>
      <x:c r="G1763" s="36" t="str">
        <x:f>IF(ISNUMBER(F1763),E1763*F1763,"")</x:f>
      </x:c>
      <x:c r="H1763" s="37"/>
      <x:c r="I1763" s="37"/>
      <x:c r="J1763" s="1" t="n">
        <x:f>IF(ISNUMBER(F1763),E1763,0)</x:f>
        <x:v>0</x:v>
      </x:c>
      <x:c r="K1763" s="1"/>
      <x:c r="L1763" s="1" t="str">
        <x:v>https://blog.skyairline.com/laguna-roja-en-chile-el-misterio-de-sus-aguas-color-sangre-</x:v>
      </x:c>
      <x:c r="M1763" s="1" t="n">
        <x:v>0</x:v>
      </x:c>
    </x:row>
    <x:row r="1764" ht="18.75" customHeight="1">
      <x:c r="A1764" s="1" t="str">
        <x:v>https://blog.skyairline.com/como-ir-de-puerto-natales-a-el-calafate/</x:v>
      </x:c>
      <x:c r="B1764" s="1" t="str">
        <x:v>como ir de puerto natales a el calafate</x:v>
      </x:c>
      <x:c r="C1764" s="1" t="str">
        <x:v>esp</x:v>
      </x:c>
      <x:c r="D1764" s="1" t="str">
        <x:v>Sin marca</x:v>
      </x:c>
      <x:c r="E1764" s="35" t="n">
        <x:v>1</x:v>
      </x:c>
      <x:c r="F1764" s="36"/>
      <x:c r="G1764" s="36" t="str">
        <x:f>IF(ISNUMBER(F1764),E1764*F1764,"")</x:f>
      </x:c>
      <x:c r="H1764" s="37"/>
      <x:c r="I1764" s="37"/>
      <x:c r="J1764" s="1" t="n">
        <x:f>IF(ISNUMBER(F1764),E1764,0)</x:f>
        <x:v>0</x:v>
      </x:c>
      <x:c r="K1764" s="1"/>
      <x:c r="L1764" s="1" t="str">
        <x:v>https://blog.skyairline.com/laguna-san-jorge-ubicacion-y-como-visitarla-con-sky/</x:v>
      </x:c>
      <x:c r="M1764" s="1" t="n">
        <x:v>0</x:v>
      </x:c>
    </x:row>
    <x:row r="1765" ht="18.75" customHeight="1">
      <x:c r="A1765" s="1" t="str">
        <x:v>https://blog.skyairline.com/como-ir-de-punta-cana-a-santo-domingo/</x:v>
      </x:c>
      <x:c r="B1765" s="1" t="str">
        <x:v>a cuanto esta santo domingo de punta cana</x:v>
      </x:c>
      <x:c r="C1765" s="1" t="str">
        <x:v>col</x:v>
      </x:c>
      <x:c r="D1765" s="1" t="str">
        <x:v>Sin marca</x:v>
      </x:c>
      <x:c r="E1765" s="35" t="n">
        <x:v>1</x:v>
      </x:c>
      <x:c r="F1765" s="36"/>
      <x:c r="G1765" s="36" t="str">
        <x:f>IF(ISNUMBER(F1765),E1765*F1765,"")</x:f>
      </x:c>
      <x:c r="H1765" s="37"/>
      <x:c r="I1765" s="37"/>
      <x:c r="J1765" s="1" t="n">
        <x:f>IF(ISNUMBER(F1765),E1765,0)</x:f>
        <x:v>0</x:v>
      </x:c>
      <x:c r="K1765" s="1"/>
      <x:c r="L1765" s="1" t="str">
        <x:v>https://blog.skyairline.com/laguna-skyairline</x:v>
      </x:c>
      <x:c r="M1765" s="1" t="n">
        <x:v>0</x:v>
      </x:c>
    </x:row>
    <x:row r="1766" ht="18.75" customHeight="1">
      <x:c r="A1766" s="1" t="str">
        <x:v>https://blog.skyairline.com/como-ir-de-punta-cana-a-santo-domingo/</x:v>
      </x:c>
      <x:c r="B1766" s="1" t="str">
        <x:v>a cuanto tiempo esta santo domingo de punta cana</x:v>
      </x:c>
      <x:c r="C1766" s="1" t="str">
        <x:v>chl</x:v>
      </x:c>
      <x:c r="D1766" s="1" t="str">
        <x:v>Sin marca</x:v>
      </x:c>
      <x:c r="E1766" s="35" t="n">
        <x:v>1</x:v>
      </x:c>
      <x:c r="F1766" s="36"/>
      <x:c r="G1766" s="36" t="str">
        <x:f>IF(ISNUMBER(F1766),E1766*F1766,"")</x:f>
      </x:c>
      <x:c r="H1766" s="37"/>
      <x:c r="I1766" s="37"/>
      <x:c r="J1766" s="1" t="n">
        <x:f>IF(ISNUMBER(F1766),E1766,0)</x:f>
        <x:v>0</x:v>
      </x:c>
      <x:c r="K1766" s="1"/>
      <x:c r="L1766" s="1" t="str">
        <x:v>https://blog.skyairline.com/lagunillas-en-cajon-del-maipo</x:v>
      </x:c>
      <x:c r="M1766" s="1" t="n">
        <x:v>0</x:v>
      </x:c>
    </x:row>
    <x:row r="1767" ht="18.75" customHeight="1">
      <x:c r="A1767" s="1" t="str">
        <x:v>https://blog.skyairline.com/como-ir-de-punta-cana-a-santo-domingo/</x:v>
      </x:c>
      <x:c r="B1767" s="1" t="str">
        <x:v>como ir de punta cana a santo domingo</x:v>
      </x:c>
      <x:c r="C1767" s="1" t="str">
        <x:v>esp</x:v>
      </x:c>
      <x:c r="D1767" s="1" t="str">
        <x:v>Sin marca</x:v>
      </x:c>
      <x:c r="E1767" s="35" t="n">
        <x:v>1</x:v>
      </x:c>
      <x:c r="F1767" s="36"/>
      <x:c r="G1767" s="36" t="str">
        <x:f>IF(ISNUMBER(F1767),E1767*F1767,"")</x:f>
      </x:c>
      <x:c r="H1767" s="37"/>
      <x:c r="I1767" s="37"/>
      <x:c r="J1767" s="1" t="n">
        <x:f>IF(ISNUMBER(F1767),E1767,0)</x:f>
        <x:v>0</x:v>
      </x:c>
      <x:c r="K1767" s="1"/>
      <x:c r="L1767" s="1" t="str">
        <x:v>https://blog.skyairline.com/lagunillas-en-p-cajon-del-maipo/</x:v>
      </x:c>
      <x:c r="M1767" s="1" t="n">
        <x:v>0</x:v>
      </x:c>
    </x:row>
    <x:row r="1768" ht="18.75" customHeight="1">
      <x:c r="A1768" s="1" t="str">
        <x:v>https://blog.skyairline.com/como-ir-de-punta-cana-a-santo-domingo/</x:v>
      </x:c>
      <x:c r="B1768" s="1" t="str">
        <x:v>cuantas horas son de punta cana a santo domingo</x:v>
      </x:c>
      <x:c r="C1768" s="1" t="str">
        <x:v>ecu</x:v>
      </x:c>
      <x:c r="D1768" s="1" t="str">
        <x:v>Sin marca</x:v>
      </x:c>
      <x:c r="E1768" s="35" t="n">
        <x:v>1</x:v>
      </x:c>
      <x:c r="F1768" s="36"/>
      <x:c r="G1768" s="36" t="str">
        <x:f>IF(ISNUMBER(F1768),E1768*F1768,"")</x:f>
      </x:c>
      <x:c r="H1768" s="37"/>
      <x:c r="I1768" s="37"/>
      <x:c r="J1768" s="1" t="n">
        <x:f>IF(ISNUMBER(F1768),E1768,0)</x:f>
        <x:v>0</x:v>
      </x:c>
      <x:c r="K1768" s="1"/>
      <x:c r="L1768" s="1" t="str">
        <x:v>https://blog.skyairline.com/lanzamos-economy-premier-fortaleciendo-nuestra-propuesta-de-valor/</x:v>
      </x:c>
      <x:c r="M1768" s="1" t="n">
        <x:v>0</x:v>
      </x:c>
    </x:row>
    <x:row r="1769" ht="18.75" customHeight="1">
      <x:c r="A1769" s="1" t="str">
        <x:v>https://blog.skyairline.com/como-ir-de-punta-cana-a-santo-domingo/</x:v>
      </x:c>
      <x:c r="B1769" s="1" t="str">
        <x:v>cuanto cuesta ir de punta cana a santo domingo</x:v>
      </x:c>
      <x:c r="C1769" s="1" t="str">
        <x:v>col</x:v>
      </x:c>
      <x:c r="D1769" s="1" t="str">
        <x:v>Sin marca</x:v>
      </x:c>
      <x:c r="E1769" s="35" t="n">
        <x:v>1</x:v>
      </x:c>
      <x:c r="F1769" s="36"/>
      <x:c r="G1769" s="36" t="str">
        <x:f>IF(ISNUMBER(F1769),E1769*F1769,"")</x:f>
      </x:c>
      <x:c r="H1769" s="37"/>
      <x:c r="I1769" s="37"/>
      <x:c r="J1769" s="1" t="n">
        <x:f>IF(ISNUMBER(F1769),E1769,0)</x:f>
        <x:v>0</x:v>
      </x:c>
      <x:c r="K1769" s="1"/>
      <x:c r="L1769" s="1" t="str">
        <x:v>https://blog.skyairline.com/leblon-rio-de-janeiro</x:v>
      </x:c>
      <x:c r="M1769" s="1" t="n">
        <x:v>0</x:v>
      </x:c>
    </x:row>
    <x:row r="1770" ht="18.75" customHeight="1">
      <x:c r="A1770" s="1" t="str">
        <x:v>https://blog.skyairline.com/como-ir-de-punta-cana-a-santo-domingo/</x:v>
      </x:c>
      <x:c r="B1770" s="1" t="str">
        <x:v>cuanto hay de punta cana a santo domingo</x:v>
      </x:c>
      <x:c r="C1770" s="1" t="str">
        <x:v>col</x:v>
      </x:c>
      <x:c r="D1770" s="1" t="str">
        <x:v>Sin marca</x:v>
      </x:c>
      <x:c r="E1770" s="35" t="n">
        <x:v>1</x:v>
      </x:c>
      <x:c r="F1770" s="36"/>
      <x:c r="G1770" s="36" t="str">
        <x:f>IF(ISNUMBER(F1770),E1770*F1770,"")</x:f>
      </x:c>
      <x:c r="H1770" s="37"/>
      <x:c r="I1770" s="37"/>
      <x:c r="J1770" s="1" t="n">
        <x:f>IF(ISNUMBER(F1770),E1770,0)</x:f>
        <x:v>0</x:v>
      </x:c>
      <x:c r="K1770" s="1"/>
      <x:c r="L1770" s="1" t="str">
        <x:v>https://blog.skyairline.com/lejos/mejores-epocas-para-ir-de-puerto-montt-a-santiago-en-avion/</x:v>
      </x:c>
      <x:c r="M1770" s="1" t="n">
        <x:v>0</x:v>
      </x:c>
    </x:row>
    <x:row r="1771" ht="18.75" customHeight="1">
      <x:c r="A1771" s="1" t="str">
        <x:v>https://blog.skyairline.com/como-ir-de-punta-cana-a-santo-domingo/</x:v>
      </x:c>
      <x:c r="B1771" s="1" t="str">
        <x:v>cuanto se hace de punta cana a santo domingo</x:v>
      </x:c>
      <x:c r="C1771" s="1" t="str">
        <x:v>mex</x:v>
      </x:c>
      <x:c r="D1771" s="1" t="str">
        <x:v>Sin marca</x:v>
      </x:c>
      <x:c r="E1771" s="35" t="n">
        <x:v>1</x:v>
      </x:c>
      <x:c r="F1771" s="36"/>
      <x:c r="G1771" s="36" t="str">
        <x:f>IF(ISNUMBER(F1771),E1771*F1771,"")</x:f>
      </x:c>
      <x:c r="H1771" s="37"/>
      <x:c r="I1771" s="37"/>
      <x:c r="J1771" s="1" t="n">
        <x:f>IF(ISNUMBER(F1771),E1771,0)</x:f>
        <x:v>0</x:v>
      </x:c>
      <x:c r="K1771" s="1"/>
      <x:c r="L1771" s="1" t="str">
        <x:v>https://blog.skyairline.com/levantemos-chile-sky/</x:v>
      </x:c>
      <x:c r="M1771" s="1" t="n">
        <x:v>0</x:v>
      </x:c>
    </x:row>
    <x:row r="1772" ht="18.75" customHeight="1">
      <x:c r="A1772" s="1" t="str">
        <x:v>https://blog.skyairline.com/como-ir-de-punta-cana-a-santo-domingo/</x:v>
      </x:c>
      <x:c r="B1772" s="1" t="str">
        <x:v>cuanto se hace de santo domingo a punta cana</x:v>
      </x:c>
      <x:c r="C1772" s="1" t="str">
        <x:v>mex</x:v>
      </x:c>
      <x:c r="D1772" s="1" t="str">
        <x:v>Sin marca</x:v>
      </x:c>
      <x:c r="E1772" s="35" t="n">
        <x:v>1</x:v>
      </x:c>
      <x:c r="F1772" s="36"/>
      <x:c r="G1772" s="36" t="str">
        <x:f>IF(ISNUMBER(F1772),E1772*F1772,"")</x:f>
      </x:c>
      <x:c r="H1772" s="37"/>
      <x:c r="I1772" s="37"/>
      <x:c r="J1772" s="1" t="n">
        <x:f>IF(ISNUMBER(F1772),E1772,0)</x:f>
        <x:v>0</x:v>
      </x:c>
      <x:c r="K1772" s="1"/>
      <x:c r="L1772" s="1" t="str">
        <x:v>https://blog.skyairline.com/libros-sobre-viajes/</x:v>
      </x:c>
      <x:c r="M1772" s="1" t="n">
        <x:v>0</x:v>
      </x:c>
    </x:row>
    <x:row r="1773" ht="18.75" customHeight="1">
      <x:c r="A1773" s="1" t="str">
        <x:v>https://blog.skyairline.com/como-ir-de-punta-cana-a-santo-domingo/</x:v>
      </x:c>
      <x:c r="B1773" s="1" t="str">
        <x:v>cuanto tiempo es de punta cana a santo domingo</x:v>
      </x:c>
      <x:c r="C1773" s="1" t="str">
        <x:v>per</x:v>
      </x:c>
      <x:c r="D1773" s="1" t="str">
        <x:v>Sin marca</x:v>
      </x:c>
      <x:c r="E1773" s="35" t="n">
        <x:v>1</x:v>
      </x:c>
      <x:c r="F1773" s="36"/>
      <x:c r="G1773" s="36" t="str">
        <x:f>IF(ISNUMBER(F1773),E1773*F1773,"")</x:f>
      </x:c>
      <x:c r="H1773" s="37"/>
      <x:c r="I1773" s="37"/>
      <x:c r="J1773" s="1" t="n">
        <x:f>IF(ISNUMBER(F1773),E1773,0)</x:f>
        <x:v>0</x:v>
      </x:c>
      <x:c r="K1773" s="1"/>
      <x:c r="L1773" s="1" t="str">
        <x:v>https://blog.skyairline.com/lican-ray/</x:v>
      </x:c>
      <x:c r="M1773" s="1" t="n">
        <x:v>0</x:v>
      </x:c>
    </x:row>
    <x:row r="1774" ht="18.75" customHeight="1">
      <x:c r="A1774" s="1" t="str">
        <x:v>https://blog.skyairline.com/como-ir-de-punta-cana-a-santo-domingo/</x:v>
      </x:c>
      <x:c r="B1774" s="1" t="str">
        <x:v>cuanto tiempo se hace de punta cana a santo domingo</x:v>
      </x:c>
      <x:c r="C1774" s="1" t="str">
        <x:v>usa</x:v>
      </x:c>
      <x:c r="D1774" s="1" t="str">
        <x:v>Sin marca</x:v>
      </x:c>
      <x:c r="E1774" s="35" t="n">
        <x:v>1</x:v>
      </x:c>
      <x:c r="F1774" s="36"/>
      <x:c r="G1774" s="36" t="str">
        <x:f>IF(ISNUMBER(F1774),E1774*F1774,"")</x:f>
      </x:c>
      <x:c r="H1774" s="37"/>
      <x:c r="I1774" s="37"/>
      <x:c r="J1774" s="1" t="n">
        <x:f>IF(ISNUMBER(F1774),E1774,0)</x:f>
        <x:v>0</x:v>
      </x:c>
      <x:c r="K1774" s="1"/>
      <x:c r="L1774" s="1" t="str">
        <x:v>https://blog.skyairline.com/liga-contra-el-cancer-se-une-a-sky-para-implementar-campanas-preventivas-a-nivel-nacional/</x:v>
      </x:c>
      <x:c r="M1774" s="1" t="n">
        <x:v>0</x:v>
      </x:c>
    </x:row>
    <x:row r="1775" ht="18.75" customHeight="1">
      <x:c r="A1775" s="1" t="str">
        <x:v>https://blog.skyairline.com/como-ir-de-punta-cana-a-santo-domingo/</x:v>
      </x:c>
      <x:c r="B1775" s="1" t="str">
        <x:v>cómo llegar a santo domingo</x:v>
      </x:c>
      <x:c r="C1775" s="1" t="str">
        <x:v>dom</x:v>
      </x:c>
      <x:c r="D1775" s="1" t="str">
        <x:v>Sin marca</x:v>
      </x:c>
      <x:c r="E1775" s="35" t="n">
        <x:v>1</x:v>
      </x:c>
      <x:c r="F1775" s="36"/>
      <x:c r="G1775" s="36" t="str">
        <x:f>IF(ISNUMBER(F1775),E1775*F1775,"")</x:f>
      </x:c>
      <x:c r="H1775" s="37"/>
      <x:c r="I1775" s="37"/>
      <x:c r="J1775" s="1" t="n">
        <x:f>IF(ISNUMBER(F1775),E1775,0)</x:f>
        <x:v>0</x:v>
      </x:c>
      <x:c r="K1775" s="1"/>
      <x:c r="L1775" s="1" t="str">
        <x:v>https://blog.skyairline.com/lima-2/</x:v>
      </x:c>
      <x:c r="M1775" s="1" t="n">
        <x:v>0</x:v>
      </x:c>
    </x:row>
    <x:row r="1776" ht="18.75" customHeight="1">
      <x:c r="A1776" s="1" t="str">
        <x:v>https://blog.skyairline.com/como-ir-de-punta-cana-a-santo-domingo/</x:v>
      </x:c>
      <x:c r="B1776" s="1" t="str">
        <x:v>de punta cana a santo domingo</x:v>
      </x:c>
      <x:c r="C1776" s="1" t="str">
        <x:v>bol</x:v>
      </x:c>
      <x:c r="D1776" s="1" t="str">
        <x:v>Sin marca</x:v>
      </x:c>
      <x:c r="E1776" s="35" t="n">
        <x:v>1</x:v>
      </x:c>
      <x:c r="F1776" s="36"/>
      <x:c r="G1776" s="36" t="str">
        <x:f>IF(ISNUMBER(F1776),E1776*F1776,"")</x:f>
      </x:c>
      <x:c r="H1776" s="37"/>
      <x:c r="I1776" s="37"/>
      <x:c r="J1776" s="1" t="n">
        <x:f>IF(ISNUMBER(F1776),E1776,0)</x:f>
        <x:v>0</x:v>
      </x:c>
      <x:c r="K1776" s="1"/>
      <x:c r="L1776" s="1" t="str">
        <x:v>https://blog.skyairline.com/lima-a-cusco/</x:v>
      </x:c>
      <x:c r="M1776" s="1" t="n">
        <x:v>0</x:v>
      </x:c>
    </x:row>
    <x:row r="1777" ht="18.75" customHeight="1">
      <x:c r="A1777" s="1" t="str">
        <x:v>https://blog.skyairline.com/como-ir-de-punta-cana-a-santo-domingo/</x:v>
      </x:c>
      <x:c r="B1777" s="1" t="str">
        <x:v>de punta cana a santo domingo cuantas horas son</x:v>
      </x:c>
      <x:c r="C1777" s="1" t="str">
        <x:v>col</x:v>
      </x:c>
      <x:c r="D1777" s="1" t="str">
        <x:v>Sin marca</x:v>
      </x:c>
      <x:c r="E1777" s="35" t="n">
        <x:v>1</x:v>
      </x:c>
      <x:c r="F1777" s="36"/>
      <x:c r="G1777" s="36" t="str">
        <x:f>IF(ISNUMBER(F1777),E1777*F1777,"")</x:f>
      </x:c>
      <x:c r="H1777" s="37"/>
      <x:c r="I1777" s="37"/>
      <x:c r="J1777" s="1" t="n">
        <x:f>IF(ISNUMBER(F1777),E1777,0)</x:f>
        <x:v>0</x:v>
      </x:c>
      <x:c r="K1777" s="1"/>
      <x:c r="L1777" s="1" t="str">
        <x:v>https://blog.skyairline.com/lima-buenos-aires/</x:v>
      </x:c>
      <x:c r="M1777" s="1" t="n">
        <x:v>0</x:v>
      </x:c>
    </x:row>
    <x:row r="1778" ht="18.75" customHeight="1">
      <x:c r="A1778" s="1" t="str">
        <x:v>https://blog.skyairline.com/como-ir-de-punta-cana-a-santo-domingo/</x:v>
      </x:c>
      <x:c r="B1778" s="1" t="str">
        <x:v>distancia de punta cana a santo domingo</x:v>
      </x:c>
      <x:c r="C1778" s="1" t="str">
        <x:v>chl</x:v>
      </x:c>
      <x:c r="D1778" s="1" t="str">
        <x:v>Sin marca</x:v>
      </x:c>
      <x:c r="E1778" s="35" t="n">
        <x:v>1</x:v>
      </x:c>
      <x:c r="F1778" s="36"/>
      <x:c r="G1778" s="36" t="str">
        <x:f>IF(ISNUMBER(F1778),E1778*F1778,"")</x:f>
      </x:c>
      <x:c r="H1778" s="37"/>
      <x:c r="I1778" s="37"/>
      <x:c r="J1778" s="1" t="n">
        <x:f>IF(ISNUMBER(F1778),E1778,0)</x:f>
        <x:v>0</x:v>
      </x:c>
      <x:c r="K1778" s="1"/>
      <x:c r="L1778" s="1" t="str">
        <x:v>https://blog.skyairline.com/lima-de-lima-2/</x:v>
      </x:c>
      <x:c r="M1778" s="1" t="n">
        <x:v>0</x:v>
      </x:c>
    </x:row>
    <x:row r="1779" ht="18.75" customHeight="1">
      <x:c r="A1779" s="1" t="str">
        <x:v>https://blog.skyairline.com/como-ir-de-punta-cana-a-santo-domingo/</x:v>
      </x:c>
      <x:c r="B1779" s="1" t="str">
        <x:v>distancia de punta cana a santo domingo</x:v>
      </x:c>
      <x:c r="C1779" s="1" t="str">
        <x:v>dom</x:v>
      </x:c>
      <x:c r="D1779" s="1" t="str">
        <x:v>Sin marca</x:v>
      </x:c>
      <x:c r="E1779" s="35" t="n">
        <x:v>1</x:v>
      </x:c>
      <x:c r="F1779" s="36"/>
      <x:c r="G1779" s="36" t="str">
        <x:f>IF(ISNUMBER(F1779),E1779*F1779,"")</x:f>
      </x:c>
      <x:c r="H1779" s="37"/>
      <x:c r="I1779" s="37"/>
      <x:c r="J1779" s="1" t="n">
        <x:f>IF(ISNUMBER(F1779),E1779,0)</x:f>
        <x:v>0</x:v>
      </x:c>
      <x:c r="K1779" s="1"/>
      <x:c r="L1779" s="1" t="str">
        <x:v>https://blog.skyairline.com/lima-montevideo-sky/</x:v>
      </x:c>
      <x:c r="M1779" s="1" t="n">
        <x:v>0</x:v>
      </x:c>
    </x:row>
    <x:row r="1780" ht="18.75" customHeight="1">
      <x:c r="A1780" s="1" t="str">
        <x:v>https://blog.skyairline.com/como-ir-de-punta-cana-a-santo-domingo/</x:v>
      </x:c>
      <x:c r="B1780" s="1" t="str">
        <x:v>distancia de punta cana a santo domingo en bus</x:v>
      </x:c>
      <x:c r="C1780" s="1" t="str">
        <x:v>per</x:v>
      </x:c>
      <x:c r="D1780" s="1" t="str">
        <x:v>Sin marca</x:v>
      </x:c>
      <x:c r="E1780" s="35" t="n">
        <x:v>1</x:v>
      </x:c>
      <x:c r="F1780" s="36"/>
      <x:c r="G1780" s="36" t="str">
        <x:f>IF(ISNUMBER(F1780),E1780*F1780,"")</x:f>
      </x:c>
      <x:c r="H1780" s="37"/>
      <x:c r="I1780" s="37"/>
      <x:c r="J1780" s="1" t="n">
        <x:f>IF(ISNUMBER(F1780),E1780,0)</x:f>
        <x:v>0</x:v>
      </x:c>
      <x:c r="K1780" s="1"/>
      <x:c r="L1780" s="1" t="str">
        <x:v>https://blog.skyairline.com/lima-rio-de-janeiro-y-buenos-aires-seran-algunos-de-los-destinos-favoritos-para-viajar-en-fiestas-patrias/</x:v>
      </x:c>
      <x:c r="M1780" s="1" t="n">
        <x:v>0</x:v>
      </x:c>
    </x:row>
    <x:row r="1781" ht="18.75" customHeight="1">
      <x:c r="A1781" s="1" t="str">
        <x:v>https://blog.skyairline.com/como-ir-de-punta-cana-a-santo-domingo/</x:v>
      </x:c>
      <x:c r="B1781" s="1" t="str">
        <x:v>distancia de santo domingo a punta cana</x:v>
      </x:c>
      <x:c r="C1781" s="1" t="str">
        <x:v>per</x:v>
      </x:c>
      <x:c r="D1781" s="1" t="str">
        <x:v>Sin marca</x:v>
      </x:c>
      <x:c r="E1781" s="35" t="n">
        <x:v>1</x:v>
      </x:c>
      <x:c r="F1781" s="36"/>
      <x:c r="G1781" s="36" t="str">
        <x:f>IF(ISNUMBER(F1781),E1781*F1781,"")</x:f>
      </x:c>
      <x:c r="H1781" s="37" t="d">
        <x:v>2026-10-15T00:00:00.000Z</x:v>
      </x:c>
      <x:c r="I1781" s="37" t="d">
        <x:v>2026-09-13T17:18:53.000Z</x:v>
      </x:c>
      <x:c r="J1781" s="1" t="n">
        <x:f>IF(ISNUMBER(F1781),E1781,0)</x:f>
        <x:v>0</x:v>
      </x:c>
      <x:c r="K1781" s="1"/>
      <x:c r="L1781" s="1" t="str">
        <x:v>https://blog.skyairline.com/lima-sao-paulo-buenos-aires-y-rio-de-janeiro-seran-algunos-de-los-destinos-internacionales-favoritos-para-estas-vacaciones-de-invierno/</x:v>
      </x:c>
      <x:c r="M1781" s="1" t="n">
        <x:v>0</x:v>
      </x:c>
    </x:row>
    <x:row r="1782" ht="18.75" customHeight="1">
      <x:c r="A1782" s="1" t="str">
        <x:v>https://blog.skyairline.com/como-ir-de-punta-cana-a-santo-domingo/</x:v>
      </x:c>
      <x:c r="B1782" s="1" t="str">
        <x:v>distancia de santo domingo a punta cana en bus</x:v>
      </x:c>
      <x:c r="C1782" s="1" t="str">
        <x:v>chl</x:v>
      </x:c>
      <x:c r="D1782" s="1" t="str">
        <x:v>Sin marca</x:v>
      </x:c>
      <x:c r="E1782" s="35" t="n">
        <x:v>1</x:v>
      </x:c>
      <x:c r="F1782" s="36"/>
      <x:c r="G1782" s="36" t="str">
        <x:f>IF(ISNUMBER(F1782),E1782*F1782,"")</x:f>
      </x:c>
      <x:c r="H1782" s="37" t="d">
        <x:v>2026-10-15T00:00:00.000Z</x:v>
      </x:c>
      <x:c r="I1782" s="37" t="d">
        <x:v>2026-09-14T08:21:04.000Z</x:v>
      </x:c>
      <x:c r="J1782" s="1" t="n">
        <x:f>IF(ISNUMBER(F1782),E1782,0)</x:f>
        <x:v>0</x:v>
      </x:c>
      <x:c r="K1782" s="1"/>
      <x:c r="L1782" s="1" t="str">
        <x:v>https://blog.skyairline.com/liquidos-en-avi%C3%B3n/</x:v>
      </x:c>
      <x:c r="M1782" s="1" t="n">
        <x:v>0</x:v>
      </x:c>
    </x:row>
    <x:row r="1783" ht="18.75" customHeight="1">
      <x:c r="A1783" s="1" t="str">
        <x:v>https://blog.skyairline.com/como-ir-de-punta-cana-a-santo-domingo/</x:v>
      </x:c>
      <x:c r="B1783" s="1" t="str">
        <x:v>distancia entre punta cana y santo domingo</x:v>
      </x:c>
      <x:c r="C1783" s="1" t="str">
        <x:v>mex</x:v>
      </x:c>
      <x:c r="D1783" s="1" t="str">
        <x:v>Sin marca</x:v>
      </x:c>
      <x:c r="E1783" s="35" t="n">
        <x:v>1</x:v>
      </x:c>
      <x:c r="F1783" s="36"/>
      <x:c r="G1783" s="36" t="str">
        <x:f>IF(ISNUMBER(F1783),E1783*F1783,"")</x:f>
      </x:c>
      <x:c r="H1783" s="37"/>
      <x:c r="I1783" s="37"/>
      <x:c r="J1783" s="1" t="n">
        <x:f>IF(ISNUMBER(F1783),E1783,0)</x:f>
        <x:v>0</x:v>
      </x:c>
      <x:c r="K1783" s="1"/>
      <x:c r="L1783" s="1" t="str">
        <x:v>https://blog.skyairline.com/liquidos-en-bodega/</x:v>
      </x:c>
      <x:c r="M1783" s="1" t="n">
        <x:v>0</x:v>
      </x:c>
    </x:row>
    <x:row r="1784" ht="18.75" customHeight="1">
      <x:c r="A1784" s="1" t="str">
        <x:v>https://blog.skyairline.com/como-ir-de-punta-cana-a-santo-domingo/</x:v>
      </x:c>
      <x:c r="B1784" s="1" t="str">
        <x:v>distancia punta cana a santo domingo</x:v>
      </x:c>
      <x:c r="C1784" s="1" t="str">
        <x:v>chl</x:v>
      </x:c>
      <x:c r="D1784" s="1" t="str">
        <x:v>Sin marca</x:v>
      </x:c>
      <x:c r="E1784" s="35" t="n">
        <x:v>1</x:v>
      </x:c>
      <x:c r="F1784" s="36"/>
      <x:c r="G1784" s="36" t="str">
        <x:f>IF(ISNUMBER(F1784),E1784*F1784,"")</x:f>
      </x:c>
      <x:c r="H1784" s="37"/>
      <x:c r="I1784" s="37"/>
      <x:c r="J1784" s="1" t="n">
        <x:f>IF(ISNUMBER(F1784),E1784,0)</x:f>
        <x:v>0</x:v>
      </x:c>
      <x:c r="K1784" s="1"/>
      <x:c r="L1784" s="1" t="str">
        <x:v>https://blog.skyairline.com/liquidos-en-cabina/</x:v>
      </x:c>
      <x:c r="M1784" s="1" t="n">
        <x:v>0</x:v>
      </x:c>
    </x:row>
    <x:row r="1785" ht="18.75" customHeight="1">
      <x:c r="A1785" s="1" t="str">
        <x:v>https://blog.skyairline.com/como-ir-de-punta-cana-a-santo-domingo/</x:v>
      </x:c>
      <x:c r="B1785" s="1" t="str">
        <x:v>punta cana a santo domingo distancia</x:v>
      </x:c>
      <x:c r="C1785" s="1" t="str">
        <x:v>mex</x:v>
      </x:c>
      <x:c r="D1785" s="1" t="str">
        <x:v>Sin marca</x:v>
      </x:c>
      <x:c r="E1785" s="35" t="n">
        <x:v>1</x:v>
      </x:c>
      <x:c r="F1785" s="36"/>
      <x:c r="G1785" s="36" t="str">
        <x:f>IF(ISNUMBER(F1785),E1785*F1785,"")</x:f>
      </x:c>
      <x:c r="H1785" s="37"/>
      <x:c r="I1785" s="37"/>
      <x:c r="J1785" s="1" t="n">
        <x:f>IF(ISNUMBER(F1785),E1785,0)</x:f>
        <x:v>0</x:v>
      </x:c>
      <x:c r="K1785" s="1"/>
      <x:c r="L1785" s="1" t="str">
        <x:v>https://blog.skyairline.com/liquidos-in-avion/</x:v>
      </x:c>
      <x:c r="M1785" s="1" t="n">
        <x:v>0</x:v>
      </x:c>
    </x:row>
    <x:row r="1786" ht="18.75" customHeight="1">
      <x:c r="A1786" s="1" t="str">
        <x:v>https://blog.skyairline.com/como-ir-de-punta-cana-a-santo-domingo/</x:v>
      </x:c>
      <x:c r="B1786" s="1" t="str">
        <x:v>punta cana a santo domingo distancia</x:v>
      </x:c>
      <x:c r="C1786" s="1" t="str">
        <x:v>per</x:v>
      </x:c>
      <x:c r="D1786" s="1" t="str">
        <x:v>Sin marca</x:v>
      </x:c>
      <x:c r="E1786" s="35" t="n">
        <x:v>1</x:v>
      </x:c>
      <x:c r="F1786" s="36"/>
      <x:c r="G1786" s="36" t="str">
        <x:f>IF(ISNUMBER(F1786),E1786*F1786,"")</x:f>
      </x:c>
      <x:c r="H1786" s="37"/>
      <x:c r="I1786" s="37"/>
      <x:c r="J1786" s="1" t="n">
        <x:f>IF(ISNUMBER(F1786),E1786,0)</x:f>
        <x:v>0</x:v>
      </x:c>
      <x:c r="K1786" s="1"/>
      <x:c r="L1786" s="1" t="str">
        <x:v>https://blog.skyairline.com/llanada-grande/</x:v>
      </x:c>
      <x:c r="M1786" s="1" t="n">
        <x:v>0</x:v>
      </x:c>
    </x:row>
    <x:row r="1787" ht="18.75" customHeight="1">
      <x:c r="A1787" s="1" t="str">
        <x:v>https://blog.skyairline.com/como-ir-de-punta-cana-a-santo-domingo/</x:v>
      </x:c>
      <x:c r="B1787" s="1" t="str">
        <x:v>que distancia hay de punta cana a santo domingo</x:v>
      </x:c>
      <x:c r="C1787" s="1" t="str">
        <x:v>mex</x:v>
      </x:c>
      <x:c r="D1787" s="1" t="str">
        <x:v>Sin marca</x:v>
      </x:c>
      <x:c r="E1787" s="35" t="n">
        <x:v>1</x:v>
      </x:c>
      <x:c r="F1787" s="36"/>
      <x:c r="G1787" s="36" t="str">
        <x:f>IF(ISNUMBER(F1787),E1787*F1787,"")</x:f>
      </x:c>
      <x:c r="H1787" s="37"/>
      <x:c r="I1787" s="37"/>
      <x:c r="J1787" s="1" t="n">
        <x:f>IF(ISNUMBER(F1787),E1787,0)</x:f>
        <x:v>0</x:v>
      </x:c>
      <x:c r="K1787" s="1"/>
      <x:c r="L1787" s="1" t="str">
        <x:v>https://blog.skyairline.com/llanquihue-que-hacer/</x:v>
      </x:c>
      <x:c r="M1787" s="1" t="n">
        <x:v>0</x:v>
      </x:c>
    </x:row>
    <x:row r="1788" ht="18.75" customHeight="1">
      <x:c r="A1788" s="1" t="str">
        <x:v>https://blog.skyairline.com/como-ir-de-punta-cana-a-santo-domingo/</x:v>
      </x:c>
      <x:c r="B1788" s="1" t="str">
        <x:v>qué distancia hay entre santo domingo y punta cana</x:v>
      </x:c>
      <x:c r="C1788" s="1" t="str">
        <x:v>chl</x:v>
      </x:c>
      <x:c r="D1788" s="1" t="str">
        <x:v>Sin marca</x:v>
      </x:c>
      <x:c r="E1788" s="35" t="n">
        <x:v>1</x:v>
      </x:c>
      <x:c r="F1788" s="36"/>
      <x:c r="G1788" s="36" t="str">
        <x:f>IF(ISNUMBER(F1788),E1788*F1788,"")</x:f>
      </x:c>
      <x:c r="H1788" s="37"/>
      <x:c r="I1788" s="37"/>
      <x:c r="J1788" s="1" t="n">
        <x:f>IF(ISNUMBER(F1788),E1788,0)</x:f>
        <x:v>0</x:v>
      </x:c>
      <x:c r="K1788" s="1"/>
      <x:c r="L1788" s="1" t="str">
        <x:v>https://blog.skyairline.com/lluvias-en-el-sur-chile-cuando-viajar-y-que-esperar/</x:v>
      </x:c>
      <x:c r="M1788" s="1" t="n">
        <x:v>0</x:v>
      </x:c>
    </x:row>
    <x:row r="1789" ht="18.75" customHeight="1">
      <x:c r="A1789" s="1" t="str">
        <x:v>https://blog.skyairline.com/como-ir-de-punta-cana-a-santo-domingo/</x:v>
      </x:c>
      <x:c r="B1789" s="1" t="str">
        <x:v>santo domingo a punta cana</x:v>
      </x:c>
      <x:c r="C1789" s="1" t="str">
        <x:v>dom</x:v>
      </x:c>
      <x:c r="D1789" s="1" t="str">
        <x:v>Sin marca</x:v>
      </x:c>
      <x:c r="E1789" s="35" t="n">
        <x:v>1</x:v>
      </x:c>
      <x:c r="F1789" s="36"/>
      <x:c r="G1789" s="36" t="str">
        <x:f>IF(ISNUMBER(F1789),E1789*F1789,"")</x:f>
      </x:c>
      <x:c r="H1789" s="37"/>
      <x:c r="I1789" s="37"/>
      <x:c r="J1789" s="1" t="n">
        <x:f>IF(ISNUMBER(F1789),E1789,0)</x:f>
        <x:v>0</x:v>
      </x:c>
      <x:c r="K1789" s="1"/>
      <x:c r="L1789" s="1" t="str">
        <x:v>https://blog.skyairline.com/lluvias-en-el-sur-de-chile-cuando-viajar-y-que-esperar/</x:v>
      </x:c>
      <x:c r="M1789" s="1" t="n">
        <x:v>0</x:v>
      </x:c>
    </x:row>
    <x:row r="1790" ht="18.75" customHeight="1">
      <x:c r="A1790" s="1" t="str">
        <x:v>https://blog.skyairline.com/como-ir-de-punta-cana-a-santo-domingo/</x:v>
      </x:c>
      <x:c r="B1790" s="1" t="str">
        <x:v>santo domingo punta cana distancia</x:v>
      </x:c>
      <x:c r="C1790" s="1" t="str">
        <x:v>mex</x:v>
      </x:c>
      <x:c r="D1790" s="1" t="str">
        <x:v>Sin marca</x:v>
      </x:c>
      <x:c r="E1790" s="35" t="n">
        <x:v>1</x:v>
      </x:c>
      <x:c r="F1790" s="36"/>
      <x:c r="G1790" s="36" t="str">
        <x:f>IF(ISNUMBER(F1790),E1790*F1790,"")</x:f>
      </x:c>
      <x:c r="H1790" s="37"/>
      <x:c r="I1790" s="37"/>
      <x:c r="J1790" s="1" t="n">
        <x:f>IF(ISNUMBER(F1790),E1790,0)</x:f>
        <x:v>0</x:v>
      </x:c>
      <x:c r="K1790" s="1"/>
      <x:c r="L1790" s="1" t="str">
        <x:v>https://blog.skyairline.com/lluvias-en-sur-de-chile-cuando-viajar-y-que-esperar/</x:v>
      </x:c>
      <x:c r="M1790" s="1" t="n">
        <x:v>0</x:v>
      </x:c>
    </x:row>
    <x:row r="1791" ht="18.75" customHeight="1">
      <x:c r="A1791" s="1" t="str">
        <x:v>https://blog.skyairline.com/como-ir-de-santiago-a-pucon-sin-preocupaciones/</x:v>
      </x:c>
      <x:c r="B1791" s="1" t="str">
        <x:v>como ir a pucon desde santiago</x:v>
      </x:c>
      <x:c r="C1791" s="1" t="str">
        <x:v>chl</x:v>
      </x:c>
      <x:c r="D1791" s="1" t="str">
        <x:v>Sin marca</x:v>
      </x:c>
      <x:c r="E1791" s="35" t="n">
        <x:v>1</x:v>
      </x:c>
      <x:c r="F1791" s="36" t="n">
        <x:v>0.75</x:v>
      </x:c>
      <x:c r="G1791" s="36" t="n">
        <x:f>IF(ISNUMBER(F1791),E1791*F1791,"")</x:f>
        <x:v>0.75</x:v>
      </x:c>
      <x:c r="H1791" s="37" t="d">
        <x:v>2026-10-15T00:00:00.000Z</x:v>
      </x:c>
      <x:c r="I1791" s="37" t="d">
        <x:v>2026-10-15T11:42:43.000Z</x:v>
      </x:c>
      <x:c r="J1791" s="1" t="n">
        <x:f>IF(ISNUMBER(F1791),E1791,0)</x:f>
        <x:v>1</x:v>
      </x:c>
      <x:c r="K1791" s="1"/>
      <x:c r="L1791" s="1" t="str">
        <x:v>https://blog.skyairline.com/los-hinchas-peruanos-viajan-al-clasico-del-pacifico-para-alentar-a-la-bicolor/</x:v>
      </x:c>
      <x:c r="M1791" s="1" t="n">
        <x:v>0</x:v>
      </x:c>
    </x:row>
    <x:row r="1792" ht="18.75" customHeight="1">
      <x:c r="A1792" s="1" t="str">
        <x:v>https://blog.skyairline.com/como-ir-de-santiago-a-pucon-sin-preocupaciones/</x:v>
      </x:c>
      <x:c r="B1792" s="1" t="str">
        <x:v>como ir de santiago a pucon</x:v>
      </x:c>
      <x:c r="C1792" s="1" t="str">
        <x:v>cri</x:v>
      </x:c>
      <x:c r="D1792" s="1" t="str">
        <x:v>Sin marca</x:v>
      </x:c>
      <x:c r="E1792" s="35" t="n">
        <x:v>1</x:v>
      </x:c>
      <x:c r="F1792" s="36"/>
      <x:c r="G1792" s="36" t="str">
        <x:f>IF(ISNUMBER(F1792),E1792*F1792,"")</x:f>
      </x:c>
      <x:c r="H1792" s="37"/>
      <x:c r="I1792" s="37"/>
      <x:c r="J1792" s="1" t="n">
        <x:f>IF(ISNUMBER(F1792),E1792,0)</x:f>
        <x:v>0</x:v>
      </x:c>
      <x:c r="K1792" s="1"/>
      <x:c r="L1792" s="1" t="str">
        <x:v>https://blog.skyairline.com/low-cost/</x:v>
      </x:c>
      <x:c r="M1792" s="1" t="n">
        <x:v>0</x:v>
      </x:c>
    </x:row>
    <x:row r="1793" ht="18.75" customHeight="1">
      <x:c r="A1793" s="1" t="str">
        <x:v>https://blog.skyairline.com/como-ir-de-santiago-a-pucon-sin-preocupaciones/</x:v>
      </x:c>
      <x:c r="B1793" s="1" t="str">
        <x:v>como llegar a pucon desde santiago</x:v>
      </x:c>
      <x:c r="C1793" s="1" t="str">
        <x:v>chl</x:v>
      </x:c>
      <x:c r="D1793" s="1" t="str">
        <x:v>Sin marca</x:v>
      </x:c>
      <x:c r="E1793" s="35" t="n">
        <x:v>1</x:v>
      </x:c>
      <x:c r="F1793" s="36" t="n">
        <x:v>1.31</x:v>
      </x:c>
      <x:c r="G1793" s="36" t="n">
        <x:f>IF(ISNUMBER(F1793),E1793*F1793,"")</x:f>
        <x:v>1.31</x:v>
      </x:c>
      <x:c r="H1793" s="37" t="d">
        <x:v>2026-10-15T00:00:00.000Z</x:v>
      </x:c>
      <x:c r="I1793" s="37" t="d">
        <x:v>2026-10-15T10:02:31.000Z</x:v>
      </x:c>
      <x:c r="J1793" s="1" t="n">
        <x:f>IF(ISNUMBER(F1793),E1793,0)</x:f>
        <x:v>1</x:v>
      </x:c>
      <x:c r="K1793" s="1"/>
      <x:c r="L1793" s="1" t="str">
        <x:v>https://blog.skyairline.com/lugares-cerca-de-lima</x:v>
      </x:c>
      <x:c r="M1793" s="1" t="n">
        <x:v>0</x:v>
      </x:c>
    </x:row>
    <x:row r="1794" ht="18.75" customHeight="1">
      <x:c r="A1794" s="1" t="str">
        <x:v>https://blog.skyairline.com/como-ir-de-santiago-a-pucon-sin-preocupaciones/</x:v>
      </x:c>
      <x:c r="B1794" s="1" t="str">
        <x:v>como llegar a pucon desde santiago</x:v>
      </x:c>
      <x:c r="C1794" s="1" t="str">
        <x:v>dom</x:v>
      </x:c>
      <x:c r="D1794" s="1" t="str">
        <x:v>Sin marca</x:v>
      </x:c>
      <x:c r="E1794" s="35" t="n">
        <x:v>1</x:v>
      </x:c>
      <x:c r="F1794" s="36"/>
      <x:c r="G1794" s="36" t="str">
        <x:f>IF(ISNUMBER(F1794),E1794*F1794,"")</x:f>
      </x:c>
      <x:c r="H1794" s="37"/>
      <x:c r="I1794" s="37"/>
      <x:c r="J1794" s="1" t="n">
        <x:f>IF(ISNUMBER(F1794),E1794,0)</x:f>
        <x:v>0</x:v>
      </x:c>
      <x:c r="K1794" s="1"/>
      <x:c r="L1794" s="1" t="str">
        <x:v>https://blog.skyairline.com/lugares-cerca-de-lima/permisos</x:v>
      </x:c>
      <x:c r="M1794" s="1" t="n">
        <x:v>0</x:v>
      </x:c>
    </x:row>
    <x:row r="1795" ht="18.75" customHeight="1">
      <x:c r="A1795" s="1" t="str">
        <x:v>https://blog.skyairline.com/como-ir-de-santiago-a-pucon-sin-preocupaciones/</x:v>
      </x:c>
      <x:c r="B1795" s="1" t="str">
        <x:v>cuantas horas son de santiago a pucon</x:v>
      </x:c>
      <x:c r="C1795" s="1" t="str">
        <x:v>chl</x:v>
      </x:c>
      <x:c r="D1795" s="1" t="str">
        <x:v>Sin marca</x:v>
      </x:c>
      <x:c r="E1795" s="35" t="n">
        <x:v>1</x:v>
      </x:c>
      <x:c r="F1795" s="36"/>
      <x:c r="G1795" s="36" t="str">
        <x:f>IF(ISNUMBER(F1795),E1795*F1795,"")</x:f>
      </x:c>
      <x:c r="H1795" s="37"/>
      <x:c r="I1795" s="37"/>
      <x:c r="J1795" s="1" t="n">
        <x:f>IF(ISNUMBER(F1795),E1795,0)</x:f>
        <x:v>0</x:v>
      </x:c>
      <x:c r="K1795" s="1"/>
      <x:c r="L1795" s="1" t="str">
        <x:v>https://blog.skyairline.com/lugares-culturales-de-copiapo/</x:v>
      </x:c>
      <x:c r="M1795" s="1" t="n">
        <x:v>0</x:v>
      </x:c>
    </x:row>
    <x:row r="1796" ht="18.75" customHeight="1">
      <x:c r="A1796" s="1" t="str">
        <x:v>https://blog.skyairline.com/como-ir-de-santiago-a-pucon-sin-preocupaciones/</x:v>
      </x:c>
      <x:c r="B1796" s="1" t="str">
        <x:v>pucon</x:v>
      </x:c>
      <x:c r="C1796" s="1" t="str">
        <x:v>chl</x:v>
      </x:c>
      <x:c r="D1796" s="1" t="str">
        <x:v>Sin marca</x:v>
      </x:c>
      <x:c r="E1796" s="35" t="n">
        <x:v>1</x:v>
      </x:c>
      <x:c r="F1796" s="36" t="n">
        <x:v>0.56</x:v>
      </x:c>
      <x:c r="G1796" s="36" t="n">
        <x:f>IF(ISNUMBER(F1796),E1796*F1796,"")</x:f>
        <x:v>0.56</x:v>
      </x:c>
      <x:c r="H1796" s="37" t="d">
        <x:v>2026-10-15T00:00:00.000Z</x:v>
      </x:c>
      <x:c r="I1796" s="37" t="d">
        <x:v>2026-09-14T03:56:50.000Z</x:v>
      </x:c>
      <x:c r="J1796" s="1" t="n">
        <x:f>IF(ISNUMBER(F1796),E1796,0)</x:f>
        <x:v>1</x:v>
      </x:c>
      <x:c r="K1796" s="1"/>
      <x:c r="L1796" s="1" t="str">
        <x:v>https://blog.skyairline.com/lugares-en-trujillo/</x:v>
      </x:c>
      <x:c r="M1796" s="1" t="n">
        <x:v>0</x:v>
      </x:c>
    </x:row>
    <x:row r="1797" ht="18.75" customHeight="1">
      <x:c r="A1797" s="1" t="str">
        <x:v>https://blog.skyairline.com/como-ir-de-santiago-a-pucon-sin-preocupaciones/</x:v>
      </x:c>
      <x:c r="B1797" s="1" t="str">
        <x:v>pucon como llegar</x:v>
      </x:c>
      <x:c r="C1797" s="1" t="str">
        <x:v>chl</x:v>
      </x:c>
      <x:c r="D1797" s="1" t="str">
        <x:v>Sin marca</x:v>
      </x:c>
      <x:c r="E1797" s="35" t="n">
        <x:v>1</x:v>
      </x:c>
      <x:c r="F1797" s="36" t="n">
        <x:v>0.39</x:v>
      </x:c>
      <x:c r="G1797" s="36" t="n">
        <x:f>IF(ISNUMBER(F1797),E1797*F1797,"")</x:f>
        <x:v>0.39</x:v>
      </x:c>
      <x:c r="H1797" s="37" t="d">
        <x:v>2026-10-15T00:00:00.000Z</x:v>
      </x:c>
      <x:c r="I1797" s="37" t="d">
        <x:v>2026-09-16T10:28:51.000Z</x:v>
      </x:c>
      <x:c r="J1797" s="1" t="n">
        <x:f>IF(ISNUMBER(F1797),E1797,0)</x:f>
        <x:v>1</x:v>
      </x:c>
      <x:c r="K1797" s="1"/>
      <x:c r="L1797" s="1" t="str">
        <x:v>https://blog.skyairline.com/lugares-gratutios-en-porto-alegre/</x:v>
      </x:c>
      <x:c r="M1797" s="1" t="n">
        <x:v>0</x:v>
      </x:c>
    </x:row>
    <x:row r="1798" ht="18.75" customHeight="1">
      <x:c r="A1798" s="1" t="str">
        <x:v>https://blog.skyairline.com/como-ir-de-santiago-a-pucon-sin-preocupaciones/</x:v>
      </x:c>
      <x:c r="B1798" s="1" t="str">
        <x:v>pucón mapa</x:v>
      </x:c>
      <x:c r="C1798" s="1" t="str">
        <x:v>ecu</x:v>
      </x:c>
      <x:c r="D1798" s="1" t="str">
        <x:v>Sin marca</x:v>
      </x:c>
      <x:c r="E1798" s="35" t="n">
        <x:v>1</x:v>
      </x:c>
      <x:c r="F1798" s="36"/>
      <x:c r="G1798" s="36" t="str">
        <x:f>IF(ISNUMBER(F1798),E1798*F1798,"")</x:f>
      </x:c>
      <x:c r="H1798" s="37"/>
      <x:c r="I1798" s="37"/>
      <x:c r="J1798" s="1" t="n">
        <x:f>IF(ISNUMBER(F1798),E1798,0)</x:f>
        <x:v>0</x:v>
      </x:c>
      <x:c r="K1798" s="1"/>
      <x:c r="L1798" s="1" t="str">
        <x:v>https://blog.skyairline.com/lugares-instagrameables/</x:v>
      </x:c>
      <x:c r="M1798" s="1" t="n">
        <x:v>0</x:v>
      </x:c>
    </x:row>
    <x:row r="1799" ht="18.75" customHeight="1">
      <x:c r="A1799" s="1" t="str">
        <x:v>https://blog.skyairline.com/como-ir-de-santiago-a-pucon-sin-preocupaciones/</x:v>
      </x:c>
      <x:c r="B1799" s="1" t="str">
        <x:v>santiago pucon distancia</x:v>
      </x:c>
      <x:c r="C1799" s="1" t="str">
        <x:v>chl</x:v>
      </x:c>
      <x:c r="D1799" s="1" t="str">
        <x:v>Sin marca</x:v>
      </x:c>
      <x:c r="E1799" s="35" t="n">
        <x:v>1</x:v>
      </x:c>
      <x:c r="F1799" s="36"/>
      <x:c r="G1799" s="36" t="str">
        <x:f>IF(ISNUMBER(F1799),E1799*F1799,"")</x:f>
      </x:c>
      <x:c r="H1799" s="37" t="d">
        <x:v>2026-10-15T00:00:00.000Z</x:v>
      </x:c>
      <x:c r="I1799" s="37" t="d">
        <x:v>2026-09-15T14:15:17.000Z</x:v>
      </x:c>
      <x:c r="J1799" s="1" t="n">
        <x:f>IF(ISNUMBER(F1799),E1799,0)</x:f>
        <x:v>0</x:v>
      </x:c>
      <x:c r="K1799" s="1"/>
      <x:c r="L1799" s="1" t="str">
        <x:v>https://blog.skyairline.com/lugares-luna-de-miel/</x:v>
      </x:c>
      <x:c r="M1799" s="1" t="n">
        <x:v>0</x:v>
      </x:c>
    </x:row>
    <x:row r="1800" ht="18.75" customHeight="1">
      <x:c r="A1800" s="1" t="str">
        <x:v>https://blog.skyairline.com/como-ir-de-santiago-a-pucon-sin-preocupaciones/</x:v>
      </x:c>
      <x:c r="B1800" s="1" t="str">
        <x:v>santiago pucon en auto</x:v>
      </x:c>
      <x:c r="C1800" s="1" t="str">
        <x:v>chl</x:v>
      </x:c>
      <x:c r="D1800" s="1" t="str">
        <x:v>Sin marca</x:v>
      </x:c>
      <x:c r="E1800" s="35" t="n">
        <x:v>1</x:v>
      </x:c>
      <x:c r="F1800" s="36"/>
      <x:c r="G1800" s="36" t="str">
        <x:f>IF(ISNUMBER(F1800),E1800*F1800,"")</x:f>
      </x:c>
      <x:c r="H1800" s="37" t="d">
        <x:v>2026-10-15T00:00:00.000Z</x:v>
      </x:c>
      <x:c r="I1800" s="37" t="d">
        <x:v>2026-09-17T20:46:45.000Z</x:v>
      </x:c>
      <x:c r="J1800" s="1" t="n">
        <x:f>IF(ISNUMBER(F1800),E1800,0)</x:f>
        <x:v>0</x:v>
      </x:c>
      <x:c r="K1800" s="1"/>
      <x:c r="L1800" s="1" t="str">
        <x:v>https://blog.skyairline.com/lugares-originales-a-los-que-viajar/</x:v>
      </x:c>
      <x:c r="M1800" s="1" t="n">
        <x:v>0</x:v>
      </x:c>
    </x:row>
    <x:row r="1801" ht="18.75" customHeight="1">
      <x:c r="A1801" s="1" t="str">
        <x:v>https://blog.skyairline.com/como-llegar-a-alto-bonito-en-puerto-montt/</x:v>
      </x:c>
      <x:c r="B1801" s="1" t="str">
        <x:v>alto bonito</x:v>
      </x:c>
      <x:c r="C1801" s="1" t="str">
        <x:v>chl</x:v>
      </x:c>
      <x:c r="D1801" s="1" t="str">
        <x:v>Sin marca</x:v>
      </x:c>
      <x:c r="E1801" s="35" t="n">
        <x:v>1</x:v>
      </x:c>
      <x:c r="F1801" s="36"/>
      <x:c r="G1801" s="36" t="str">
        <x:f>IF(ISNUMBER(F1801),E1801*F1801,"")</x:f>
      </x:c>
      <x:c r="H1801" s="37"/>
      <x:c r="I1801" s="37"/>
      <x:c r="J1801" s="1" t="n">
        <x:f>IF(ISNUMBER(F1801),E1801,0)</x:f>
        <x:v>0</x:v>
      </x:c>
      <x:c r="K1801" s="1"/>
      <x:c r="L1801" s="1" t="str">
        <x:v>https://blog.skyairline.com/lugares-para-fotos-de-viajes/</x:v>
      </x:c>
      <x:c r="M1801" s="1" t="n">
        <x:v>0</x:v>
      </x:c>
    </x:row>
    <x:row r="1802" ht="18.75" customHeight="1">
      <x:c r="A1802" s="1" t="str">
        <x:v>https://blog.skyairline.com/como-llegar-a-ayacucho/</x:v>
      </x:c>
      <x:c r="B1802" s="1" t="str">
        <x:v>como llegar ayacucho</x:v>
      </x:c>
      <x:c r="C1802" s="1" t="str">
        <x:v>che</x:v>
      </x:c>
      <x:c r="D1802" s="1" t="str">
        <x:v>Sin marca</x:v>
      </x:c>
      <x:c r="E1802" s="35" t="n">
        <x:v>1</x:v>
      </x:c>
      <x:c r="F1802" s="36"/>
      <x:c r="G1802" s="36" t="str">
        <x:f>IF(ISNUMBER(F1802),E1802*F1802,"")</x:f>
      </x:c>
      <x:c r="H1802" s="37"/>
      <x:c r="I1802" s="37"/>
      <x:c r="J1802" s="1" t="n">
        <x:f>IF(ISNUMBER(F1802),E1802,0)</x:f>
        <x:v>0</x:v>
      </x:c>
      <x:c r="K1802" s="1"/>
      <x:c r="L1802" s="1" t="str">
        <x:v>https://blog.skyairline.com/lugares-para-visitar-en-invierno-en-chile/</x:v>
      </x:c>
      <x:c r="M1802" s="1" t="n">
        <x:v>0</x:v>
      </x:c>
    </x:row>
    <x:row r="1803" ht="18.75" customHeight="1">
      <x:c r="A1803" s="1" t="str">
        <x:v>https://blog.skyairline.com/como-llegar-a-ayacucho/</x:v>
      </x:c>
      <x:c r="B1803" s="1" t="str">
        <x:v>cuantas horas de lima a ayacucho en bus</x:v>
      </x:c>
      <x:c r="C1803" s="1" t="str">
        <x:v>per</x:v>
      </x:c>
      <x:c r="D1803" s="1" t="str">
        <x:v>Sin marca</x:v>
      </x:c>
      <x:c r="E1803" s="35" t="n">
        <x:v>1</x:v>
      </x:c>
      <x:c r="F1803" s="36"/>
      <x:c r="G1803" s="36" t="str">
        <x:f>IF(ISNUMBER(F1803),E1803*F1803,"")</x:f>
      </x:c>
      <x:c r="H1803" s="37" t="d">
        <x:v>2026-10-15T00:00:00.000Z</x:v>
      </x:c>
      <x:c r="I1803" s="37" t="d">
        <x:v>2026-09-14T01:24:25.000Z</x:v>
      </x:c>
      <x:c r="J1803" s="1" t="n">
        <x:f>IF(ISNUMBER(F1803),E1803,0)</x:f>
        <x:v>0</x:v>
      </x:c>
      <x:c r="K1803" s="1"/>
      <x:c r="L1803" s="1" t="str">
        <x:v>https://blog.skyairline.com/lugares-para-visitar-en-medellin/</x:v>
      </x:c>
      <x:c r="M1803" s="1" t="n">
        <x:v>0</x:v>
      </x:c>
    </x:row>
    <x:row r="1804" ht="18.75" customHeight="1">
      <x:c r="A1804" s="1" t="str">
        <x:v>https://blog.skyairline.com/como-llegar-a-ayacucho/</x:v>
      </x:c>
      <x:c r="B1804" s="1" t="str">
        <x:v>cuantas horas es de lima a ayacucho en bus</x:v>
      </x:c>
      <x:c r="C1804" s="1" t="str">
        <x:v>per</x:v>
      </x:c>
      <x:c r="D1804" s="1" t="str">
        <x:v>Sin marca</x:v>
      </x:c>
      <x:c r="E1804" s="35" t="n">
        <x:v>1</x:v>
      </x:c>
      <x:c r="F1804" s="36"/>
      <x:c r="G1804" s="36" t="str">
        <x:f>IF(ISNUMBER(F1804),E1804*F1804,"")</x:f>
      </x:c>
      <x:c r="H1804" s="37"/>
      <x:c r="I1804" s="37"/>
      <x:c r="J1804" s="1" t="n">
        <x:f>IF(ISNUMBER(F1804),E1804,0)</x:f>
        <x:v>0</x:v>
      </x:c>
      <x:c r="K1804" s="1"/>
      <x:c r="L1804" s="1" t="str">
        <x:v>https://blog.skyairline.com/lugares-tur%C3%ADsticos/</x:v>
      </x:c>
      <x:c r="M1804" s="1" t="n">
        <x:v>0</x:v>
      </x:c>
    </x:row>
    <x:row r="1805" ht="18.75" customHeight="1">
      <x:c r="A1805" s="1" t="str">
        <x:v>https://blog.skyairline.com/como-llegar-a-ayacucho/</x:v>
      </x:c>
      <x:c r="B1805" s="1" t="str">
        <x:v>lima ayacucho en auto</x:v>
      </x:c>
      <x:c r="C1805" s="1" t="str">
        <x:v>per</x:v>
      </x:c>
      <x:c r="D1805" s="1" t="str">
        <x:v>Sin marca</x:v>
      </x:c>
      <x:c r="E1805" s="35" t="n">
        <x:v>1</x:v>
      </x:c>
      <x:c r="F1805" s="36"/>
      <x:c r="G1805" s="36" t="str">
        <x:f>IF(ISNUMBER(F1805),E1805*F1805,"")</x:f>
      </x:c>
      <x:c r="H1805" s="37" t="d">
        <x:v>2026-10-15T00:00:00.000Z</x:v>
      </x:c>
      <x:c r="I1805" s="37" t="d">
        <x:v>2026-09-13T11:32:38.000Z</x:v>
      </x:c>
      <x:c r="J1805" s="1" t="n">
        <x:f>IF(ISNUMBER(F1805),E1805,0)</x:f>
        <x:v>0</x:v>
      </x:c>
      <x:c r="K1805" s="1"/>
      <x:c r="L1805" s="1" t="str">
        <x:v>https://blog.skyairline.com/lugares-turisticos-3/</x:v>
      </x:c>
      <x:c r="M1805" s="1" t="n">
        <x:v>0</x:v>
      </x:c>
    </x:row>
    <x:row r="1806" ht="18.75" customHeight="1">
      <x:c r="A1806" s="1" t="str">
        <x:v>https://blog.skyairline.com/como-llegar-a-bacalar/</x:v>
      </x:c>
      <x:c r="B1806" s="1" t="str">
        <x:v>como llegar a bacalar</x:v>
      </x:c>
      <x:c r="C1806" s="1" t="str">
        <x:v>chl</x:v>
      </x:c>
      <x:c r="D1806" s="1" t="str">
        <x:v>Sin marca</x:v>
      </x:c>
      <x:c r="E1806" s="35" t="n">
        <x:v>1</x:v>
      </x:c>
      <x:c r="F1806" s="36"/>
      <x:c r="G1806" s="36" t="str">
        <x:f>IF(ISNUMBER(F1806),E1806*F1806,"")</x:f>
      </x:c>
      <x:c r="H1806" s="37" t="d">
        <x:v>2026-10-15T00:00:00.000Z</x:v>
      </x:c>
      <x:c r="I1806" s="37" t="d">
        <x:v>2026-09-17T10:30:57.000Z</x:v>
      </x:c>
      <x:c r="J1806" s="1" t="n">
        <x:f>IF(ISNUMBER(F1806),E1806,0)</x:f>
        <x:v>0</x:v>
      </x:c>
      <x:c r="K1806" s="1"/>
      <x:c r="L1806" s="1" t="str">
        <x:v>https://blog.skyairline.com/lugares-turisticos-arequipa/</x:v>
      </x:c>
      <x:c r="M1806" s="1" t="n">
        <x:v>0</x:v>
      </x:c>
    </x:row>
    <x:row r="1807" ht="18.75" customHeight="1">
      <x:c r="A1807" s="1" t="str">
        <x:v>https://blog.skyairline.com/como-llegar-a-muchu-picchu/</x:v>
      </x:c>
      <x:c r="B1807" s="1" t="str">
        <x:v>como ir a machu picchu</x:v>
      </x:c>
      <x:c r="C1807" s="1" t="str">
        <x:v>chl</x:v>
      </x:c>
      <x:c r="D1807" s="1" t="str">
        <x:v>Sin marca</x:v>
      </x:c>
      <x:c r="E1807" s="35" t="n">
        <x:v>1</x:v>
      </x:c>
      <x:c r="F1807" s="36" t="n">
        <x:v>0.82</x:v>
      </x:c>
      <x:c r="G1807" s="36" t="n">
        <x:f>IF(ISNUMBER(F1807),E1807*F1807,"")</x:f>
        <x:v>0.82</x:v>
      </x:c>
      <x:c r="H1807" s="37" t="d">
        <x:v>2026-10-15T00:00:00.000Z</x:v>
      </x:c>
      <x:c r="I1807" s="37" t="d">
        <x:v>2026-10-15T03:38:35.000Z</x:v>
      </x:c>
      <x:c r="J1807" s="1" t="n">
        <x:f>IF(ISNUMBER(F1807),E1807,0)</x:f>
        <x:v>1</x:v>
      </x:c>
      <x:c r="K1807" s="1"/>
      <x:c r="L1807" s="1" t="str">
        <x:v>https://blog.skyairline.com/lugares-turisticos-de-iquique-que-hacer-y-que-ver/</x:v>
      </x:c>
      <x:c r="M1807" s="1" t="n">
        <x:v>0</x:v>
      </x:c>
    </x:row>
    <x:row r="1808" ht="18.75" customHeight="1">
      <x:c r="A1808" s="1" t="str">
        <x:v>https://blog.skyairline.com/como-llegar-a-muchu-picchu/</x:v>
      </x:c>
      <x:c r="B1808" s="1" t="str">
        <x:v>como llegar a machupichu</x:v>
      </x:c>
      <x:c r="C1808" s="1" t="str">
        <x:v>chl</x:v>
      </x:c>
      <x:c r="D1808" s="1" t="str">
        <x:v>Sin marca</x:v>
      </x:c>
      <x:c r="E1808" s="35" t="n">
        <x:v>1</x:v>
      </x:c>
      <x:c r="F1808" s="36"/>
      <x:c r="G1808" s="36" t="str">
        <x:f>IF(ISNUMBER(F1808),E1808*F1808,"")</x:f>
      </x:c>
      <x:c r="H1808" s="37"/>
      <x:c r="I1808" s="37"/>
      <x:c r="J1808" s="1" t="n">
        <x:f>IF(ISNUMBER(F1808),E1808,0)</x:f>
        <x:v>0</x:v>
      </x:c>
      <x:c r="K1808" s="1"/>
      <x:c r="L1808" s="1" t="str">
        <x:v>https://blog.skyairline.com/lugares-turisticos-del-peru/</x:v>
      </x:c>
      <x:c r="M1808" s="1" t="n">
        <x:v>0</x:v>
      </x:c>
    </x:row>
    <x:row r="1809" ht="18.75" customHeight="1">
      <x:c r="A1809" s="1" t="str">
        <x:v>https://blog.skyairline.com/como-llegar-a-muchu-picchu/</x:v>
      </x:c>
      <x:c r="B1809" s="1" t="str">
        <x:v>machu picchu como llegar</x:v>
      </x:c>
      <x:c r="C1809" s="1" t="str">
        <x:v>chl</x:v>
      </x:c>
      <x:c r="D1809" s="1" t="str">
        <x:v>Sin marca</x:v>
      </x:c>
      <x:c r="E1809" s="35" t="n">
        <x:v>1</x:v>
      </x:c>
      <x:c r="F1809" s="36" t="n">
        <x:v>1.38</x:v>
      </x:c>
      <x:c r="G1809" s="36" t="n">
        <x:f>IF(ISNUMBER(F1809),E1809*F1809,"")</x:f>
        <x:v>1.38</x:v>
      </x:c>
      <x:c r="H1809" s="37" t="d">
        <x:v>2026-10-15T00:00:00.000Z</x:v>
      </x:c>
      <x:c r="I1809" s="37" t="d">
        <x:v>2026-09-16T15:34:48.000Z</x:v>
      </x:c>
      <x:c r="J1809" s="1" t="n">
        <x:f>IF(ISNUMBER(F1809),E1809,0)</x:f>
        <x:v>1</x:v>
      </x:c>
      <x:c r="K1809" s="1"/>
      <x:c r="L1809" s="1" t="str">
        <x:v>https://blog.skyairline.com/lugares-turisticos-en-argentina/</x:v>
      </x:c>
      <x:c r="M1809" s="1" t="n">
        <x:v>0</x:v>
      </x:c>
    </x:row>
    <x:row r="1810" ht="18.75" customHeight="1">
      <x:c r="A1810" s="1" t="str">
        <x:v>https://blog.skyairline.com/como-llegar-a-muchu-picchu/</x:v>
      </x:c>
      <x:c r="B1810" s="1" t="str">
        <x:v>viaje a machu picchu desde chile</x:v>
      </x:c>
      <x:c r="C1810" s="1" t="str">
        <x:v>chl</x:v>
      </x:c>
      <x:c r="D1810" s="1" t="str">
        <x:v>Sin marca</x:v>
      </x:c>
      <x:c r="E1810" s="35" t="n">
        <x:v>1</x:v>
      </x:c>
      <x:c r="F1810" s="36" t="n">
        <x:v>0.85</x:v>
      </x:c>
      <x:c r="G1810" s="36" t="n">
        <x:f>IF(ISNUMBER(F1810),E1810*F1810,"")</x:f>
        <x:v>0.85</x:v>
      </x:c>
      <x:c r="H1810" s="37" t="d">
        <x:v>2026-10-15T00:00:00.000Z</x:v>
      </x:c>
      <x:c r="I1810" s="37" t="d">
        <x:v>2026-09-14T19:01:21.000Z</x:v>
      </x:c>
      <x:c r="J1810" s="1" t="n">
        <x:f>IF(ISNUMBER(F1810),E1810,0)</x:f>
        <x:v>1</x:v>
      </x:c>
      <x:c r="K1810" s="1"/>
      <x:c r="L1810" s="1" t="str">
        <x:v>https://blog.skyairline.com/lugares-turisticos-en-chiloe/</x:v>
      </x:c>
      <x:c r="M1810" s="1" t="n">
        <x:v>0</x:v>
      </x:c>
    </x:row>
    <x:row r="1811" ht="18.75" customHeight="1">
      <x:c r="A1811" s="1" t="str">
        <x:v>https://blog.skyairline.com/como-llegar-a-santa-cruz/</x:v>
      </x:c>
      <x:c r="B1811" s="1" t="str">
        <x:v>como llegar a santa cruz, chile</x:v>
      </x:c>
      <x:c r="C1811" s="1" t="str">
        <x:v>chl</x:v>
      </x:c>
      <x:c r="D1811" s="1" t="str">
        <x:v>Sin marca</x:v>
      </x:c>
      <x:c r="E1811" s="35" t="n">
        <x:v>1</x:v>
      </x:c>
      <x:c r="F1811" s="36"/>
      <x:c r="G1811" s="36" t="str">
        <x:f>IF(ISNUMBER(F1811),E1811*F1811,"")</x:f>
      </x:c>
      <x:c r="H1811" s="37"/>
      <x:c r="I1811" s="37"/>
      <x:c r="J1811" s="1" t="n">
        <x:f>IF(ISNUMBER(F1811),E1811,0)</x:f>
        <x:v>0</x:v>
      </x:c>
      <x:c r="K1811" s="1"/>
      <x:c r="L1811" s="1" t="str">
        <x:v>https://blog.skyairline.com/lugares-turisticos/</x:v>
      </x:c>
      <x:c r="M1811" s="1" t="n">
        <x:v>0</x:v>
      </x:c>
    </x:row>
    <x:row r="1812" ht="18.75" customHeight="1">
      <x:c r="A1812" s="1" t="str">
        <x:v>https://blog.skyairline.com/como-llegar-a-santa-cruz/</x:v>
      </x:c>
      <x:c r="B1812" s="1" t="str">
        <x:v>distancia entre santiago y santa cruz</x:v>
      </x:c>
      <x:c r="C1812" s="1" t="str">
        <x:v>chl</x:v>
      </x:c>
      <x:c r="D1812" s="1" t="str">
        <x:v>Sin marca</x:v>
      </x:c>
      <x:c r="E1812" s="35" t="n">
        <x:v>1</x:v>
      </x:c>
      <x:c r="F1812" s="36"/>
      <x:c r="G1812" s="36" t="str">
        <x:f>IF(ISNUMBER(F1812),E1812*F1812,"")</x:f>
      </x:c>
      <x:c r="H1812" s="37" t="d">
        <x:v>2026-10-15T00:00:00.000Z</x:v>
      </x:c>
      <x:c r="I1812" s="37" t="d">
        <x:v>2026-09-16T10:54:44.000Z</x:v>
      </x:c>
      <x:c r="J1812" s="1" t="n">
        <x:f>IF(ISNUMBER(F1812),E1812,0)</x:f>
        <x:v>0</x:v>
      </x:c>
      <x:c r="K1812" s="1"/>
      <x:c r="L1812" s="1" t="str">
        <x:v>https://blog.skyairline.com/lujan-de-cuyo/</x:v>
      </x:c>
      <x:c r="M1812" s="1" t="n">
        <x:v>0</x:v>
      </x:c>
    </x:row>
    <x:row r="1813" ht="18.75" customHeight="1">
      <x:c r="A1813" s="1" t="str">
        <x:v>https://blog.skyairline.com/como-llegar-a-santa-cruz/</x:v>
      </x:c>
      <x:c r="B1813" s="1" t="str">
        <x:v>santa cruz chile como llegar</x:v>
      </x:c>
      <x:c r="C1813" s="1" t="str">
        <x:v>chl</x:v>
      </x:c>
      <x:c r="D1813" s="1" t="str">
        <x:v>Sin marca</x:v>
      </x:c>
      <x:c r="E1813" s="35" t="n">
        <x:v>1</x:v>
      </x:c>
      <x:c r="F1813" s="36"/>
      <x:c r="G1813" s="36" t="str">
        <x:f>IF(ISNUMBER(F1813),E1813*F1813,"")</x:f>
      </x:c>
      <x:c r="H1813" s="37" t="d">
        <x:v>2026-10-15T00:00:00.000Z</x:v>
      </x:c>
      <x:c r="I1813" s="37" t="d">
        <x:v>2026-09-13T04:25:59.000Z</x:v>
      </x:c>
      <x:c r="J1813" s="1" t="n">
        <x:f>IF(ISNUMBER(F1813),E1813,0)</x:f>
        <x:v>0</x:v>
      </x:c>
      <x:c r="K1813" s="1"/>
      <x:c r="L1813" s="1" t="str">
        <x:v>https://blog.skyairline.com/luna-de-miel-en-chile/</x:v>
      </x:c>
      <x:c r="M1813" s="1" t="n">
        <x:v>0</x:v>
      </x:c>
    </x:row>
    <x:row r="1814" ht="18.75" customHeight="1">
      <x:c r="A1814" s="1" t="str">
        <x:v>https://blog.skyairline.com/como-llegar-ahornopiren/</x:v>
      </x:c>
      <x:c r="B1814" s="1" t="str">
        <x:v>como llegar a hornopirén desde puerto montt</x:v>
      </x:c>
      <x:c r="C1814" s="1" t="str">
        <x:v>chl</x:v>
      </x:c>
      <x:c r="D1814" s="1" t="str">
        <x:v>Sin marca</x:v>
      </x:c>
      <x:c r="E1814" s="35" t="n">
        <x:v>1</x:v>
      </x:c>
      <x:c r="F1814" s="36"/>
      <x:c r="G1814" s="36" t="str">
        <x:f>IF(ISNUMBER(F1814),E1814*F1814,"")</x:f>
      </x:c>
      <x:c r="H1814" s="37" t="d">
        <x:v>2026-10-15T00:00:00.000Z</x:v>
      </x:c>
      <x:c r="I1814" s="37" t="d">
        <x:v>2026-09-17T14:12:54.000Z</x:v>
      </x:c>
      <x:c r="J1814" s="1" t="n">
        <x:f>IF(ISNUMBER(F1814),E1814,0)</x:f>
        <x:v>0</x:v>
      </x:c>
      <x:c r="K1814" s="1"/>
      <x:c r="L1814" s="1" t="str">
        <x:v>https://blog.skyairline.com/m/684c98a5e55e5108</x:v>
      </x:c>
      <x:c r="M1814" s="1" t="n">
        <x:v>0</x:v>
      </x:c>
    </x:row>
    <x:row r="1815" ht="18.75" customHeight="1">
      <x:c r="A1815" s="1" t="str">
        <x:v>https://blog.skyairline.com/como-llegar-ahornopiren/</x:v>
      </x:c>
      <x:c r="B1815" s="1" t="str">
        <x:v>como llegar de puerto montt a hornopiren</x:v>
      </x:c>
      <x:c r="C1815" s="1" t="str">
        <x:v>chl</x:v>
      </x:c>
      <x:c r="D1815" s="1" t="str">
        <x:v>Sin marca</x:v>
      </x:c>
      <x:c r="E1815" s="35" t="n">
        <x:v>1</x:v>
      </x:c>
      <x:c r="F1815" s="36" t="n">
        <x:v>0.09</x:v>
      </x:c>
      <x:c r="G1815" s="36" t="n">
        <x:f>IF(ISNUMBER(F1815),E1815*F1815,"")</x:f>
        <x:v>0.09</x:v>
      </x:c>
      <x:c r="H1815" s="37" t="d">
        <x:v>2026-10-15T00:00:00.000Z</x:v>
      </x:c>
      <x:c r="I1815" s="37" t="d">
        <x:v>2026-09-16T12:52:49.000Z</x:v>
      </x:c>
      <x:c r="J1815" s="1" t="n">
        <x:f>IF(ISNUMBER(F1815),E1815,0)</x:f>
        <x:v>1</x:v>
      </x:c>
      <x:c r="K1815" s="1"/>
      <x:c r="L1815" s="1" t="str">
        <x:v>https://blog.skyairline.com/mancora/</x:v>
      </x:c>
      <x:c r="M1815" s="1" t="n">
        <x:v>0</x:v>
      </x:c>
    </x:row>
    <x:row r="1816" ht="18.75" customHeight="1">
      <x:c r="A1816" s="1" t="str">
        <x:v>https://blog.skyairline.com/como-llegar-ahornopiren/</x:v>
      </x:c>
      <x:c r="B1816" s="1" t="str">
        <x:v>hualaihue donde queda</x:v>
      </x:c>
      <x:c r="C1816" s="1" t="str">
        <x:v>chl</x:v>
      </x:c>
      <x:c r="D1816" s="1" t="str">
        <x:v>Sin marca</x:v>
      </x:c>
      <x:c r="E1816" s="35" t="n">
        <x:v>1</x:v>
      </x:c>
      <x:c r="F1816" s="36"/>
      <x:c r="G1816" s="36" t="str">
        <x:f>IF(ISNUMBER(F1816),E1816*F1816,"")</x:f>
      </x:c>
      <x:c r="H1816" s="37"/>
      <x:c r="I1816" s="37"/>
      <x:c r="J1816" s="1" t="n">
        <x:f>IF(ISNUMBER(F1816),E1816,0)</x:f>
        <x:v>0</x:v>
      </x:c>
      <x:c r="K1816" s="1"/>
      <x:c r="L1816" s="1" t="str">
        <x:v>https://blog.skyairline.com/mar-del-plata/</x:v>
      </x:c>
      <x:c r="M1816" s="1" t="n">
        <x:v>0</x:v>
      </x:c>
    </x:row>
    <x:row r="1817" ht="18.75" customHeight="1">
      <x:c r="A1817" s="1" t="str">
        <x:v>https://blog.skyairline.com/como-llegar-ahornopiren/</x:v>
      </x:c>
      <x:c r="B1817" s="1" t="str">
        <x:v>vuelos a hornopirén</x:v>
      </x:c>
      <x:c r="C1817" s="1" t="str">
        <x:v>chl</x:v>
      </x:c>
      <x:c r="D1817" s="1" t="str">
        <x:v>Sin marca</x:v>
      </x:c>
      <x:c r="E1817" s="35" t="n">
        <x:v>1</x:v>
      </x:c>
      <x:c r="F1817" s="36" t="n">
        <x:v>0.37</x:v>
      </x:c>
      <x:c r="G1817" s="36" t="n">
        <x:f>IF(ISNUMBER(F1817),E1817*F1817,"")</x:f>
        <x:v>0.37</x:v>
      </x:c>
      <x:c r="H1817" s="37" t="d">
        <x:v>2026-10-15T00:00:00.000Z</x:v>
      </x:c>
      <x:c r="I1817" s="37" t="d">
        <x:v>2026-09-15T17:53:58.000Z</x:v>
      </x:c>
      <x:c r="J1817" s="1" t="n">
        <x:f>IF(ISNUMBER(F1817),E1817,0)</x:f>
        <x:v>1</x:v>
      </x:c>
      <x:c r="K1817" s="1"/>
      <x:c r="L1817" s="1" t="str">
        <x:v>https://blog.skyairline.com/maraton-de-buenos-aires/</x:v>
      </x:c>
      <x:c r="M1817" s="1" t="n">
        <x:v>0</x:v>
      </x:c>
    </x:row>
    <x:row r="1818" ht="18.75" customHeight="1">
      <x:c r="A1818" s="1" t="str">
        <x:v>https://blog.skyairline.com/como-llegar-chiclayo/</x:v>
      </x:c>
      <x:c r="B1818" s="1" t="str">
        <x:v>cuantas horas es de lima a chiclayo en bus</x:v>
      </x:c>
      <x:c r="C1818" s="1" t="str">
        <x:v>per</x:v>
      </x:c>
      <x:c r="D1818" s="1" t="str">
        <x:v>Sin marca</x:v>
      </x:c>
      <x:c r="E1818" s="35" t="n">
        <x:v>1</x:v>
      </x:c>
      <x:c r="F1818" s="36"/>
      <x:c r="G1818" s="36" t="str">
        <x:f>IF(ISNUMBER(F1818),E1818*F1818,"")</x:f>
      </x:c>
      <x:c r="H1818" s="37" t="d">
        <x:v>2026-10-15T00:00:00.000Z</x:v>
      </x:c>
      <x:c r="I1818" s="37" t="d">
        <x:v>2026-09-17T03:17:50.000Z</x:v>
      </x:c>
      <x:c r="J1818" s="1" t="n">
        <x:f>IF(ISNUMBER(F1818),E1818,0)</x:f>
        <x:v>0</x:v>
      </x:c>
      <x:c r="K1818" s="1"/>
      <x:c r="L1818" s="1" t="str">
        <x:v>https://blog.skyairline.com/maraton-de-santiago-2/</x:v>
      </x:c>
      <x:c r="M1818" s="1" t="n">
        <x:v>0</x:v>
      </x:c>
    </x:row>
    <x:row r="1819" ht="18.75" customHeight="1">
      <x:c r="A1819" s="1" t="str">
        <x:v>https://blog.skyairline.com/como-llegar-chiclayo/</x:v>
      </x:c>
      <x:c r="B1819" s="1" t="str">
        <x:v>cuantas horas son a chiclayo</x:v>
      </x:c>
      <x:c r="C1819" s="1" t="str">
        <x:v>per</x:v>
      </x:c>
      <x:c r="D1819" s="1" t="str">
        <x:v>Sin marca</x:v>
      </x:c>
      <x:c r="E1819" s="35" t="n">
        <x:v>1</x:v>
      </x:c>
      <x:c r="F1819" s="36"/>
      <x:c r="G1819" s="36" t="str">
        <x:f>IF(ISNUMBER(F1819),E1819*F1819,"")</x:f>
      </x:c>
      <x:c r="H1819" s="37"/>
      <x:c r="I1819" s="37"/>
      <x:c r="J1819" s="1" t="n">
        <x:f>IF(ISNUMBER(F1819),E1819,0)</x:f>
        <x:v>0</x:v>
      </x:c>
      <x:c r="K1819" s="1"/>
      <x:c r="L1819" s="1" t="str">
        <x:v>https://blog.skyairline.com/marejadas-en-iquique-que-son-y-como-afectan-a-las-playas/</x:v>
      </x:c>
      <x:c r="M1819" s="1" t="n">
        <x:v>0</x:v>
      </x:c>
    </x:row>
    <x:row r="1820" ht="18.75" customHeight="1">
      <x:c r="A1820" s="1" t="str">
        <x:v>https://blog.skyairline.com/como-llegar-chiclayo/</x:v>
      </x:c>
      <x:c r="B1820" s="1" t="str">
        <x:v>cuantas horas son de lima a chiclayo en bus</x:v>
      </x:c>
      <x:c r="C1820" s="1" t="str">
        <x:v>per</x:v>
      </x:c>
      <x:c r="D1820" s="1" t="str">
        <x:v>Sin marca</x:v>
      </x:c>
      <x:c r="E1820" s="35" t="n">
        <x:v>1</x:v>
      </x:c>
      <x:c r="F1820" s="36" t="n">
        <x:v>0.02</x:v>
      </x:c>
      <x:c r="G1820" s="36" t="n">
        <x:f>IF(ISNUMBER(F1820),E1820*F1820,"")</x:f>
        <x:v>0.02</x:v>
      </x:c>
      <x:c r="H1820" s="37" t="d">
        <x:v>2026-10-15T00:00:00.000Z</x:v>
      </x:c>
      <x:c r="I1820" s="37" t="d">
        <x:v>2026-09-15T23:42:58.000Z</x:v>
      </x:c>
      <x:c r="J1820" s="1" t="n">
        <x:f>IF(ISNUMBER(F1820),E1820,0)</x:f>
        <x:v>1</x:v>
      </x:c>
      <x:c r="K1820" s="1"/>
      <x:c r="L1820" s="1" t="str">
        <x:v>https://blog.skyairline.com/mas-de-17-mil-toneladas-viajaron-por-el-cielo-con-sky-carga</x:v>
      </x:c>
      <x:c r="M1820" s="1" t="n">
        <x:v>0</x:v>
      </x:c>
    </x:row>
    <x:row r="1821" ht="18.75" customHeight="1">
      <x:c r="A1821" s="1" t="str">
        <x:v>https://blog.skyairline.com/como-llegar-chiclayo/</x:v>
      </x:c>
      <x:c r="B1821" s="1" t="str">
        <x:v>cuánto tiempo hay de lima a chiclayo</x:v>
      </x:c>
      <x:c r="C1821" s="1" t="str">
        <x:v>per</x:v>
      </x:c>
      <x:c r="D1821" s="1" t="str">
        <x:v>Sin marca</x:v>
      </x:c>
      <x:c r="E1821" s="35" t="n">
        <x:v>1</x:v>
      </x:c>
      <x:c r="F1821" s="36"/>
      <x:c r="G1821" s="36" t="str">
        <x:f>IF(ISNUMBER(F1821),E1821*F1821,"")</x:f>
      </x:c>
      <x:c r="H1821" s="37"/>
      <x:c r="I1821" s="37"/>
      <x:c r="J1821" s="1" t="n">
        <x:f>IF(ISNUMBER(F1821),E1821,0)</x:f>
        <x:v>0</x:v>
      </x:c>
      <x:c r="K1821" s="1"/>
      <x:c r="L1821" s="1" t="str">
        <x:v>https://blog.skyairline.com/mas-de-17-mil-toneladas-viajaron-por-el-cielo-con-sky-carga/</x:v>
      </x:c>
      <x:c r="M1821" s="1" t="n">
        <x:v>0</x:v>
      </x:c>
    </x:row>
    <x:row r="1822" ht="18.75" customHeight="1">
      <x:c r="A1822" s="1" t="str">
        <x:v>https://blog.skyairline.com/como-llegar-chiclayo/</x:v>
      </x:c>
      <x:c r="B1822" s="1" t="str">
        <x:v>de chiclayo a lima cuantas horas son</x:v>
      </x:c>
      <x:c r="C1822" s="1" t="str">
        <x:v>per</x:v>
      </x:c>
      <x:c r="D1822" s="1" t="str">
        <x:v>Sin marca</x:v>
      </x:c>
      <x:c r="E1822" s="35" t="n">
        <x:v>1</x:v>
      </x:c>
      <x:c r="F1822" s="36" t="n">
        <x:v>0.48</x:v>
      </x:c>
      <x:c r="G1822" s="36" t="n">
        <x:f>IF(ISNUMBER(F1822),E1822*F1822,"")</x:f>
        <x:v>0.48</x:v>
      </x:c>
      <x:c r="H1822" s="37" t="d">
        <x:v>2026-10-15T00:00:00.000Z</x:v>
      </x:c>
      <x:c r="I1822" s="37" t="d">
        <x:v>2026-09-15T09:41:31.000Z</x:v>
      </x:c>
      <x:c r="J1822" s="1" t="n">
        <x:f>IF(ISNUMBER(F1822),E1822,0)</x:f>
        <x:v>1</x:v>
      </x:c>
      <x:c r="K1822" s="1"/>
      <x:c r="L1822" s="1" t="str">
        <x:v>https://blog.skyairline.com/mas-de-21-600-pasajeros-han-volado-desde-y-hacia-la-serena-durante-agosto/</x:v>
      </x:c>
      <x:c r="M1822" s="1" t="n">
        <x:v>0</x:v>
      </x:c>
    </x:row>
    <x:row r="1823" ht="18.75" customHeight="1">
      <x:c r="A1823" s="1" t="str">
        <x:v>https://blog.skyairline.com/como-llegar-chiclayo/</x:v>
      </x:c>
      <x:c r="B1823" s="1" t="str">
        <x:v>de lima a chiclayo cuantas horas</x:v>
      </x:c>
      <x:c r="C1823" s="1" t="str">
        <x:v>per</x:v>
      </x:c>
      <x:c r="D1823" s="1" t="str">
        <x:v>Sin marca</x:v>
      </x:c>
      <x:c r="E1823" s="35" t="n">
        <x:v>1</x:v>
      </x:c>
      <x:c r="F1823" s="36"/>
      <x:c r="G1823" s="36" t="str">
        <x:f>IF(ISNUMBER(F1823),E1823*F1823,"")</x:f>
      </x:c>
      <x:c r="H1823" s="37"/>
      <x:c r="I1823" s="37"/>
      <x:c r="J1823" s="1" t="n">
        <x:f>IF(ISNUMBER(F1823),E1823,0)</x:f>
        <x:v>0</x:v>
      </x:c>
      <x:c r="K1823" s="1"/>
      <x:c r="L1823" s="1" t="str">
        <x:v>https://blog.skyairline.com/mas-de-230-mil-pasajeros-volaran-entre-chile-y-brasil-para-la-temporada-de-invierno-2024/</x:v>
      </x:c>
      <x:c r="M1823" s="1" t="n">
        <x:v>0</x:v>
      </x:c>
    </x:row>
    <x:row r="1824" ht="18.75" customHeight="1">
      <x:c r="A1824" s="1" t="str">
        <x:v>https://blog.skyairline.com/como-llegar-chiclayo/</x:v>
      </x:c>
      <x:c r="B1824" s="1" t="str">
        <x:v>lima a chiclayo tiempo</x:v>
      </x:c>
      <x:c r="C1824" s="1" t="str">
        <x:v>per</x:v>
      </x:c>
      <x:c r="D1824" s="1" t="str">
        <x:v>Sin marca</x:v>
      </x:c>
      <x:c r="E1824" s="35" t="n">
        <x:v>1</x:v>
      </x:c>
      <x:c r="F1824" s="36" t="n">
        <x:v>0.65</x:v>
      </x:c>
      <x:c r="G1824" s="36" t="n">
        <x:f>IF(ISNUMBER(F1824),E1824*F1824,"")</x:f>
        <x:v>0.65</x:v>
      </x:c>
      <x:c r="H1824" s="37" t="d">
        <x:v>2026-10-15T00:00:00.000Z</x:v>
      </x:c>
      <x:c r="I1824" s="37" t="d">
        <x:v>2026-10-15T13:19:28.000Z</x:v>
      </x:c>
      <x:c r="J1824" s="1" t="n">
        <x:f>IF(ISNUMBER(F1824),E1824,0)</x:f>
        <x:v>1</x:v>
      </x:c>
      <x:c r="K1824" s="1"/>
      <x:c r="L1824" s="1" t="str">
        <x:v>https://blog.skyairline.com/mas-de-48-mil-personas-viajaran-dentro-del-peru-durante-fiestas-patrias/</x:v>
      </x:c>
      <x:c r="M1824" s="1" t="n">
        <x:v>0</x:v>
      </x:c>
    </x:row>
    <x:row r="1825" ht="18.75" customHeight="1">
      <x:c r="A1825" s="1" t="str">
        <x:v>https://blog.skyairline.com/como-llegar-chiclayo/</x:v>
      </x:c>
      <x:c r="B1825" s="1" t="str">
        <x:v>ruta a chiclayo</x:v>
      </x:c>
      <x:c r="C1825" s="1" t="str">
        <x:v>per</x:v>
      </x:c>
      <x:c r="D1825" s="1" t="str">
        <x:v>Sin marca</x:v>
      </x:c>
      <x:c r="E1825" s="35" t="n">
        <x:v>1</x:v>
      </x:c>
      <x:c r="F1825" s="36"/>
      <x:c r="G1825" s="36" t="str">
        <x:f>IF(ISNUMBER(F1825),E1825*F1825,"")</x:f>
      </x:c>
      <x:c r="H1825" s="37"/>
      <x:c r="I1825" s="37"/>
      <x:c r="J1825" s="1" t="n">
        <x:f>IF(ISNUMBER(F1825),E1825,0)</x:f>
        <x:v>0</x:v>
      </x:c>
      <x:c r="K1825" s="1"/>
      <x:c r="L1825" s="1" t="str">
        <x:v>https://blog.skyairline.com/mas-presencia-femenina-en-la-industria-sky-alcanzo-el-124-de-mujeres-pilotos/</x:v>
      </x:c>
      <x:c r="M1825" s="1" t="n">
        <x:v>0</x:v>
      </x:c>
    </x:row>
    <x:row r="1826" ht="18.75" customHeight="1">
      <x:c r="A1826" s="1" t="str">
        <x:v>https://blog.skyairline.com/comprar-en-chile/</x:v>
      </x:c>
      <x:c r="B1826" s="1" t="str">
        <x:v>compras en chile</x:v>
      </x:c>
      <x:c r="C1826" s="1" t="str">
        <x:v>ven</x:v>
      </x:c>
      <x:c r="D1826" s="1" t="str">
        <x:v>Sin marca</x:v>
      </x:c>
      <x:c r="E1826" s="35" t="n">
        <x:v>1</x:v>
      </x:c>
      <x:c r="F1826" s="36"/>
      <x:c r="G1826" s="36" t="str">
        <x:f>IF(ISNUMBER(F1826),E1826*F1826,"")</x:f>
      </x:c>
      <x:c r="H1826" s="37"/>
      <x:c r="I1826" s="37"/>
      <x:c r="J1826" s="1" t="n">
        <x:f>IF(ISNUMBER(F1826),E1826,0)</x:f>
        <x:v>0</x:v>
      </x:c>
      <x:c r="K1826" s="1"/>
      <x:c r="L1826" s="1" t="str">
        <x:v>https://blog.skyairline.com/mascotas-en-cabin/</x:v>
      </x:c>
      <x:c r="M1826" s="1" t="n">
        <x:v>0</x:v>
      </x:c>
    </x:row>
    <x:row r="1827" ht="18.75" customHeight="1">
      <x:c r="A1827" s="1" t="str">
        <x:v>https://blog.skyairline.com/comprar-en-chile/</x:v>
      </x:c>
      <x:c r="B1827" s="1" t="str">
        <x:v>conviene ir a chile a comprar</x:v>
      </x:c>
      <x:c r="C1827" s="1" t="str">
        <x:v>per</x:v>
      </x:c>
      <x:c r="D1827" s="1" t="str">
        <x:v>Sin marca</x:v>
      </x:c>
      <x:c r="E1827" s="35" t="n">
        <x:v>1</x:v>
      </x:c>
      <x:c r="F1827" s="36"/>
      <x:c r="G1827" s="36" t="str">
        <x:f>IF(ISNUMBER(F1827),E1827*F1827,"")</x:f>
      </x:c>
      <x:c r="H1827" s="37" t="d">
        <x:v>2026-10-15T00:00:00.000Z</x:v>
      </x:c>
      <x:c r="I1827" s="37" t="d">
        <x:v>2026-09-15T04:32:48.000Z</x:v>
      </x:c>
      <x:c r="J1827" s="1" t="n">
        <x:f>IF(ISNUMBER(F1827),E1827,0)</x:f>
        <x:v>0</x:v>
      </x:c>
      <x:c r="K1827" s="1"/>
      <x:c r="L1827" s="1" t="str">
        <x:v>https://blog.skyairline.com/media-maraton-puerto-varas/</x:v>
      </x:c>
      <x:c r="M1827" s="1" t="n">
        <x:v>0</x:v>
      </x:c>
    </x:row>
    <x:row r="1828" ht="18.75" customHeight="1">
      <x:c r="A1828" s="1" t="str">
        <x:v>https://blog.skyairline.com/comprar-en-chile/</x:v>
      </x:c>
      <x:c r="B1828" s="1" t="str">
        <x:v>donde comprar en chile</x:v>
      </x:c>
      <x:c r="C1828" s="1" t="str">
        <x:v>cri</x:v>
      </x:c>
      <x:c r="D1828" s="1" t="str">
        <x:v>Sin marca</x:v>
      </x:c>
      <x:c r="E1828" s="35" t="n">
        <x:v>1</x:v>
      </x:c>
      <x:c r="F1828" s="36"/>
      <x:c r="G1828" s="36" t="str">
        <x:f>IF(ISNUMBER(F1828),E1828*F1828,"")</x:f>
      </x:c>
      <x:c r="H1828" s="37"/>
      <x:c r="I1828" s="37"/>
      <x:c r="J1828" s="1" t="n">
        <x:f>IF(ISNUMBER(F1828),E1828,0)</x:f>
        <x:v>0</x:v>
      </x:c>
      <x:c r="K1828" s="1"/>
      <x:c r="L1828" s="1" t="str">
        <x:v>https://blog.skyairline.com/medidas-de-bioseguridad/</x:v>
      </x:c>
      <x:c r="M1828" s="1" t="n">
        <x:v>0</x:v>
      </x:c>
    </x:row>
    <x:row r="1829" ht="18.75" customHeight="1">
      <x:c r="A1829" s="1" t="str">
        <x:v>https://blog.skyairline.com/comprar-en-chile/</x:v>
      </x:c>
      <x:c r="B1829" s="1" t="str">
        <x:v>donde se puede comprar en chile</x:v>
      </x:c>
      <x:c r="C1829" s="1" t="str">
        <x:v>per</x:v>
      </x:c>
      <x:c r="D1829" s="1" t="str">
        <x:v>Sin marca</x:v>
      </x:c>
      <x:c r="E1829" s="35" t="n">
        <x:v>1</x:v>
      </x:c>
      <x:c r="F1829" s="36"/>
      <x:c r="G1829" s="36" t="str">
        <x:f>IF(ISNUMBER(F1829),E1829*F1829,"")</x:f>
      </x:c>
      <x:c r="H1829" s="37"/>
      <x:c r="I1829" s="37"/>
      <x:c r="J1829" s="1" t="n">
        <x:f>IF(ISNUMBER(F1829),E1829,0)</x:f>
        <x:v>0</x:v>
      </x:c>
      <x:c r="K1829" s="1"/>
      <x:c r="L1829" s="1" t="str">
        <x:v>https://blog.skyairline.com/medidas-de-seguridad/</x:v>
      </x:c>
      <x:c r="M1829" s="1" t="n">
        <x:v>0</x:v>
      </x:c>
    </x:row>
    <x:row r="1830" ht="18.75" customHeight="1">
      <x:c r="A1830" s="1" t="str">
        <x:v>https://blog.skyairline.com/comprar-en-chile/</x:v>
      </x:c>
      <x:c r="B1830" s="1" t="str">
        <x:v>que comprar en chile</x:v>
      </x:c>
      <x:c r="C1830" s="1" t="str">
        <x:v>col</x:v>
      </x:c>
      <x:c r="D1830" s="1" t="str">
        <x:v>Sin marca</x:v>
      </x:c>
      <x:c r="E1830" s="35" t="n">
        <x:v>1</x:v>
      </x:c>
      <x:c r="F1830" s="36"/>
      <x:c r="G1830" s="36" t="str">
        <x:f>IF(ISNUMBER(F1830),E1830*F1830,"")</x:f>
      </x:c>
      <x:c r="H1830" s="37"/>
      <x:c r="I1830" s="37"/>
      <x:c r="J1830" s="1" t="n">
        <x:f>IF(ISNUMBER(F1830),E1830,0)</x:f>
        <x:v>0</x:v>
      </x:c>
      <x:c r="K1830" s="1"/>
      <x:c r="L1830" s="1" t="str">
        <x:v>https://blog.skyairline.com/mejor-comida-peruana/</x:v>
      </x:c>
      <x:c r="M1830" s="1" t="n">
        <x:v>0</x:v>
      </x:c>
    </x:row>
    <x:row r="1831" ht="18.75" customHeight="1">
      <x:c r="A1831" s="1" t="str">
        <x:v>https://blog.skyairline.com/comprar-en-chile/</x:v>
      </x:c>
      <x:c r="B1831" s="1" t="str">
        <x:v>que comprar en chile</x:v>
      </x:c>
      <x:c r="C1831" s="1" t="str">
        <x:v>mex</x:v>
      </x:c>
      <x:c r="D1831" s="1" t="str">
        <x:v>Sin marca</x:v>
      </x:c>
      <x:c r="E1831" s="35" t="n">
        <x:v>1</x:v>
      </x:c>
      <x:c r="F1831" s="36"/>
      <x:c r="G1831" s="36" t="str">
        <x:f>IF(ISNUMBER(F1831),E1831*F1831,"")</x:f>
      </x:c>
      <x:c r="H1831" s="37"/>
      <x:c r="I1831" s="37"/>
      <x:c r="J1831" s="1" t="n">
        <x:f>IF(ISNUMBER(F1831),E1831,0)</x:f>
        <x:v>0</x:v>
      </x:c>
      <x:c r="K1831" s="1"/>
      <x:c r="L1831" s="1" t="str">
        <x:v>https://blog.skyairline.com/mejor-epoca-para-viajar-a-puerto-montt</x:v>
      </x:c>
      <x:c r="M1831" s="1" t="n">
        <x:v>0</x:v>
      </x:c>
    </x:row>
    <x:row r="1832" ht="18.75" customHeight="1">
      <x:c r="A1832" s="1" t="str">
        <x:v>https://blog.skyairline.com/comprar-en-chile/</x:v>
      </x:c>
      <x:c r="B1832" s="1" t="str">
        <x:v>que hay en chile para comprar</x:v>
      </x:c>
      <x:c r="C1832" s="1" t="str">
        <x:v>per</x:v>
      </x:c>
      <x:c r="D1832" s="1" t="str">
        <x:v>Sin marca</x:v>
      </x:c>
      <x:c r="E1832" s="35" t="n">
        <x:v>1</x:v>
      </x:c>
      <x:c r="F1832" s="36"/>
      <x:c r="G1832" s="36" t="str">
        <x:f>IF(ISNUMBER(F1832),E1832*F1832,"")</x:f>
      </x:c>
      <x:c r="H1832" s="37"/>
      <x:c r="I1832" s="37"/>
      <x:c r="J1832" s="1" t="n">
        <x:f>IF(ISNUMBER(F1832),E1832,0)</x:f>
        <x:v>0</x:v>
      </x:c>
      <x:c r="K1832" s="1"/>
      <x:c r="L1832" s="1" t="str">
        <x:v>https://blog.skyairline.com/mejor-fecha-para-ir-a-torres-del-paine-clima-y-recomendaciones</x:v>
      </x:c>
      <x:c r="M1832" s="1" t="n">
        <x:v>0</x:v>
      </x:c>
    </x:row>
    <x:row r="1833" ht="18.75" customHeight="1">
      <x:c r="A1833" s="1" t="str">
        <x:v>https://blog.skyairline.com/comprar-pasajes-baratos/</x:v>
      </x:c>
      <x:c r="B1833" s="1" t="str">
        <x:v>cual es el mejor dia de la semana para comprar vuelos</x:v>
      </x:c>
      <x:c r="C1833" s="1" t="str">
        <x:v>chl</x:v>
      </x:c>
      <x:c r="D1833" s="1" t="str">
        <x:v>Sin marca</x:v>
      </x:c>
      <x:c r="E1833" s="35" t="n">
        <x:v>1</x:v>
      </x:c>
      <x:c r="F1833" s="36"/>
      <x:c r="G1833" s="36" t="str">
        <x:f>IF(ISNUMBER(F1833),E1833*F1833,"")</x:f>
      </x:c>
      <x:c r="H1833" s="37"/>
      <x:c r="I1833" s="37"/>
      <x:c r="J1833" s="1" t="n">
        <x:f>IF(ISNUMBER(F1833),E1833,0)</x:f>
        <x:v>0</x:v>
      </x:c>
      <x:c r="K1833" s="1"/>
      <x:c r="L1833" s="1" t="str">
        <x:v>https://blog.skyairline.com/mejor-fecha-para-viajar-a-tarapoto</x:v>
      </x:c>
      <x:c r="M1833" s="1" t="n">
        <x:v>0</x:v>
      </x:c>
    </x:row>
    <x:row r="1834" ht="18.75" customHeight="1">
      <x:c r="A1834" s="1" t="str">
        <x:v>https://blog.skyairline.com/comprar-pasajes-baratos/</x:v>
      </x:c>
      <x:c r="B1834" s="1" t="str">
        <x:v>cuando comprar pasajes baratos en avion</x:v>
      </x:c>
      <x:c r="C1834" s="1" t="str">
        <x:v>chl</x:v>
      </x:c>
      <x:c r="D1834" s="1" t="str">
        <x:v>Sin marca</x:v>
      </x:c>
      <x:c r="E1834" s="35" t="n">
        <x:v>1</x:v>
      </x:c>
      <x:c r="F1834" s="36"/>
      <x:c r="G1834" s="36" t="str">
        <x:f>IF(ISNUMBER(F1834),E1834*F1834,"")</x:f>
      </x:c>
      <x:c r="H1834" s="37"/>
      <x:c r="I1834" s="37"/>
      <x:c r="J1834" s="1" t="n">
        <x:f>IF(ISNUMBER(F1834),E1834,0)</x:f>
        <x:v>0</x:v>
      </x:c>
      <x:c r="K1834" s="1"/>
      <x:c r="L1834" s="1" t="str">
        <x:v>https://blog.skyairline.com/mejor-fecha-para-viajar-a-tarapoto-y-evitar-los-meses-mas-lluviosos/</x:v>
      </x:c>
      <x:c r="M1834" s="1" t="n">
        <x:v>0</x:v>
      </x:c>
    </x:row>
    <x:row r="1835" ht="18.75" customHeight="1">
      <x:c r="A1835" s="1" t="str">
        <x:v>https://blog.skyairline.com/comprar-pasajes-baratos/</x:v>
      </x:c>
      <x:c r="B1835" s="1" t="str">
        <x:v>cuando es mas barato comprar pasajes de avion</x:v>
      </x:c>
      <x:c r="C1835" s="1" t="str">
        <x:v>chl</x:v>
      </x:c>
      <x:c r="D1835" s="1" t="str">
        <x:v>Sin marca</x:v>
      </x:c>
      <x:c r="E1835" s="35" t="n">
        <x:v>1</x:v>
      </x:c>
      <x:c r="F1835" s="36" t="n">
        <x:v>2.03</x:v>
      </x:c>
      <x:c r="G1835" s="36" t="n">
        <x:f>IF(ISNUMBER(F1835),E1835*F1835,"")</x:f>
        <x:v>2.03</x:v>
      </x:c>
      <x:c r="H1835" s="37" t="d">
        <x:v>2026-10-15T00:00:00.000Z</x:v>
      </x:c>
      <x:c r="I1835" s="37" t="d">
        <x:v>2026-09-16T03:57:44.000Z</x:v>
      </x:c>
      <x:c r="J1835" s="1" t="n">
        <x:f>IF(ISNUMBER(F1835),E1835,0)</x:f>
        <x:v>1</x:v>
      </x:c>
      <x:c r="K1835" s="1"/>
      <x:c r="L1835" s="1" t="str">
        <x:v>https://blog.skyairline.com/mejor-fecha-viajar-a-tarapoto/</x:v>
      </x:c>
      <x:c r="M1835" s="1" t="n">
        <x:v>0</x:v>
      </x:c>
    </x:row>
    <x:row r="1836" ht="18.75" customHeight="1">
      <x:c r="A1836" s="1" t="str">
        <x:v>https://blog.skyairline.com/comprar-pasajes-baratos/</x:v>
      </x:c>
      <x:c r="B1836" s="1" t="str">
        <x:v>en que fecha bajan los pasajes de avion</x:v>
      </x:c>
      <x:c r="C1836" s="1" t="str">
        <x:v>chl</x:v>
      </x:c>
      <x:c r="D1836" s="1" t="str">
        <x:v>Sin marca</x:v>
      </x:c>
      <x:c r="E1836" s="35" t="n">
        <x:v>1</x:v>
      </x:c>
      <x:c r="F1836" s="36"/>
      <x:c r="G1836" s="36" t="str">
        <x:f>IF(ISNUMBER(F1836),E1836*F1836,"")</x:f>
      </x:c>
      <x:c r="H1836" s="37"/>
      <x:c r="I1836" s="37"/>
      <x:c r="J1836" s="1" t="n">
        <x:f>IF(ISNUMBER(F1836),E1836,0)</x:f>
        <x:v>0</x:v>
      </x:c>
      <x:c r="K1836" s="1"/>
      <x:c r="L1836" s="1" t="str">
        <x:v>https://blog.skyairline.com/mejor-fecha-viajar-tarapoto/</x:v>
      </x:c>
      <x:c r="M1836" s="1" t="n">
        <x:v>0</x:v>
      </x:c>
    </x:row>
    <x:row r="1837" ht="18.75" customHeight="1">
      <x:c r="A1837" s="1" t="str">
        <x:v>https://blog.skyairline.com/comprar-pasajes-baratos/</x:v>
      </x:c>
      <x:c r="B1837" s="1" t="str">
        <x:v>en que fecha comprar vuelos baratos</x:v>
      </x:c>
      <x:c r="C1837" s="1" t="str">
        <x:v>per</x:v>
      </x:c>
      <x:c r="D1837" s="1" t="str">
        <x:v>Sin marca</x:v>
      </x:c>
      <x:c r="E1837" s="35" t="n">
        <x:v>1</x:v>
      </x:c>
      <x:c r="F1837" s="36"/>
      <x:c r="G1837" s="36" t="str">
        <x:f>IF(ISNUMBER(F1837),E1837*F1837,"")</x:f>
      </x:c>
      <x:c r="H1837" s="37"/>
      <x:c r="I1837" s="37"/>
      <x:c r="J1837" s="1" t="n">
        <x:f>IF(ISNUMBER(F1837),E1837,0)</x:f>
        <x:v>0</x:v>
      </x:c>
      <x:c r="K1837" s="1"/>
      <x:c r="L1837" s="1" t="str">
        <x:v>https://blog.skyairline.com/mejor-playa-en-la-rivieramaya/</x:v>
      </x:c>
      <x:c r="M1837" s="1" t="n">
        <x:v>0</x:v>
      </x:c>
    </x:row>
    <x:row r="1838" ht="18.75" customHeight="1">
      <x:c r="A1838" s="1" t="str">
        <x:v>https://blog.skyairline.com/comprar-pasajes-baratos/</x:v>
      </x:c>
      <x:c r="B1838" s="1" t="str">
        <x:v>en que momento comprar vuelos baratos</x:v>
      </x:c>
      <x:c r="C1838" s="1" t="str">
        <x:v>chl</x:v>
      </x:c>
      <x:c r="D1838" s="1" t="str">
        <x:v>Sin marca</x:v>
      </x:c>
      <x:c r="E1838" s="35" t="n">
        <x:v>1</x:v>
      </x:c>
      <x:c r="F1838" s="36"/>
      <x:c r="G1838" s="36" t="str">
        <x:f>IF(ISNUMBER(F1838),E1838*F1838,"")</x:f>
      </x:c>
      <x:c r="H1838" s="37"/>
      <x:c r="I1838" s="37"/>
      <x:c r="J1838" s="1" t="n">
        <x:f>IF(ISNUMBER(F1838),E1838,0)</x:f>
        <x:v>0</x:v>
      </x:c>
      <x:c r="K1838" s="1"/>
      <x:c r="L1838" s="1" t="str">
        <x:v>https://blog.skyairline.com/mejor-vida-nocturna/</x:v>
      </x:c>
      <x:c r="M1838" s="1" t="n">
        <x:v>0</x:v>
      </x:c>
    </x:row>
    <x:row r="1839" ht="18.75" customHeight="1">
      <x:c r="A1839" s="1" t="str">
        <x:v>https://blog.skyairline.com/comprar-pasajes-baratos/</x:v>
      </x:c>
      <x:c r="B1839" s="1" t="str">
        <x:v>que dia estan los vuelos mas baratos</x:v>
      </x:c>
      <x:c r="C1839" s="1" t="str">
        <x:v>chl</x:v>
      </x:c>
      <x:c r="D1839" s="1" t="str">
        <x:v>Sin marca</x:v>
      </x:c>
      <x:c r="E1839" s="35" t="n">
        <x:v>1</x:v>
      </x:c>
      <x:c r="F1839" s="36"/>
      <x:c r="G1839" s="36" t="str">
        <x:f>IF(ISNUMBER(F1839),E1839*F1839,"")</x:f>
      </x:c>
      <x:c r="H1839" s="37"/>
      <x:c r="I1839" s="37"/>
      <x:c r="J1839" s="1" t="n">
        <x:f>IF(ISNUMBER(F1839),E1839,0)</x:f>
        <x:v>0</x:v>
      </x:c>
      <x:c r="K1839" s="1"/>
      <x:c r="L1839" s="1" t="str">
        <x:v>https://blog.skyairline.com/mejores-aeropuertos-de-latinoamerica/</x:v>
      </x:c>
      <x:c r="M1839" s="1" t="n">
        <x:v>0</x:v>
      </x:c>
    </x:row>
    <x:row r="1840" ht="18.75" customHeight="1">
      <x:c r="A1840" s="1" t="str">
        <x:v>https://blog.skyairline.com/comprar-pasajes-baratos/</x:v>
      </x:c>
      <x:c r="B1840" s="1" t="str">
        <x:v>que dias comprar vuelos baratos</x:v>
      </x:c>
      <x:c r="C1840" s="1" t="str">
        <x:v>chl</x:v>
      </x:c>
      <x:c r="D1840" s="1" t="str">
        <x:v>Sin marca</x:v>
      </x:c>
      <x:c r="E1840" s="35" t="n">
        <x:v>1</x:v>
      </x:c>
      <x:c r="F1840" s="36" t="n">
        <x:v>1.85</x:v>
      </x:c>
      <x:c r="G1840" s="36" t="n">
        <x:f>IF(ISNUMBER(F1840),E1840*F1840,"")</x:f>
        <x:v>1.85</x:v>
      </x:c>
      <x:c r="H1840" s="37" t="d">
        <x:v>2026-10-15T00:00:00.000Z</x:v>
      </x:c>
      <x:c r="I1840" s="37" t="d">
        <x:v>2026-09-16T02:59:41.000Z</x:v>
      </x:c>
      <x:c r="J1840" s="1" t="n">
        <x:f>IF(ISNUMBER(F1840),E1840,0)</x:f>
        <x:v>1</x:v>
      </x:c>
      <x:c r="K1840" s="1"/>
      <x:c r="L1840" s="1" t="str">
        <x:v>https://blog.skyairline.com/mejores-epocas-for-ir-de-puerto-montt-a-santiago-en-avion/</x:v>
      </x:c>
      <x:c r="M1840" s="1" t="n">
        <x:v>0</x:v>
      </x:c>
    </x:row>
    <x:row r="1841" ht="18.75" customHeight="1">
      <x:c r="A1841" s="1" t="str">
        <x:v>https://blog.skyairline.com/comprar-pasajes-baratos/</x:v>
      </x:c>
      <x:c r="B1841" s="1" t="str">
        <x:v>que dias es mas barato comprar vuelos</x:v>
      </x:c>
      <x:c r="C1841" s="1" t="str">
        <x:v>chl</x:v>
      </x:c>
      <x:c r="D1841" s="1" t="str">
        <x:v>Sin marca</x:v>
      </x:c>
      <x:c r="E1841" s="35" t="n">
        <x:v>1</x:v>
      </x:c>
      <x:c r="F1841" s="36"/>
      <x:c r="G1841" s="36" t="str">
        <x:f>IF(ISNUMBER(F1841),E1841*F1841,"")</x:f>
      </x:c>
      <x:c r="H1841" s="37"/>
      <x:c r="I1841" s="37"/>
      <x:c r="J1841" s="1" t="n">
        <x:f>IF(ISNUMBER(F1841),E1841,0)</x:f>
        <x:v>0</x:v>
      </x:c>
      <x:c r="K1841" s="1"/>
      <x:c r="L1841" s="1" t="str">
        <x:v>https://blog.skyairline.com/mejores-epocas-para-ir-de-puerto-montt-a-santiago-en-ais/</x:v>
      </x:c>
      <x:c r="M1841" s="1" t="n">
        <x:v>0</x:v>
      </x:c>
    </x:row>
    <x:row r="1842" ht="18.75" customHeight="1">
      <x:c r="A1842" s="1" t="str">
        <x:v>https://blog.skyairline.com/comprar-pasajes-sky/</x:v>
      </x:c>
      <x:c r="B1842" s="1" t="str">
        <x:v>como pagar sky en linea</x:v>
      </x:c>
      <x:c r="C1842" s="1" t="str">
        <x:v>per</x:v>
      </x:c>
      <x:c r="D1842" s="1" t="str">
        <x:v>Marca</x:v>
      </x:c>
      <x:c r="E1842" s="35" t="n">
        <x:v>1</x:v>
      </x:c>
      <x:c r="F1842" s="36"/>
      <x:c r="G1842" s="36" t="str">
        <x:f>IF(ISNUMBER(F1842),E1842*F1842,"")</x:f>
      </x:c>
      <x:c r="H1842" s="37"/>
      <x:c r="I1842" s="37"/>
      <x:c r="J1842" s="1" t="n">
        <x:f>IF(ISNUMBER(F1842),E1842,0)</x:f>
        <x:v>0</x:v>
      </x:c>
      <x:c r="K1842" s="1"/>
      <x:c r="L1842" s="1" t="str">
        <x:v>https://blog.skyairline.com/mejores-epocas-para-ir-de-puerto-montt-a-santiago-en-avion</x:v>
      </x:c>
      <x:c r="M1842" s="1" t="n">
        <x:v>0</x:v>
      </x:c>
    </x:row>
    <x:row r="1843" ht="18.75" customHeight="1">
      <x:c r="A1843" s="1" t="str">
        <x:v>https://blog.skyairline.com/comprar-recuerdos-cancun/</x:v>
      </x:c>
      <x:c r="B1843" s="1" t="str">
        <x:v>comprar recuerdos cerca de mi</x:v>
      </x:c>
      <x:c r="C1843" s="1" t="str">
        <x:v>mex</x:v>
      </x:c>
      <x:c r="D1843" s="1" t="str">
        <x:v>Sin marca</x:v>
      </x:c>
      <x:c r="E1843" s="35" t="n">
        <x:v>1</x:v>
      </x:c>
      <x:c r="F1843" s="36"/>
      <x:c r="G1843" s="36" t="str">
        <x:f>IF(ISNUMBER(F1843),E1843*F1843,"")</x:f>
      </x:c>
      <x:c r="H1843" s="37"/>
      <x:c r="I1843" s="37"/>
      <x:c r="J1843" s="1" t="n">
        <x:f>IF(ISNUMBER(F1843),E1843,0)</x:f>
        <x:v>0</x:v>
      </x:c>
      <x:c r="K1843" s="1"/>
      <x:c r="L1843" s="1" t="str">
        <x:v>https://blog.skyairline.com/mejores-epocas-para-ir-de-puerto-montt-a-santiago/</x:v>
      </x:c>
      <x:c r="M1843" s="1" t="n">
        <x:v>0</x:v>
      </x:c>
    </x:row>
    <x:row r="1844" ht="18.75" customHeight="1">
      <x:c r="A1844" s="1" t="str">
        <x:v>https://blog.skyairline.com/comprar-recuerdos-cancun/</x:v>
      </x:c>
      <x:c r="B1844" s="1" t="str">
        <x:v>donde comprar recuerdos baratos en cancun</x:v>
      </x:c>
      <x:c r="C1844" s="1" t="str">
        <x:v>mex</x:v>
      </x:c>
      <x:c r="D1844" s="1" t="str">
        <x:v>Sin marca</x:v>
      </x:c>
      <x:c r="E1844" s="35" t="n">
        <x:v>1</x:v>
      </x:c>
      <x:c r="F1844" s="36"/>
      <x:c r="G1844" s="36" t="str">
        <x:f>IF(ISNUMBER(F1844),E1844*F1844,"")</x:f>
      </x:c>
      <x:c r="H1844" s="37"/>
      <x:c r="I1844" s="37"/>
      <x:c r="J1844" s="1" t="n">
        <x:f>IF(ISNUMBER(F1844),E1844,0)</x:f>
        <x:v>0</x:v>
      </x:c>
      <x:c r="K1844" s="1"/>
      <x:c r="L1844" s="1" t="str">
        <x:v>https://blog.skyairline.com/mejores-epocas-para-ir-de-puerto-montt-santiago-en-avion/</x:v>
      </x:c>
      <x:c r="M1844" s="1" t="n">
        <x:v>0</x:v>
      </x:c>
    </x:row>
    <x:row r="1845" ht="18.75" customHeight="1">
      <x:c r="A1845" s="1" t="str">
        <x:v>https://blog.skyairline.com/comprar-recuerdos-cancun/</x:v>
      </x:c>
      <x:c r="B1845" s="1" t="str">
        <x:v>donde comprar recuerdos en cancun</x:v>
      </x:c>
      <x:c r="C1845" s="1" t="str">
        <x:v>mex</x:v>
      </x:c>
      <x:c r="D1845" s="1" t="str">
        <x:v>Sin marca</x:v>
      </x:c>
      <x:c r="E1845" s="35" t="n">
        <x:v>1</x:v>
      </x:c>
      <x:c r="F1845" s="36"/>
      <x:c r="G1845" s="36" t="str">
        <x:f>IF(ISNUMBER(F1845),E1845*F1845,"")</x:f>
      </x:c>
      <x:c r="H1845" s="37"/>
      <x:c r="I1845" s="37"/>
      <x:c r="J1845" s="1" t="n">
        <x:f>IF(ISNUMBER(F1845),E1845,0)</x:f>
        <x:v>0</x:v>
      </x:c>
      <x:c r="K1845" s="1"/>
      <x:c r="L1845" s="1" t="str">
        <x:v>https://blog.skyairline.com/mejores-epocas-para-ir-de-puerto-montt-to-santiago-en-avion/</x:v>
      </x:c>
      <x:c r="M1845" s="1" t="n">
        <x:v>0</x:v>
      </x:c>
    </x:row>
    <x:row r="1846" ht="18.75" customHeight="1">
      <x:c r="A1846" s="1" t="str">
        <x:v>https://blog.skyairline.com/comprar-recuerdos-cancun/</x:v>
      </x:c>
      <x:c r="B1846" s="1" t="str">
        <x:v>donde comprar recuerdos en cancún baratos</x:v>
      </x:c>
      <x:c r="C1846" s="1" t="str">
        <x:v>col</x:v>
      </x:c>
      <x:c r="D1846" s="1" t="str">
        <x:v>Sin marca</x:v>
      </x:c>
      <x:c r="E1846" s="35" t="n">
        <x:v>1</x:v>
      </x:c>
      <x:c r="F1846" s="36"/>
      <x:c r="G1846" s="36" t="str">
        <x:f>IF(ISNUMBER(F1846),E1846*F1846,"")</x:f>
      </x:c>
      <x:c r="H1846" s="37"/>
      <x:c r="I1846" s="37"/>
      <x:c r="J1846" s="1" t="n">
        <x:f>IF(ISNUMBER(F1846),E1846,0)</x:f>
        <x:v>0</x:v>
      </x:c>
      <x:c r="K1846" s="1"/>
      <x:c r="L1846" s="1" t="str">
        <x:v>https://blog.skyairline.com/mejores-lugares-for-pasar-ano-nuevo/</x:v>
      </x:c>
      <x:c r="M1846" s="1" t="n">
        <x:v>0</x:v>
      </x:c>
    </x:row>
    <x:row r="1847" ht="18.75" customHeight="1">
      <x:c r="A1847" s="1" t="str">
        <x:v>https://blog.skyairline.com/comprar-recuerdos-cancun/</x:v>
      </x:c>
      <x:c r="B1847" s="1" t="str">
        <x:v>donde comprar recuerdos en cancún baratos</x:v>
      </x:c>
      <x:c r="C1847" s="1" t="str">
        <x:v>mex</x:v>
      </x:c>
      <x:c r="D1847" s="1" t="str">
        <x:v>Sin marca</x:v>
      </x:c>
      <x:c r="E1847" s="35" t="n">
        <x:v>1</x:v>
      </x:c>
      <x:c r="F1847" s="36"/>
      <x:c r="G1847" s="36" t="str">
        <x:f>IF(ISNUMBER(F1847),E1847*F1847,"")</x:f>
      </x:c>
      <x:c r="H1847" s="37"/>
      <x:c r="I1847" s="37"/>
      <x:c r="J1847" s="1" t="n">
        <x:f>IF(ISNUMBER(F1847),E1847,0)</x:f>
        <x:v>0</x:v>
      </x:c>
      <x:c r="K1847" s="1"/>
      <x:c r="L1847" s="1" t="str">
        <x:v>https://blog.skyairline.com/mejores-lugares-para-bucear-en-punta-cana/</x:v>
      </x:c>
      <x:c r="M1847" s="1" t="n">
        <x:v>0</x:v>
      </x:c>
    </x:row>
    <x:row r="1848" ht="18.75" customHeight="1">
      <x:c r="A1848" s="1" t="str">
        <x:v>https://blog.skyairline.com/comprar-recuerdos-cancun/</x:v>
      </x:c>
      <x:c r="B1848" s="1" t="str">
        <x:v>venta de souvenirs cerca de mi</x:v>
      </x:c>
      <x:c r="C1848" s="1" t="str">
        <x:v>mex</x:v>
      </x:c>
      <x:c r="D1848" s="1" t="str">
        <x:v>Sin marca</x:v>
      </x:c>
      <x:c r="E1848" s="35" t="n">
        <x:v>1</x:v>
      </x:c>
      <x:c r="F1848" s="36"/>
      <x:c r="G1848" s="36" t="str">
        <x:f>IF(ISNUMBER(F1848),E1848*F1848,"")</x:f>
      </x:c>
      <x:c r="H1848" s="37"/>
      <x:c r="I1848" s="37"/>
      <x:c r="J1848" s="1" t="n">
        <x:f>IF(ISNUMBER(F1848),E1848,0)</x:f>
        <x:v>0</x:v>
      </x:c>
      <x:c r="K1848" s="1"/>
      <x:c r="L1848" s="1" t="str">
        <x:v>https://blog.skyairline.com/mejores-lugares-para-para-ano-nuevo/</x:v>
      </x:c>
      <x:c r="M1848" s="1" t="n">
        <x:v>0</x:v>
      </x:c>
    </x:row>
    <x:row r="1849" ht="18.75" customHeight="1">
      <x:c r="A1849" s="1" t="str">
        <x:v>https://blog.skyairline.com/compras-en-dutty-free/</x:v>
      </x:c>
      <x:c r="B1849" s="1" t="str">
        <x:v>sky duty free</x:v>
      </x:c>
      <x:c r="C1849" s="1" t="str">
        <x:v>chl</x:v>
      </x:c>
      <x:c r="D1849" s="1" t="str">
        <x:v>Marca</x:v>
      </x:c>
      <x:c r="E1849" s="35" t="n">
        <x:v>1</x:v>
      </x:c>
      <x:c r="F1849" s="36"/>
      <x:c r="G1849" s="36" t="str">
        <x:f>IF(ISNUMBER(F1849),E1849*F1849,"")</x:f>
      </x:c>
      <x:c r="H1849" s="37"/>
      <x:c r="I1849" s="37"/>
      <x:c r="J1849" s="1" t="n">
        <x:f>IF(ISNUMBER(F1849),E1849,0)</x:f>
        <x:v>0</x:v>
      </x:c>
      <x:c r="K1849" s="1"/>
      <x:c r="L1849" s="1" t="str">
        <x:v>https://blog.skyairline.com/mejores-lugares-para-viajar/</x:v>
      </x:c>
      <x:c r="M1849" s="1" t="n">
        <x:v>0</x:v>
      </x:c>
    </x:row>
    <x:row r="1850" ht="18.75" customHeight="1">
      <x:c r="A1850" s="1" t="str">
        <x:v>https://blog.skyairline.com/conciertos-en-chile-2025/</x:v>
      </x:c>
      <x:c r="B1850" s="1" t="str">
        <x:v>concierto en chile 2026</x:v>
      </x:c>
      <x:c r="C1850" s="1" t="str">
        <x:v>chl</x:v>
      </x:c>
      <x:c r="D1850" s="1" t="str">
        <x:v>Sin marca</x:v>
      </x:c>
      <x:c r="E1850" s="35" t="n">
        <x:v>1</x:v>
      </x:c>
      <x:c r="F1850" s="36" t="n">
        <x:v>0.18</x:v>
      </x:c>
      <x:c r="G1850" s="36" t="n">
        <x:f>IF(ISNUMBER(F1850),E1850*F1850,"")</x:f>
        <x:v>0.18</x:v>
      </x:c>
      <x:c r="H1850" s="37" t="d">
        <x:v>2026-10-15T00:00:00.000Z</x:v>
      </x:c>
      <x:c r="I1850" s="37" t="d">
        <x:v>2026-09-17T17:46:55.000Z</x:v>
      </x:c>
      <x:c r="J1850" s="1" t="n">
        <x:f>IF(ISNUMBER(F1850),E1850,0)</x:f>
        <x:v>1</x:v>
      </x:c>
      <x:c r="K1850" s="1"/>
      <x:c r="L1850" s="1" t="str">
        <x:v>https://blog.skyairline.com/mejores-playas-de-chile/</x:v>
      </x:c>
      <x:c r="M1850" s="1" t="n">
        <x:v>0</x:v>
      </x:c>
    </x:row>
    <x:row r="1851" ht="18.75" customHeight="1">
      <x:c r="A1851" s="1" t="str">
        <x:v>https://blog.skyairline.com/conocer-gente/</x:v>
      </x:c>
      <x:c r="B1851" s="1" t="str">
        <x:v>conocer gente de otros países online</x:v>
      </x:c>
      <x:c r="C1851" s="1" t="str">
        <x:v>mex</x:v>
      </x:c>
      <x:c r="D1851" s="1" t="str">
        <x:v>Sin marca</x:v>
      </x:c>
      <x:c r="E1851" s="35" t="n">
        <x:v>1</x:v>
      </x:c>
      <x:c r="F1851" s="36"/>
      <x:c r="G1851" s="36" t="str">
        <x:f>IF(ISNUMBER(F1851),E1851*F1851,"")</x:f>
      </x:c>
      <x:c r="H1851" s="37"/>
      <x:c r="I1851" s="37"/>
      <x:c r="J1851" s="1" t="n">
        <x:f>IF(ISNUMBER(F1851),E1851,0)</x:f>
        <x:v>0</x:v>
      </x:c>
      <x:c r="K1851" s="1"/>
      <x:c r="L1851" s="1" t="str">
        <x:v>https://blog.skyairline.com/mejores-playas-de-latinoamerica/</x:v>
      </x:c>
      <x:c r="M1851" s="1" t="n">
        <x:v>0</x:v>
      </x:c>
    </x:row>
    <x:row r="1852" ht="18.75" customHeight="1">
      <x:c r="A1852" s="1" t="str">
        <x:v>https://blog.skyairline.com/copiapo-turismo/</x:v>
      </x:c>
      <x:c r="B1852" s="1" t="str">
        <x:v>copiapó</x:v>
      </x:c>
      <x:c r="C1852" s="1" t="str">
        <x:v>chl</x:v>
      </x:c>
      <x:c r="D1852" s="1" t="str">
        <x:v>Sin marca</x:v>
      </x:c>
      <x:c r="E1852" s="35" t="n">
        <x:v>1</x:v>
      </x:c>
      <x:c r="F1852" s="36" t="n">
        <x:v>0.87</x:v>
      </x:c>
      <x:c r="G1852" s="36" t="n">
        <x:f>IF(ISNUMBER(F1852),E1852*F1852,"")</x:f>
        <x:v>0.87</x:v>
      </x:c>
      <x:c r="H1852" s="37" t="d">
        <x:v>2026-10-15T00:00:00.000Z</x:v>
      </x:c>
      <x:c r="I1852" s="37" t="d">
        <x:v>2026-09-17T15:05:26.000Z</x:v>
      </x:c>
      <x:c r="J1852" s="1" t="n">
        <x:f>IF(ISNUMBER(F1852),E1852,0)</x:f>
        <x:v>1</x:v>
      </x:c>
      <x:c r="K1852" s="1"/>
      <x:c r="L1852" s="1" t="str">
        <x:v>https://blog.skyairline.com/mendoza-en-invierno/</x:v>
      </x:c>
      <x:c r="M1852" s="1" t="n">
        <x:v>0</x:v>
      </x:c>
    </x:row>
    <x:row r="1853" ht="18.75" customHeight="1">
      <x:c r="A1853" s="1" t="str">
        <x:v>https://blog.skyairline.com/copiapo/</x:v>
      </x:c>
      <x:c r="B1853" s="1" t="str">
        <x:v>copiapo playas</x:v>
      </x:c>
      <x:c r="C1853" s="1" t="str">
        <x:v>chl</x:v>
      </x:c>
      <x:c r="D1853" s="1" t="str">
        <x:v>Sin marca</x:v>
      </x:c>
      <x:c r="E1853" s="35" t="n">
        <x:v>1</x:v>
      </x:c>
      <x:c r="F1853" s="36"/>
      <x:c r="G1853" s="36" t="str">
        <x:f>IF(ISNUMBER(F1853),E1853*F1853,"")</x:f>
      </x:c>
      <x:c r="H1853" s="37" t="d">
        <x:v>2026-10-15T00:00:00.000Z</x:v>
      </x:c>
      <x:c r="I1853" s="37" t="d">
        <x:v>2026-09-14T09:35:55.000Z</x:v>
      </x:c>
      <x:c r="J1853" s="1" t="n">
        <x:f>IF(ISNUMBER(F1853),E1853,0)</x:f>
        <x:v>0</x:v>
      </x:c>
      <x:c r="K1853" s="1"/>
      <x:c r="L1853" s="1" t="str">
        <x:v>https://blog.skyairline.com/mendoza/</x:v>
      </x:c>
      <x:c r="M1853" s="1" t="n">
        <x:v>0</x:v>
      </x:c>
    </x:row>
    <x:row r="1854" ht="18.75" customHeight="1">
      <x:c r="A1854" s="1" t="str">
        <x:v>https://blog.skyairline.com/copiapo/</x:v>
      </x:c>
      <x:c r="B1854" s="1" t="str">
        <x:v>playas cerca de copiapo</x:v>
      </x:c>
      <x:c r="C1854" s="1" t="str">
        <x:v>chl</x:v>
      </x:c>
      <x:c r="D1854" s="1" t="str">
        <x:v>Sin marca</x:v>
      </x:c>
      <x:c r="E1854" s="35" t="n">
        <x:v>1</x:v>
      </x:c>
      <x:c r="F1854" s="36"/>
      <x:c r="G1854" s="36" t="str">
        <x:f>IF(ISNUMBER(F1854),E1854*F1854,"")</x:f>
      </x:c>
      <x:c r="H1854" s="37" t="d">
        <x:v>2026-10-15T00:00:00.000Z</x:v>
      </x:c>
      <x:c r="I1854" s="37" t="d">
        <x:v>2026-10-15T14:47:48.000Z</x:v>
      </x:c>
      <x:c r="J1854" s="1" t="n">
        <x:f>IF(ISNUMBER(F1854),E1854,0)</x:f>
        <x:v>0</x:v>
      </x:c>
      <x:c r="K1854" s="1"/>
      <x:c r="L1854" s="1" t="str">
        <x:v>https://blog.skyairline.com/mercado-central-cercado-de-tacna/</x:v>
      </x:c>
      <x:c r="M1854" s="1" t="n">
        <x:v>0</x:v>
      </x:c>
    </x:row>
    <x:row r="1855" ht="18.75" customHeight="1">
      <x:c r="A1855" s="1" t="str">
        <x:v>https://blog.skyairline.com/copiapo/</x:v>
      </x:c>
      <x:c r="B1855" s="1" t="str">
        <x:v>playas de copiapo</x:v>
      </x:c>
      <x:c r="C1855" s="1" t="str">
        <x:v>chl</x:v>
      </x:c>
      <x:c r="D1855" s="1" t="str">
        <x:v>Sin marca</x:v>
      </x:c>
      <x:c r="E1855" s="35" t="n">
        <x:v>1</x:v>
      </x:c>
      <x:c r="F1855" s="36"/>
      <x:c r="G1855" s="36" t="str">
        <x:f>IF(ISNUMBER(F1855),E1855*F1855,"")</x:f>
      </x:c>
      <x:c r="H1855" s="37" t="d">
        <x:v>2026-10-15T00:00:00.000Z</x:v>
      </x:c>
      <x:c r="I1855" s="37" t="d">
        <x:v>2026-09-17T19:23:44.999Z</x:v>
      </x:c>
      <x:c r="J1855" s="1" t="n">
        <x:f>IF(ISNUMBER(F1855),E1855,0)</x:f>
        <x:v>0</x:v>
      </x:c>
      <x:c r="K1855" s="1"/>
      <x:c r="L1855" s="1" t="str">
        <x:v>https://blog.skyairline.com/meses-para-viajar/vuelos-puerto-montt-santiago</x:v>
      </x:c>
      <x:c r="M1855" s="1" t="n">
        <x:v>0</x:v>
      </x:c>
    </x:row>
    <x:row r="1856" ht="18.75" customHeight="1">
      <x:c r="A1856" s="1" t="str">
        <x:v>https://blog.skyairline.com/cosas-gratis-en-cancun/</x:v>
      </x:c>
      <x:c r="B1856" s="1" t="str">
        <x:v>cancún fotos</x:v>
      </x:c>
      <x:c r="C1856" s="1" t="str">
        <x:v>bol</x:v>
      </x:c>
      <x:c r="D1856" s="1" t="str">
        <x:v>Sin marca</x:v>
      </x:c>
      <x:c r="E1856" s="35" t="n">
        <x:v>1</x:v>
      </x:c>
      <x:c r="F1856" s="36"/>
      <x:c r="G1856" s="36" t="str">
        <x:f>IF(ISNUMBER(F1856),E1856*F1856,"")</x:f>
      </x:c>
      <x:c r="H1856" s="37"/>
      <x:c r="I1856" s="37"/>
      <x:c r="J1856" s="1" t="n">
        <x:f>IF(ISNUMBER(F1856),E1856,0)</x:f>
        <x:v>0</x:v>
      </x:c>
      <x:c r="K1856" s="1"/>
      <x:c r="L1856" s="1" t="str">
        <x:v>https://blog.skyairline.com/mi-primer-viaje-al-extranjero/</x:v>
      </x:c>
      <x:c r="M1856" s="1" t="n">
        <x:v>0</x:v>
      </x:c>
    </x:row>
    <x:row r="1857" ht="18.75" customHeight="1">
      <x:c r="A1857" s="1" t="str">
        <x:v>https://blog.skyairline.com/cosas-gratis-en-punta-cana/</x:v>
      </x:c>
      <x:c r="B1857" s="1" t="str">
        <x:v>que hacer en punta cana gratis</x:v>
      </x:c>
      <x:c r="C1857" s="1" t="str">
        <x:v>arg</x:v>
      </x:c>
      <x:c r="D1857" s="1" t="str">
        <x:v>Sin marca</x:v>
      </x:c>
      <x:c r="E1857" s="35" t="n">
        <x:v>1</x:v>
      </x:c>
      <x:c r="F1857" s="36"/>
      <x:c r="G1857" s="36" t="str">
        <x:f>IF(ISNUMBER(F1857),E1857*F1857,"")</x:f>
      </x:c>
      <x:c r="H1857" s="37"/>
      <x:c r="I1857" s="37"/>
      <x:c r="J1857" s="1" t="n">
        <x:f>IF(ISNUMBER(F1857),E1857,0)</x:f>
        <x:v>0</x:v>
      </x:c>
      <x:c r="K1857" s="1"/>
      <x:c r="L1857" s="1" t="str">
        <x:v>https://blog.skyairline.com/miami-durante-semana-santa/</x:v>
      </x:c>
      <x:c r="M1857" s="1" t="n">
        <x:v>0</x:v>
      </x:c>
    </x:row>
    <x:row r="1858" ht="18.75" customHeight="1">
      <x:c r="A1858" s="1" t="str">
        <x:v>https://blog.skyairline.com/cosas-gratis-en-punta-cana/</x:v>
      </x:c>
      <x:c r="B1858" s="1" t="str">
        <x:v>que hacer en punta cana gratis</x:v>
      </x:c>
      <x:c r="C1858" s="1" t="str">
        <x:v>chl</x:v>
      </x:c>
      <x:c r="D1858" s="1" t="str">
        <x:v>Sin marca</x:v>
      </x:c>
      <x:c r="E1858" s="35" t="n">
        <x:v>1</x:v>
      </x:c>
      <x:c r="F1858" s="36" t="n">
        <x:v>0.25</x:v>
      </x:c>
      <x:c r="G1858" s="36" t="n">
        <x:f>IF(ISNUMBER(F1858),E1858*F1858,"")</x:f>
        <x:v>0.25</x:v>
      </x:c>
      <x:c r="H1858" s="37" t="d">
        <x:v>2026-10-15T00:00:00.000Z</x:v>
      </x:c>
      <x:c r="I1858" s="37" t="d">
        <x:v>2026-10-15T18:13:56.000Z</x:v>
      </x:c>
      <x:c r="J1858" s="1" t="n">
        <x:f>IF(ISNUMBER(F1858),E1858,0)</x:f>
        <x:v>1</x:v>
      </x:c>
      <x:c r="K1858" s="1"/>
      <x:c r="L1858" s="1" t="str">
        <x:v>https://blog.skyairline.com/miami-to-orlando/</x:v>
      </x:c>
      <x:c r="M1858" s="1" t="n">
        <x:v>0</x:v>
      </x:c>
    </x:row>
    <x:row r="1859" ht="18.75" customHeight="1">
      <x:c r="A1859" s="1" t="str">
        <x:v>https://blog.skyairline.com/cosas-gratis-en-punta-cana/</x:v>
      </x:c>
      <x:c r="B1859" s="1" t="str">
        <x:v>que hacer en punta cana gratis</x:v>
      </x:c>
      <x:c r="C1859" s="1" t="str">
        <x:v>dom</x:v>
      </x:c>
      <x:c r="D1859" s="1" t="str">
        <x:v>Sin marca</x:v>
      </x:c>
      <x:c r="E1859" s="35" t="n">
        <x:v>1</x:v>
      </x:c>
      <x:c r="F1859" s="36"/>
      <x:c r="G1859" s="36" t="str">
        <x:f>IF(ISNUMBER(F1859),E1859*F1859,"")</x:f>
      </x:c>
      <x:c r="H1859" s="37"/>
      <x:c r="I1859" s="37"/>
      <x:c r="J1859" s="1" t="n">
        <x:f>IF(ISNUMBER(F1859),E1859,0)</x:f>
        <x:v>0</x:v>
      </x:c>
      <x:c r="K1859" s="1"/>
      <x:c r="L1859" s="1" t="str">
        <x:v>https://blog.skyairline.com/mililitros-mililitros-permitidos-avion/</x:v>
      </x:c>
      <x:c r="M1859" s="1" t="n">
        <x:v>0</x:v>
      </x:c>
    </x:row>
    <x:row r="1860" ht="18.75" customHeight="1">
      <x:c r="A1860" s="1" t="str">
        <x:v>https://blog.skyairline.com/costumbres-de-argentina/</x:v>
      </x:c>
      <x:c r="B1860" s="1" t="str">
        <x:v>culturas y tradiciones de argentina</x:v>
      </x:c>
      <x:c r="C1860" s="1" t="str">
        <x:v>mex</x:v>
      </x:c>
      <x:c r="D1860" s="1" t="str">
        <x:v>Sin marca</x:v>
      </x:c>
      <x:c r="E1860" s="35" t="n">
        <x:v>1</x:v>
      </x:c>
      <x:c r="F1860" s="36"/>
      <x:c r="G1860" s="36" t="str">
        <x:f>IF(ISNUMBER(F1860),E1860*F1860,"")</x:f>
      </x:c>
      <x:c r="H1860" s="37"/>
      <x:c r="I1860" s="37"/>
      <x:c r="J1860" s="1" t="n">
        <x:f>IF(ISNUMBER(F1860),E1860,0)</x:f>
        <x:v>0</x:v>
      </x:c>
      <x:c r="K1860" s="1"/>
      <x:c r="L1860" s="1" t="str">
        <x:v>https://blog.skyairline.com/mililitros-permisos-avion/</x:v>
      </x:c>
      <x:c r="M1860" s="1" t="n">
        <x:v>0</x:v>
      </x:c>
    </x:row>
    <x:row r="1861" ht="18.75" customHeight="1">
      <x:c r="A1861" s="1" t="str">
        <x:v>https://blog.skyairline.com/costumbres-de-argentina/</x:v>
      </x:c>
      <x:c r="B1861" s="1" t="str">
        <x:v>elemento cultural de argentina</x:v>
      </x:c>
      <x:c r="C1861" s="1" t="str">
        <x:v>usa</x:v>
      </x:c>
      <x:c r="D1861" s="1" t="str">
        <x:v>Sin marca</x:v>
      </x:c>
      <x:c r="E1861" s="35" t="n">
        <x:v>1</x:v>
      </x:c>
      <x:c r="F1861" s="36"/>
      <x:c r="G1861" s="36" t="str">
        <x:f>IF(ISNUMBER(F1861),E1861*F1861,"")</x:f>
      </x:c>
      <x:c r="H1861" s="37"/>
      <x:c r="I1861" s="37"/>
      <x:c r="J1861" s="1" t="n">
        <x:f>IF(ISNUMBER(F1861),E1861,0)</x:f>
        <x:v>0</x:v>
      </x:c>
      <x:c r="K1861" s="1"/>
      <x:c r="L1861" s="1" t="str">
        <x:v>https://blog.skyairline.com/millennials-lideran-los-cielos-el-grupo-etario-de-26-40-anos-es-el-que-mas-viaja-con-sky/</x:v>
      </x:c>
      <x:c r="M1861" s="1" t="n">
        <x:v>0</x:v>
      </x:c>
    </x:row>
    <x:row r="1862" ht="18.75" customHeight="1">
      <x:c r="A1862" s="1" t="str">
        <x:v>https://blog.skyairline.com/costumbres-de-argentina/</x:v>
      </x:c>
      <x:c r="B1862" s="1" t="str">
        <x:v>tradiciones de argentina</x:v>
      </x:c>
      <x:c r="C1862" s="1" t="str">
        <x:v>chl</x:v>
      </x:c>
      <x:c r="D1862" s="1" t="str">
        <x:v>Sin marca</x:v>
      </x:c>
      <x:c r="E1862" s="35" t="n">
        <x:v>1</x:v>
      </x:c>
      <x:c r="F1862" s="36"/>
      <x:c r="G1862" s="36" t="str">
        <x:f>IF(ISNUMBER(F1862),E1862*F1862,"")</x:f>
      </x:c>
      <x:c r="H1862" s="37" t="d">
        <x:v>2026-10-15T00:00:00.000Z</x:v>
      </x:c>
      <x:c r="I1862" s="37" t="d">
        <x:v>2026-09-17T16:43:52.000Z</x:v>
      </x:c>
      <x:c r="J1862" s="1" t="n">
        <x:f>IF(ISNUMBER(F1862),E1862,0)</x:f>
        <x:v>0</x:v>
      </x:c>
      <x:c r="K1862" s="1"/>
      <x:c r="L1862" s="1" t="str">
        <x:v>https://blog.skyairline.com/millennials-lideran-los-cielos-el-grupo-etario-de-26-a-40-anos-es-el-que-mais-viaja-con-sky/</x:v>
      </x:c>
      <x:c r="M1862" s="1" t="n">
        <x:v>0</x:v>
      </x:c>
    </x:row>
    <x:row r="1863" ht="18.75" customHeight="1">
      <x:c r="A1863" s="1" t="str">
        <x:v>https://blog.skyairline.com/couchsurfing/</x:v>
      </x:c>
      <x:c r="B1863" s="1" t="str">
        <x:v>couchsourfing</x:v>
      </x:c>
      <x:c r="C1863" s="1" t="str">
        <x:v>col</x:v>
      </x:c>
      <x:c r="D1863" s="1" t="str">
        <x:v>Sin marca</x:v>
      </x:c>
      <x:c r="E1863" s="35" t="n">
        <x:v>1</x:v>
      </x:c>
      <x:c r="F1863" s="36"/>
      <x:c r="G1863" s="36" t="str">
        <x:f>IF(ISNUMBER(F1863),E1863*F1863,"")</x:f>
      </x:c>
      <x:c r="H1863" s="37"/>
      <x:c r="I1863" s="37"/>
      <x:c r="J1863" s="1" t="n">
        <x:f>IF(ISNUMBER(F1863),E1863,0)</x:f>
        <x:v>0</x:v>
      </x:c>
      <x:c r="K1863" s="1"/>
      <x:c r="L1863" s="1" t="str">
        <x:v>https://blog.skyairline.com/minas-uruguay/</x:v>
      </x:c>
      <x:c r="M1863" s="1" t="n">
        <x:v>0</x:v>
      </x:c>
    </x:row>
    <x:row r="1864" ht="18.75" customHeight="1">
      <x:c r="A1864" s="1" t="str">
        <x:v>https://blog.skyairline.com/cristo-redentor-historia-y-curiosidades-sobre-este-icono-de-rio-de-janeiro/</x:v>
      </x:c>
      <x:c r="B1864" s="1" t="str">
        <x:v>cristo redentor brasil</x:v>
      </x:c>
      <x:c r="C1864" s="1" t="str">
        <x:v>chl</x:v>
      </x:c>
      <x:c r="D1864" s="1" t="str">
        <x:v>Sin marca</x:v>
      </x:c>
      <x:c r="E1864" s="35" t="n">
        <x:v>1</x:v>
      </x:c>
      <x:c r="F1864" s="36" t="n">
        <x:v>0.49</x:v>
      </x:c>
      <x:c r="G1864" s="36" t="n">
        <x:f>IF(ISNUMBER(F1864),E1864*F1864,"")</x:f>
        <x:v>0.49</x:v>
      </x:c>
      <x:c r="H1864" s="37" t="d">
        <x:v>2026-10-15T00:00:00.000Z</x:v>
      </x:c>
      <x:c r="I1864" s="37" t="d">
        <x:v>2026-10-15T05:33:18.000Z</x:v>
      </x:c>
      <x:c r="J1864" s="1" t="n">
        <x:f>IF(ISNUMBER(F1864),E1864,0)</x:f>
        <x:v>1</x:v>
      </x:c>
      <x:c r="K1864" s="1"/>
      <x:c r="L1864" s="1" t="str">
        <x:v>https://blog.skyairline.com/ministerio-de-energia-y-mtt-lanzan-programa-vuelo-limpio-para-impulsar-sostenibilidad-junto-a-aerolineas/</x:v>
      </x:c>
      <x:c r="M1864" s="1" t="n">
        <x:v>0</x:v>
      </x:c>
    </x:row>
    <x:row r="1865" ht="18.75" customHeight="1">
      <x:c r="A1865" s="1" t="str">
        <x:v>https://blog.skyairline.com/cuando-comienza-el-invierno-en-chile/</x:v>
      </x:c>
      <x:c r="B1865" s="1" t="str">
        <x:v>estamos en invierno</x:v>
      </x:c>
      <x:c r="C1865" s="1" t="str">
        <x:v>chl</x:v>
      </x:c>
      <x:c r="D1865" s="1" t="str">
        <x:v>Sin marca</x:v>
      </x:c>
      <x:c r="E1865" s="35" t="n">
        <x:v>1</x:v>
      </x:c>
      <x:c r="F1865" s="36"/>
      <x:c r="G1865" s="36" t="str">
        <x:f>IF(ISNUMBER(F1865),E1865*F1865,"")</x:f>
      </x:c>
      <x:c r="H1865" s="37" t="d">
        <x:v>2026-10-15T00:00:00.000Z</x:v>
      </x:c>
      <x:c r="I1865" s="37" t="d">
        <x:v>2026-09-16T02:59:39.000Z</x:v>
      </x:c>
      <x:c r="J1865" s="1" t="n">
        <x:f>IF(ISNUMBER(F1865),E1865,0)</x:f>
        <x:v>0</x:v>
      </x:c>
      <x:c r="K1865" s="1"/>
      <x:c r="L1865" s="1" t="str">
        <x:v>https://blog.skyairline.com/mirador-de-volcanes-en-chile-los-mejores-puntos-panoramicos/</x:v>
      </x:c>
      <x:c r="M1865" s="1" t="n">
        <x:v>0</x:v>
      </x:c>
    </x:row>
    <x:row r="1866" ht="18.75" customHeight="1">
      <x:c r="A1866" s="1" t="str">
        <x:v>https://blog.skyairline.com/cuando-comienza-el-invierno-en-chile/</x:v>
      </x:c>
      <x:c r="B1866" s="1" t="str">
        <x:v>invierno</x:v>
      </x:c>
      <x:c r="C1866" s="1" t="str">
        <x:v>chl</x:v>
      </x:c>
      <x:c r="D1866" s="1" t="str">
        <x:v>Sin marca</x:v>
      </x:c>
      <x:c r="E1866" s="35" t="n">
        <x:v>1</x:v>
      </x:c>
      <x:c r="F1866" s="36"/>
      <x:c r="G1866" s="36" t="str">
        <x:f>IF(ISNUMBER(F1866),E1866*F1866,"")</x:f>
      </x:c>
      <x:c r="H1866" s="37" t="d">
        <x:v>2026-10-15T00:00:00.000Z</x:v>
      </x:c>
      <x:c r="I1866" s="37" t="d">
        <x:v>2026-10-15T19:40:38.000Z</x:v>
      </x:c>
      <x:c r="J1866" s="1" t="n">
        <x:f>IF(ISNUMBER(F1866),E1866,0)</x:f>
        <x:v>0</x:v>
      </x:c>
      <x:c r="K1866" s="1"/>
      <x:c r="L1866" s="1" t="str">
        <x:v>https://blog.skyairline.com/mirador-de-volcanes-en-chile-los-puntos-panoramicos/</x:v>
      </x:c>
      <x:c r="M1866" s="1" t="n">
        <x:v>0</x:v>
      </x:c>
    </x:row>
    <x:row r="1867" ht="18.75" customHeight="1">
      <x:c r="A1867" s="1" t="str">
        <x:v>https://blog.skyairline.com/cuando-comienza-el-invierno-en-chile/</x:v>
      </x:c>
      <x:c r="B1867" s="1" t="str">
        <x:v>invierno en chile</x:v>
      </x:c>
      <x:c r="C1867" s="1" t="str">
        <x:v>per</x:v>
      </x:c>
      <x:c r="D1867" s="1" t="str">
        <x:v>Sin marca</x:v>
      </x:c>
      <x:c r="E1867" s="35" t="n">
        <x:v>1</x:v>
      </x:c>
      <x:c r="F1867" s="36"/>
      <x:c r="G1867" s="36" t="str">
        <x:f>IF(ISNUMBER(F1867),E1867*F1867,"")</x:f>
      </x:c>
      <x:c r="H1867" s="37" t="d">
        <x:v>2026-10-15T00:00:00.000Z</x:v>
      </x:c>
      <x:c r="I1867" s="37" t="d">
        <x:v>2026-09-15T16:07:49.000Z</x:v>
      </x:c>
      <x:c r="J1867" s="1" t="n">
        <x:f>IF(ISNUMBER(F1867),E1867,0)</x:f>
        <x:v>0</x:v>
      </x:c>
      <x:c r="K1867" s="1"/>
      <x:c r="L1867" s="1" t="str">
        <x:v>https://blog.skyairline.com/mitos-chilenos-cuentos-y-leyendas-con-nuestros-pueblos/</x:v>
      </x:c>
      <x:c r="M1867" s="1" t="n">
        <x:v>0</x:v>
      </x:c>
    </x:row>
    <x:row r="1868" ht="18.75" customHeight="1">
      <x:c r="A1868" s="1" t="str">
        <x:v>https://blog.skyairline.com/cuando-comienza-el-invierno-en-chile/</x:v>
      </x:c>
      <x:c r="B1868" s="1" t="str">
        <x:v>tiempo</x:v>
      </x:c>
      <x:c r="C1868" s="1" t="str">
        <x:v>chl</x:v>
      </x:c>
      <x:c r="D1868" s="1" t="str">
        <x:v>Sin marca</x:v>
      </x:c>
      <x:c r="E1868" s="35" t="n">
        <x:v>1</x:v>
      </x:c>
      <x:c r="F1868" s="36" t="n">
        <x:v>0.12</x:v>
      </x:c>
      <x:c r="G1868" s="36" t="n">
        <x:f>IF(ISNUMBER(F1868),E1868*F1868,"")</x:f>
        <x:v>0.12</x:v>
      </x:c>
      <x:c r="H1868" s="37" t="d">
        <x:v>2026-10-15T00:00:00.000Z</x:v>
      </x:c>
      <x:c r="I1868" s="37" t="d">
        <x:v>2026-09-17T14:41:49.000Z</x:v>
      </x:c>
      <x:c r="J1868" s="1" t="n">
        <x:f>IF(ISNUMBER(F1868),E1868,0)</x:f>
        <x:v>1</x:v>
      </x:c>
      <x:c r="K1868" s="1"/>
      <x:c r="L1868" s="1" t="str">
        <x:v>https://blog.skyairline.com/mitos-chilenos-cuentos-y-leyendas-de-nuestros-pueblos</x:v>
      </x:c>
      <x:c r="M1868" s="1" t="n">
        <x:v>0</x:v>
      </x:c>
    </x:row>
    <x:row r="1869" ht="18.75" customHeight="1">
      <x:c r="A1869" s="1" t="str">
        <x:v>https://blog.skyairline.com/cuando-comienza-el-invierno-en-chile/</x:v>
      </x:c>
      <x:c r="B1869" s="1" t="str">
        <x:v>tiempo de mañana</x:v>
      </x:c>
      <x:c r="C1869" s="1" t="str">
        <x:v>chl</x:v>
      </x:c>
      <x:c r="D1869" s="1" t="str">
        <x:v>Sin marca</x:v>
      </x:c>
      <x:c r="E1869" s="35" t="n">
        <x:v>1</x:v>
      </x:c>
      <x:c r="F1869" s="36" t="n">
        <x:v>0.08</x:v>
      </x:c>
      <x:c r="G1869" s="36" t="n">
        <x:f>IF(ISNUMBER(F1869),E1869*F1869,"")</x:f>
        <x:v>0.08</x:v>
      </x:c>
      <x:c r="H1869" s="37" t="d">
        <x:v>2026-10-15T00:00:00.000Z</x:v>
      </x:c>
      <x:c r="I1869" s="37" t="d">
        <x:v>2026-09-16T03:34:52.000Z</x:v>
      </x:c>
      <x:c r="J1869" s="1" t="n">
        <x:f>IF(ISNUMBER(F1869),E1869,0)</x:f>
        <x:v>1</x:v>
      </x:c>
      <x:c r="K1869" s="1"/>
      <x:c r="L1869" s="1" t="str">
        <x:v>https://blog.skyairline.com/mitos-chilenos-cuentos-y-leyendas-de-pueblos-originarios</x:v>
      </x:c>
      <x:c r="M1869" s="1" t="n">
        <x:v>0</x:v>
      </x:c>
    </x:row>
    <x:row r="1870" ht="18.75" customHeight="1">
      <x:c r="A1870" s="1" t="str">
        <x:v>https://blog.skyairline.com/cuando-comienza-el-invierno-en-chile/</x:v>
      </x:c>
      <x:c r="B1870" s="1" t="str">
        <x:v>tiempo en santiago</x:v>
      </x:c>
      <x:c r="C1870" s="1" t="str">
        <x:v>chl</x:v>
      </x:c>
      <x:c r="D1870" s="1" t="str">
        <x:v>Sin marca</x:v>
      </x:c>
      <x:c r="E1870" s="35" t="n">
        <x:v>1</x:v>
      </x:c>
      <x:c r="F1870" s="36" t="n">
        <x:v>0.11</x:v>
      </x:c>
      <x:c r="G1870" s="36" t="n">
        <x:f>IF(ISNUMBER(F1870),E1870*F1870,"")</x:f>
        <x:v>0.11</x:v>
      </x:c>
      <x:c r="H1870" s="37" t="d">
        <x:v>2026-10-15T00:00:00.000Z</x:v>
      </x:c>
      <x:c r="I1870" s="37" t="d">
        <x:v>2026-09-13T14:37:04.000Z</x:v>
      </x:c>
      <x:c r="J1870" s="1" t="n">
        <x:f>IF(ISNUMBER(F1870),E1870,0)</x:f>
        <x:v>1</x:v>
      </x:c>
      <x:c r="K1870" s="1"/>
      <x:c r="L1870" s="1" t="str">
        <x:v>https://blog.skyairline.com/mitos-chilenos-cuentos-y-leyendas-de-pueblos-originarios/</x:v>
      </x:c>
      <x:c r="M1870" s="1" t="n">
        <x:v>0</x:v>
      </x:c>
    </x:row>
    <x:row r="1871" ht="18.75" customHeight="1">
      <x:c r="A1871" s="1" t="str">
        <x:v>https://blog.skyairline.com/cuanto-dinero-llevar-miami/</x:v>
      </x:c>
      <x:c r="B1871" s="1" t="str">
        <x:v>cuanto dinero llevar a miami por 10 días</x:v>
      </x:c>
      <x:c r="C1871" s="1" t="str">
        <x:v>ury</x:v>
      </x:c>
      <x:c r="D1871" s="1" t="str">
        <x:v>Sin marca</x:v>
      </x:c>
      <x:c r="E1871" s="35" t="n">
        <x:v>1</x:v>
      </x:c>
      <x:c r="F1871" s="36"/>
      <x:c r="G1871" s="36" t="str">
        <x:f>IF(ISNUMBER(F1871),E1871*F1871,"")</x:f>
      </x:c>
      <x:c r="H1871" s="37"/>
      <x:c r="I1871" s="37"/>
      <x:c r="J1871" s="1" t="n">
        <x:f>IF(ISNUMBER(F1871),E1871,0)</x:f>
        <x:v>0</x:v>
      </x:c>
      <x:c r="K1871" s="1"/>
      <x:c r="L1871" s="1" t="str">
        <x:v>https://blog.skyairline.com/mitos-y-leyendas-chilenas-cuentos-y-leyendas-de-nuestros-pueblos/</x:v>
      </x:c>
      <x:c r="M1871" s="1" t="n">
        <x:v>0</x:v>
      </x:c>
    </x:row>
    <x:row r="1872" ht="18.75" customHeight="1">
      <x:c r="A1872" s="1" t="str">
        <x:v>https://blog.skyairline.com/cuanto-dinero-llevar-miami/</x:v>
      </x:c>
      <x:c r="B1872" s="1" t="str">
        <x:v>miami</x:v>
      </x:c>
      <x:c r="C1872" s="1" t="str">
        <x:v>esp</x:v>
      </x:c>
      <x:c r="D1872" s="1" t="str">
        <x:v>Sin marca</x:v>
      </x:c>
      <x:c r="E1872" s="35" t="n">
        <x:v>1</x:v>
      </x:c>
      <x:c r="F1872" s="36"/>
      <x:c r="G1872" s="36" t="str">
        <x:f>IF(ISNUMBER(F1872),E1872*F1872,"")</x:f>
      </x:c>
      <x:c r="H1872" s="37"/>
      <x:c r="I1872" s="37"/>
      <x:c r="J1872" s="1" t="n">
        <x:f>IF(ISNUMBER(F1872),E1872,0)</x:f>
        <x:v>0</x:v>
      </x:c>
      <x:c r="K1872" s="1"/>
      <x:c r="L1872" s="1" t="str">
        <x:v>https://blog.skyairline.com/mitos-y-leyendas-cuentos-y-leyendas-de-nuestros-pueblos/</x:v>
      </x:c>
      <x:c r="M1872" s="1" t="n">
        <x:v>0</x:v>
      </x:c>
    </x:row>
    <x:row r="1873" ht="18.75" customHeight="1">
      <x:c r="A1873" s="1" t="str">
        <x:v>https://blog.skyairline.com/curso-tripulante-cabina/</x:v>
      </x:c>
      <x:c r="B1873" s="1" t="str">
        <x:v>academia de tripulantes de cabina sky</x:v>
      </x:c>
      <x:c r="C1873" s="1" t="str">
        <x:v>ecu</x:v>
      </x:c>
      <x:c r="D1873" s="1" t="str">
        <x:v>Marca</x:v>
      </x:c>
      <x:c r="E1873" s="35" t="n">
        <x:v>1</x:v>
      </x:c>
      <x:c r="F1873" s="36"/>
      <x:c r="G1873" s="36" t="str">
        <x:f>IF(ISNUMBER(F1873),E1873*F1873,"")</x:f>
      </x:c>
      <x:c r="H1873" s="37"/>
      <x:c r="I1873" s="37"/>
      <x:c r="J1873" s="1" t="n">
        <x:f>IF(ISNUMBER(F1873),E1873,0)</x:f>
        <x:v>0</x:v>
      </x:c>
      <x:c r="K1873" s="1"/>
      <x:c r="L1873" s="1" t="str">
        <x:v>https://blog.skyairline.com/mochila-de-trekking/</x:v>
      </x:c>
      <x:c r="M1873" s="1" t="n">
        <x:v>0</x:v>
      </x:c>
    </x:row>
    <x:row r="1874" ht="18.75" customHeight="1">
      <x:c r="A1874" s="1" t="str">
        <x:v>https://blog.skyairline.com/curso-tripulante-cabina/</x:v>
      </x:c>
      <x:c r="B1874" s="1" t="str">
        <x:v>aeromoza</x:v>
      </x:c>
      <x:c r="C1874" s="1" t="str">
        <x:v>chl</x:v>
      </x:c>
      <x:c r="D1874" s="1" t="str">
        <x:v>Sin marca</x:v>
      </x:c>
      <x:c r="E1874" s="35" t="n">
        <x:v>1</x:v>
      </x:c>
      <x:c r="F1874" s="36" t="n">
        <x:v>0.13</x:v>
      </x:c>
      <x:c r="G1874" s="36" t="n">
        <x:f>IF(ISNUMBER(F1874),E1874*F1874,"")</x:f>
        <x:v>0.13</x:v>
      </x:c>
      <x:c r="H1874" s="37" t="d">
        <x:v>2026-10-15T00:00:00.000Z</x:v>
      </x:c>
      <x:c r="I1874" s="37" t="d">
        <x:v>2026-09-17T09:06:54.000Z</x:v>
      </x:c>
      <x:c r="J1874" s="1" t="n">
        <x:f>IF(ISNUMBER(F1874),E1874,0)</x:f>
        <x:v>1</x:v>
      </x:c>
      <x:c r="K1874" s="1"/>
      <x:c r="L1874" s="1" t="str">
        <x:v>https://blog.skyairline.com/mochila-for-notebook/</x:v>
      </x:c>
      <x:c r="M1874" s="1" t="n">
        <x:v>0</x:v>
      </x:c>
    </x:row>
    <x:row r="1875" ht="18.75" customHeight="1">
      <x:c r="A1875" s="1" t="str">
        <x:v>https://blog.skyairline.com/curso-tripulante-cabina/</x:v>
      </x:c>
      <x:c r="B1875" s="1" t="str">
        <x:v>asistente de vuelo carrera</x:v>
      </x:c>
      <x:c r="C1875" s="1" t="str">
        <x:v>chl</x:v>
      </x:c>
      <x:c r="D1875" s="1" t="str">
        <x:v>Sin marca</x:v>
      </x:c>
      <x:c r="E1875" s="35" t="n">
        <x:v>1</x:v>
      </x:c>
      <x:c r="F1875" s="36" t="n">
        <x:v>0.16</x:v>
      </x:c>
      <x:c r="G1875" s="36" t="n">
        <x:f>IF(ISNUMBER(F1875),E1875*F1875,"")</x:f>
        <x:v>0.16</x:v>
      </x:c>
      <x:c r="H1875" s="37" t="d">
        <x:v>2026-10-15T00:00:00.000Z</x:v>
      </x:c>
      <x:c r="I1875" s="37" t="d">
        <x:v>2026-09-16T10:10:20.999Z</x:v>
      </x:c>
      <x:c r="J1875" s="1" t="n">
        <x:f>IF(ISNUMBER(F1875),E1875,0)</x:f>
        <x:v>1</x:v>
      </x:c>
      <x:c r="K1875" s="1"/>
      <x:c r="L1875" s="1" t="str">
        <x:v>https://blog.skyairline.com/modo-avion-durante-vuelos/</x:v>
      </x:c>
      <x:c r="M1875" s="1" t="n">
        <x:v>0</x:v>
      </x:c>
    </x:row>
    <x:row r="1876" ht="18.75" customHeight="1">
      <x:c r="A1876" s="1" t="str">
        <x:v>https://blog.skyairline.com/curso-tripulante-cabina/</x:v>
      </x:c>
      <x:c r="B1876" s="1" t="str">
        <x:v>auxiliar de cabina de vuelo</x:v>
      </x:c>
      <x:c r="C1876" s="1" t="str">
        <x:v>chl</x:v>
      </x:c>
      <x:c r="D1876" s="1" t="str">
        <x:v>Sin marca</x:v>
      </x:c>
      <x:c r="E1876" s="35" t="n">
        <x:v>1</x:v>
      </x:c>
      <x:c r="F1876" s="36" t="n">
        <x:v>0.19</x:v>
      </x:c>
      <x:c r="G1876" s="36" t="n">
        <x:f>IF(ISNUMBER(F1876),E1876*F1876,"")</x:f>
        <x:v>0.19</x:v>
      </x:c>
      <x:c r="H1876" s="37" t="d">
        <x:v>2026-10-15T00:00:00.000Z</x:v>
      </x:c>
      <x:c r="I1876" s="37" t="d">
        <x:v>2026-09-16T22:05:21.000Z</x:v>
      </x:c>
      <x:c r="J1876" s="1" t="n">
        <x:f>IF(ISNUMBER(F1876),E1876,0)</x:f>
        <x:v>1</x:v>
      </x:c>
      <x:c r="K1876" s="1"/>
      <x:c r="L1876" s="1" t="str">
        <x:v>https://blog.skyairline.com/momias-chinchorro/</x:v>
      </x:c>
      <x:c r="M1876" s="1" t="n">
        <x:v>0</x:v>
      </x:c>
    </x:row>
    <x:row r="1877" ht="18.75" customHeight="1">
      <x:c r="A1877" s="1" t="str">
        <x:v>https://blog.skyairline.com/curso-tripulante-cabina/</x:v>
      </x:c>
      <x:c r="B1877" s="1" t="str">
        <x:v>auxiliar de vuelo</x:v>
      </x:c>
      <x:c r="C1877" s="1" t="str">
        <x:v>chl</x:v>
      </x:c>
      <x:c r="D1877" s="1" t="str">
        <x:v>Sin marca</x:v>
      </x:c>
      <x:c r="E1877" s="35" t="n">
        <x:v>1</x:v>
      </x:c>
      <x:c r="F1877" s="36" t="n">
        <x:v>0.19</x:v>
      </x:c>
      <x:c r="G1877" s="36" t="n">
        <x:f>IF(ISNUMBER(F1877),E1877*F1877,"")</x:f>
        <x:v>0.19</x:v>
      </x:c>
      <x:c r="H1877" s="37" t="d">
        <x:v>2026-10-15T00:00:00.000Z</x:v>
      </x:c>
      <x:c r="I1877" s="37" t="d">
        <x:v>2026-09-13T12:00:08.000Z</x:v>
      </x:c>
      <x:c r="J1877" s="1" t="n">
        <x:f>IF(ISNUMBER(F1877),E1877,0)</x:f>
        <x:v>1</x:v>
      </x:c>
      <x:c r="K1877" s="1"/>
      <x:c r="L1877" s="1" t="str">
        <x:v>https://blog.skyairline.com/montana-7-colores/</x:v>
      </x:c>
      <x:c r="M1877" s="1" t="n">
        <x:v>0</x:v>
      </x:c>
    </x:row>
    <x:row r="1878" ht="18.75" customHeight="1">
      <x:c r="A1878" s="1" t="str">
        <x:v>https://blog.skyairline.com/curso-tripulante-cabina/</x:v>
      </x:c>
      <x:c r="B1878" s="1" t="str">
        <x:v>auxiliar de vuelo requisitos</x:v>
      </x:c>
      <x:c r="C1878" s="1" t="str">
        <x:v>chl</x:v>
      </x:c>
      <x:c r="D1878" s="1" t="str">
        <x:v>Sin marca</x:v>
      </x:c>
      <x:c r="E1878" s="35" t="n">
        <x:v>1</x:v>
      </x:c>
      <x:c r="F1878" s="36"/>
      <x:c r="G1878" s="36" t="str">
        <x:f>IF(ISNUMBER(F1878),E1878*F1878,"")</x:f>
      </x:c>
      <x:c r="H1878" s="37" t="d">
        <x:v>2026-10-15T00:00:00.000Z</x:v>
      </x:c>
      <x:c r="I1878" s="37" t="d">
        <x:v>2026-10-15T02:02:33.999Z</x:v>
      </x:c>
      <x:c r="J1878" s="1" t="n">
        <x:f>IF(ISNUMBER(F1878),E1878,0)</x:f>
        <x:v>0</x:v>
      </x:c>
      <x:c r="K1878" s="1"/>
      <x:c r="L1878" s="1" t="str">
        <x:v>https://blog.skyairline.com/montana-de-7-colores/</x:v>
      </x:c>
      <x:c r="M1878" s="1" t="n">
        <x:v>0</x:v>
      </x:c>
    </x:row>
    <x:row r="1879" ht="18.75" customHeight="1">
      <x:c r="A1879" s="1" t="str">
        <x:v>https://blog.skyairline.com/curso-tripulante-cabina/</x:v>
      </x:c>
      <x:c r="B1879" s="1" t="str">
        <x:v>azafata carrera</x:v>
      </x:c>
      <x:c r="C1879" s="1" t="str">
        <x:v>chl</x:v>
      </x:c>
      <x:c r="D1879" s="1" t="str">
        <x:v>Sin marca</x:v>
      </x:c>
      <x:c r="E1879" s="35" t="n">
        <x:v>1</x:v>
      </x:c>
      <x:c r="F1879" s="36" t="n">
        <x:v>0.41</x:v>
      </x:c>
      <x:c r="G1879" s="36" t="n">
        <x:f>IF(ISNUMBER(F1879),E1879*F1879,"")</x:f>
        <x:v>0.41</x:v>
      </x:c>
      <x:c r="H1879" s="37" t="d">
        <x:v>2026-10-15T00:00:00.000Z</x:v>
      </x:c>
      <x:c r="I1879" s="37" t="d">
        <x:v>2026-10-15T05:06:16.000Z</x:v>
      </x:c>
      <x:c r="J1879" s="1" t="n">
        <x:f>IF(ISNUMBER(F1879),E1879,0)</x:f>
        <x:v>1</x:v>
      </x:c>
      <x:c r="K1879" s="1"/>
      <x:c r="L1879" s="1" t="str">
        <x:v>https://blog.skyairline.com/montevideo-seguro/</x:v>
      </x:c>
      <x:c r="M1879" s="1" t="n">
        <x:v>0</x:v>
      </x:c>
    </x:row>
    <x:row r="1880" ht="18.75" customHeight="1">
      <x:c r="A1880" s="1" t="str">
        <x:v>https://blog.skyairline.com/curso-tripulante-cabina/</x:v>
      </x:c>
      <x:c r="B1880" s="1" t="str">
        <x:v>azafata carrera chile</x:v>
      </x:c>
      <x:c r="C1880" s="1" t="str">
        <x:v>chl</x:v>
      </x:c>
      <x:c r="D1880" s="1" t="str">
        <x:v>Sin marca</x:v>
      </x:c>
      <x:c r="E1880" s="35" t="n">
        <x:v>1</x:v>
      </x:c>
      <x:c r="F1880" s="36" t="n">
        <x:v>0.34</x:v>
      </x:c>
      <x:c r="G1880" s="36" t="n">
        <x:f>IF(ISNUMBER(F1880),E1880*F1880,"")</x:f>
        <x:v>0.34</x:v>
      </x:c>
      <x:c r="H1880" s="37" t="d">
        <x:v>2026-10-15T00:00:00.000Z</x:v>
      </x:c>
      <x:c r="I1880" s="37" t="d">
        <x:v>2026-09-17T01:07:43.000Z</x:v>
      </x:c>
      <x:c r="J1880" s="1" t="n">
        <x:f>IF(ISNUMBER(F1880),E1880,0)</x:f>
        <x:v>1</x:v>
      </x:c>
      <x:c r="K1880" s="1"/>
      <x:c r="L1880" s="1" t="str">
        <x:v>https://blog.skyairline.com/monumentos-historicos-de-jaula/</x:v>
      </x:c>
      <x:c r="M1880" s="1" t="n">
        <x:v>0</x:v>
      </x:c>
    </x:row>
    <x:row r="1881" ht="18.75" customHeight="1">
      <x:c r="A1881" s="1" t="str">
        <x:v>https://blog.skyairline.com/curso-tripulante-cabina/</x:v>
      </x:c>
      <x:c r="B1881" s="1" t="str">
        <x:v>azafata chile</x:v>
      </x:c>
      <x:c r="C1881" s="1" t="str">
        <x:v>chl</x:v>
      </x:c>
      <x:c r="D1881" s="1" t="str">
        <x:v>Sin marca</x:v>
      </x:c>
      <x:c r="E1881" s="35" t="n">
        <x:v>1</x:v>
      </x:c>
      <x:c r="F1881" s="36" t="n">
        <x:v>0.26</x:v>
      </x:c>
      <x:c r="G1881" s="36" t="n">
        <x:f>IF(ISNUMBER(F1881),E1881*F1881,"")</x:f>
        <x:v>0.26</x:v>
      </x:c>
      <x:c r="H1881" s="37" t="d">
        <x:v>2026-10-15T00:00:00.000Z</x:v>
      </x:c>
      <x:c r="I1881" s="37" t="d">
        <x:v>2026-09-17T10:57:07.000Z</x:v>
      </x:c>
      <x:c r="J1881" s="1" t="n">
        <x:f>IF(ISNUMBER(F1881),E1881,0)</x:f>
        <x:v>1</x:v>
      </x:c>
      <x:c r="K1881" s="1"/>
      <x:c r="L1881" s="1" t="str">
        <x:v>https://blog.skyairline.com/moqueca/</x:v>
      </x:c>
      <x:c r="M1881" s="1" t="n">
        <x:v>0</x:v>
      </x:c>
    </x:row>
    <x:row r="1882" ht="18.75" customHeight="1">
      <x:c r="A1882" s="1" t="str">
        <x:v>https://blog.skyairline.com/curso-tripulante-cabina/</x:v>
      </x:c>
      <x:c r="B1882" s="1" t="str">
        <x:v>azafata cursos</x:v>
      </x:c>
      <x:c r="C1882" s="1" t="str">
        <x:v>chl</x:v>
      </x:c>
      <x:c r="D1882" s="1" t="str">
        <x:v>Sin marca</x:v>
      </x:c>
      <x:c r="E1882" s="35" t="n">
        <x:v>1</x:v>
      </x:c>
      <x:c r="F1882" s="36"/>
      <x:c r="G1882" s="36" t="str">
        <x:f>IF(ISNUMBER(F1882),E1882*F1882,"")</x:f>
      </x:c>
      <x:c r="H1882" s="37"/>
      <x:c r="I1882" s="37"/>
      <x:c r="J1882" s="1" t="n">
        <x:f>IF(ISNUMBER(F1882),E1882,0)</x:f>
        <x:v>0</x:v>
      </x:c>
      <x:c r="K1882" s="1"/>
      <x:c r="L1882" s="1" t="str">
        <x:v>https://blog.skyairline.com/mujeres-pilotos/</x:v>
      </x:c>
      <x:c r="M1882" s="1" t="n">
        <x:v>0</x:v>
      </x:c>
    </x:row>
    <x:row r="1883" ht="18.75" customHeight="1">
      <x:c r="A1883" s="1" t="str">
        <x:v>https://blog.skyairline.com/curso-tripulante-cabina/</x:v>
      </x:c>
      <x:c r="B1883" s="1" t="str">
        <x:v>azafata requisitos</x:v>
      </x:c>
      <x:c r="C1883" s="1" t="str">
        <x:v>chl</x:v>
      </x:c>
      <x:c r="D1883" s="1" t="str">
        <x:v>Sin marca</x:v>
      </x:c>
      <x:c r="E1883" s="35" t="n">
        <x:v>1</x:v>
      </x:c>
      <x:c r="F1883" s="36"/>
      <x:c r="G1883" s="36" t="str">
        <x:f>IF(ISNUMBER(F1883),E1883*F1883,"")</x:f>
      </x:c>
      <x:c r="H1883" s="37" t="d">
        <x:v>2026-10-15T00:00:00.000Z</x:v>
      </x:c>
      <x:c r="I1883" s="37" t="d">
        <x:v>2026-09-17T04:33:56.000Z</x:v>
      </x:c>
      <x:c r="J1883" s="1" t="n">
        <x:f>IF(ISNUMBER(F1883),E1883,0)</x:f>
        <x:v>0</x:v>
      </x:c>
      <x:c r="K1883" s="1"/>
      <x:c r="L1883" s="1" t="str">
        <x:v>https://blog.skyairline.com/museo-corbeta-esmeralda/</x:v>
      </x:c>
      <x:c r="M1883" s="1" t="n">
        <x:v>0</x:v>
      </x:c>
    </x:row>
    <x:row r="1884" ht="18.75" customHeight="1">
      <x:c r="A1884" s="1" t="str">
        <x:v>https://blog.skyairline.com/curso-tripulante-cabina/</x:v>
      </x:c>
      <x:c r="B1884" s="1" t="str">
        <x:v>azafato de vuelo</x:v>
      </x:c>
      <x:c r="C1884" s="1" t="str">
        <x:v>chl</x:v>
      </x:c>
      <x:c r="D1884" s="1" t="str">
        <x:v>Sin marca</x:v>
      </x:c>
      <x:c r="E1884" s="35" t="n">
        <x:v>1</x:v>
      </x:c>
      <x:c r="F1884" s="36" t="n">
        <x:v>0.08</x:v>
      </x:c>
      <x:c r="G1884" s="36" t="n">
        <x:f>IF(ISNUMBER(F1884),E1884*F1884,"")</x:f>
        <x:v>0.08</x:v>
      </x:c>
      <x:c r="H1884" s="37" t="d">
        <x:v>2026-10-15T00:00:00.000Z</x:v>
      </x:c>
      <x:c r="I1884" s="37" t="d">
        <x:v>2026-09-17T15:02:33.000Z</x:v>
      </x:c>
      <x:c r="J1884" s="1" t="n">
        <x:f>IF(ISNUMBER(F1884),E1884,0)</x:f>
        <x:v>1</x:v>
      </x:c>
      <x:c r="K1884" s="1"/>
      <x:c r="L1884" s="1" t="str">
        <x:v>https://blog.skyairline.com/museo-maya-de-cancun/</x:v>
      </x:c>
      <x:c r="M1884" s="1" t="n">
        <x:v>0</x:v>
      </x:c>
    </x:row>
    <x:row r="1885" ht="18.75" customHeight="1">
      <x:c r="A1885" s="1" t="str">
        <x:v>https://blog.skyairline.com/curso-tripulante-cabina/</x:v>
      </x:c>
      <x:c r="B1885" s="1" t="str">
        <x:v>carrera azafata chile</x:v>
      </x:c>
      <x:c r="C1885" s="1" t="str">
        <x:v>chl</x:v>
      </x:c>
      <x:c r="D1885" s="1" t="str">
        <x:v>Sin marca</x:v>
      </x:c>
      <x:c r="E1885" s="35" t="n">
        <x:v>1</x:v>
      </x:c>
      <x:c r="F1885" s="36" t="n">
        <x:v>0.34</x:v>
      </x:c>
      <x:c r="G1885" s="36" t="n">
        <x:f>IF(ISNUMBER(F1885),E1885*F1885,"")</x:f>
        <x:v>0.34</x:v>
      </x:c>
      <x:c r="H1885" s="37" t="d">
        <x:v>2026-10-15T00:00:00.000Z</x:v>
      </x:c>
      <x:c r="I1885" s="37" t="d">
        <x:v>2026-09-17T21:43:35.000Z</x:v>
      </x:c>
      <x:c r="J1885" s="1" t="n">
        <x:f>IF(ISNUMBER(F1885),E1885,0)</x:f>
        <x:v>1</x:v>
      </x:c>
      <x:c r="K1885" s="1"/>
      <x:c r="L1885" s="1" t="str">
        <x:v>https://blog.skyairline.com/museo-regional-de-la-araucania/</x:v>
      </x:c>
      <x:c r="M1885" s="1" t="n">
        <x:v>0</x:v>
      </x:c>
    </x:row>
    <x:row r="1886" ht="18.75" customHeight="1">
      <x:c r="A1886" s="1" t="str">
        <x:v>https://blog.skyairline.com/curso-tripulante-cabina/</x:v>
      </x:c>
      <x:c r="B1886" s="1" t="str">
        <x:v>como ser auxiliar de vuelo</x:v>
      </x:c>
      <x:c r="C1886" s="1" t="str">
        <x:v>chl</x:v>
      </x:c>
      <x:c r="D1886" s="1" t="str">
        <x:v>Sin marca</x:v>
      </x:c>
      <x:c r="E1886" s="35" t="n">
        <x:v>1</x:v>
      </x:c>
      <x:c r="F1886" s="36"/>
      <x:c r="G1886" s="36" t="str">
        <x:f>IF(ISNUMBER(F1886),E1886*F1886,"")</x:f>
      </x:c>
      <x:c r="H1886" s="37" t="d">
        <x:v>2026-10-15T00:00:00.000Z</x:v>
      </x:c>
      <x:c r="I1886" s="37" t="d">
        <x:v>2026-09-14T02:47:06.999Z</x:v>
      </x:c>
      <x:c r="J1886" s="1" t="n">
        <x:f>IF(ISNUMBER(F1886),E1886,0)</x:f>
        <x:v>0</x:v>
      </x:c>
      <x:c r="K1886" s="1"/>
      <x:c r="L1886" s="1" t="str">
        <x:v>https://blog.skyairline.com/museo-virtual/</x:v>
      </x:c>
      <x:c r="M1886" s="1" t="n">
        <x:v>0</x:v>
      </x:c>
    </x:row>
    <x:row r="1887" ht="18.75" customHeight="1">
      <x:c r="A1887" s="1" t="str">
        <x:v>https://blog.skyairline.com/curso-tripulante-cabina/</x:v>
      </x:c>
      <x:c r="B1887" s="1" t="str">
        <x:v>como ser azafata de vuelo en chile</x:v>
      </x:c>
      <x:c r="C1887" s="1" t="str">
        <x:v>chl</x:v>
      </x:c>
      <x:c r="D1887" s="1" t="str">
        <x:v>Sin marca</x:v>
      </x:c>
      <x:c r="E1887" s="35" t="n">
        <x:v>1</x:v>
      </x:c>
      <x:c r="F1887" s="36"/>
      <x:c r="G1887" s="36" t="str">
        <x:f>IF(ISNUMBER(F1887),E1887*F1887,"")</x:f>
      </x:c>
      <x:c r="H1887" s="37"/>
      <x:c r="I1887" s="37"/>
      <x:c r="J1887" s="1" t="n">
        <x:f>IF(ISNUMBER(F1887),E1887,0)</x:f>
        <x:v>0</x:v>
      </x:c>
      <x:c r="K1887" s="1"/>
      <x:c r="L1887" s="1" t="str">
        <x:v>https://blog.skyairline.com/museos-en-porto-alegre/</x:v>
      </x:c>
      <x:c r="M1887" s="1" t="n">
        <x:v>0</x:v>
      </x:c>
    </x:row>
    <x:row r="1888" ht="18.75" customHeight="1">
      <x:c r="A1888" s="1" t="str">
        <x:v>https://blog.skyairline.com/curso-tripulante-cabina/</x:v>
      </x:c>
      <x:c r="B1888" s="1" t="str">
        <x:v>como ser azafata en chile</x:v>
      </x:c>
      <x:c r="C1888" s="1" t="str">
        <x:v>chl</x:v>
      </x:c>
      <x:c r="D1888" s="1" t="str">
        <x:v>Sin marca</x:v>
      </x:c>
      <x:c r="E1888" s="35" t="n">
        <x:v>1</x:v>
      </x:c>
      <x:c r="F1888" s="36" t="n">
        <x:v>0.2</x:v>
      </x:c>
      <x:c r="G1888" s="36" t="n">
        <x:f>IF(ISNUMBER(F1888),E1888*F1888,"")</x:f>
        <x:v>0.2</x:v>
      </x:c>
      <x:c r="H1888" s="37" t="d">
        <x:v>2026-10-15T00:00:00.000Z</x:v>
      </x:c>
      <x:c r="I1888" s="37" t="d">
        <x:v>2026-09-16T03:05:50.999Z</x:v>
      </x:c>
      <x:c r="J1888" s="1" t="n">
        <x:f>IF(ISNUMBER(F1888),E1888,0)</x:f>
        <x:v>1</x:v>
      </x:c>
      <x:c r="K1888" s="1"/>
      <x:c r="L1888" s="1" t="str">
        <x:v>https://blog.skyairline.com/museos-en-sao-paulo/</x:v>
      </x:c>
      <x:c r="M1888" s="1" t="n">
        <x:v>0</x:v>
      </x:c>
    </x:row>
    <x:row r="1889" ht="18.75" customHeight="1">
      <x:c r="A1889" s="1" t="str">
        <x:v>https://blog.skyairline.com/curso-tripulante-cabina/</x:v>
      </x:c>
      <x:c r="B1889" s="1" t="str">
        <x:v>como ser tripulante de cabina</x:v>
      </x:c>
      <x:c r="C1889" s="1" t="str">
        <x:v>chl</x:v>
      </x:c>
      <x:c r="D1889" s="1" t="str">
        <x:v>Sin marca</x:v>
      </x:c>
      <x:c r="E1889" s="35" t="n">
        <x:v>1</x:v>
      </x:c>
      <x:c r="F1889" s="36" t="n">
        <x:v>0.64</x:v>
      </x:c>
      <x:c r="G1889" s="36" t="n">
        <x:f>IF(ISNUMBER(F1889),E1889*F1889,"")</x:f>
        <x:v>0.64</x:v>
      </x:c>
      <x:c r="H1889" s="37" t="d">
        <x:v>2026-10-15T00:00:00.000Z</x:v>
      </x:c>
      <x:c r="I1889" s="37" t="d">
        <x:v>2026-09-17T22:11:37.000Z</x:v>
      </x:c>
      <x:c r="J1889" s="1" t="n">
        <x:f>IF(ISNUMBER(F1889),E1889,0)</x:f>
        <x:v>1</x:v>
      </x:c>
      <x:c r="K1889" s="1"/>
      <x:c r="L1889" s="1" t="str">
        <x:v>https://blog.skyairline.com/museos-santiago/</x:v>
      </x:c>
      <x:c r="M1889" s="1" t="n">
        <x:v>0</x:v>
      </x:c>
    </x:row>
    <x:row r="1890" ht="18.75" customHeight="1">
      <x:c r="A1890" s="1" t="str">
        <x:v>https://blog.skyairline.com/curso-tripulante-cabina/</x:v>
      </x:c>
      <x:c r="B1890" s="1" t="str">
        <x:v>cual es la mejor escuela</x:v>
      </x:c>
      <x:c r="C1890" s="1" t="str">
        <x:v>chl</x:v>
      </x:c>
      <x:c r="D1890" s="1" t="str">
        <x:v>Sin marca</x:v>
      </x:c>
      <x:c r="E1890" s="35" t="n">
        <x:v>1</x:v>
      </x:c>
      <x:c r="F1890" s="36"/>
      <x:c r="G1890" s="36" t="str">
        <x:f>IF(ISNUMBER(F1890),E1890*F1890,"")</x:f>
      </x:c>
      <x:c r="H1890" s="37"/>
      <x:c r="I1890" s="37"/>
      <x:c r="J1890" s="1" t="n">
        <x:f>IF(ISNUMBER(F1890),E1890,0)</x:f>
        <x:v>0</x:v>
      </x:c>
      <x:c r="K1890" s="1"/>
      <x:c r="L1890" s="1" t="str">
        <x:v>https://blog.skyairline.com/museu-do-futebol/</x:v>
      </x:c>
      <x:c r="M1890" s="1" t="n">
        <x:v>0</x:v>
      </x:c>
    </x:row>
    <x:row r="1891" ht="18.75" customHeight="1">
      <x:c r="A1891" s="1" t="str">
        <x:v>https://blog.skyairline.com/curso-tripulante-cabina/</x:v>
      </x:c>
      <x:c r="B1891" s="1" t="str">
        <x:v>cuanto dura el curso de azafata</x:v>
      </x:c>
      <x:c r="C1891" s="1" t="str">
        <x:v>chl</x:v>
      </x:c>
      <x:c r="D1891" s="1" t="str">
        <x:v>Sin marca</x:v>
      </x:c>
      <x:c r="E1891" s="35" t="n">
        <x:v>1</x:v>
      </x:c>
      <x:c r="F1891" s="36"/>
      <x:c r="G1891" s="36" t="str">
        <x:f>IF(ISNUMBER(F1891),E1891*F1891,"")</x:f>
      </x:c>
      <x:c r="H1891" s="37" t="d">
        <x:v>2026-10-15T00:00:00.000Z</x:v>
      </x:c>
      <x:c r="I1891" s="37" t="d">
        <x:v>2026-09-16T09:08:00.000Z</x:v>
      </x:c>
      <x:c r="J1891" s="1" t="n">
        <x:f>IF(ISNUMBER(F1891),E1891,0)</x:f>
        <x:v>0</x:v>
      </x:c>
      <x:c r="K1891" s="1"/>
      <x:c r="L1891" s="1" t="str">
        <x:v>https://blog.skyairline.com/musica-de-Chile/</x:v>
      </x:c>
      <x:c r="M1891" s="1" t="n">
        <x:v>0</x:v>
      </x:c>
    </x:row>
    <x:row r="1892" ht="18.75" customHeight="1">
      <x:c r="A1892" s="1" t="str">
        <x:v>https://blog.skyairline.com/curso-tripulante-cabina/</x:v>
      </x:c>
      <x:c r="B1892" s="1" t="str">
        <x:v>cuanto dura estudiar azafata</x:v>
      </x:c>
      <x:c r="C1892" s="1" t="str">
        <x:v>chl</x:v>
      </x:c>
      <x:c r="D1892" s="1" t="str">
        <x:v>Sin marca</x:v>
      </x:c>
      <x:c r="E1892" s="35" t="n">
        <x:v>1</x:v>
      </x:c>
      <x:c r="F1892" s="36"/>
      <x:c r="G1892" s="36" t="str">
        <x:f>IF(ISNUMBER(F1892),E1892*F1892,"")</x:f>
      </x:c>
      <x:c r="H1892" s="37"/>
      <x:c r="I1892" s="37"/>
      <x:c r="J1892" s="1" t="n">
        <x:f>IF(ISNUMBER(F1892),E1892,0)</x:f>
        <x:v>0</x:v>
      </x:c>
      <x:c r="K1892" s="1"/>
      <x:c r="L1892" s="1" t="str">
        <x:v>https://blog.skyairline.com/musica-tipica-peruana/</x:v>
      </x:c>
      <x:c r="M1892" s="1" t="n">
        <x:v>0</x:v>
      </x:c>
    </x:row>
    <x:row r="1893" ht="18.75" customHeight="1">
      <x:c r="A1893" s="1" t="str">
        <x:v>https://blog.skyairline.com/curso-tripulante-cabina/</x:v>
      </x:c>
      <x:c r="B1893" s="1" t="str">
        <x:v>cuanto dura la carrera de aeromoza</x:v>
      </x:c>
      <x:c r="C1893" s="1" t="str">
        <x:v>chl</x:v>
      </x:c>
      <x:c r="D1893" s="1" t="str">
        <x:v>Sin marca</x:v>
      </x:c>
      <x:c r="E1893" s="35" t="n">
        <x:v>1</x:v>
      </x:c>
      <x:c r="F1893" s="36"/>
      <x:c r="G1893" s="36" t="str">
        <x:f>IF(ISNUMBER(F1893),E1893*F1893,"")</x:f>
      </x:c>
      <x:c r="H1893" s="37" t="d">
        <x:v>2026-10-15T00:00:00.000Z</x:v>
      </x:c>
      <x:c r="I1893" s="37" t="d">
        <x:v>2026-09-13T12:52:11.000Z</x:v>
      </x:c>
      <x:c r="J1893" s="1" t="n">
        <x:f>IF(ISNUMBER(F1893),E1893,0)</x:f>
        <x:v>0</x:v>
      </x:c>
      <x:c r="K1893" s="1"/>
      <x:c r="L1893" s="1" t="str">
        <x:v>https://blog.skyairline.com/mx/es/velocidad-avion/</x:v>
      </x:c>
      <x:c r="M1893" s="1" t="n">
        <x:v>0</x:v>
      </x:c>
    </x:row>
    <x:row r="1894" ht="18.75" customHeight="1">
      <x:c r="A1894" s="1" t="str">
        <x:v>https://blog.skyairline.com/curso-tripulante-cabina/</x:v>
      </x:c>
      <x:c r="B1894" s="1" t="str">
        <x:v>cuanto dura un curso de azafata</x:v>
      </x:c>
      <x:c r="C1894" s="1" t="str">
        <x:v>chl</x:v>
      </x:c>
      <x:c r="D1894" s="1" t="str">
        <x:v>Sin marca</x:v>
      </x:c>
      <x:c r="E1894" s="35" t="n">
        <x:v>1</x:v>
      </x:c>
      <x:c r="F1894" s="36"/>
      <x:c r="G1894" s="36" t="str">
        <x:f>IF(ISNUMBER(F1894),E1894*F1894,"")</x:f>
      </x:c>
      <x:c r="H1894" s="37" t="d">
        <x:v>2026-10-15T00:00:00.000Z</x:v>
      </x:c>
      <x:c r="I1894" s="37" t="d">
        <x:v>2026-09-13T13:13:24.000Z</x:v>
      </x:c>
      <x:c r="J1894" s="1" t="n">
        <x:f>IF(ISNUMBER(F1894),E1894,0)</x:f>
        <x:v>0</x:v>
      </x:c>
      <x:c r="K1894" s="1"/>
      <x:c r="L1894" s="1" t="str">
        <x:v>https://blog.skyairline.com/nada-con-delfines-en-tu-visita-punta-cana/</x:v>
      </x:c>
      <x:c r="M1894" s="1" t="n">
        <x:v>0</x:v>
      </x:c>
    </x:row>
    <x:row r="1895" ht="18.75" customHeight="1">
      <x:c r="A1895" s="1" t="str">
        <x:v>https://blog.skyairline.com/curso-tripulante-cabina/</x:v>
      </x:c>
      <x:c r="B1895" s="1" t="str">
        <x:v>cuanto gana una azafata en chile</x:v>
      </x:c>
      <x:c r="C1895" s="1" t="str">
        <x:v>chl</x:v>
      </x:c>
      <x:c r="D1895" s="1" t="str">
        <x:v>Sin marca</x:v>
      </x:c>
      <x:c r="E1895" s="35" t="n">
        <x:v>1</x:v>
      </x:c>
      <x:c r="F1895" s="36"/>
      <x:c r="G1895" s="36" t="str">
        <x:f>IF(ISNUMBER(F1895),E1895*F1895,"")</x:f>
      </x:c>
      <x:c r="H1895" s="37" t="d">
        <x:v>2026-10-15T00:00:00.000Z</x:v>
      </x:c>
      <x:c r="I1895" s="37" t="d">
        <x:v>2026-09-14T19:22:13.000Z</x:v>
      </x:c>
      <x:c r="J1895" s="1" t="n">
        <x:f>IF(ISNUMBER(F1895),E1895,0)</x:f>
        <x:v>0</x:v>
      </x:c>
      <x:c r="K1895" s="1"/>
      <x:c r="L1895" s="1" t="str">
        <x:v>https://blog.skyairline.com/nadar-con-delfines-en-punta-cana</x:v>
      </x:c>
      <x:c r="M1895" s="1" t="n">
        <x:v>0</x:v>
      </x:c>
    </x:row>
    <x:row r="1896" ht="18.75" customHeight="1">
      <x:c r="A1896" s="1" t="str">
        <x:v>https://blog.skyairline.com/curso-tripulante-cabina/</x:v>
      </x:c>
      <x:c r="B1896" s="1" t="str">
        <x:v>curso de azafata en chile</x:v>
      </x:c>
      <x:c r="C1896" s="1" t="str">
        <x:v>chl</x:v>
      </x:c>
      <x:c r="D1896" s="1" t="str">
        <x:v>Sin marca</x:v>
      </x:c>
      <x:c r="E1896" s="35" t="n">
        <x:v>1</x:v>
      </x:c>
      <x:c r="F1896" s="36" t="n">
        <x:v>0.24</x:v>
      </x:c>
      <x:c r="G1896" s="36" t="n">
        <x:f>IF(ISNUMBER(F1896),E1896*F1896,"")</x:f>
        <x:v>0.24</x:v>
      </x:c>
      <x:c r="H1896" s="37" t="d">
        <x:v>2026-10-15T00:00:00.000Z</x:v>
      </x:c>
      <x:c r="I1896" s="37" t="d">
        <x:v>2026-09-13T23:59:00.000Z</x:v>
      </x:c>
      <x:c r="J1896" s="1" t="n">
        <x:f>IF(ISNUMBER(F1896),E1896,0)</x:f>
        <x:v>1</x:v>
      </x:c>
      <x:c r="K1896" s="1"/>
      <x:c r="L1896" s="1" t="str">
        <x:v>https://blog.skyairline.com/natal-brasil/</x:v>
      </x:c>
      <x:c r="M1896" s="1" t="n">
        <x:v>0</x:v>
      </x:c>
    </x:row>
    <x:row r="1897" ht="18.75" customHeight="1">
      <x:c r="A1897" s="1" t="str">
        <x:v>https://blog.skyairline.com/curso-tripulante-cabina/</x:v>
      </x:c>
      <x:c r="B1897" s="1" t="str">
        <x:v>curso de sobrecargo</x:v>
      </x:c>
      <x:c r="C1897" s="1" t="str">
        <x:v>chl</x:v>
      </x:c>
      <x:c r="D1897" s="1" t="str">
        <x:v>Sin marca</x:v>
      </x:c>
      <x:c r="E1897" s="35" t="n">
        <x:v>1</x:v>
      </x:c>
      <x:c r="F1897" s="36" t="n">
        <x:v>0.19</x:v>
      </x:c>
      <x:c r="G1897" s="36" t="n">
        <x:f>IF(ISNUMBER(F1897),E1897*F1897,"")</x:f>
        <x:v>0.19</x:v>
      </x:c>
      <x:c r="H1897" s="37" t="d">
        <x:v>2026-10-15T00:00:00.000Z</x:v>
      </x:c>
      <x:c r="I1897" s="37" t="d">
        <x:v>2026-09-15T14:59:52.000Z</x:v>
      </x:c>
      <x:c r="J1897" s="1" t="n">
        <x:f>IF(ISNUMBER(F1897),E1897,0)</x:f>
        <x:v>1</x:v>
      </x:c>
      <x:c r="K1897" s="1"/>
      <x:c r="L1897" s="1" t="str">
        <x:v>https://blog.skyairline.com/navidad-en-buenos-aires/</x:v>
      </x:c>
      <x:c r="M1897" s="1" t="n">
        <x:v>0</x:v>
      </x:c>
    </x:row>
    <x:row r="1898" ht="18.75" customHeight="1">
      <x:c r="A1898" s="1" t="str">
        <x:v>https://blog.skyairline.com/curso-tripulante-cabina/</x:v>
      </x:c>
      <x:c r="B1898" s="1" t="str">
        <x:v>curso de tripulante de cabina chile</x:v>
      </x:c>
      <x:c r="C1898" s="1" t="str">
        <x:v>chl</x:v>
      </x:c>
      <x:c r="D1898" s="1" t="str">
        <x:v>Sin marca</x:v>
      </x:c>
      <x:c r="E1898" s="35" t="n">
        <x:v>1</x:v>
      </x:c>
      <x:c r="F1898" s="36" t="n">
        <x:v>0.23</x:v>
      </x:c>
      <x:c r="G1898" s="36" t="n">
        <x:f>IF(ISNUMBER(F1898),E1898*F1898,"")</x:f>
        <x:v>0.23</x:v>
      </x:c>
      <x:c r="H1898" s="37" t="d">
        <x:v>2026-10-15T00:00:00.000Z</x:v>
      </x:c>
      <x:c r="I1898" s="37" t="d">
        <x:v>2026-09-17T00:37:42.999Z</x:v>
      </x:c>
      <x:c r="J1898" s="1" t="n">
        <x:f>IF(ISNUMBER(F1898),E1898,0)</x:f>
        <x:v>1</x:v>
      </x:c>
      <x:c r="K1898" s="1"/>
      <x:c r="L1898" s="1" t="str">
        <x:v>https://blog.skyairline.com/navidad-en-chile-3/</x:v>
      </x:c>
      <x:c r="M1898" s="1" t="n">
        <x:v>0</x:v>
      </x:c>
    </x:row>
    <x:row r="1899" ht="18.75" customHeight="1">
      <x:c r="A1899" s="1" t="str">
        <x:v>https://blog.skyairline.com/curso-tripulante-cabina/</x:v>
      </x:c>
      <x:c r="B1899" s="1" t="str">
        <x:v>curso intensivo azafata de vuelo</x:v>
      </x:c>
      <x:c r="C1899" s="1" t="str">
        <x:v>chl</x:v>
      </x:c>
      <x:c r="D1899" s="1" t="str">
        <x:v>Sin marca</x:v>
      </x:c>
      <x:c r="E1899" s="35" t="n">
        <x:v>1</x:v>
      </x:c>
      <x:c r="F1899" s="36" t="n">
        <x:v>0.4</x:v>
      </x:c>
      <x:c r="G1899" s="36" t="n">
        <x:f>IF(ISNUMBER(F1899),E1899*F1899,"")</x:f>
        <x:v>0.4</x:v>
      </x:c>
      <x:c r="H1899" s="37" t="d">
        <x:v>2026-10-15T00:00:00.000Z</x:v>
      </x:c>
      <x:c r="I1899" s="37" t="d">
        <x:v>2026-10-15T16:38:36.000Z</x:v>
      </x:c>
      <x:c r="J1899" s="1" t="n">
        <x:f>IF(ISNUMBER(F1899),E1899,0)</x:f>
        <x:v>1</x:v>
      </x:c>
      <x:c r="K1899" s="1"/>
      <x:c r="L1899" s="1" t="str">
        <x:v>https://blog.skyairline.com/navidad-en-chile/</x:v>
      </x:c>
      <x:c r="M1899" s="1" t="n">
        <x:v>0</x:v>
      </x:c>
    </x:row>
    <x:row r="1900" ht="18.75" customHeight="1">
      <x:c r="A1900" s="1" t="str">
        <x:v>https://blog.skyairline.com/curso-tripulante-cabina/</x:v>
      </x:c>
      <x:c r="B1900" s="1" t="str">
        <x:v>curso para ser tripulante de cabina</x:v>
      </x:c>
      <x:c r="C1900" s="1" t="str">
        <x:v>chl</x:v>
      </x:c>
      <x:c r="D1900" s="1" t="str">
        <x:v>Sin marca</x:v>
      </x:c>
      <x:c r="E1900" s="35" t="n">
        <x:v>1</x:v>
      </x:c>
      <x:c r="F1900" s="36" t="n">
        <x:v>0.42</x:v>
      </x:c>
      <x:c r="G1900" s="36" t="n">
        <x:f>IF(ISNUMBER(F1900),E1900*F1900,"")</x:f>
        <x:v>0.42</x:v>
      </x:c>
      <x:c r="H1900" s="37" t="d">
        <x:v>2026-10-15T00:00:00.000Z</x:v>
      </x:c>
      <x:c r="I1900" s="37" t="d">
        <x:v>2026-09-15T22:03:50.999Z</x:v>
      </x:c>
      <x:c r="J1900" s="1" t="n">
        <x:f>IF(ISNUMBER(F1900),E1900,0)</x:f>
        <x:v>1</x:v>
      </x:c>
      <x:c r="K1900" s="1"/>
      <x:c r="L1900" s="1" t="str">
        <x:v>https://blog.skyairline.com/navidad-en-miami/</x:v>
      </x:c>
      <x:c r="M1900" s="1" t="n">
        <x:v>0</x:v>
      </x:c>
    </x:row>
    <x:row r="1901" ht="18.75" customHeight="1">
      <x:c r="A1901" s="1" t="str">
        <x:v>https://blog.skyairline.com/curso-tripulante-cabina/</x:v>
      </x:c>
      <x:c r="B1901" s="1" t="str">
        <x:v>curso para tripulante de cabina</x:v>
      </x:c>
      <x:c r="C1901" s="1" t="str">
        <x:v>per</x:v>
      </x:c>
      <x:c r="D1901" s="1" t="str">
        <x:v>Sin marca</x:v>
      </x:c>
      <x:c r="E1901" s="35" t="n">
        <x:v>1</x:v>
      </x:c>
      <x:c r="F1901" s="36"/>
      <x:c r="G1901" s="36" t="str">
        <x:f>IF(ISNUMBER(F1901),E1901*F1901,"")</x:f>
      </x:c>
      <x:c r="H1901" s="37" t="d">
        <x:v>2026-10-15T00:00:00.000Z</x:v>
      </x:c>
      <x:c r="I1901" s="37" t="d">
        <x:v>2026-09-15T23:20:25.000Z</x:v>
      </x:c>
      <x:c r="J1901" s="1" t="n">
        <x:f>IF(ISNUMBER(F1901),E1901,0)</x:f>
        <x:v>0</x:v>
      </x:c>
      <x:c r="K1901" s="1"/>
      <x:c r="L1901" s="1" t="str">
        <x:v>https://blog.skyairline.com/navidad-navidad-chile-2/</x:v>
      </x:c>
      <x:c r="M1901" s="1" t="n">
        <x:v>0</x:v>
      </x:c>
    </x:row>
    <x:row r="1902" ht="18.75" customHeight="1">
      <x:c r="A1902" s="1" t="str">
        <x:v>https://blog.skyairline.com/curso-tripulante-cabina/</x:v>
      </x:c>
      <x:c r="B1902" s="1" t="str">
        <x:v>curso tripulante de cabina</x:v>
      </x:c>
      <x:c r="C1902" s="1" t="str">
        <x:v>per</x:v>
      </x:c>
      <x:c r="D1902" s="1" t="str">
        <x:v>Sin marca</x:v>
      </x:c>
      <x:c r="E1902" s="35" t="n">
        <x:v>1</x:v>
      </x:c>
      <x:c r="F1902" s="36" t="n">
        <x:v>0.27</x:v>
      </x:c>
      <x:c r="G1902" s="36" t="n">
        <x:f>IF(ISNUMBER(F1902),E1902*F1902,"")</x:f>
        <x:v>0.27</x:v>
      </x:c>
      <x:c r="H1902" s="37" t="d">
        <x:v>2026-10-15T00:00:00.000Z</x:v>
      </x:c>
      <x:c r="I1902" s="37" t="d">
        <x:v>2026-10-15T16:06:09.000Z</x:v>
      </x:c>
      <x:c r="J1902" s="1" t="n">
        <x:f>IF(ISNUMBER(F1902),E1902,0)</x:f>
        <x:v>1</x:v>
      </x:c>
      <x:c r="K1902" s="1"/>
      <x:c r="L1902" s="1" t="str">
        <x:v>https://blog.skyairline.com/nervios-al-viajar/</x:v>
      </x:c>
      <x:c r="M1902" s="1" t="n">
        <x:v>0</x:v>
      </x:c>
    </x:row>
    <x:row r="1903" ht="18.75" customHeight="1">
      <x:c r="A1903" s="1" t="str">
        <x:v>https://blog.skyairline.com/curso-tripulante-cabina/</x:v>
      </x:c>
      <x:c r="B1903" s="1" t="str">
        <x:v>cursos auxiliar de vuelo</x:v>
      </x:c>
      <x:c r="C1903" s="1" t="str">
        <x:v>chl</x:v>
      </x:c>
      <x:c r="D1903" s="1" t="str">
        <x:v>Sin marca</x:v>
      </x:c>
      <x:c r="E1903" s="35" t="n">
        <x:v>1</x:v>
      </x:c>
      <x:c r="F1903" s="36" t="n">
        <x:v>0.17</x:v>
      </x:c>
      <x:c r="G1903" s="36" t="n">
        <x:f>IF(ISNUMBER(F1903),E1903*F1903,"")</x:f>
        <x:v>0.17</x:v>
      </x:c>
      <x:c r="H1903" s="37" t="d">
        <x:v>2026-10-15T00:00:00.000Z</x:v>
      </x:c>
      <x:c r="I1903" s="37" t="d">
        <x:v>2026-09-14T02:29:39.000Z</x:v>
      </x:c>
      <x:c r="J1903" s="1" t="n">
        <x:f>IF(ISNUMBER(F1903),E1903,0)</x:f>
        <x:v>1</x:v>
      </x:c>
      <x:c r="K1903" s="1"/>
      <x:c r="L1903" s="1" t="str">
        <x:v>https://blog.skyairline.com/neuquen/</x:v>
      </x:c>
      <x:c r="M1903" s="1" t="n">
        <x:v>0</x:v>
      </x:c>
    </x:row>
    <x:row r="1904" ht="18.75" customHeight="1">
      <x:c r="A1904" s="1" t="str">
        <x:v>https://blog.skyairline.com/curso-tripulante-cabina/</x:v>
      </x:c>
      <x:c r="B1904" s="1" t="str">
        <x:v>cursos de auxiliar de vuelo</x:v>
      </x:c>
      <x:c r="C1904" s="1" t="str">
        <x:v>chl</x:v>
      </x:c>
      <x:c r="D1904" s="1" t="str">
        <x:v>Sin marca</x:v>
      </x:c>
      <x:c r="E1904" s="35" t="n">
        <x:v>1</x:v>
      </x:c>
      <x:c r="F1904" s="36"/>
      <x:c r="G1904" s="36" t="str">
        <x:f>IF(ISNUMBER(F1904),E1904*F1904,"")</x:f>
      </x:c>
      <x:c r="H1904" s="37"/>
      <x:c r="I1904" s="37"/>
      <x:c r="J1904" s="1" t="n">
        <x:f>IF(ISNUMBER(F1904),E1904,0)</x:f>
        <x:v>0</x:v>
      </x:c>
      <x:c r="K1904" s="1"/>
      <x:c r="L1904" s="1" t="str">
        <x:v>https://blog.skyairline.com/nevado-skyairline/</x:v>
      </x:c>
      <x:c r="M1904" s="1" t="n">
        <x:v>0</x:v>
      </x:c>
    </x:row>
    <x:row r="1905" ht="18.75" customHeight="1">
      <x:c r="A1905" s="1" t="str">
        <x:v>https://blog.skyairline.com/curso-tripulante-cabina/</x:v>
      </x:c>
      <x:c r="B1905" s="1" t="str">
        <x:v>cursos tripulante de cabina chile</x:v>
      </x:c>
      <x:c r="C1905" s="1" t="str">
        <x:v>chl</x:v>
      </x:c>
      <x:c r="D1905" s="1" t="str">
        <x:v>Sin marca</x:v>
      </x:c>
      <x:c r="E1905" s="35" t="n">
        <x:v>1</x:v>
      </x:c>
      <x:c r="F1905" s="36" t="n">
        <x:v>0.22</x:v>
      </x:c>
      <x:c r="G1905" s="36" t="n">
        <x:f>IF(ISNUMBER(F1905),E1905*F1905,"")</x:f>
        <x:v>0.22</x:v>
      </x:c>
      <x:c r="H1905" s="37" t="d">
        <x:v>2026-10-15T00:00:00.000Z</x:v>
      </x:c>
      <x:c r="I1905" s="37" t="d">
        <x:v>2026-09-13T23:09:24.000Z</x:v>
      </x:c>
      <x:c r="J1905" s="1" t="n">
        <x:f>IF(ISNUMBER(F1905),E1905,0)</x:f>
        <x:v>1</x:v>
      </x:c>
      <x:c r="K1905" s="1"/>
      <x:c r="L1905" s="1" t="str">
        <x:v>https://blog.skyairline.com/nieve-en-chile-y-argentina/</x:v>
      </x:c>
      <x:c r="M1905" s="1" t="n">
        <x:v>0</x:v>
      </x:c>
    </x:row>
    <x:row r="1906" ht="18.75" customHeight="1">
      <x:c r="A1906" s="1" t="str">
        <x:v>https://blog.skyairline.com/curso-tripulante-cabina/</x:v>
      </x:c>
      <x:c r="B1906" s="1" t="str">
        <x:v>cuántos años se estudia para aeromoza</x:v>
      </x:c>
      <x:c r="C1906" s="1" t="str">
        <x:v>per</x:v>
      </x:c>
      <x:c r="D1906" s="1" t="str">
        <x:v>Sin marca</x:v>
      </x:c>
      <x:c r="E1906" s="35" t="n">
        <x:v>1</x:v>
      </x:c>
      <x:c r="F1906" s="36"/>
      <x:c r="G1906" s="36" t="str">
        <x:f>IF(ISNUMBER(F1906),E1906*F1906,"")</x:f>
      </x:c>
      <x:c r="H1906" s="37"/>
      <x:c r="I1906" s="37"/>
      <x:c r="J1906" s="1" t="n">
        <x:f>IF(ISNUMBER(F1906),E1906,0)</x:f>
        <x:v>0</x:v>
      </x:c>
      <x:c r="K1906" s="1"/>
      <x:c r="L1906" s="1" t="str">
        <x:v>https://blog.skyairline.com/nieve-en-suramerica/</x:v>
      </x:c>
      <x:c r="M1906" s="1" t="n">
        <x:v>0</x:v>
      </x:c>
    </x:row>
    <x:row r="1907" ht="18.75" customHeight="1">
      <x:c r="A1907" s="1" t="str">
        <x:v>https://blog.skyairline.com/curso-tripulante-cabina/</x:v>
      </x:c>
      <x:c r="B1907" s="1" t="str">
        <x:v>dónde estudiar</x:v>
      </x:c>
      <x:c r="C1907" s="1" t="str">
        <x:v>chl</x:v>
      </x:c>
      <x:c r="D1907" s="1" t="str">
        <x:v>Sin marca</x:v>
      </x:c>
      <x:c r="E1907" s="35" t="n">
        <x:v>1</x:v>
      </x:c>
      <x:c r="F1907" s="36"/>
      <x:c r="G1907" s="36" t="str">
        <x:f>IF(ISNUMBER(F1907),E1907*F1907,"")</x:f>
      </x:c>
      <x:c r="H1907" s="37" t="d">
        <x:v>2026-10-15T00:00:00.000Z</x:v>
      </x:c>
      <x:c r="I1907" s="37" t="d">
        <x:v>2026-09-13T05:57:30.999Z</x:v>
      </x:c>
      <x:c r="J1907" s="1" t="n">
        <x:f>IF(ISNUMBER(F1907),E1907,0)</x:f>
        <x:v>0</x:v>
      </x:c>
      <x:c r="K1907" s="1"/>
      <x:c r="L1907" s="1" t="str">
        <x:v>https://blog.skyairline.com/ninos-de-la-araucania-vuelan-por-primera-vez-en-avion-junto-a-sky/</x:v>
      </x:c>
      <x:c r="M1907" s="1" t="n">
        <x:v>0</x:v>
      </x:c>
    </x:row>
    <x:row r="1908" ht="18.75" customHeight="1">
      <x:c r="A1908" s="1" t="str">
        <x:v>https://blog.skyairline.com/curso-tripulante-cabina/</x:v>
      </x:c>
      <x:c r="B1908" s="1" t="str">
        <x:v>edad para estudiar azafata</x:v>
      </x:c>
      <x:c r="C1908" s="1" t="str">
        <x:v>chl</x:v>
      </x:c>
      <x:c r="D1908" s="1" t="str">
        <x:v>Sin marca</x:v>
      </x:c>
      <x:c r="E1908" s="35" t="n">
        <x:v>1</x:v>
      </x:c>
      <x:c r="F1908" s="36"/>
      <x:c r="G1908" s="36" t="str">
        <x:f>IF(ISNUMBER(F1908),E1908*F1908,"")</x:f>
      </x:c>
      <x:c r="H1908" s="37"/>
      <x:c r="I1908" s="37"/>
      <x:c r="J1908" s="1" t="n">
        <x:f>IF(ISNUMBER(F1908),E1908,0)</x:f>
        <x:v>0</x:v>
      </x:c>
      <x:c r="K1908" s="1"/>
      <x:c r="L1908" s="1" t="str">
        <x:v>https://blog.skyairline.com/no-aumentar-de-peso-al-viajar/</x:v>
      </x:c>
      <x:c r="M1908" s="1" t="n">
        <x:v>0</x:v>
      </x:c>
    </x:row>
    <x:row r="1909" ht="18.75" customHeight="1">
      <x:c r="A1909" s="1" t="str">
        <x:v>https://blog.skyairline.com/curso-tripulante-cabina/</x:v>
      </x:c>
      <x:c r="B1909" s="1" t="str">
        <x:v>edad para ser azafata</x:v>
      </x:c>
      <x:c r="C1909" s="1" t="str">
        <x:v>chl</x:v>
      </x:c>
      <x:c r="D1909" s="1" t="str">
        <x:v>Sin marca</x:v>
      </x:c>
      <x:c r="E1909" s="35" t="n">
        <x:v>1</x:v>
      </x:c>
      <x:c r="F1909" s="36"/>
      <x:c r="G1909" s="36" t="str">
        <x:f>IF(ISNUMBER(F1909),E1909*F1909,"")</x:f>
      </x:c>
      <x:c r="H1909" s="37"/>
      <x:c r="I1909" s="37"/>
      <x:c r="J1909" s="1" t="n">
        <x:f>IF(ISNUMBER(F1909),E1909,0)</x:f>
        <x:v>0</x:v>
      </x:c>
      <x:c r="K1909" s="1"/>
      <x:c r="L1909" s="1" t="str">
        <x:v>https://blog.skyairline.com/no-perderse-en-el-aeropuerto/</x:v>
      </x:c>
      <x:c r="M1909" s="1" t="n">
        <x:v>0</x:v>
      </x:c>
    </x:row>
    <x:row r="1910" ht="18.75" customHeight="1">
      <x:c r="A1910" s="1" t="str">
        <x:v>https://blog.skyairline.com/curso-tripulante-cabina/</x:v>
      </x:c>
      <x:c r="B1910" s="1" t="str">
        <x:v>en la escuela</x:v>
      </x:c>
      <x:c r="C1910" s="1" t="str">
        <x:v>chl</x:v>
      </x:c>
      <x:c r="D1910" s="1" t="str">
        <x:v>Sin marca</x:v>
      </x:c>
      <x:c r="E1910" s="35" t="n">
        <x:v>1</x:v>
      </x:c>
      <x:c r="F1910" s="36"/>
      <x:c r="G1910" s="36" t="str">
        <x:f>IF(ISNUMBER(F1910),E1910*F1910,"")</x:f>
      </x:c>
      <x:c r="H1910" s="37" t="d">
        <x:v>2026-10-15T00:00:00.000Z</x:v>
      </x:c>
      <x:c r="I1910" s="37" t="d">
        <x:v>2026-09-04T00:22:24.000Z</x:v>
      </x:c>
      <x:c r="J1910" s="1" t="n">
        <x:f>IF(ISNUMBER(F1910),E1910,0)</x:f>
        <x:v>0</x:v>
      </x:c>
      <x:c r="K1910" s="1"/>
      <x:c r="L1910" s="1" t="str">
        <x:v>https://blog.skyairline.com/normas-para-avion/</x:v>
      </x:c>
      <x:c r="M1910" s="1" t="n">
        <x:v>0</x:v>
      </x:c>
    </x:row>
    <x:row r="1911" ht="18.75" customHeight="1">
      <x:c r="A1911" s="1" t="str">
        <x:v>https://blog.skyairline.com/curso-tripulante-cabina/</x:v>
      </x:c>
      <x:c r="B1911" s="1" t="str">
        <x:v>en peru</x:v>
      </x:c>
      <x:c r="C1911" s="1" t="str">
        <x:v>per</x:v>
      </x:c>
      <x:c r="D1911" s="1" t="str">
        <x:v>Sin marca</x:v>
      </x:c>
      <x:c r="E1911" s="35" t="n">
        <x:v>1</x:v>
      </x:c>
      <x:c r="F1911" s="36"/>
      <x:c r="G1911" s="36" t="str">
        <x:f>IF(ISNUMBER(F1911),E1911*F1911,"")</x:f>
      </x:c>
      <x:c r="H1911" s="37" t="d">
        <x:v>2026-10-15T00:00:00.000Z</x:v>
      </x:c>
      <x:c r="I1911" s="37" t="d">
        <x:v>2026-09-17T10:02:43.000Z</x:v>
      </x:c>
      <x:c r="J1911" s="1" t="n">
        <x:f>IF(ISNUMBER(F1911),E1911,0)</x:f>
        <x:v>0</x:v>
      </x:c>
      <x:c r="K1911" s="1"/>
      <x:c r="L1911" s="1" t="str">
        <x:v>https://blog.skyairline.com/normas-para-vuelo/</x:v>
      </x:c>
      <x:c r="M1911" s="1" t="n">
        <x:v>0</x:v>
      </x:c>
    </x:row>
    <x:row r="1912" ht="18.75" customHeight="1">
      <x:c r="A1912" s="1" t="str">
        <x:v>https://blog.skyairline.com/curso-tripulante-cabina/</x:v>
      </x:c>
      <x:c r="B1912" s="1" t="str">
        <x:v>escuela de azafatas</x:v>
      </x:c>
      <x:c r="C1912" s="1" t="str">
        <x:v>chl</x:v>
      </x:c>
      <x:c r="D1912" s="1" t="str">
        <x:v>Sin marca</x:v>
      </x:c>
      <x:c r="E1912" s="35" t="n">
        <x:v>1</x:v>
      </x:c>
      <x:c r="F1912" s="36"/>
      <x:c r="G1912" s="36" t="str">
        <x:f>IF(ISNUMBER(F1912),E1912*F1912,"")</x:f>
      </x:c>
      <x:c r="H1912" s="37" t="d">
        <x:v>2026-10-15T00:00:00.000Z</x:v>
      </x:c>
      <x:c r="I1912" s="37" t="d">
        <x:v>2026-10-15T20:06:41.000Z</x:v>
      </x:c>
      <x:c r="J1912" s="1" t="n">
        <x:f>IF(ISNUMBER(F1912),E1912,0)</x:f>
        <x:v>0</x:v>
      </x:c>
      <x:c r="K1912" s="1"/>
      <x:c r="L1912" s="1" t="str">
        <x:v>https://blog.skyairline.com/normas-para-vugar-en-avion/</x:v>
      </x:c>
      <x:c r="M1912" s="1" t="n">
        <x:v>0</x:v>
      </x:c>
    </x:row>
    <x:row r="1913" ht="18.75" customHeight="1">
      <x:c r="A1913" s="1" t="str">
        <x:v>https://blog.skyairline.com/curso-tripulante-cabina/</x:v>
      </x:c>
      <x:c r="B1913" s="1" t="str">
        <x:v>escuela de tripulantes de cabina</x:v>
      </x:c>
      <x:c r="C1913" s="1" t="str">
        <x:v>chl</x:v>
      </x:c>
      <x:c r="D1913" s="1" t="str">
        <x:v>Sin marca</x:v>
      </x:c>
      <x:c r="E1913" s="35" t="n">
        <x:v>1</x:v>
      </x:c>
      <x:c r="F1913" s="36"/>
      <x:c r="G1913" s="36" t="str">
        <x:f>IF(ISNUMBER(F1913),E1913*F1913,"")</x:f>
      </x:c>
      <x:c r="H1913" s="37" t="d">
        <x:v>2026-10-15T00:00:00.000Z</x:v>
      </x:c>
      <x:c r="I1913" s="37" t="d">
        <x:v>2026-06-13T03:42:51.000Z</x:v>
      </x:c>
      <x:c r="J1913" s="1" t="n">
        <x:f>IF(ISNUMBER(F1913),E1913,0)</x:f>
        <x:v>0</x:v>
      </x:c>
      <x:c r="K1913" s="1"/>
      <x:c r="L1913" s="1" t="str">
        <x:v>https://blog.skyairline.com/normas-viajar-en-avion</x:v>
      </x:c>
      <x:c r="M1913" s="1" t="n">
        <x:v>0</x:v>
      </x:c>
    </x:row>
    <x:row r="1914" ht="18.75" customHeight="1">
      <x:c r="A1914" s="1" t="str">
        <x:v>https://blog.skyairline.com/curso-tripulante-cabina/</x:v>
      </x:c>
      <x:c r="B1914" s="1" t="str">
        <x:v>estudiar auxiliar de vuelo</x:v>
      </x:c>
      <x:c r="C1914" s="1" t="str">
        <x:v>chl</x:v>
      </x:c>
      <x:c r="D1914" s="1" t="str">
        <x:v>Sin marca</x:v>
      </x:c>
      <x:c r="E1914" s="35" t="n">
        <x:v>1</x:v>
      </x:c>
      <x:c r="F1914" s="36" t="n">
        <x:v>0.24</x:v>
      </x:c>
      <x:c r="G1914" s="36" t="n">
        <x:f>IF(ISNUMBER(F1914),E1914*F1914,"")</x:f>
        <x:v>0.24</x:v>
      </x:c>
      <x:c r="H1914" s="37" t="d">
        <x:v>2026-10-15T00:00:00.000Z</x:v>
      </x:c>
      <x:c r="I1914" s="37" t="d">
        <x:v>2026-09-13T11:45:56.000Z</x:v>
      </x:c>
      <x:c r="J1914" s="1" t="n">
        <x:f>IF(ISNUMBER(F1914),E1914,0)</x:f>
        <x:v>1</x:v>
      </x:c>
      <x:c r="K1914" s="1"/>
      <x:c r="L1914" s="1" t="str">
        <x:v>https://blog.skyairline.com/norte-de-chile-2/</x:v>
      </x:c>
      <x:c r="M1914" s="1" t="n">
        <x:v>0</x:v>
      </x:c>
    </x:row>
    <x:row r="1915" ht="18.75" customHeight="1">
      <x:c r="A1915" s="1" t="str">
        <x:v>https://blog.skyairline.com/curso-tripulante-cabina/</x:v>
      </x:c>
      <x:c r="B1915" s="1" t="str">
        <x:v>estudiar azafata en chile</x:v>
      </x:c>
      <x:c r="C1915" s="1" t="str">
        <x:v>chl</x:v>
      </x:c>
      <x:c r="D1915" s="1" t="str">
        <x:v>Sin marca</x:v>
      </x:c>
      <x:c r="E1915" s="35" t="n">
        <x:v>1</x:v>
      </x:c>
      <x:c r="F1915" s="36" t="n">
        <x:v>0.25</x:v>
      </x:c>
      <x:c r="G1915" s="36" t="n">
        <x:f>IF(ISNUMBER(F1915),E1915*F1915,"")</x:f>
        <x:v>0.25</x:v>
      </x:c>
      <x:c r="H1915" s="37" t="d">
        <x:v>2026-10-15T00:00:00.000Z</x:v>
      </x:c>
      <x:c r="I1915" s="37" t="d">
        <x:v>2026-09-14T09:31:15.999Z</x:v>
      </x:c>
      <x:c r="J1915" s="1" t="n">
        <x:f>IF(ISNUMBER(F1915),E1915,0)</x:f>
        <x:v>1</x:v>
      </x:c>
      <x:c r="K1915" s="1"/>
      <x:c r="L1915" s="1" t="str">
        <x:v>https://blog.skyairline.com/norte-de-chile-3/</x:v>
      </x:c>
      <x:c r="M1915" s="1" t="n">
        <x:v>0</x:v>
      </x:c>
    </x:row>
    <x:row r="1916" ht="18.75" customHeight="1">
      <x:c r="A1916" s="1" t="str">
        <x:v>https://blog.skyairline.com/curso-tripulante-cabina/</x:v>
      </x:c>
      <x:c r="B1916" s="1" t="str">
        <x:v>estudiar para sobrecargo de aviación</x:v>
      </x:c>
      <x:c r="C1916" s="1" t="str">
        <x:v>chl</x:v>
      </x:c>
      <x:c r="D1916" s="1" t="str">
        <x:v>Sin marca</x:v>
      </x:c>
      <x:c r="E1916" s="35" t="n">
        <x:v>1</x:v>
      </x:c>
      <x:c r="F1916" s="36"/>
      <x:c r="G1916" s="36" t="str">
        <x:f>IF(ISNUMBER(F1916),E1916*F1916,"")</x:f>
      </x:c>
      <x:c r="H1916" s="37"/>
      <x:c r="I1916" s="37"/>
      <x:c r="J1916" s="1" t="n">
        <x:f>IF(ISNUMBER(F1916),E1916,0)</x:f>
        <x:v>0</x:v>
      </x:c>
      <x:c r="K1916" s="1"/>
      <x:c r="L1916" s="1" t="str">
        <x:v>https://blog.skyairline.com/nueva-alianza-che-y-united-airlines-para-llegar-mas-lejos</x:v>
      </x:c>
      <x:c r="M1916" s="1" t="n">
        <x:v>0</x:v>
      </x:c>
    </x:row>
    <x:row r="1917" ht="18.75" customHeight="1">
      <x:c r="A1917" s="1" t="str">
        <x:v>https://blog.skyairline.com/curso-tripulante-cabina/</x:v>
      </x:c>
      <x:c r="B1917" s="1" t="str">
        <x:v>estudiar tripulante de cabina</x:v>
      </x:c>
      <x:c r="C1917" s="1" t="str">
        <x:v>chl</x:v>
      </x:c>
      <x:c r="D1917" s="1" t="str">
        <x:v>Sin marca</x:v>
      </x:c>
      <x:c r="E1917" s="35" t="n">
        <x:v>1</x:v>
      </x:c>
      <x:c r="F1917" s="36" t="n">
        <x:v>0.27</x:v>
      </x:c>
      <x:c r="G1917" s="36" t="n">
        <x:f>IF(ISNUMBER(F1917),E1917*F1917,"")</x:f>
        <x:v>0.27</x:v>
      </x:c>
      <x:c r="H1917" s="37" t="d">
        <x:v>2026-10-15T00:00:00.000Z</x:v>
      </x:c>
      <x:c r="I1917" s="37" t="d">
        <x:v>2026-09-14T21:03:40.000Z</x:v>
      </x:c>
      <x:c r="J1917" s="1" t="n">
        <x:f>IF(ISNUMBER(F1917),E1917,0)</x:f>
        <x:v>1</x:v>
      </x:c>
      <x:c r="K1917" s="1"/>
      <x:c r="L1917" s="1" t="str">
        <x:v>https://blog.skyairline.com/nueva-alianza-entre-sky-y-air-canada/</x:v>
      </x:c>
      <x:c r="M1917" s="1" t="n">
        <x:v>0</x:v>
      </x:c>
    </x:row>
    <x:row r="1918" ht="18.75" customHeight="1">
      <x:c r="A1918" s="1" t="str">
        <x:v>https://blog.skyairline.com/curso-tripulante-cabina/</x:v>
      </x:c>
      <x:c r="B1918" s="1" t="str">
        <x:v>formacion tripulante de cabina</x:v>
      </x:c>
      <x:c r="C1918" s="1" t="str">
        <x:v>chl</x:v>
      </x:c>
      <x:c r="D1918" s="1" t="str">
        <x:v>Sin marca</x:v>
      </x:c>
      <x:c r="E1918" s="35" t="n">
        <x:v>1</x:v>
      </x:c>
      <x:c r="F1918" s="36"/>
      <x:c r="G1918" s="36" t="str">
        <x:f>IF(ISNUMBER(F1918),E1918*F1918,"")</x:f>
      </x:c>
      <x:c r="H1918" s="37"/>
      <x:c r="I1918" s="37"/>
      <x:c r="J1918" s="1" t="n">
        <x:f>IF(ISNUMBER(F1918),E1918,0)</x:f>
        <x:v>0</x:v>
      </x:c>
      <x:c r="K1918" s="1"/>
      <x:c r="L1918" s="1" t="str">
        <x:v>https://blog.skyairline.com/nueva-alianza-entre-sky-y-united-airlines-para-lejos/</x:v>
      </x:c>
      <x:c r="M1918" s="1" t="n">
        <x:v>0</x:v>
      </x:c>
    </x:row>
    <x:row r="1919" ht="18.75" customHeight="1">
      <x:c r="A1919" s="1" t="str">
        <x:v>https://blog.skyairline.com/curso-tripulante-cabina/</x:v>
      </x:c>
      <x:c r="B1919" s="1" t="str">
        <x:v>hasta que edad se puede ser azafata en chile</x:v>
      </x:c>
      <x:c r="C1919" s="1" t="str">
        <x:v>chl</x:v>
      </x:c>
      <x:c r="D1919" s="1" t="str">
        <x:v>Sin marca</x:v>
      </x:c>
      <x:c r="E1919" s="35" t="n">
        <x:v>1</x:v>
      </x:c>
      <x:c r="F1919" s="36"/>
      <x:c r="G1919" s="36" t="str">
        <x:f>IF(ISNUMBER(F1919),E1919*F1919,"")</x:f>
      </x:c>
      <x:c r="H1919" s="37" t="d">
        <x:v>2026-10-15T00:00:00.000Z</x:v>
      </x:c>
      <x:c r="I1919" s="37" t="d">
        <x:v>2026-06-12T16:24:26.000Z</x:v>
      </x:c>
      <x:c r="J1919" s="1" t="n">
        <x:f>IF(ISNUMBER(F1919),E1919,0)</x:f>
        <x:v>0</x:v>
      </x:c>
      <x:c r="K1919" s="1"/>
      <x:c r="L1919" s="1" t="str">
        <x:v>https://blog.skyairline.com/nueva-alianza-entre-sky-y-united-airlines-para-vuelos-que-conecten-con</x:v>
      </x:c>
      <x:c r="M1919" s="1" t="n">
        <x:v>0</x:v>
      </x:c>
    </x:row>
    <x:row r="1920" ht="18.75" customHeight="1">
      <x:c r="A1920" s="1" t="str">
        <x:v>https://blog.skyairline.com/curso-tripulante-cabina/</x:v>
      </x:c>
      <x:c r="B1920" s="1" t="str">
        <x:v>para ser azafata que se necesita</x:v>
      </x:c>
      <x:c r="C1920" s="1" t="str">
        <x:v>chl</x:v>
      </x:c>
      <x:c r="D1920" s="1" t="str">
        <x:v>Sin marca</x:v>
      </x:c>
      <x:c r="E1920" s="35" t="n">
        <x:v>1</x:v>
      </x:c>
      <x:c r="F1920" s="36"/>
      <x:c r="G1920" s="36" t="str">
        <x:f>IF(ISNUMBER(F1920),E1920*F1920,"")</x:f>
      </x:c>
      <x:c r="H1920" s="37"/>
      <x:c r="I1920" s="37"/>
      <x:c r="J1920" s="1" t="n">
        <x:f>IF(ISNUMBER(F1920),E1920,0)</x:f>
        <x:v>0</x:v>
      </x:c>
      <x:c r="K1920" s="1"/>
      <x:c r="L1920" s="1" t="str">
        <x:v>https://blog.skyairline.com/nueva-alianza-entre-sky-y-united-airlines-peru/</x:v>
      </x:c>
      <x:c r="M1920" s="1" t="n">
        <x:v>0</x:v>
      </x:c>
    </x:row>
    <x:row r="1921" ht="18.75" customHeight="1">
      <x:c r="A1921" s="1" t="str">
        <x:v>https://blog.skyairline.com/curso-tripulante-cabina/</x:v>
      </x:c>
      <x:c r="B1921" s="1" t="str">
        <x:v>postular tripulante de cabina</x:v>
      </x:c>
      <x:c r="C1921" s="1" t="str">
        <x:v>chl</x:v>
      </x:c>
      <x:c r="D1921" s="1" t="str">
        <x:v>Sin marca</x:v>
      </x:c>
      <x:c r="E1921" s="35" t="n">
        <x:v>1</x:v>
      </x:c>
      <x:c r="F1921" s="36" t="n">
        <x:v>0.42</x:v>
      </x:c>
      <x:c r="G1921" s="36" t="n">
        <x:f>IF(ISNUMBER(F1921),E1921*F1921,"")</x:f>
        <x:v>0.42</x:v>
      </x:c>
      <x:c r="H1921" s="37" t="d">
        <x:v>2026-10-15T00:00:00.000Z</x:v>
      </x:c>
      <x:c r="I1921" s="37" t="d">
        <x:v>2026-09-17T18:59:47.000Z</x:v>
      </x:c>
      <x:c r="J1921" s="1" t="n">
        <x:f>IF(ISNUMBER(F1921),E1921,0)</x:f>
        <x:v>1</x:v>
      </x:c>
      <x:c r="K1921" s="1"/>
      <x:c r="L1921" s="1" t="str">
        <x:v>https://blog.skyairline.com/nuevo-programa-de-fidelizacion-exclusivo-clientes-corporativos-sky-plus-empresas-2/</x:v>
      </x:c>
      <x:c r="M1921" s="1" t="n">
        <x:v>0</x:v>
      </x:c>
    </x:row>
    <x:row r="1922" ht="18.75" customHeight="1">
      <x:c r="A1922" s="1" t="str">
        <x:v>https://blog.skyairline.com/curso-tripulante-cabina/</x:v>
      </x:c>
      <x:c r="B1922" s="1" t="str">
        <x:v>que estatura se necesita para ser azafata</x:v>
      </x:c>
      <x:c r="C1922" s="1" t="str">
        <x:v>chl</x:v>
      </x:c>
      <x:c r="D1922" s="1" t="str">
        <x:v>Sin marca</x:v>
      </x:c>
      <x:c r="E1922" s="35" t="n">
        <x:v>1</x:v>
      </x:c>
      <x:c r="F1922" s="36"/>
      <x:c r="G1922" s="36" t="str">
        <x:f>IF(ISNUMBER(F1922),E1922*F1922,"")</x:f>
      </x:c>
      <x:c r="H1922" s="37"/>
      <x:c r="I1922" s="37"/>
      <x:c r="J1922" s="1" t="n">
        <x:f>IF(ISNUMBER(F1922),E1922,0)</x:f>
        <x:v>0</x:v>
      </x:c>
      <x:c r="K1922" s="1"/>
      <x:c r="L1922" s="1" t="str">
        <x:v>https://blog.skyairline.com/nuevo-programa-de-fidelizacion-exclusivo-for-clientes-corporativos-sky-plus-empresas-2/</x:v>
      </x:c>
      <x:c r="M1922" s="1" t="n">
        <x:v>0</x:v>
      </x:c>
    </x:row>
    <x:row r="1923" ht="18.75" customHeight="1">
      <x:c r="A1923" s="1" t="str">
        <x:v>https://blog.skyairline.com/curso-tripulante-cabina/</x:v>
      </x:c>
      <x:c r="B1923" s="1" t="str">
        <x:v>que hay que hacer para ser azafata</x:v>
      </x:c>
      <x:c r="C1923" s="1" t="str">
        <x:v>chl</x:v>
      </x:c>
      <x:c r="D1923" s="1" t="str">
        <x:v>Sin marca</x:v>
      </x:c>
      <x:c r="E1923" s="35" t="n">
        <x:v>1</x:v>
      </x:c>
      <x:c r="F1923" s="36"/>
      <x:c r="G1923" s="36" t="str">
        <x:f>IF(ISNUMBER(F1923),E1923*F1923,"")</x:f>
      </x:c>
      <x:c r="H1923" s="37"/>
      <x:c r="I1923" s="37"/>
      <x:c r="J1923" s="1" t="n">
        <x:f>IF(ISNUMBER(F1923),E1923,0)</x:f>
        <x:v>0</x:v>
      </x:c>
      <x:c r="K1923" s="1"/>
      <x:c r="L1923" s="1" t="str">
        <x:v>https://blog.skyairline.com/nuevo-programa-de-fidelizacion-exclusivo-for-clientes-corporativos-sky-plus-empresas/</x:v>
      </x:c>
      <x:c r="M1923" s="1" t="n">
        <x:v>0</x:v>
      </x:c>
    </x:row>
    <x:row r="1924" ht="18.75" customHeight="1">
      <x:c r="A1924" s="1" t="str">
        <x:v>https://blog.skyairline.com/curso-tripulante-cabina/</x:v>
      </x:c>
      <x:c r="B1924" s="1" t="str">
        <x:v>que se estudia para ser tripulante de cabina</x:v>
      </x:c>
      <x:c r="C1924" s="1" t="str">
        <x:v>per</x:v>
      </x:c>
      <x:c r="D1924" s="1" t="str">
        <x:v>Sin marca</x:v>
      </x:c>
      <x:c r="E1924" s="35" t="n">
        <x:v>1</x:v>
      </x:c>
      <x:c r="F1924" s="36"/>
      <x:c r="G1924" s="36" t="str">
        <x:f>IF(ISNUMBER(F1924),E1924*F1924,"")</x:f>
      </x:c>
      <x:c r="H1924" s="37"/>
      <x:c r="I1924" s="37"/>
      <x:c r="J1924" s="1" t="n">
        <x:f>IF(ISNUMBER(F1924),E1924,0)</x:f>
        <x:v>0</x:v>
      </x:c>
      <x:c r="K1924" s="1"/>
      <x:c r="L1924" s="1" t="str">
        <x:v>https://blog.skyairline.com/nuevos-mercados-para-empresarios-gracias-a-sky-y-perucamaras/</x:v>
      </x:c>
      <x:c r="M1924" s="1" t="n">
        <x:v>0</x:v>
      </x:c>
    </x:row>
    <x:row r="1925" ht="18.75" customHeight="1">
      <x:c r="A1925" s="1" t="str">
        <x:v>https://blog.skyairline.com/curso-tripulante-cabina/</x:v>
      </x:c>
      <x:c r="B1925" s="1" t="str">
        <x:v>que se necesita para estudiar azafata</x:v>
      </x:c>
      <x:c r="C1925" s="1" t="str">
        <x:v>chl</x:v>
      </x:c>
      <x:c r="D1925" s="1" t="str">
        <x:v>Sin marca</x:v>
      </x:c>
      <x:c r="E1925" s="35" t="n">
        <x:v>1</x:v>
      </x:c>
      <x:c r="F1925" s="36"/>
      <x:c r="G1925" s="36" t="str">
        <x:f>IF(ISNUMBER(F1925),E1925*F1925,"")</x:f>
      </x:c>
      <x:c r="H1925" s="37"/>
      <x:c r="I1925" s="37"/>
      <x:c r="J1925" s="1" t="n">
        <x:f>IF(ISNUMBER(F1925),E1925,0)</x:f>
        <x:v>0</x:v>
      </x:c>
      <x:c r="K1925" s="1"/>
      <x:c r="L1925" s="1" t="str">
        <x:v>https://blog.skyairline.com/observatorio-foster/</x:v>
      </x:c>
      <x:c r="M1925" s="1" t="n">
        <x:v>0</x:v>
      </x:c>
    </x:row>
    <x:row r="1926" ht="18.75" customHeight="1">
      <x:c r="A1926" s="1" t="str">
        <x:v>https://blog.skyairline.com/curso-tripulante-cabina/</x:v>
      </x:c>
      <x:c r="B1926" s="1" t="str">
        <x:v>que se necesita para ser tripulante de cabina</x:v>
      </x:c>
      <x:c r="C1926" s="1" t="str">
        <x:v>chl</x:v>
      </x:c>
      <x:c r="D1926" s="1" t="str">
        <x:v>Sin marca</x:v>
      </x:c>
      <x:c r="E1926" s="35" t="n">
        <x:v>1</x:v>
      </x:c>
      <x:c r="F1926" s="36"/>
      <x:c r="G1926" s="36" t="str">
        <x:f>IF(ISNUMBER(F1926),E1926*F1926,"")</x:f>
      </x:c>
      <x:c r="H1926" s="37"/>
      <x:c r="I1926" s="37"/>
      <x:c r="J1926" s="1" t="n">
        <x:f>IF(ISNUMBER(F1926),E1926,0)</x:f>
        <x:v>0</x:v>
      </x:c>
      <x:c r="K1926" s="1"/>
      <x:c r="L1926" s="1" t="str">
        <x:v>https://blog.skyairline.com/ojos-del-salado-el-volcan-mas-alto-del-mundo/</x:v>
      </x:c>
      <x:c r="M1926" s="1" t="n">
        <x:v>0</x:v>
      </x:c>
    </x:row>
    <x:row r="1927" ht="18.75" customHeight="1">
      <x:c r="A1927" s="1" t="str">
        <x:v>https://blog.skyairline.com/curso-tripulante-cabina/</x:v>
      </x:c>
      <x:c r="B1927" s="1" t="str">
        <x:v>que se necesita para ser tripulante de cabina</x:v>
      </x:c>
      <x:c r="C1927" s="1" t="str">
        <x:v>per</x:v>
      </x:c>
      <x:c r="D1927" s="1" t="str">
        <x:v>Sin marca</x:v>
      </x:c>
      <x:c r="E1927" s="35" t="n">
        <x:v>1</x:v>
      </x:c>
      <x:c r="F1927" s="36"/>
      <x:c r="G1927" s="36" t="str">
        <x:f>IF(ISNUMBER(F1927),E1927*F1927,"")</x:f>
      </x:c>
      <x:c r="H1927" s="37" t="d">
        <x:v>2026-10-15T00:00:00.000Z</x:v>
      </x:c>
      <x:c r="I1927" s="37" t="d">
        <x:v>2026-09-17T06:43:53.000Z</x:v>
      </x:c>
      <x:c r="J1927" s="1" t="n">
        <x:f>IF(ISNUMBER(F1927),E1927,0)</x:f>
        <x:v>0</x:v>
      </x:c>
      <x:c r="K1927" s="1"/>
      <x:c r="L1927" s="1" t="str">
        <x:v>https://blog.skyairline.com/ojos-del-salado/</x:v>
      </x:c>
      <x:c r="M1927" s="1" t="n">
        <x:v>0</x:v>
      </x:c>
    </x:row>
    <x:row r="1928" ht="18.75" customHeight="1">
      <x:c r="A1928" s="1" t="str">
        <x:v>https://blog.skyairline.com/curso-tripulante-cabina/</x:v>
      </x:c>
      <x:c r="B1928" s="1" t="str">
        <x:v>quiero ser azafata de vuelo</x:v>
      </x:c>
      <x:c r="C1928" s="1" t="str">
        <x:v>chl</x:v>
      </x:c>
      <x:c r="D1928" s="1" t="str">
        <x:v>Sin marca</x:v>
      </x:c>
      <x:c r="E1928" s="35" t="n">
        <x:v>1</x:v>
      </x:c>
      <x:c r="F1928" s="36"/>
      <x:c r="G1928" s="36" t="str">
        <x:f>IF(ISNUMBER(F1928),E1928*F1928,"")</x:f>
      </x:c>
      <x:c r="H1928" s="37"/>
      <x:c r="I1928" s="37"/>
      <x:c r="J1928" s="1" t="n">
        <x:f>IF(ISNUMBER(F1928),E1928,0)</x:f>
        <x:v>0</x:v>
      </x:c>
      <x:c r="K1928" s="1"/>
      <x:c r="L1928" s="1" t="str">
        <x:v>https://blog.skyairline.com/operacion-en-rutas-estacionales/</x:v>
      </x:c>
      <x:c r="M1928" s="1" t="n">
        <x:v>0</x:v>
      </x:c>
    </x:row>
    <x:row r="1929" ht="18.75" customHeight="1">
      <x:c r="A1929" s="1" t="str">
        <x:v>https://blog.skyairline.com/curso-tripulante-cabina/</x:v>
      </x:c>
      <x:c r="B1929" s="1" t="str">
        <x:v>requisitos</x:v>
      </x:c>
      <x:c r="C1929" s="1" t="str">
        <x:v>chl</x:v>
      </x:c>
      <x:c r="D1929" s="1" t="str">
        <x:v>Sin marca</x:v>
      </x:c>
      <x:c r="E1929" s="35" t="n">
        <x:v>1</x:v>
      </x:c>
      <x:c r="F1929" s="36"/>
      <x:c r="G1929" s="36" t="str">
        <x:f>IF(ISNUMBER(F1929),E1929*F1929,"")</x:f>
      </x:c>
      <x:c r="H1929" s="37" t="d">
        <x:v>2026-10-15T00:00:00.000Z</x:v>
      </x:c>
      <x:c r="I1929" s="37" t="d">
        <x:v>2026-09-15T10:27:52.000Z</x:v>
      </x:c>
      <x:c r="J1929" s="1" t="n">
        <x:f>IF(ISNUMBER(F1929),E1929,0)</x:f>
        <x:v>0</x:v>
      </x:c>
      <x:c r="K1929" s="1"/>
      <x:c r="L1929" s="1" t="str">
        <x:v>https://blog.skyairline.com/organizar-menor-el-tiempo/</x:v>
      </x:c>
      <x:c r="M1929" s="1" t="n">
        <x:v>0</x:v>
      </x:c>
    </x:row>
    <x:row r="1930" ht="18.75" customHeight="1">
      <x:c r="A1930" s="1" t="str">
        <x:v>https://blog.skyairline.com/curso-tripulante-cabina/</x:v>
      </x:c>
      <x:c r="B1930" s="1" t="str">
        <x:v>requisitos para auxiliar de vuelo</x:v>
      </x:c>
      <x:c r="C1930" s="1" t="str">
        <x:v>chl</x:v>
      </x:c>
      <x:c r="D1930" s="1" t="str">
        <x:v>Sin marca</x:v>
      </x:c>
      <x:c r="E1930" s="35" t="n">
        <x:v>1</x:v>
      </x:c>
      <x:c r="F1930" s="36"/>
      <x:c r="G1930" s="36" t="str">
        <x:f>IF(ISNUMBER(F1930),E1930*F1930,"")</x:f>
      </x:c>
      <x:c r="H1930" s="37"/>
      <x:c r="I1930" s="37"/>
      <x:c r="J1930" s="1" t="n">
        <x:f>IF(ISNUMBER(F1930),E1930,0)</x:f>
        <x:v>0</x:v>
      </x:c>
      <x:c r="K1930" s="1"/>
      <x:c r="L1930" s="1" t="str">
        <x:v>https://blog.skyairline.com/organizar-un-viaje/</x:v>
      </x:c>
      <x:c r="M1930" s="1" t="n">
        <x:v>0</x:v>
      </x:c>
    </x:row>
    <x:row r="1931" ht="18.75" customHeight="1">
      <x:c r="A1931" s="1" t="str">
        <x:v>https://blog.skyairline.com/curso-tripulante-cabina/</x:v>
      </x:c>
      <x:c r="B1931" s="1" t="str">
        <x:v>requisitos para hacer azafata</x:v>
      </x:c>
      <x:c r="C1931" s="1" t="str">
        <x:v>chl</x:v>
      </x:c>
      <x:c r="D1931" s="1" t="str">
        <x:v>Sin marca</x:v>
      </x:c>
      <x:c r="E1931" s="35" t="n">
        <x:v>1</x:v>
      </x:c>
      <x:c r="F1931" s="36"/>
      <x:c r="G1931" s="36" t="str">
        <x:f>IF(ISNUMBER(F1931),E1931*F1931,"")</x:f>
      </x:c>
      <x:c r="H1931" s="37"/>
      <x:c r="I1931" s="37"/>
      <x:c r="J1931" s="1" t="n">
        <x:f>IF(ISNUMBER(F1931),E1931,0)</x:f>
        <x:v>0</x:v>
      </x:c>
      <x:c r="K1931" s="1"/>
      <x:c r="L1931" s="1" t="str">
        <x:v>https://blog.skyairline.com/otono-en-chile/</x:v>
      </x:c>
      <x:c r="M1931" s="1" t="n">
        <x:v>0</x:v>
      </x:c>
    </x:row>
    <x:row r="1932" ht="18.75" customHeight="1">
      <x:c r="A1932" s="1" t="str">
        <x:v>https://blog.skyairline.com/curso-tripulante-cabina/</x:v>
      </x:c>
      <x:c r="B1932" s="1" t="str">
        <x:v>requisitos para ser auxiliar de vuelo</x:v>
      </x:c>
      <x:c r="C1932" s="1" t="str">
        <x:v>per</x:v>
      </x:c>
      <x:c r="D1932" s="1" t="str">
        <x:v>Sin marca</x:v>
      </x:c>
      <x:c r="E1932" s="35" t="n">
        <x:v>1</x:v>
      </x:c>
      <x:c r="F1932" s="36"/>
      <x:c r="G1932" s="36" t="str">
        <x:f>IF(ISNUMBER(F1932),E1932*F1932,"")</x:f>
      </x:c>
      <x:c r="H1932" s="37" t="d">
        <x:v>2026-10-15T00:00:00.000Z</x:v>
      </x:c>
      <x:c r="I1932" s="37" t="d">
        <x:v>2026-09-14T12:11:53.999Z</x:v>
      </x:c>
      <x:c r="J1932" s="1" t="n">
        <x:f>IF(ISNUMBER(F1932),E1932,0)</x:f>
        <x:v>0</x:v>
      </x:c>
      <x:c r="K1932" s="1"/>
      <x:c r="L1932" s="1" t="str">
        <x:v>https://blog.skyairline.com/p-esta_es_la_mejor_epoca_para_viajar_a_buenos_aires_2r-8015</x:v>
      </x:c>
      <x:c r="M1932" s="1" t="n">
        <x:v>0</x:v>
      </x:c>
    </x:row>
    <x:row r="1933" ht="18.75" customHeight="1">
      <x:c r="A1933" s="1" t="str">
        <x:v>https://blog.skyairline.com/curso-tripulante-cabina/</x:v>
      </x:c>
      <x:c r="B1933" s="1" t="str">
        <x:v>requisitos para ser azafata de vuelo</x:v>
      </x:c>
      <x:c r="C1933" s="1" t="str">
        <x:v>per</x:v>
      </x:c>
      <x:c r="D1933" s="1" t="str">
        <x:v>Sin marca</x:v>
      </x:c>
      <x:c r="E1933" s="35" t="n">
        <x:v>1</x:v>
      </x:c>
      <x:c r="F1933" s="36"/>
      <x:c r="G1933" s="36" t="str">
        <x:f>IF(ISNUMBER(F1933),E1933*F1933,"")</x:f>
      </x:c>
      <x:c r="H1933" s="37" t="d">
        <x:v>2026-10-15T00:00:00.000Z</x:v>
      </x:c>
      <x:c r="I1933" s="37" t="d">
        <x:v>2026-09-14T20:54:33.000Z</x:v>
      </x:c>
      <x:c r="J1933" s="1" t="n">
        <x:f>IF(ISNUMBER(F1933),E1933,0)</x:f>
        <x:v>0</x:v>
      </x:c>
      <x:c r="K1933" s="1"/>
      <x:c r="L1933" s="1" t="str">
        <x:v>https://blog.skyairline.com/p/invierno-en-brasil-5-destinos-que-puedes-disfrutar-en-esta-temporada</x:v>
      </x:c>
      <x:c r="M1933" s="1" t="n">
        <x:v>0</x:v>
      </x:c>
    </x:row>
    <x:row r="1934" ht="18.75" customHeight="1">
      <x:c r="A1934" s="1" t="str">
        <x:v>https://blog.skyairline.com/curso-tripulante-cabina/</x:v>
      </x:c>
      <x:c r="B1934" s="1" t="str">
        <x:v>requisitos para ser tcp</x:v>
      </x:c>
      <x:c r="C1934" s="1" t="str">
        <x:v>per</x:v>
      </x:c>
      <x:c r="D1934" s="1" t="str">
        <x:v>Sin marca</x:v>
      </x:c>
      <x:c r="E1934" s="35" t="n">
        <x:v>1</x:v>
      </x:c>
      <x:c r="F1934" s="36"/>
      <x:c r="G1934" s="36" t="str">
        <x:f>IF(ISNUMBER(F1934),E1934*F1934,"")</x:f>
      </x:c>
      <x:c r="H1934" s="37"/>
      <x:c r="I1934" s="37"/>
      <x:c r="J1934" s="1" t="n">
        <x:f>IF(ISNUMBER(F1934),E1934,0)</x:f>
        <x:v>0</x:v>
      </x:c>
      <x:c r="K1934" s="1"/>
      <x:c r="L1934" s="1" t="str">
        <x:v>https://blog.skyairline.com/paises-baratos-para-viajar-chile-con-sky</x:v>
      </x:c>
      <x:c r="M1934" s="1" t="n">
        <x:v>0</x:v>
      </x:c>
    </x:row>
    <x:row r="1935" ht="18.75" customHeight="1">
      <x:c r="A1935" s="1" t="str">
        <x:v>https://blog.skyairline.com/curso-tripulante-cabina/</x:v>
      </x:c>
      <x:c r="B1935" s="1" t="str">
        <x:v>requisitos tripulante de cabina</x:v>
      </x:c>
      <x:c r="C1935" s="1" t="str">
        <x:v>chl</x:v>
      </x:c>
      <x:c r="D1935" s="1" t="str">
        <x:v>Sin marca</x:v>
      </x:c>
      <x:c r="E1935" s="35" t="n">
        <x:v>1</x:v>
      </x:c>
      <x:c r="F1935" s="36"/>
      <x:c r="G1935" s="36" t="str">
        <x:f>IF(ISNUMBER(F1935),E1935*F1935,"")</x:f>
      </x:c>
      <x:c r="H1935" s="37"/>
      <x:c r="I1935" s="37"/>
      <x:c r="J1935" s="1" t="n">
        <x:f>IF(ISNUMBER(F1935),E1935,0)</x:f>
        <x:v>0</x:v>
      </x:c>
      <x:c r="K1935" s="1"/>
      <x:c r="L1935" s="1" t="str">
        <x:v>https://blog.skyairline.com/paises-baratos-para-viajar-chile-con-sky/</x:v>
      </x:c>
      <x:c r="M1935" s="1" t="n">
        <x:v>0</x:v>
      </x:c>
    </x:row>
    <x:row r="1936" ht="18.75" customHeight="1">
      <x:c r="A1936" s="1" t="str">
        <x:v>https://blog.skyairline.com/curso-tripulante-cabina/</x:v>
      </x:c>
      <x:c r="B1936" s="1" t="str">
        <x:v>ser azafata</x:v>
      </x:c>
      <x:c r="C1936" s="1" t="str">
        <x:v>chl</x:v>
      </x:c>
      <x:c r="D1936" s="1" t="str">
        <x:v>Sin marca</x:v>
      </x:c>
      <x:c r="E1936" s="35" t="n">
        <x:v>1</x:v>
      </x:c>
      <x:c r="F1936" s="36"/>
      <x:c r="G1936" s="36" t="str">
        <x:f>IF(ISNUMBER(F1936),E1936*F1936,"")</x:f>
      </x:c>
      <x:c r="H1936" s="37" t="d">
        <x:v>2026-10-15T00:00:00.000Z</x:v>
      </x:c>
      <x:c r="I1936" s="37" t="d">
        <x:v>2026-10-15T14:41:59.000Z</x:v>
      </x:c>
      <x:c r="J1936" s="1" t="n">
        <x:f>IF(ISNUMBER(F1936),E1936,0)</x:f>
        <x:v>0</x:v>
      </x:c>
      <x:c r="K1936" s="1"/>
      <x:c r="L1936" s="1" t="str">
        <x:v>https://blog.skyairline.com/paises-baratos-para-viajar-chile-sky</x:v>
      </x:c>
      <x:c r="M1936" s="1" t="n">
        <x:v>0</x:v>
      </x:c>
    </x:row>
    <x:row r="1937" ht="18.75" customHeight="1">
      <x:c r="A1937" s="1" t="str">
        <x:v>https://blog.skyairline.com/curso-tripulante-cabina/</x:v>
      </x:c>
      <x:c r="B1937" s="1" t="str">
        <x:v>ser azafata en chile</x:v>
      </x:c>
      <x:c r="C1937" s="1" t="str">
        <x:v>chl</x:v>
      </x:c>
      <x:c r="D1937" s="1" t="str">
        <x:v>Sin marca</x:v>
      </x:c>
      <x:c r="E1937" s="35" t="n">
        <x:v>1</x:v>
      </x:c>
      <x:c r="F1937" s="36" t="n">
        <x:v>0.28</x:v>
      </x:c>
      <x:c r="G1937" s="36" t="n">
        <x:f>IF(ISNUMBER(F1937),E1937*F1937,"")</x:f>
        <x:v>0.28</x:v>
      </x:c>
      <x:c r="H1937" s="37" t="d">
        <x:v>2026-10-15T00:00:00.000Z</x:v>
      </x:c>
      <x:c r="I1937" s="37" t="d">
        <x:v>2026-09-13T23:04:12.000Z</x:v>
      </x:c>
      <x:c r="J1937" s="1" t="n">
        <x:f>IF(ISNUMBER(F1937),E1937,0)</x:f>
        <x:v>1</x:v>
      </x:c>
      <x:c r="K1937" s="1"/>
      <x:c r="L1937" s="1" t="str">
        <x:v>https://blog.skyairline.com/paises-baratos-para-viajar-chile-sky/</x:v>
      </x:c>
      <x:c r="M1937" s="1" t="n">
        <x:v>0</x:v>
      </x:c>
    </x:row>
    <x:row r="1938" ht="18.75" customHeight="1">
      <x:c r="A1938" s="1" t="str">
        <x:v>https://blog.skyairline.com/curso-tripulante-cabina/</x:v>
      </x:c>
      <x:c r="B1938" s="1" t="str">
        <x:v>ser tripulante de cabina</x:v>
      </x:c>
      <x:c r="C1938" s="1" t="str">
        <x:v>chl</x:v>
      </x:c>
      <x:c r="D1938" s="1" t="str">
        <x:v>Sin marca</x:v>
      </x:c>
      <x:c r="E1938" s="35" t="n">
        <x:v>1</x:v>
      </x:c>
      <x:c r="F1938" s="36" t="n">
        <x:v>0.67</x:v>
      </x:c>
      <x:c r="G1938" s="36" t="n">
        <x:f>IF(ISNUMBER(F1938),E1938*F1938,"")</x:f>
        <x:v>0.67</x:v>
      </x:c>
      <x:c r="H1938" s="37" t="d">
        <x:v>2026-10-15T00:00:00.000Z</x:v>
      </x:c>
      <x:c r="I1938" s="37" t="d">
        <x:v>2026-09-13T11:49:38.000Z</x:v>
      </x:c>
      <x:c r="J1938" s="1" t="n">
        <x:f>IF(ISNUMBER(F1938),E1938,0)</x:f>
        <x:v>1</x:v>
      </x:c>
      <x:c r="K1938" s="1"/>
      <x:c r="L1938" s="1" t="str">
        <x:v>https://blog.skyairline.com/paises-baratos-para-viajar-chile-skyliner</x:v>
      </x:c>
      <x:c r="M1938" s="1" t="n">
        <x:v>0</x:v>
      </x:c>
    </x:row>
    <x:row r="1939" ht="18.75" customHeight="1">
      <x:c r="A1939" s="1" t="str">
        <x:v>https://blog.skyairline.com/curso-tripulante-cabina/</x:v>
      </x:c>
      <x:c r="B1939" s="1" t="str">
        <x:v>si</x:v>
      </x:c>
      <x:c r="C1939" s="1" t="str">
        <x:v>per</x:v>
      </x:c>
      <x:c r="D1939" s="1" t="str">
        <x:v>Sin marca</x:v>
      </x:c>
      <x:c r="E1939" s="35" t="n">
        <x:v>1</x:v>
      </x:c>
      <x:c r="F1939" s="36"/>
      <x:c r="G1939" s="36" t="str">
        <x:f>IF(ISNUMBER(F1939),E1939*F1939,"")</x:f>
      </x:c>
      <x:c r="H1939" s="37"/>
      <x:c r="I1939" s="37"/>
      <x:c r="J1939" s="1" t="n">
        <x:f>IF(ISNUMBER(F1939),E1939,0)</x:f>
        <x:v>0</x:v>
      </x:c>
      <x:c r="K1939" s="1"/>
      <x:c r="L1939" s="1" t="str">
        <x:v>https://blog.skyairline.com/paises-baratos-para-viajar-chile/</x:v>
      </x:c>
      <x:c r="M1939" s="1" t="n">
        <x:v>0</x:v>
      </x:c>
    </x:row>
    <x:row r="1940" ht="18.75" customHeight="1">
      <x:c r="A1940" s="1" t="str">
        <x:v>https://blog.skyairline.com/curso-tripulante-cabina/</x:v>
      </x:c>
      <x:c r="B1940" s="1" t="str">
        <x:v>sky azafata</x:v>
      </x:c>
      <x:c r="C1940" s="1" t="str">
        <x:v>chl</x:v>
      </x:c>
      <x:c r="D1940" s="1" t="str">
        <x:v>Marca</x:v>
      </x:c>
      <x:c r="E1940" s="35" t="n">
        <x:v>1</x:v>
      </x:c>
      <x:c r="F1940" s="36"/>
      <x:c r="G1940" s="36" t="str">
        <x:f>IF(ISNUMBER(F1940),E1940*F1940,"")</x:f>
      </x:c>
      <x:c r="H1940" s="37"/>
      <x:c r="I1940" s="37"/>
      <x:c r="J1940" s="1" t="n">
        <x:f>IF(ISNUMBER(F1940),E1940,0)</x:f>
        <x:v>0</x:v>
      </x:c>
      <x:c r="K1940" s="1"/>
      <x:c r="L1940" s="1" t="str">
        <x:v>https://blog.skyairline.com/paises-baratos-para-viajar-con-chile-paises-baratos-para-viajar-con-chile-con-sky</x:v>
      </x:c>
      <x:c r="M1940" s="1" t="n">
        <x:v>0</x:v>
      </x:c>
    </x:row>
    <x:row r="1941" ht="18.75" customHeight="1">
      <x:c r="A1941" s="1" t="str">
        <x:v>https://blog.skyairline.com/curso-tripulante-cabina/</x:v>
      </x:c>
      <x:c r="B1941" s="1" t="str">
        <x:v>sky azafatas</x:v>
      </x:c>
      <x:c r="C1941" s="1" t="str">
        <x:v>chl</x:v>
      </x:c>
      <x:c r="D1941" s="1" t="str">
        <x:v>Marca</x:v>
      </x:c>
      <x:c r="E1941" s="35" t="n">
        <x:v>1</x:v>
      </x:c>
      <x:c r="F1941" s="36"/>
      <x:c r="G1941" s="36" t="str">
        <x:f>IF(ISNUMBER(F1941),E1941*F1941,"")</x:f>
      </x:c>
      <x:c r="H1941" s="37"/>
      <x:c r="I1941" s="37"/>
      <x:c r="J1941" s="1" t="n">
        <x:f>IF(ISNUMBER(F1941),E1941,0)</x:f>
        <x:v>0</x:v>
      </x:c>
      <x:c r="K1941" s="1"/>
      <x:c r="L1941" s="1" t="str">
        <x:v>https://blog.skyairline.com/paises-baratos-para-viajar-con-sky/</x:v>
      </x:c>
      <x:c r="M1941" s="1" t="n">
        <x:v>0</x:v>
      </x:c>
    </x:row>
    <x:row r="1942" ht="18.75" customHeight="1">
      <x:c r="A1942" s="1" t="str">
        <x:v>https://blog.skyairline.com/curso-tripulante-cabina/</x:v>
      </x:c>
      <x:c r="B1942" s="1" t="str">
        <x:v>sky trabajo tripulante de cabina</x:v>
      </x:c>
      <x:c r="C1942" s="1" t="str">
        <x:v>chl</x:v>
      </x:c>
      <x:c r="D1942" s="1" t="str">
        <x:v>Marca</x:v>
      </x:c>
      <x:c r="E1942" s="35" t="n">
        <x:v>1</x:v>
      </x:c>
      <x:c r="F1942" s="36" t="n">
        <x:v>0.01</x:v>
      </x:c>
      <x:c r="G1942" s="36" t="n">
        <x:f>IF(ISNUMBER(F1942),E1942*F1942,"")</x:f>
        <x:v>0.01</x:v>
      </x:c>
      <x:c r="H1942" s="37" t="d">
        <x:v>2026-10-15T00:00:00.000Z</x:v>
      </x:c>
      <x:c r="I1942" s="37" t="d">
        <x:v>2026-09-14T07:29:31.999Z</x:v>
      </x:c>
      <x:c r="J1942" s="1" t="n">
        <x:f>IF(ISNUMBER(F1942),E1942,0)</x:f>
        <x:v>1</x:v>
      </x:c>
      <x:c r="K1942" s="1"/>
      <x:c r="L1942" s="1" t="str">
        <x:v>https://blog.skyairline.com/paises-baratos-para-viajar-desde-chile</x:v>
      </x:c>
      <x:c r="M1942" s="1" t="n">
        <x:v>0</x:v>
      </x:c>
    </x:row>
    <x:row r="1943" ht="18.75" customHeight="1">
      <x:c r="A1943" s="1" t="str">
        <x:v>https://blog.skyairline.com/curso-tripulante-cabina/</x:v>
      </x:c>
      <x:c r="B1943" s="1" t="str">
        <x:v>sky tripulante de cabina</x:v>
      </x:c>
      <x:c r="C1943" s="1" t="str">
        <x:v>che</x:v>
      </x:c>
      <x:c r="D1943" s="1" t="str">
        <x:v>Marca</x:v>
      </x:c>
      <x:c r="E1943" s="35" t="n">
        <x:v>1</x:v>
      </x:c>
      <x:c r="F1943" s="36"/>
      <x:c r="G1943" s="36" t="str">
        <x:f>IF(ISNUMBER(F1943),E1943*F1943,"")</x:f>
      </x:c>
      <x:c r="H1943" s="37"/>
      <x:c r="I1943" s="37"/>
      <x:c r="J1943" s="1" t="n">
        <x:f>IF(ISNUMBER(F1943),E1943,0)</x:f>
        <x:v>0</x:v>
      </x:c>
      <x:c r="K1943" s="1"/>
      <x:c r="L1943" s="1" t="str">
        <x:v>https://blog.skyairline.com/paises-baratos-para-viajar-desde-chile-c-sky/</x:v>
      </x:c>
      <x:c r="M1943" s="1" t="n">
        <x:v>0</x:v>
      </x:c>
    </x:row>
    <x:row r="1944" ht="18.75" customHeight="1">
      <x:c r="A1944" s="1" t="str">
        <x:v>https://blog.skyairline.com/curso-tripulante-cabina/</x:v>
      </x:c>
      <x:c r="B1944" s="1" t="str">
        <x:v>sky tripulante de cabina</x:v>
      </x:c>
      <x:c r="C1944" s="1" t="str">
        <x:v>ecu</x:v>
      </x:c>
      <x:c r="D1944" s="1" t="str">
        <x:v>Marca</x:v>
      </x:c>
      <x:c r="E1944" s="35" t="n">
        <x:v>1</x:v>
      </x:c>
      <x:c r="F1944" s="36"/>
      <x:c r="G1944" s="36" t="str">
        <x:f>IF(ISNUMBER(F1944),E1944*F1944,"")</x:f>
      </x:c>
      <x:c r="H1944" s="37"/>
      <x:c r="I1944" s="37"/>
      <x:c r="J1944" s="1" t="n">
        <x:f>IF(ISNUMBER(F1944),E1944,0)</x:f>
        <x:v>0</x:v>
      </x:c>
      <x:c r="K1944" s="1"/>
      <x:c r="L1944" s="1" t="str">
        <x:v>https://blog.skyairline.com/paises-baratos-para-viajar-desde-chile-com-sky/</x:v>
      </x:c>
      <x:c r="M1944" s="1" t="n">
        <x:v>0</x:v>
      </x:c>
    </x:row>
    <x:row r="1945" ht="18.75" customHeight="1">
      <x:c r="A1945" s="1" t="str">
        <x:v>https://blog.skyairline.com/curso-tripulante-cabina/</x:v>
      </x:c>
      <x:c r="B1945" s="1" t="str">
        <x:v>sky tripulante de cabina</x:v>
      </x:c>
      <x:c r="C1945" s="1" t="str">
        <x:v>esp</x:v>
      </x:c>
      <x:c r="D1945" s="1" t="str">
        <x:v>Marca</x:v>
      </x:c>
      <x:c r="E1945" s="35" t="n">
        <x:v>1</x:v>
      </x:c>
      <x:c r="F1945" s="36"/>
      <x:c r="G1945" s="36" t="str">
        <x:f>IF(ISNUMBER(F1945),E1945*F1945,"")</x:f>
      </x:c>
      <x:c r="H1945" s="37"/>
      <x:c r="I1945" s="37"/>
      <x:c r="J1945" s="1" t="n">
        <x:f>IF(ISNUMBER(F1945),E1945,0)</x:f>
        <x:v>0</x:v>
      </x:c>
      <x:c r="K1945" s="1"/>
      <x:c r="L1945" s="1" t="str">
        <x:v>https://blog.skyairline.com/paises-baratos-para-viajar-desde-chile-con-sky</x:v>
      </x:c>
      <x:c r="M1945" s="1" t="n">
        <x:v>0</x:v>
      </x:c>
    </x:row>
    <x:row r="1946" ht="18.75" customHeight="1">
      <x:c r="A1946" s="1" t="str">
        <x:v>https://blog.skyairline.com/curso-tripulante-cabina/</x:v>
      </x:c>
      <x:c r="B1946" s="1" t="str">
        <x:v>sky tripulante de cabina trabajo</x:v>
      </x:c>
      <x:c r="C1946" s="1" t="str">
        <x:v>per</x:v>
      </x:c>
      <x:c r="D1946" s="1" t="str">
        <x:v>Marca</x:v>
      </x:c>
      <x:c r="E1946" s="35" t="n">
        <x:v>1</x:v>
      </x:c>
      <x:c r="F1946" s="36"/>
      <x:c r="G1946" s="36" t="str">
        <x:f>IF(ISNUMBER(F1946),E1946*F1946,"")</x:f>
      </x:c>
      <x:c r="H1946" s="37"/>
      <x:c r="I1946" s="37"/>
      <x:c r="J1946" s="1" t="n">
        <x:f>IF(ISNUMBER(F1946),E1946,0)</x:f>
        <x:v>0</x:v>
      </x:c>
      <x:c r="K1946" s="1"/>
      <x:c r="L1946" s="1" t="str">
        <x:v>https://blog.skyairline.com/paises-baratos-para-viajar-desde-chile-con-skylink_prompt_content_placeholder</x:v>
      </x:c>
      <x:c r="M1946" s="1" t="n">
        <x:v>0</x:v>
      </x:c>
    </x:row>
    <x:row r="1947" ht="18.75" customHeight="1">
      <x:c r="A1947" s="1" t="str">
        <x:v>https://blog.skyairline.com/curso-tripulante-cabina/</x:v>
      </x:c>
      <x:c r="B1947" s="1" t="str">
        <x:v>sobrecargo de avion</x:v>
      </x:c>
      <x:c r="C1947" s="1" t="str">
        <x:v>chl</x:v>
      </x:c>
      <x:c r="D1947" s="1" t="str">
        <x:v>Sin marca</x:v>
      </x:c>
      <x:c r="E1947" s="35" t="n">
        <x:v>1</x:v>
      </x:c>
      <x:c r="F1947" s="36"/>
      <x:c r="G1947" s="36" t="str">
        <x:f>IF(ISNUMBER(F1947),E1947*F1947,"")</x:f>
      </x:c>
      <x:c r="H1947" s="37"/>
      <x:c r="I1947" s="37"/>
      <x:c r="J1947" s="1" t="n">
        <x:f>IF(ISNUMBER(F1947),E1947,0)</x:f>
        <x:v>0</x:v>
      </x:c>
      <x:c r="K1947" s="1"/>
      <x:c r="L1947" s="1" t="str">
        <x:v>https://blog.skyairline.com/paises-baratos-para-viajar-desde-chile-con-skyt/</x:v>
      </x:c>
      <x:c r="M1947" s="1" t="n">
        <x:v>0</x:v>
      </x:c>
    </x:row>
    <x:row r="1948" ht="18.75" customHeight="1">
      <x:c r="A1948" s="1" t="str">
        <x:v>https://blog.skyairline.com/curso-tripulante-cabina/</x:v>
      </x:c>
      <x:c r="B1948" s="1" t="str">
        <x:v>sobrecargo de avion</x:v>
      </x:c>
      <x:c r="C1948" s="1" t="str">
        <x:v>per</x:v>
      </x:c>
      <x:c r="D1948" s="1" t="str">
        <x:v>Sin marca</x:v>
      </x:c>
      <x:c r="E1948" s="35" t="n">
        <x:v>1</x:v>
      </x:c>
      <x:c r="F1948" s="36"/>
      <x:c r="G1948" s="36" t="str">
        <x:f>IF(ISNUMBER(F1948),E1948*F1948,"")</x:f>
      </x:c>
      <x:c r="H1948" s="37"/>
      <x:c r="I1948" s="37"/>
      <x:c r="J1948" s="1" t="n">
        <x:f>IF(ISNUMBER(F1948),E1948,0)</x:f>
        <x:v>0</x:v>
      </x:c>
      <x:c r="K1948" s="1"/>
      <x:c r="L1948" s="1" t="str">
        <x:v>https://blog.skyairline.com/paises-baratos-para-viajar-desde-chile-cons-sky/</x:v>
      </x:c>
      <x:c r="M1948" s="1" t="n">
        <x:v>0</x:v>
      </x:c>
    </x:row>
    <x:row r="1949" ht="18.75" customHeight="1">
      <x:c r="A1949" s="1" t="str">
        <x:v>https://blog.skyairline.com/curso-tripulante-cabina/</x:v>
      </x:c>
      <x:c r="B1949" s="1" t="str">
        <x:v>trabajar como tripulante de cabina</x:v>
      </x:c>
      <x:c r="C1949" s="1" t="str">
        <x:v>chl</x:v>
      </x:c>
      <x:c r="D1949" s="1" t="str">
        <x:v>Sin marca</x:v>
      </x:c>
      <x:c r="E1949" s="35" t="n">
        <x:v>1</x:v>
      </x:c>
      <x:c r="F1949" s="36" t="n">
        <x:v>0.17</x:v>
      </x:c>
      <x:c r="G1949" s="36" t="n">
        <x:f>IF(ISNUMBER(F1949),E1949*F1949,"")</x:f>
        <x:v>0.17</x:v>
      </x:c>
      <x:c r="H1949" s="37" t="d">
        <x:v>2026-10-15T00:00:00.000Z</x:v>
      </x:c>
      <x:c r="I1949" s="37" t="d">
        <x:v>2026-10-15T04:41:45.000Z</x:v>
      </x:c>
      <x:c r="J1949" s="1" t="n">
        <x:f>IF(ISNUMBER(F1949),E1949,0)</x:f>
        <x:v>1</x:v>
      </x:c>
      <x:c r="K1949" s="1"/>
      <x:c r="L1949" s="1" t="str">
        <x:v>https://blog.skyairline.com/paises-baratos-para-viajar-desde-chile-en/</x:v>
      </x:c>
      <x:c r="M1949" s="1" t="n">
        <x:v>0</x:v>
      </x:c>
    </x:row>
    <x:row r="1950" ht="18.75" customHeight="1">
      <x:c r="A1950" s="1" t="str">
        <x:v>https://blog.skyairline.com/curso-tripulante-cabina/</x:v>
      </x:c>
      <x:c r="B1950" s="1" t="str">
        <x:v>trabajar de azafata</x:v>
      </x:c>
      <x:c r="C1950" s="1" t="str">
        <x:v>chl</x:v>
      </x:c>
      <x:c r="D1950" s="1" t="str">
        <x:v>Sin marca</x:v>
      </x:c>
      <x:c r="E1950" s="35" t="n">
        <x:v>1</x:v>
      </x:c>
      <x:c r="F1950" s="36"/>
      <x:c r="G1950" s="36" t="str">
        <x:f>IF(ISNUMBER(F1950),E1950*F1950,"")</x:f>
      </x:c>
      <x:c r="H1950" s="37"/>
      <x:c r="I1950" s="37"/>
      <x:c r="J1950" s="1" t="n">
        <x:f>IF(ISNUMBER(F1950),E1950,0)</x:f>
        <x:v>0</x:v>
      </x:c>
      <x:c r="K1950" s="1"/>
      <x:c r="L1950" s="1" t="str">
        <x:v>https://blog.skyairline.com/paises-baratos-para-viajar-desde-chile-pen-peru-argentina-brasil/</x:v>
      </x:c>
      <x:c r="M1950" s="1" t="n">
        <x:v>0</x:v>
      </x:c>
    </x:row>
    <x:row r="1951" ht="18.75" customHeight="1">
      <x:c r="A1951" s="1" t="str">
        <x:v>https://blog.skyairline.com/curso-tripulante-cabina/</x:v>
      </x:c>
      <x:c r="B1951" s="1" t="str">
        <x:v>trabajo tripulante de cabina sky</x:v>
      </x:c>
      <x:c r="C1951" s="1" t="str">
        <x:v>chl</x:v>
      </x:c>
      <x:c r="D1951" s="1" t="str">
        <x:v>Marca</x:v>
      </x:c>
      <x:c r="E1951" s="35" t="n">
        <x:v>1</x:v>
      </x:c>
      <x:c r="F1951" s="36" t="n">
        <x:v>0.19</x:v>
      </x:c>
      <x:c r="G1951" s="36" t="n">
        <x:f>IF(ISNUMBER(F1951),E1951*F1951,"")</x:f>
        <x:v>0.19</x:v>
      </x:c>
      <x:c r="H1951" s="37" t="d">
        <x:v>2026-10-15T00:00:00.000Z</x:v>
      </x:c>
      <x:c r="I1951" s="37" t="d">
        <x:v>2026-10-15T16:23:44.000Z</x:v>
      </x:c>
      <x:c r="J1951" s="1" t="n">
        <x:f>IF(ISNUMBER(F1951),E1951,0)</x:f>
        <x:v>1</x:v>
      </x:c>
      <x:c r="K1951" s="1"/>
      <x:c r="L1951" s="1" t="str">
        <x:v>https://blog.skyairline.com/paises-baratos-para-viajar-desde-chile-sk/</x:v>
      </x:c>
      <x:c r="M1951" s="1" t="n">
        <x:v>0</x:v>
      </x:c>
    </x:row>
    <x:row r="1952" ht="18.75" customHeight="1">
      <x:c r="A1952" s="1" t="str">
        <x:v>https://blog.skyairline.com/curso-tripulante-cabina/</x:v>
      </x:c>
      <x:c r="B1952" s="1" t="str">
        <x:v>tripulante cabina</x:v>
      </x:c>
      <x:c r="C1952" s="1" t="str">
        <x:v>chl</x:v>
      </x:c>
      <x:c r="D1952" s="1" t="str">
        <x:v>Sin marca</x:v>
      </x:c>
      <x:c r="E1952" s="35" t="n">
        <x:v>1</x:v>
      </x:c>
      <x:c r="F1952" s="36" t="n">
        <x:v>0.27</x:v>
      </x:c>
      <x:c r="G1952" s="36" t="n">
        <x:f>IF(ISNUMBER(F1952),E1952*F1952,"")</x:f>
        <x:v>0.27</x:v>
      </x:c>
      <x:c r="H1952" s="37" t="d">
        <x:v>2026-10-15T00:00:00.000Z</x:v>
      </x:c>
      <x:c r="I1952" s="37" t="d">
        <x:v>2026-09-12T19:35:26.999Z</x:v>
      </x:c>
      <x:c r="J1952" s="1" t="n">
        <x:f>IF(ISNUMBER(F1952),E1952,0)</x:f>
        <x:v>1</x:v>
      </x:c>
      <x:c r="K1952" s="1"/>
      <x:c r="L1952" s="1" t="str">
        <x:v>https://blog.skyairline.com/paises-baratos-para-viajar-desde-chile-sky/</x:v>
      </x:c>
      <x:c r="M1952" s="1" t="n">
        <x:v>0</x:v>
      </x:c>
    </x:row>
    <x:row r="1953" ht="18.75" customHeight="1">
      <x:c r="A1953" s="1" t="str">
        <x:v>https://blog.skyairline.com/curso-tripulante-cabina/</x:v>
      </x:c>
      <x:c r="B1953" s="1" t="str">
        <x:v>tripulante cabina sky</x:v>
      </x:c>
      <x:c r="C1953" s="1" t="str">
        <x:v>chl</x:v>
      </x:c>
      <x:c r="D1953" s="1" t="str">
        <x:v>Marca</x:v>
      </x:c>
      <x:c r="E1953" s="35" t="n">
        <x:v>1</x:v>
      </x:c>
      <x:c r="F1953" s="36"/>
      <x:c r="G1953" s="36" t="str">
        <x:f>IF(ISNUMBER(F1953),E1953*F1953,"")</x:f>
      </x:c>
      <x:c r="H1953" s="37"/>
      <x:c r="I1953" s="37"/>
      <x:c r="J1953" s="1" t="n">
        <x:f>IF(ISNUMBER(F1953),E1953,0)</x:f>
        <x:v>0</x:v>
      </x:c>
      <x:c r="K1953" s="1"/>
      <x:c r="L1953" s="1" t="str">
        <x:v>https://blog.skyairline.com/paises-baratos-para-viajar-desde-chile-skyl</x:v>
      </x:c>
      <x:c r="M1953" s="1" t="n">
        <x:v>0</x:v>
      </x:c>
    </x:row>
    <x:row r="1954" ht="18.75" customHeight="1">
      <x:c r="A1954" s="1" t="str">
        <x:v>https://blog.skyairline.com/curso-tripulante-cabina/</x:v>
      </x:c>
      <x:c r="B1954" s="1" t="str">
        <x:v>tripulante de cabina</x:v>
      </x:c>
      <x:c r="C1954" s="1" t="str">
        <x:v>usa</x:v>
      </x:c>
      <x:c r="D1954" s="1" t="str">
        <x:v>Sin marca</x:v>
      </x:c>
      <x:c r="E1954" s="35" t="n">
        <x:v>1</x:v>
      </x:c>
      <x:c r="F1954" s="36"/>
      <x:c r="G1954" s="36" t="str">
        <x:f>IF(ISNUMBER(F1954),E1954*F1954,"")</x:f>
      </x:c>
      <x:c r="H1954" s="37"/>
      <x:c r="I1954" s="37"/>
      <x:c r="J1954" s="1" t="n">
        <x:f>IF(ISNUMBER(F1954),E1954,0)</x:f>
        <x:v>0</x:v>
      </x:c>
      <x:c r="K1954" s="1"/>
      <x:c r="L1954" s="1" t="str">
        <x:v>https://blog.skyairline.com/paises-baratos-para-viajar-desde-chile-su-guia-y-consejos-y-consejos-y-consejos/</x:v>
      </x:c>
      <x:c r="M1954" s="1" t="n">
        <x:v>0</x:v>
      </x:c>
    </x:row>
    <x:row r="1955" ht="18.75" customHeight="1">
      <x:c r="A1955" s="1" t="str">
        <x:v>https://blog.skyairline.com/curso-tripulante-cabina/</x:v>
      </x:c>
      <x:c r="B1955" s="1" t="str">
        <x:v>tripulante de cabina chile</x:v>
      </x:c>
      <x:c r="C1955" s="1" t="str">
        <x:v>chl</x:v>
      </x:c>
      <x:c r="D1955" s="1" t="str">
        <x:v>Sin marca</x:v>
      </x:c>
      <x:c r="E1955" s="35" t="n">
        <x:v>1</x:v>
      </x:c>
      <x:c r="F1955" s="36" t="n">
        <x:v>0.6</x:v>
      </x:c>
      <x:c r="G1955" s="36" t="n">
        <x:f>IF(ISNUMBER(F1955),E1955*F1955,"")</x:f>
        <x:v>0.6</x:v>
      </x:c>
      <x:c r="H1955" s="37" t="d">
        <x:v>2026-10-15T00:00:00.000Z</x:v>
      </x:c>
      <x:c r="I1955" s="37" t="d">
        <x:v>2026-10-15T08:17:42.000Z</x:v>
      </x:c>
      <x:c r="J1955" s="1" t="n">
        <x:f>IF(ISNUMBER(F1955),E1955,0)</x:f>
        <x:v>1</x:v>
      </x:c>
      <x:c r="K1955" s="1"/>
      <x:c r="L1955" s="1" t="str">
        <x:v>https://blog.skyairline.com/paises-baratos-para-viajar-desde-chile-su-sky</x:v>
      </x:c>
      <x:c r="M1955" s="1" t="n">
        <x:v>0</x:v>
      </x:c>
    </x:row>
    <x:row r="1956" ht="18.75" customHeight="1">
      <x:c r="A1956" s="1" t="str">
        <x:v>https://blog.skyairline.com/curso-tripulante-cabina/</x:v>
      </x:c>
      <x:c r="B1956" s="1" t="str">
        <x:v>tripulante de cabina cuanto cuesta la carrera</x:v>
      </x:c>
      <x:c r="C1956" s="1" t="str">
        <x:v>chl</x:v>
      </x:c>
      <x:c r="D1956" s="1" t="str">
        <x:v>Sin marca</x:v>
      </x:c>
      <x:c r="E1956" s="35" t="n">
        <x:v>1</x:v>
      </x:c>
      <x:c r="F1956" s="36"/>
      <x:c r="G1956" s="36" t="str">
        <x:f>IF(ISNUMBER(F1956),E1956*F1956,"")</x:f>
      </x:c>
      <x:c r="H1956" s="37"/>
      <x:c r="I1956" s="37"/>
      <x:c r="J1956" s="1" t="n">
        <x:f>IF(ISNUMBER(F1956),E1956,0)</x:f>
        <x:v>0</x:v>
      </x:c>
      <x:c r="K1956" s="1"/>
      <x:c r="L1956" s="1" t="str">
        <x:v>https://blog.skyairline.com/paises-baratos-para-viajar-desde-chile-vuelve-a-volar/</x:v>
      </x:c>
      <x:c r="M1956" s="1" t="n">
        <x:v>0</x:v>
      </x:c>
    </x:row>
    <x:row r="1957" ht="18.75" customHeight="1">
      <x:c r="A1957" s="1" t="str">
        <x:v>https://blog.skyairline.com/curso-tripulante-cabina/</x:v>
      </x:c>
      <x:c r="B1957" s="1" t="str">
        <x:v>tripulante de cabina cuantos años son</x:v>
      </x:c>
      <x:c r="C1957" s="1" t="str">
        <x:v>per</x:v>
      </x:c>
      <x:c r="D1957" s="1" t="str">
        <x:v>Sin marca</x:v>
      </x:c>
      <x:c r="E1957" s="35" t="n">
        <x:v>1</x:v>
      </x:c>
      <x:c r="F1957" s="36"/>
      <x:c r="G1957" s="36" t="str">
        <x:f>IF(ISNUMBER(F1957),E1957*F1957,"")</x:f>
      </x:c>
      <x:c r="H1957" s="37" t="d">
        <x:v>2026-10-15T00:00:00.000Z</x:v>
      </x:c>
      <x:c r="I1957" s="37" t="d">
        <x:v>2026-06-17T05:30:45.000Z</x:v>
      </x:c>
      <x:c r="J1957" s="1" t="n">
        <x:f>IF(ISNUMBER(F1957),E1957,0)</x:f>
        <x:v>0</x:v>
      </x:c>
      <x:c r="K1957" s="1"/>
      <x:c r="L1957" s="1" t="str">
        <x:v>https://blog.skyairline.com/paises-baratos-para-viajar-desde-chile-with-sky</x:v>
      </x:c>
      <x:c r="M1957" s="1" t="n">
        <x:v>0</x:v>
      </x:c>
    </x:row>
    <x:row r="1958" ht="18.75" customHeight="1">
      <x:c r="A1958" s="1" t="str">
        <x:v>https://blog.skyairline.com/curso-tripulante-cabina/</x:v>
      </x:c>
      <x:c r="B1958" s="1" t="str">
        <x:v>tripulante de cabina de pasajeros</x:v>
      </x:c>
      <x:c r="C1958" s="1" t="str">
        <x:v>chl</x:v>
      </x:c>
      <x:c r="D1958" s="1" t="str">
        <x:v>Sin marca</x:v>
      </x:c>
      <x:c r="E1958" s="35" t="n">
        <x:v>1</x:v>
      </x:c>
      <x:c r="F1958" s="36"/>
      <x:c r="G1958" s="36" t="str">
        <x:f>IF(ISNUMBER(F1958),E1958*F1958,"")</x:f>
      </x:c>
      <x:c r="H1958" s="37" t="d">
        <x:v>2026-10-15T00:00:00.000Z</x:v>
      </x:c>
      <x:c r="I1958" s="37" t="d">
        <x:v>2026-09-16T06:12:58.000Z</x:v>
      </x:c>
      <x:c r="J1958" s="1" t="n">
        <x:f>IF(ISNUMBER(F1958),E1958,0)</x:f>
        <x:v>0</x:v>
      </x:c>
      <x:c r="K1958" s="1"/>
      <x:c r="L1958" s="1" t="str">
        <x:v>https://blog.skyairline.com/paises-baratos-para-viajar-desde-chile-with-sky/</x:v>
      </x:c>
      <x:c r="M1958" s="1" t="n">
        <x:v>0</x:v>
      </x:c>
    </x:row>
    <x:row r="1959" ht="18.75" customHeight="1">
      <x:c r="A1959" s="1" t="str">
        <x:v>https://blog.skyairline.com/curso-tripulante-cabina/</x:v>
      </x:c>
      <x:c r="B1959" s="1" t="str">
        <x:v>tripulante de cabina donde estudiar</x:v>
      </x:c>
      <x:c r="C1959" s="1" t="str">
        <x:v>chl</x:v>
      </x:c>
      <x:c r="D1959" s="1" t="str">
        <x:v>Sin marca</x:v>
      </x:c>
      <x:c r="E1959" s="35" t="n">
        <x:v>1</x:v>
      </x:c>
      <x:c r="F1959" s="36" t="n">
        <x:v>0.26</x:v>
      </x:c>
      <x:c r="G1959" s="36" t="n">
        <x:f>IF(ISNUMBER(F1959),E1959*F1959,"")</x:f>
        <x:v>0.26</x:v>
      </x:c>
      <x:c r="H1959" s="37" t="d">
        <x:v>2026-10-15T00:00:00.000Z</x:v>
      </x:c>
      <x:c r="I1959" s="37" t="d">
        <x:v>2026-09-15T00:27:45.999Z</x:v>
      </x:c>
      <x:c r="J1959" s="1" t="n">
        <x:f>IF(ISNUMBER(F1959),E1959,0)</x:f>
        <x:v>1</x:v>
      </x:c>
      <x:c r="K1959" s="1"/>
      <x:c r="L1959" s="1" t="str">
        <x:v>https://blog.skyairline.com/paises-baratos-para-viajar-desde-chile/</x:v>
      </x:c>
      <x:c r="M1959" s="1" t="n">
        <x:v>0</x:v>
      </x:c>
    </x:row>
    <x:row r="1960" ht="18.75" customHeight="1">
      <x:c r="A1960" s="1" t="str">
        <x:v>https://blog.skyairline.com/curso-tripulante-cabina/</x:v>
      </x:c>
      <x:c r="B1960" s="1" t="str">
        <x:v>tripulante de cabina en chile</x:v>
      </x:c>
      <x:c r="C1960" s="1" t="str">
        <x:v>chl</x:v>
      </x:c>
      <x:c r="D1960" s="1" t="str">
        <x:v>Sin marca</x:v>
      </x:c>
      <x:c r="E1960" s="35" t="n">
        <x:v>1</x:v>
      </x:c>
      <x:c r="F1960" s="36"/>
      <x:c r="G1960" s="36" t="str">
        <x:f>IF(ISNUMBER(F1960),E1960*F1960,"")</x:f>
      </x:c>
      <x:c r="H1960" s="37"/>
      <x:c r="I1960" s="37"/>
      <x:c r="J1960" s="1" t="n">
        <x:f>IF(ISNUMBER(F1960),E1960,0)</x:f>
        <x:v>0</x:v>
      </x:c>
      <x:c r="K1960" s="1"/>
      <x:c r="L1960" s="1" t="str">
        <x:v>https://blog.skyairline.com/paises-baratos-para-viajar-en-chile-con-sky/</x:v>
      </x:c>
      <x:c r="M1960" s="1" t="n">
        <x:v>0</x:v>
      </x:c>
    </x:row>
    <x:row r="1961" ht="18.75" customHeight="1">
      <x:c r="A1961" s="1" t="str">
        <x:v>https://blog.skyairline.com/curso-tripulante-cabina/</x:v>
      </x:c>
      <x:c r="B1961" s="1" t="str">
        <x:v>tripulante de cabina estudiar</x:v>
      </x:c>
      <x:c r="C1961" s="1" t="str">
        <x:v>per</x:v>
      </x:c>
      <x:c r="D1961" s="1" t="str">
        <x:v>Sin marca</x:v>
      </x:c>
      <x:c r="E1961" s="35" t="n">
        <x:v>1</x:v>
      </x:c>
      <x:c r="F1961" s="36" t="n">
        <x:v>0.38</x:v>
      </x:c>
      <x:c r="G1961" s="36" t="n">
        <x:f>IF(ISNUMBER(F1961),E1961*F1961,"")</x:f>
        <x:v>0.38</x:v>
      </x:c>
      <x:c r="H1961" s="37" t="d">
        <x:v>2026-10-15T00:00:00.000Z</x:v>
      </x:c>
      <x:c r="I1961" s="37" t="d">
        <x:v>2026-09-17T01:57:51.000Z</x:v>
      </x:c>
      <x:c r="J1961" s="1" t="n">
        <x:f>IF(ISNUMBER(F1961),E1961,0)</x:f>
        <x:v>1</x:v>
      </x:c>
      <x:c r="K1961" s="1"/>
      <x:c r="L1961" s="1" t="str">
        <x:v>https://blog.skyairline.com/paises-baratos-para-viajar-en-familia-fuera-de-chile/</x:v>
      </x:c>
      <x:c r="M1961" s="1" t="n">
        <x:v>0</x:v>
      </x:c>
    </x:row>
    <x:row r="1962" ht="18.75" customHeight="1">
      <x:c r="A1962" s="1" t="str">
        <x:v>https://blog.skyairline.com/curso-tripulante-cabina/</x:v>
      </x:c>
      <x:c r="B1962" s="1" t="str">
        <x:v>tripulante de cabina sky</x:v>
      </x:c>
      <x:c r="C1962" s="1" t="str">
        <x:v>arg</x:v>
      </x:c>
      <x:c r="D1962" s="1" t="str">
        <x:v>Marca</x:v>
      </x:c>
      <x:c r="E1962" s="35" t="n">
        <x:v>1</x:v>
      </x:c>
      <x:c r="F1962" s="36"/>
      <x:c r="G1962" s="36" t="str">
        <x:f>IF(ISNUMBER(F1962),E1962*F1962,"")</x:f>
      </x:c>
      <x:c r="H1962" s="37"/>
      <x:c r="I1962" s="37"/>
      <x:c r="J1962" s="1" t="n">
        <x:f>IF(ISNUMBER(F1962),E1962,0)</x:f>
        <x:v>0</x:v>
      </x:c>
      <x:c r="K1962" s="1"/>
      <x:c r="L1962" s="1" t="str">
        <x:v>https://blog.skyairline.com/paises-baratos-para-viajar/</x:v>
      </x:c>
      <x:c r="M1962" s="1" t="n">
        <x:v>0</x:v>
      </x:c>
    </x:row>
    <x:row r="1963" ht="18.75" customHeight="1">
      <x:c r="A1963" s="1" t="str">
        <x:v>https://blog.skyairline.com/curso-tripulante-cabina/</x:v>
      </x:c>
      <x:c r="B1963" s="1" t="str">
        <x:v>tripulante de cabina sky airline perú</x:v>
      </x:c>
      <x:c r="C1963" s="1" t="str">
        <x:v>per</x:v>
      </x:c>
      <x:c r="D1963" s="1" t="str">
        <x:v>Marca</x:v>
      </x:c>
      <x:c r="E1963" s="35" t="n">
        <x:v>1</x:v>
      </x:c>
      <x:c r="F1963" s="36" t="n">
        <x:v>0.8</x:v>
      </x:c>
      <x:c r="G1963" s="36" t="n">
        <x:f>IF(ISNUMBER(F1963),E1963*F1963,"")</x:f>
        <x:v>0.8</x:v>
      </x:c>
      <x:c r="H1963" s="37" t="d">
        <x:v>2026-10-15T00:00:00.000Z</x:v>
      </x:c>
      <x:c r="I1963" s="37" t="d">
        <x:v>2026-09-15T04:12:48.000Z</x:v>
      </x:c>
      <x:c r="J1963" s="1" t="n">
        <x:f>IF(ISNUMBER(F1963),E1963,0)</x:f>
        <x:v>1</x:v>
      </x:c>
      <x:c r="K1963" s="1"/>
      <x:c r="L1963" s="1" t="str">
        <x:v>https://blog.skyairline.com/paises-baratos-puedes-viajar-desde-chile-con-sky</x:v>
      </x:c>
      <x:c r="M1963" s="1" t="n">
        <x:v>0</x:v>
      </x:c>
    </x:row>
    <x:row r="1964" ht="18.75" customHeight="1">
      <x:c r="A1964" s="1" t="str">
        <x:v>https://blog.skyairline.com/curso-tripulante-cabina/</x:v>
      </x:c>
      <x:c r="B1964" s="1" t="str">
        <x:v>tripulante de cabina sky trabajo</x:v>
      </x:c>
      <x:c r="C1964" s="1" t="str">
        <x:v>chl</x:v>
      </x:c>
      <x:c r="D1964" s="1" t="str">
        <x:v>Marca</x:v>
      </x:c>
      <x:c r="E1964" s="35" t="n">
        <x:v>1</x:v>
      </x:c>
      <x:c r="F1964" s="36"/>
      <x:c r="G1964" s="36" t="str">
        <x:f>IF(ISNUMBER(F1964),E1964*F1964,"")</x:f>
      </x:c>
      <x:c r="H1964" s="37" t="d">
        <x:v>2026-10-15T00:00:00.000Z</x:v>
      </x:c>
      <x:c r="I1964" s="37" t="d">
        <x:v>2026-09-17T20:57:49.000Z</x:v>
      </x:c>
      <x:c r="J1964" s="1" t="n">
        <x:f>IF(ISNUMBER(F1964),E1964,0)</x:f>
        <x:v>0</x:v>
      </x:c>
      <x:c r="K1964" s="1"/>
      <x:c r="L1964" s="1" t="str">
        <x:v>https://blog.skyairline.com/paises-baratos-viajar-chile-con-sky</x:v>
      </x:c>
      <x:c r="M1964" s="1" t="n">
        <x:v>0</x:v>
      </x:c>
    </x:row>
    <x:row r="1965" ht="18.75" customHeight="1">
      <x:c r="A1965" s="1" t="str">
        <x:v>https://blog.skyairline.com/curso-tripulante-cabina/</x:v>
      </x:c>
      <x:c r="B1965" s="1" t="str">
        <x:v>tripulante de cabina trabajo</x:v>
      </x:c>
      <x:c r="C1965" s="1" t="str">
        <x:v>chl</x:v>
      </x:c>
      <x:c r="D1965" s="1" t="str">
        <x:v>Sin marca</x:v>
      </x:c>
      <x:c r="E1965" s="35" t="n">
        <x:v>1</x:v>
      </x:c>
      <x:c r="F1965" s="36" t="n">
        <x:v>0.18</x:v>
      </x:c>
      <x:c r="G1965" s="36" t="n">
        <x:f>IF(ISNUMBER(F1965),E1965*F1965,"")</x:f>
        <x:v>0.18</x:v>
      </x:c>
      <x:c r="H1965" s="37" t="d">
        <x:v>2026-10-15T00:00:00.000Z</x:v>
      </x:c>
      <x:c r="I1965" s="37" t="d">
        <x:v>2026-09-16T22:48:48.000Z</x:v>
      </x:c>
      <x:c r="J1965" s="1" t="n">
        <x:f>IF(ISNUMBER(F1965),E1965,0)</x:f>
        <x:v>1</x:v>
      </x:c>
      <x:c r="K1965" s="1"/>
      <x:c r="L1965" s="1" t="str">
        <x:v>https://blog.skyairline.com/paises-baratos-viajar-chile-con-sky/</x:v>
      </x:c>
      <x:c r="M1965" s="1" t="n">
        <x:v>0</x:v>
      </x:c>
    </x:row>
    <x:row r="1966" ht="18.75" customHeight="1">
      <x:c r="A1966" s="1" t="str">
        <x:v>https://blog.skyairline.com/curso-tripulante-cabina/</x:v>
      </x:c>
      <x:c r="B1966" s="1" t="str">
        <x:v>tripulante de cabina trabajo</x:v>
      </x:c>
      <x:c r="C1966" s="1" t="str">
        <x:v>per</x:v>
      </x:c>
      <x:c r="D1966" s="1" t="str">
        <x:v>Sin marca</x:v>
      </x:c>
      <x:c r="E1966" s="35" t="n">
        <x:v>1</x:v>
      </x:c>
      <x:c r="F1966" s="36" t="n">
        <x:v>0.21</x:v>
      </x:c>
      <x:c r="G1966" s="36" t="n">
        <x:f>IF(ISNUMBER(F1966),E1966*F1966,"")</x:f>
        <x:v>0.21</x:v>
      </x:c>
      <x:c r="H1966" s="37" t="d">
        <x:v>2026-10-15T00:00:00.000Z</x:v>
      </x:c>
      <x:c r="I1966" s="37" t="d">
        <x:v>2026-09-15T19:30:49.999Z</x:v>
      </x:c>
      <x:c r="J1966" s="1" t="n">
        <x:f>IF(ISNUMBER(F1966),E1966,0)</x:f>
        <x:v>1</x:v>
      </x:c>
      <x:c r="K1966" s="1"/>
      <x:c r="L1966" s="1" t="str">
        <x:v>https://blog.skyairline.com/paises-baratos-viajar-chile-skyl</x:v>
      </x:c>
      <x:c r="M1966" s="1" t="n">
        <x:v>0</x:v>
      </x:c>
    </x:row>
    <x:row r="1967" ht="18.75" customHeight="1">
      <x:c r="A1967" s="1" t="str">
        <x:v>https://blog.skyairline.com/curso-tripulante-cabina/</x:v>
      </x:c>
      <x:c r="B1967" s="1" t="str">
        <x:v>tripulante de cabina trabajo sky</x:v>
      </x:c>
      <x:c r="C1967" s="1" t="str">
        <x:v>per</x:v>
      </x:c>
      <x:c r="D1967" s="1" t="str">
        <x:v>Marca</x:v>
      </x:c>
      <x:c r="E1967" s="35" t="n">
        <x:v>1</x:v>
      </x:c>
      <x:c r="F1967" s="36"/>
      <x:c r="G1967" s="36" t="str">
        <x:f>IF(ISNUMBER(F1967),E1967*F1967,"")</x:f>
      </x:c>
      <x:c r="H1967" s="37" t="d">
        <x:v>2026-10-15T00:00:00.000Z</x:v>
      </x:c>
      <x:c r="I1967" s="37" t="d">
        <x:v>2026-09-14T07:03:39.000Z</x:v>
      </x:c>
      <x:c r="J1967" s="1" t="n">
        <x:f>IF(ISNUMBER(F1967),E1967,0)</x:f>
        <x:v>0</x:v>
      </x:c>
      <x:c r="K1967" s="1"/>
      <x:c r="L1967" s="1" t="str">
        <x:v>https://blog.skyairline.com/paises-baratos-viajar-desde-chile-sky</x:v>
      </x:c>
      <x:c r="M1967" s="1" t="n">
        <x:v>0</x:v>
      </x:c>
    </x:row>
    <x:row r="1968" ht="18.75" customHeight="1">
      <x:c r="A1968" s="1" t="str">
        <x:v>https://blog.skyairline.com/curso-tripulante-cabina/</x:v>
      </x:c>
      <x:c r="B1968" s="1" t="str">
        <x:v>tripulantes de cabina</x:v>
      </x:c>
      <x:c r="C1968" s="1" t="str">
        <x:v>chl</x:v>
      </x:c>
      <x:c r="D1968" s="1" t="str">
        <x:v>Sin marca</x:v>
      </x:c>
      <x:c r="E1968" s="35" t="n">
        <x:v>1</x:v>
      </x:c>
      <x:c r="F1968" s="36" t="n">
        <x:v>0.29</x:v>
      </x:c>
      <x:c r="G1968" s="36" t="n">
        <x:f>IF(ISNUMBER(F1968),E1968*F1968,"")</x:f>
        <x:v>0.29</x:v>
      </x:c>
      <x:c r="H1968" s="37" t="d">
        <x:v>2026-10-15T00:00:00.000Z</x:v>
      </x:c>
      <x:c r="I1968" s="37" t="d">
        <x:v>2026-09-17T22:57:56.999Z</x:v>
      </x:c>
      <x:c r="J1968" s="1" t="n">
        <x:f>IF(ISNUMBER(F1968),E1968,0)</x:f>
        <x:v>1</x:v>
      </x:c>
      <x:c r="K1968" s="1"/>
      <x:c r="L1968" s="1" t="str">
        <x:v>https://blog.skyairline.com/paises-mas-baratos-para-viajar-con-chile-comprar-con-anticipacion/</x:v>
      </x:c>
      <x:c r="M1968" s="1" t="n">
        <x:v>0</x:v>
      </x:c>
    </x:row>
    <x:row r="1969" ht="18.75" customHeight="1">
      <x:c r="A1969" s="1" t="str">
        <x:v>https://blog.skyairline.com/curso-tripulante-cabina/</x:v>
      </x:c>
      <x:c r="B1969" s="1" t="str">
        <x:v>valor curso tripulante de cabina chile</x:v>
      </x:c>
      <x:c r="C1969" s="1" t="str">
        <x:v>chl</x:v>
      </x:c>
      <x:c r="D1969" s="1" t="str">
        <x:v>Sin marca</x:v>
      </x:c>
      <x:c r="E1969" s="35" t="n">
        <x:v>1</x:v>
      </x:c>
      <x:c r="F1969" s="36"/>
      <x:c r="G1969" s="36" t="str">
        <x:f>IF(ISNUMBER(F1969),E1969*F1969,"")</x:f>
      </x:c>
      <x:c r="H1969" s="37" t="d">
        <x:v>2026-10-15T00:00:00.000Z</x:v>
      </x:c>
      <x:c r="I1969" s="37" t="d">
        <x:v>2026-09-15T04:10:58.000Z</x:v>
      </x:c>
      <x:c r="J1969" s="1" t="n">
        <x:f>IF(ISNUMBER(F1969),E1969,0)</x:f>
        <x:v>0</x:v>
      </x:c>
      <x:c r="K1969" s="1"/>
      <x:c r="L1969" s="1" t="str">
        <x:v>https://blog.skyairline.com/paises-mas-baratos-para-viajar-con-sky/</x:v>
      </x:c>
      <x:c r="M1969" s="1" t="n">
        <x:v>0</x:v>
      </x:c>
    </x:row>
    <x:row r="1970" ht="18.75" customHeight="1">
      <x:c r="A1970" s="1" t="str">
        <x:v>https://blog.skyairline.com/cyberday/</x:v>
      </x:c>
      <x:c r="B1970" s="1" t="str">
        <x:v>sky cyber 2026</x:v>
      </x:c>
      <x:c r="C1970" s="1" t="str">
        <x:v>chl</x:v>
      </x:c>
      <x:c r="D1970" s="1" t="str">
        <x:v>Marca</x:v>
      </x:c>
      <x:c r="E1970" s="35" t="n">
        <x:v>1</x:v>
      </x:c>
      <x:c r="F1970" s="36" t="n">
        <x:v>0.22</x:v>
      </x:c>
      <x:c r="G1970" s="36" t="n">
        <x:f>IF(ISNUMBER(F1970),E1970*F1970,"")</x:f>
        <x:v>0.22</x:v>
      </x:c>
      <x:c r="H1970" s="37" t="d">
        <x:v>2026-10-15T00:00:00.000Z</x:v>
      </x:c>
      <x:c r="I1970" s="37" t="d">
        <x:v>2026-09-16T06:49:39.000Z</x:v>
      </x:c>
      <x:c r="J1970" s="1" t="n">
        <x:f>IF(ISNUMBER(F1970),E1970,0)</x:f>
        <x:v>1</x:v>
      </x:c>
      <x:c r="K1970" s="1"/>
      <x:c r="L1970" s="1" t="str">
        <x:v>https://blog.skyairline.com/paises-mas-baratos-para-viajar-desde-chile-com-sky/</x:v>
      </x:c>
      <x:c r="M1970" s="1" t="n">
        <x:v>0</x:v>
      </x:c>
    </x:row>
    <x:row r="1971" ht="18.75" customHeight="1">
      <x:c r="A1971" s="1" t="str">
        <x:v>https://blog.skyairline.com/cybermonday/</x:v>
      </x:c>
      <x:c r="B1971" s="1" t="str">
        <x:v>hay vuelos</x:v>
      </x:c>
      <x:c r="C1971" s="1" t="str">
        <x:v>chl</x:v>
      </x:c>
      <x:c r="D1971" s="1" t="str">
        <x:v>Sin marca</x:v>
      </x:c>
      <x:c r="E1971" s="35" t="n">
        <x:v>1</x:v>
      </x:c>
      <x:c r="F1971" s="36"/>
      <x:c r="G1971" s="36" t="str">
        <x:f>IF(ISNUMBER(F1971),E1971*F1971,"")</x:f>
      </x:c>
      <x:c r="H1971" s="37"/>
      <x:c r="I1971" s="37"/>
      <x:c r="J1971" s="1" t="n">
        <x:f>IF(ISNUMBER(F1971),E1971,0)</x:f>
        <x:v>0</x:v>
      </x:c>
      <x:c r="K1971" s="1"/>
      <x:c r="L1971" s="1" t="str">
        <x:v>https://blog.skyairline.com/paises-mas-baratos-para-viajar-desde-chile-con-sky/</x:v>
      </x:c>
      <x:c r="M1971" s="1" t="n">
        <x:v>0</x:v>
      </x:c>
    </x:row>
    <x:row r="1972" ht="18.75" customHeight="1">
      <x:c r="A1972" s="1" t="str">
        <x:v>https://blog.skyairline.com/cybermonday/</x:v>
      </x:c>
      <x:c r="B1972" s="1" t="str">
        <x:v>sky</x:v>
      </x:c>
      <x:c r="C1972" s="1" t="str">
        <x:v>chl</x:v>
      </x:c>
      <x:c r="D1972" s="1" t="str">
        <x:v>Marca</x:v>
      </x:c>
      <x:c r="E1972" s="35" t="n">
        <x:v>1</x:v>
      </x:c>
      <x:c r="F1972" s="36" t="n">
        <x:v>0.27</x:v>
      </x:c>
      <x:c r="G1972" s="36" t="n">
        <x:f>IF(ISNUMBER(F1972),E1972*F1972,"")</x:f>
        <x:v>0.27</x:v>
      </x:c>
      <x:c r="H1972" s="37" t="d">
        <x:v>2026-10-15T00:00:00.000Z</x:v>
      </x:c>
      <x:c r="I1972" s="37" t="d">
        <x:v>2026-09-17T02:52:38.000Z</x:v>
      </x:c>
      <x:c r="J1972" s="1" t="n">
        <x:f>IF(ISNUMBER(F1972),E1972,0)</x:f>
        <x:v>1</x:v>
      </x:c>
      <x:c r="K1972" s="1"/>
      <x:c r="L1972" s="1" t="str">
        <x:v>https://blog.skyairline.com/paises-mas-baratos-para-viajar/</x:v>
      </x:c>
      <x:c r="M1972" s="1" t="n">
        <x:v>0</x:v>
      </x:c>
    </x:row>
    <x:row r="1973" ht="18.75" customHeight="1">
      <x:c r="A1973" s="1" t="str">
        <x:v>https://blog.skyairline.com/descubre-economy-premier-la-nueva-experiencia-para-viajar-mas-comodo/</x:v>
      </x:c>
      <x:c r="B1973" s="1" t="str">
        <x:v>economy premier sky</x:v>
      </x:c>
      <x:c r="C1973" s="1" t="str">
        <x:v>arg</x:v>
      </x:c>
      <x:c r="D1973" s="1" t="str">
        <x:v>Marca</x:v>
      </x:c>
      <x:c r="E1973" s="35" t="n">
        <x:v>1</x:v>
      </x:c>
      <x:c r="F1973" s="36"/>
      <x:c r="G1973" s="36" t="str">
        <x:f>IF(ISNUMBER(F1973),E1973*F1973,"")</x:f>
      </x:c>
      <x:c r="H1973" s="37"/>
      <x:c r="I1973" s="37"/>
      <x:c r="J1973" s="1" t="n">
        <x:f>IF(ISNUMBER(F1973),E1973,0)</x:f>
        <x:v>0</x:v>
      </x:c>
      <x:c r="K1973" s="1"/>
      <x:c r="L1973" s="1" t="str">
        <x:v>https://blog.skyairline.com/paises-mas-para-viajar-chile-con-sky/</x:v>
      </x:c>
      <x:c r="M1973" s="1" t="n">
        <x:v>0</x:v>
      </x:c>
    </x:row>
    <x:row r="1974" ht="18.75" customHeight="1">
      <x:c r="A1974" s="1" t="str">
        <x:v>https://blog.skyairline.com/descubre-economy-premier-la-nueva-experiencia-para-viajar-mas-comodo/</x:v>
      </x:c>
      <x:c r="B1974" s="1" t="str">
        <x:v>economy premier sky</x:v>
      </x:c>
      <x:c r="C1974" s="1" t="str">
        <x:v>per</x:v>
      </x:c>
      <x:c r="D1974" s="1" t="str">
        <x:v>Marca</x:v>
      </x:c>
      <x:c r="E1974" s="35" t="n">
        <x:v>1</x:v>
      </x:c>
      <x:c r="F1974" s="36"/>
      <x:c r="G1974" s="36" t="str">
        <x:f>IF(ISNUMBER(F1974),E1974*F1974,"")</x:f>
      </x:c>
      <x:c r="H1974" s="37"/>
      <x:c r="I1974" s="37"/>
      <x:c r="J1974" s="1" t="n">
        <x:f>IF(ISNUMBER(F1974),E1974,0)</x:f>
        <x:v>0</x:v>
      </x:c>
      <x:c r="K1974" s="1"/>
      <x:c r="L1974" s="1" t="str">
        <x:v>https://blog.skyairline.com/paises-mas-seguros-latinoamerica/</x:v>
      </x:c>
      <x:c r="M1974" s="1" t="n">
        <x:v>0</x:v>
      </x:c>
    </x:row>
    <x:row r="1975" ht="18.75" customHeight="1">
      <x:c r="A1975" s="1" t="str">
        <x:v>https://blog.skyairline.com/descubre-economy-premier-la-nueva-experiencia-para-viajar-mas-comodo/</x:v>
      </x:c>
      <x:c r="B1975" s="1" t="str">
        <x:v>economy premier sky airline</x:v>
      </x:c>
      <x:c r="C1975" s="1" t="str">
        <x:v>arg</x:v>
      </x:c>
      <x:c r="D1975" s="1" t="str">
        <x:v>Marca</x:v>
      </x:c>
      <x:c r="E1975" s="35" t="n">
        <x:v>1</x:v>
      </x:c>
      <x:c r="F1975" s="36"/>
      <x:c r="G1975" s="36" t="str">
        <x:f>IF(ISNUMBER(F1975),E1975*F1975,"")</x:f>
      </x:c>
      <x:c r="H1975" s="37"/>
      <x:c r="I1975" s="37"/>
      <x:c r="J1975" s="1" t="n">
        <x:f>IF(ISNUMBER(F1975),E1975,0)</x:f>
        <x:v>0</x:v>
      </x:c>
      <x:c r="K1975" s="1"/>
      <x:c r="L1975" s="1" t="str">
        <x:v>https://blog.skyairline.com/paises-montevideo/</x:v>
      </x:c>
      <x:c r="M1975" s="1" t="n">
        <x:v>0</x:v>
      </x:c>
    </x:row>
    <x:row r="1976" ht="18.75" customHeight="1">
      <x:c r="A1976" s="1" t="str">
        <x:v>https://blog.skyairline.com/descubre-economy-premier-la-nueva-experiencia-para-viajar-mas-comodo/</x:v>
      </x:c>
      <x:c r="B1976" s="1" t="str">
        <x:v>economy premier sky airline</x:v>
      </x:c>
      <x:c r="C1976" s="1" t="str">
        <x:v>chl</x:v>
      </x:c>
      <x:c r="D1976" s="1" t="str">
        <x:v>Marca</x:v>
      </x:c>
      <x:c r="E1976" s="35" t="n">
        <x:v>1</x:v>
      </x:c>
      <x:c r="F1976" s="36"/>
      <x:c r="G1976" s="36" t="str">
        <x:f>IF(ISNUMBER(F1976),E1976*F1976,"")</x:f>
      </x:c>
      <x:c r="H1976" s="37"/>
      <x:c r="I1976" s="37"/>
      <x:c r="J1976" s="1" t="n">
        <x:f>IF(ISNUMBER(F1976),E1976,0)</x:f>
        <x:v>0</x:v>
      </x:c>
      <x:c r="K1976" s="1"/>
      <x:c r="L1976" s="1" t="str">
        <x:v>https://blog.skyairline.com/pan-azucar-uruguay/</x:v>
      </x:c>
      <x:c r="M1976" s="1" t="n">
        <x:v>0</x:v>
      </x:c>
    </x:row>
    <x:row r="1977" ht="18.75" customHeight="1">
      <x:c r="A1977" s="1" t="str">
        <x:v>https://blog.skyairline.com/descubre-economy-premier-la-nueva-experiencia-para-viajar-mas-comodo/</x:v>
      </x:c>
      <x:c r="B1977" s="1" t="str">
        <x:v>economy premier sky airline</x:v>
      </x:c>
      <x:c r="C1977" s="1" t="str">
        <x:v>per</x:v>
      </x:c>
      <x:c r="D1977" s="1" t="str">
        <x:v>Marca</x:v>
      </x:c>
      <x:c r="E1977" s="35" t="n">
        <x:v>1</x:v>
      </x:c>
      <x:c r="F1977" s="36"/>
      <x:c r="G1977" s="36" t="str">
        <x:f>IF(ISNUMBER(F1977),E1977*F1977,"")</x:f>
      </x:c>
      <x:c r="H1977" s="37"/>
      <x:c r="I1977" s="37"/>
      <x:c r="J1977" s="1" t="n">
        <x:f>IF(ISNUMBER(F1977),E1977,0)</x:f>
        <x:v>0</x:v>
      </x:c>
      <x:c r="K1977" s="1"/>
      <x:c r="L1977" s="1" t="str">
        <x:v>https://blog.skyairline.com/panoramas-for-ninos-en-santiago/</x:v>
      </x:c>
      <x:c r="M1977" s="1" t="n">
        <x:v>0</x:v>
      </x:c>
    </x:row>
    <x:row r="1978" ht="18.75" customHeight="1">
      <x:c r="A1978" s="1" t="str">
        <x:v>https://blog.skyairline.com/descubre-economy-premier-la-nueva-experiencia-para-viajar-mas-comodo/</x:v>
      </x:c>
      <x:c r="B1978" s="1" t="str">
        <x:v>economy premium sky</x:v>
      </x:c>
      <x:c r="C1978" s="1" t="str">
        <x:v>arg</x:v>
      </x:c>
      <x:c r="D1978" s="1" t="str">
        <x:v>Marca</x:v>
      </x:c>
      <x:c r="E1978" s="35" t="n">
        <x:v>1</x:v>
      </x:c>
      <x:c r="F1978" s="36"/>
      <x:c r="G1978" s="36" t="str">
        <x:f>IF(ISNUMBER(F1978),E1978*F1978,"")</x:f>
      </x:c>
      <x:c r="H1978" s="37"/>
      <x:c r="I1978" s="37"/>
      <x:c r="J1978" s="1" t="n">
        <x:f>IF(ISNUMBER(F1978),E1978,0)</x:f>
        <x:v>0</x:v>
      </x:c>
      <x:c r="K1978" s="1"/>
      <x:c r="L1978" s="1" t="str">
        <x:v>https://blog.skyairline.com/panoramas-para-ninos-en-pasang</x:v>
      </x:c>
      <x:c r="M1978" s="1" t="n">
        <x:v>0</x:v>
      </x:c>
    </x:row>
    <x:row r="1979" ht="18.75" customHeight="1">
      <x:c r="A1979" s="1" t="str">
        <x:v>https://blog.skyairline.com/descubre-economy-premier-la-nueva-experiencia-para-viajar-mas-comodo/</x:v>
      </x:c>
      <x:c r="B1979" s="1" t="str">
        <x:v>economy premium sky</x:v>
      </x:c>
      <x:c r="C1979" s="1" t="str">
        <x:v>per</x:v>
      </x:c>
      <x:c r="D1979" s="1" t="str">
        <x:v>Marca</x:v>
      </x:c>
      <x:c r="E1979" s="35" t="n">
        <x:v>1</x:v>
      </x:c>
      <x:c r="F1979" s="36"/>
      <x:c r="G1979" s="36" t="str">
        <x:f>IF(ISNUMBER(F1979),E1979*F1979,"")</x:f>
      </x:c>
      <x:c r="H1979" s="37"/>
      <x:c r="I1979" s="37"/>
      <x:c r="J1979" s="1" t="n">
        <x:f>IF(ISNUMBER(F1979),E1979,0)</x:f>
        <x:v>0</x:v>
      </x:c>
      <x:c r="K1979" s="1"/>
      <x:c r="L1979" s="1" t="str">
        <x:v>https://blog.skyairline.com/panoramas-para-ninos-santiago/</x:v>
      </x:c>
      <x:c r="M1979" s="1" t="n">
        <x:v>0</x:v>
      </x:c>
    </x:row>
    <x:row r="1980" ht="18.75" customHeight="1">
      <x:c r="A1980" s="1" t="str">
        <x:v>https://blog.skyairline.com/descubre-economy-premier-la-nueva-experiencia-para-viajar-mas-comodo/</x:v>
      </x:c>
      <x:c r="B1980" s="1" t="str">
        <x:v>premium economy sky</x:v>
      </x:c>
      <x:c r="C1980" s="1" t="str">
        <x:v>chl</x:v>
      </x:c>
      <x:c r="D1980" s="1" t="str">
        <x:v>Marca</x:v>
      </x:c>
      <x:c r="E1980" s="35" t="n">
        <x:v>1</x:v>
      </x:c>
      <x:c r="F1980" s="36"/>
      <x:c r="G1980" s="36" t="str">
        <x:f>IF(ISNUMBER(F1980),E1980*F1980,"")</x:f>
      </x:c>
      <x:c r="H1980" s="37"/>
      <x:c r="I1980" s="37"/>
      <x:c r="J1980" s="1" t="n">
        <x:f>IF(ISNUMBER(F1980),E1980,0)</x:f>
        <x:v>0</x:v>
      </x:c>
      <x:c r="K1980" s="1"/>
      <x:c r="L1980" s="1" t="str">
        <x:v>https://blog.skyairline.com/panoramas-santiago-ninos</x:v>
      </x:c>
      <x:c r="M1980" s="1" t="n">
        <x:v>0</x:v>
      </x:c>
    </x:row>
    <x:row r="1981" ht="18.75" customHeight="1">
      <x:c r="A1981" s="1" t="str">
        <x:v>https://blog.skyairline.com/descubre-economy-premier-la-nueva-experiencia-para-viajar-mas-comodo/</x:v>
      </x:c>
      <x:c r="B1981" s="1" t="str">
        <x:v>sky airline economy premier</x:v>
      </x:c>
      <x:c r="C1981" s="1" t="str">
        <x:v>chl</x:v>
      </x:c>
      <x:c r="D1981" s="1" t="str">
        <x:v>Marca</x:v>
      </x:c>
      <x:c r="E1981" s="35" t="n">
        <x:v>1</x:v>
      </x:c>
      <x:c r="F1981" s="36"/>
      <x:c r="G1981" s="36" t="str">
        <x:f>IF(ISNUMBER(F1981),E1981*F1981,"")</x:f>
      </x:c>
      <x:c r="H1981" s="37"/>
      <x:c r="I1981" s="37"/>
      <x:c r="J1981" s="1" t="n">
        <x:f>IF(ISNUMBER(F1981),E1981,0)</x:f>
        <x:v>0</x:v>
      </x:c>
      <x:c r="K1981" s="1"/>
      <x:c r="L1981" s="1" t="str">
        <x:v>https://blog.skyairline.com/panoramas-santiago-ninos/</x:v>
      </x:c>
      <x:c r="M1981" s="1" t="n">
        <x:v>0</x:v>
      </x:c>
    </x:row>
    <x:row r="1982" ht="18.75" customHeight="1">
      <x:c r="A1982" s="1" t="str">
        <x:v>https://blog.skyairline.com/descubre-economy-premier-la-nueva-experiencia-para-viajar-mas-comodo/</x:v>
      </x:c>
      <x:c r="B1982" s="1" t="str">
        <x:v>sky economy premier</x:v>
      </x:c>
      <x:c r="C1982" s="1" t="str">
        <x:v>per</x:v>
      </x:c>
      <x:c r="D1982" s="1" t="str">
        <x:v>Marca</x:v>
      </x:c>
      <x:c r="E1982" s="35" t="n">
        <x:v>1</x:v>
      </x:c>
      <x:c r="F1982" s="36"/>
      <x:c r="G1982" s="36" t="str">
        <x:f>IF(ISNUMBER(F1982),E1982*F1982,"")</x:f>
      </x:c>
      <x:c r="H1982" s="37"/>
      <x:c r="I1982" s="37"/>
      <x:c r="J1982" s="1" t="n">
        <x:f>IF(ISNUMBER(F1982),E1982,0)</x:f>
        <x:v>0</x:v>
      </x:c>
      <x:c r="K1982" s="1"/>
      <x:c r="L1982" s="1" t="str">
        <x:v>https://blog.skyairline.com/paquete-turistico/</x:v>
      </x:c>
      <x:c r="M1982" s="1" t="n">
        <x:v>0</x:v>
      </x:c>
    </x:row>
    <x:row r="1983" ht="18.75" customHeight="1">
      <x:c r="A1983" s="1" t="str">
        <x:v>https://blog.skyairline.com/descubre-economy-premier-la-nueva-experiencia-para-viajar-mas-comodo/</x:v>
      </x:c>
      <x:c r="B1983" s="1" t="str">
        <x:v>sky premium</x:v>
      </x:c>
      <x:c r="C1983" s="1" t="str">
        <x:v>per</x:v>
      </x:c>
      <x:c r="D1983" s="1" t="str">
        <x:v>Marca</x:v>
      </x:c>
      <x:c r="E1983" s="35" t="n">
        <x:v>1</x:v>
      </x:c>
      <x:c r="F1983" s="36"/>
      <x:c r="G1983" s="36" t="str">
        <x:f>IF(ISNUMBER(F1983),E1983*F1983,"")</x:f>
      </x:c>
      <x:c r="H1983" s="37"/>
      <x:c r="I1983" s="37"/>
      <x:c r="J1983" s="1" t="n">
        <x:f>IF(ISNUMBER(F1983),E1983,0)</x:f>
        <x:v>0</x:v>
      </x:c>
      <x:c r="K1983" s="1"/>
      <x:c r="L1983" s="1" t="str">
        <x:v>https://blog.skyairline.com/paquetes-de-viajes-baratos/</x:v>
      </x:c>
      <x:c r="M1983" s="1" t="n">
        <x:v>0</x:v>
      </x:c>
    </x:row>
    <x:row r="1984" ht="18.75" customHeight="1">
      <x:c r="A1984" s="1" t="str">
        <x:v>https://blog.skyairline.com/descubre-economy-premier-la-nueva-experiencia-para-viajar-mas-comodo/</x:v>
      </x:c>
      <x:c r="B1984" s="1" t="str">
        <x:v>sky premium economy</x:v>
      </x:c>
      <x:c r="C1984" s="1" t="str">
        <x:v>chl</x:v>
      </x:c>
      <x:c r="D1984" s="1" t="str">
        <x:v>Marca</x:v>
      </x:c>
      <x:c r="E1984" s="35" t="n">
        <x:v>1</x:v>
      </x:c>
      <x:c r="F1984" s="36"/>
      <x:c r="G1984" s="36" t="str">
        <x:f>IF(ISNUMBER(F1984),E1984*F1984,"")</x:f>
      </x:c>
      <x:c r="H1984" s="37"/>
      <x:c r="I1984" s="37"/>
      <x:c r="J1984" s="1" t="n">
        <x:f>IF(ISNUMBER(F1984),E1984,0)</x:f>
        <x:v>0</x:v>
      </x:c>
      <x:c r="K1984" s="1"/>
      <x:c r="L1984" s="1" t="str">
        <x:v>https://blog.skyairline.com/paraty/</x:v>
      </x:c>
      <x:c r="M1984" s="1" t="n">
        <x:v>0</x:v>
      </x:c>
    </x:row>
    <x:row r="1985" ht="18.75" customHeight="1">
      <x:c r="A1985" s="1" t="str">
        <x:v>https://blog.skyairline.com/descubre-las-fiestas-religiosas-de-chile-mas-famosas/</x:v>
      </x:c>
      <x:c r="B1985" s="1" t="str">
        <x:v>fiestas religiosas de chile</x:v>
      </x:c>
      <x:c r="C1985" s="1" t="str">
        <x:v>chl</x:v>
      </x:c>
      <x:c r="D1985" s="1" t="str">
        <x:v>Sin marca</x:v>
      </x:c>
      <x:c r="E1985" s="35" t="n">
        <x:v>1</x:v>
      </x:c>
      <x:c r="F1985" s="36"/>
      <x:c r="G1985" s="36" t="str">
        <x:f>IF(ISNUMBER(F1985),E1985*F1985,"")</x:f>
      </x:c>
      <x:c r="H1985" s="37" t="d">
        <x:v>2026-10-15T00:00:00.000Z</x:v>
      </x:c>
      <x:c r="I1985" s="37" t="d">
        <x:v>2026-09-15T20:49:07.999Z</x:v>
      </x:c>
      <x:c r="J1985" s="1" t="n">
        <x:f>IF(ISNUMBER(F1985),E1985,0)</x:f>
        <x:v>0</x:v>
      </x:c>
      <x:c r="K1985" s="1"/>
      <x:c r="L1985" s="1" t="str">
        <x:v>https://blog.skyairline.com/parque-arqueologico-pisac/</x:v>
      </x:c>
      <x:c r="M1985" s="1" t="n">
        <x:v>0</x:v>
      </x:c>
    </x:row>
    <x:row r="1986" ht="18.75" customHeight="1">
      <x:c r="A1986" s="1" t="str">
        <x:v>https://blog.skyairline.com/desierto-ica/</x:v>
      </x:c>
      <x:c r="B1986" s="1" t="str">
        <x:v>desierto de ica</x:v>
      </x:c>
      <x:c r="C1986" s="1" t="str">
        <x:v>bol</x:v>
      </x:c>
      <x:c r="D1986" s="1" t="str">
        <x:v>Sin marca</x:v>
      </x:c>
      <x:c r="E1986" s="35" t="n">
        <x:v>1</x:v>
      </x:c>
      <x:c r="F1986" s="36"/>
      <x:c r="G1986" s="36" t="str">
        <x:f>IF(ISNUMBER(F1986),E1986*F1986,"")</x:f>
      </x:c>
      <x:c r="H1986" s="37"/>
      <x:c r="I1986" s="37"/>
      <x:c r="J1986" s="1" t="n">
        <x:f>IF(ISNUMBER(F1986),E1986,0)</x:f>
        <x:v>0</x:v>
      </x:c>
      <x:c r="K1986" s="1"/>
      <x:c r="L1986" s="1" t="str">
        <x:v>https://blog.skyairline.com/parque-cultural-ruinas-de-huanchaca/</x:v>
      </x:c>
      <x:c r="M1986" s="1" t="n">
        <x:v>0</x:v>
      </x:c>
    </x:row>
    <x:row r="1987" ht="18.75" customHeight="1">
      <x:c r="A1987" s="1" t="str">
        <x:v>https://blog.skyairline.com/destinos-baratos/</x:v>
      </x:c>
      <x:c r="B1987" s="1" t="str">
        <x:v>destinos baratos</x:v>
      </x:c>
      <x:c r="C1987" s="1" t="str">
        <x:v>chl</x:v>
      </x:c>
      <x:c r="D1987" s="1" t="str">
        <x:v>Sin marca</x:v>
      </x:c>
      <x:c r="E1987" s="35" t="n">
        <x:v>1</x:v>
      </x:c>
      <x:c r="F1987" s="36" t="n">
        <x:v>0.76</x:v>
      </x:c>
      <x:c r="G1987" s="36" t="n">
        <x:f>IF(ISNUMBER(F1987),E1987*F1987,"")</x:f>
        <x:v>0.76</x:v>
      </x:c>
      <x:c r="H1987" s="37" t="d">
        <x:v>2026-10-15T00:00:00.000Z</x:v>
      </x:c>
      <x:c r="I1987" s="37" t="d">
        <x:v>2026-09-12T20:23:22.000Z</x:v>
      </x:c>
      <x:c r="J1987" s="1" t="n">
        <x:f>IF(ISNUMBER(F1987),E1987,0)</x:f>
        <x:v>1</x:v>
      </x:c>
      <x:c r="K1987" s="1"/>
      <x:c r="L1987" s="1" t="str">
        <x:v>https://blog.skyairline.com/parque-de-los-molinos-de-vento/</x:v>
      </x:c>
      <x:c r="M1987" s="1" t="n">
        <x:v>0</x:v>
      </x:c>
    </x:row>
    <x:row r="1988" ht="18.75" customHeight="1">
      <x:c r="A1988" s="1" t="str">
        <x:v>https://blog.skyairline.com/destinos-baratos/</x:v>
      </x:c>
      <x:c r="B1988" s="1" t="str">
        <x:v>destinos de viajes baratos</x:v>
      </x:c>
      <x:c r="C1988" s="1" t="str">
        <x:v>chl</x:v>
      </x:c>
      <x:c r="D1988" s="1" t="str">
        <x:v>Sin marca</x:v>
      </x:c>
      <x:c r="E1988" s="35" t="n">
        <x:v>1</x:v>
      </x:c>
      <x:c r="F1988" s="36"/>
      <x:c r="G1988" s="36" t="str">
        <x:f>IF(ISNUMBER(F1988),E1988*F1988,"")</x:f>
      </x:c>
      <x:c r="H1988" s="37"/>
      <x:c r="I1988" s="37"/>
      <x:c r="J1988" s="1" t="n">
        <x:f>IF(ISNUMBER(F1988),E1988,0)</x:f>
        <x:v>0</x:v>
      </x:c>
      <x:c r="K1988" s="1"/>
      <x:c r="L1988" s="1" t="str">
        <x:v>https://blog.skyairline.com/parque-de-los-molinos-de-viento/</x:v>
      </x:c>
      <x:c r="M1988" s="1" t="n">
        <x:v>0</x:v>
      </x:c>
    </x:row>
    <x:row r="1989" ht="18.75" customHeight="1">
      <x:c r="A1989" s="1" t="str">
        <x:v>https://blog.skyairline.com/diciembre-en-chile/</x:v>
      </x:c>
      <x:c r="B1989" s="1" t="str">
        <x:v>chile en diciembre</x:v>
      </x:c>
      <x:c r="C1989" s="1" t="str">
        <x:v>col</x:v>
      </x:c>
      <x:c r="D1989" s="1" t="str">
        <x:v>Sin marca</x:v>
      </x:c>
      <x:c r="E1989" s="35" t="n">
        <x:v>1</x:v>
      </x:c>
      <x:c r="F1989" s="36"/>
      <x:c r="G1989" s="36" t="str">
        <x:f>IF(ISNUMBER(F1989),E1989*F1989,"")</x:f>
      </x:c>
      <x:c r="H1989" s="37"/>
      <x:c r="I1989" s="37"/>
      <x:c r="J1989" s="1" t="n">
        <x:f>IF(ISNUMBER(F1989),E1989,0)</x:f>
        <x:v>0</x:v>
      </x:c>
      <x:c r="K1989" s="1"/>
      <x:c r="L1989" s="1" t="str">
        <x:v>https://blog.skyairline.com/parque-del-plata/</x:v>
      </x:c>
      <x:c r="M1989" s="1" t="n">
        <x:v>0</x:v>
      </x:c>
    </x:row>
    <x:row r="1990" ht="18.75" customHeight="1">
      <x:c r="A1990" s="1" t="str">
        <x:v>https://blog.skyairline.com/documentos-que-necesitas-para-viajar-a-argentina-desde-chile/</x:v>
      </x:c>
      <x:c r="B1990" s="1" t="str">
        <x:v>de chile a argentina</x:v>
      </x:c>
      <x:c r="C1990" s="1" t="str">
        <x:v>chl</x:v>
      </x:c>
      <x:c r="D1990" s="1" t="str">
        <x:v>Sin marca</x:v>
      </x:c>
      <x:c r="E1990" s="35" t="n">
        <x:v>1</x:v>
      </x:c>
      <x:c r="F1990" s="36" t="n">
        <x:v>0.34</x:v>
      </x:c>
      <x:c r="G1990" s="36" t="n">
        <x:f>IF(ISNUMBER(F1990),E1990*F1990,"")</x:f>
        <x:v>0.34</x:v>
      </x:c>
      <x:c r="H1990" s="37" t="d">
        <x:v>2026-10-15T00:00:00.000Z</x:v>
      </x:c>
      <x:c r="I1990" s="37" t="d">
        <x:v>2026-09-17T09:57:35.000Z</x:v>
      </x:c>
      <x:c r="J1990" s="1" t="n">
        <x:f>IF(ISNUMBER(F1990),E1990,0)</x:f>
        <x:v>1</x:v>
      </x:c>
      <x:c r="K1990" s="1"/>
      <x:c r="L1990" s="1" t="str">
        <x:v>https://blog.skyairline.com/parque-farellones/</x:v>
      </x:c>
      <x:c r="M1990" s="1" t="n">
        <x:v>0</x:v>
      </x:c>
    </x:row>
    <x:row r="1991" ht="18.75" customHeight="1">
      <x:c r="A1991" s="1" t="str">
        <x:v>https://blog.skyairline.com/documentos-que-necesitas-para-viajar-a-argentina-desde-chile/</x:v>
      </x:c>
      <x:c r="B1991" s="1" t="str">
        <x:v>declaración jurada para ingresar a argentina</x:v>
      </x:c>
      <x:c r="C1991" s="1" t="str">
        <x:v>chl</x:v>
      </x:c>
      <x:c r="D1991" s="1" t="str">
        <x:v>Sin marca</x:v>
      </x:c>
      <x:c r="E1991" s="35" t="n">
        <x:v>1</x:v>
      </x:c>
      <x:c r="F1991" s="36"/>
      <x:c r="G1991" s="36" t="str">
        <x:f>IF(ISNUMBER(F1991),E1991*F1991,"")</x:f>
      </x:c>
      <x:c r="H1991" s="37" t="d">
        <x:v>2026-10-15T00:00:00.000Z</x:v>
      </x:c>
      <x:c r="I1991" s="37" t="d">
        <x:v>2026-09-14T23:19:28.000Z</x:v>
      </x:c>
      <x:c r="J1991" s="1" t="n">
        <x:f>IF(ISNUMBER(F1991),E1991,0)</x:f>
        <x:v>0</x:v>
      </x:c>
      <x:c r="K1991" s="1"/>
      <x:c r="L1991" s="1" t="str">
        <x:v>https://blog.skyairline.com/parque-farroupilha/</x:v>
      </x:c>
      <x:c r="M1991" s="1" t="n">
        <x:v>0</x:v>
      </x:c>
    </x:row>
    <x:row r="1992" ht="18.75" customHeight="1">
      <x:c r="A1992" s="1" t="str">
        <x:v>https://blog.skyairline.com/documentos-que-necesitas-para-viajar-a-argentina-desde-chile/</x:v>
      </x:c>
      <x:c r="B1992" s="1" t="str">
        <x:v>documentos para viajar a argentina</x:v>
      </x:c>
      <x:c r="C1992" s="1" t="str">
        <x:v>chl</x:v>
      </x:c>
      <x:c r="D1992" s="1" t="str">
        <x:v>Sin marca</x:v>
      </x:c>
      <x:c r="E1992" s="35" t="n">
        <x:v>1</x:v>
      </x:c>
      <x:c r="F1992" s="36" t="n">
        <x:v>0.6</x:v>
      </x:c>
      <x:c r="G1992" s="36" t="n">
        <x:f>IF(ISNUMBER(F1992),E1992*F1992,"")</x:f>
        <x:v>0.6</x:v>
      </x:c>
      <x:c r="H1992" s="37" t="d">
        <x:v>2026-10-15T00:00:00.000Z</x:v>
      </x:c>
      <x:c r="I1992" s="37" t="d">
        <x:v>2026-09-16T03:51:27.000Z</x:v>
      </x:c>
      <x:c r="J1992" s="1" t="n">
        <x:f>IF(ISNUMBER(F1992),E1992,0)</x:f>
        <x:v>1</x:v>
      </x:c>
      <x:c r="K1992" s="1"/>
      <x:c r="L1992" s="1" t="str">
        <x:v>https://blog.skyairline.com/parque-hornopiren-que-ver-y-como-llegar/</x:v>
      </x:c>
      <x:c r="M1992" s="1" t="n">
        <x:v>0</x:v>
      </x:c>
    </x:row>
    <x:row r="1993" ht="18.75" customHeight="1">
      <x:c r="A1993" s="1" t="str">
        <x:v>https://blog.skyairline.com/documentos-que-necesitas-para-viajar-a-argentina-desde-chile/</x:v>
      </x:c>
      <x:c r="B1993" s="1" t="str">
        <x:v>en avión</x:v>
      </x:c>
      <x:c r="C1993" s="1" t="str">
        <x:v>chl</x:v>
      </x:c>
      <x:c r="D1993" s="1" t="str">
        <x:v>Sin marca</x:v>
      </x:c>
      <x:c r="E1993" s="35" t="n">
        <x:v>1</x:v>
      </x:c>
      <x:c r="F1993" s="36"/>
      <x:c r="G1993" s="36" t="str">
        <x:f>IF(ISNUMBER(F1993),E1993*F1993,"")</x:f>
      </x:c>
      <x:c r="H1993" s="37"/>
      <x:c r="I1993" s="37"/>
      <x:c r="J1993" s="1" t="n">
        <x:f>IF(ISNUMBER(F1993),E1993,0)</x:f>
        <x:v>0</x:v>
      </x:c>
      <x:c r="K1993" s="1"/>
      <x:c r="L1993" s="1" t="str">
        <x:v>https://blog.skyairline.com/parque-nacional-cerro-castillo/</x:v>
      </x:c>
      <x:c r="M1993" s="1" t="n">
        <x:v>0</x:v>
      </x:c>
    </x:row>
    <x:row r="1994" ht="18.75" customHeight="1">
      <x:c r="A1994" s="1" t="str">
        <x:v>https://blog.skyairline.com/documentos-que-necesitas-para-viajar-a-argentina-desde-chile/</x:v>
      </x:c>
      <x:c r="B1994" s="1" t="str">
        <x:v>para ir a argentina se necesita pasaporte</x:v>
      </x:c>
      <x:c r="C1994" s="1" t="str">
        <x:v>chl</x:v>
      </x:c>
      <x:c r="D1994" s="1" t="str">
        <x:v>Sin marca</x:v>
      </x:c>
      <x:c r="E1994" s="35" t="n">
        <x:v>1</x:v>
      </x:c>
      <x:c r="F1994" s="36" t="n">
        <x:v>0.3</x:v>
      </x:c>
      <x:c r="G1994" s="36" t="n">
        <x:f>IF(ISNUMBER(F1994),E1994*F1994,"")</x:f>
        <x:v>0.3</x:v>
      </x:c>
      <x:c r="H1994" s="37" t="d">
        <x:v>2026-10-15T00:00:00.000Z</x:v>
      </x:c>
      <x:c r="I1994" s="37" t="d">
        <x:v>2026-09-15T08:10:56.000Z</x:v>
      </x:c>
      <x:c r="J1994" s="1" t="n">
        <x:f>IF(ISNUMBER(F1994),E1994,0)</x:f>
        <x:v>1</x:v>
      </x:c>
      <x:c r="K1994" s="1"/>
      <x:c r="L1994" s="1" t="str">
        <x:v>https://blog.skyairline.com/parque-nacional-conguillio/</x:v>
      </x:c>
      <x:c r="M1994" s="1" t="n">
        <x:v>0</x:v>
      </x:c>
    </x:row>
    <x:row r="1995" ht="18.75" customHeight="1">
      <x:c r="A1995" s="1" t="str">
        <x:v>https://blog.skyairline.com/documentos-que-necesitas-para-viajar-a-argentina-desde-chile/</x:v>
      </x:c>
      <x:c r="B1995" s="1" t="str">
        <x:v>para viajar a argentina que se necesita</x:v>
      </x:c>
      <x:c r="C1995" s="1" t="str">
        <x:v>chl</x:v>
      </x:c>
      <x:c r="D1995" s="1" t="str">
        <x:v>Sin marca</x:v>
      </x:c>
      <x:c r="E1995" s="35" t="n">
        <x:v>1</x:v>
      </x:c>
      <x:c r="F1995" s="36"/>
      <x:c r="G1995" s="36" t="str">
        <x:f>IF(ISNUMBER(F1995),E1995*F1995,"")</x:f>
      </x:c>
      <x:c r="H1995" s="37" t="d">
        <x:v>2026-10-15T00:00:00.000Z</x:v>
      </x:c>
      <x:c r="I1995" s="37" t="d">
        <x:v>2026-09-16T11:59:34.000Z</x:v>
      </x:c>
      <x:c r="J1995" s="1" t="n">
        <x:f>IF(ISNUMBER(F1995),E1995,0)</x:f>
        <x:v>0</x:v>
      </x:c>
      <x:c r="K1995" s="1"/>
      <x:c r="L1995" s="1" t="str">
        <x:v>https://blog.skyairline.com/parque-nacional-los-glaciares/</x:v>
      </x:c>
      <x:c r="M1995" s="1" t="n">
        <x:v>0</x:v>
      </x:c>
    </x:row>
    <x:row r="1996" ht="18.75" customHeight="1">
      <x:c r="A1996" s="1" t="str">
        <x:v>https://blog.skyairline.com/documentos-que-necesitas-para-viajar-a-argentina-desde-chile/</x:v>
      </x:c>
      <x:c r="B1996" s="1" t="str">
        <x:v>para viajar a buenos aires se necesita pasaporte</x:v>
      </x:c>
      <x:c r="C1996" s="1" t="str">
        <x:v>chl</x:v>
      </x:c>
      <x:c r="D1996" s="1" t="str">
        <x:v>Sin marca</x:v>
      </x:c>
      <x:c r="E1996" s="35" t="n">
        <x:v>1</x:v>
      </x:c>
      <x:c r="F1996" s="36"/>
      <x:c r="G1996" s="36" t="str">
        <x:f>IF(ISNUMBER(F1996),E1996*F1996,"")</x:f>
      </x:c>
      <x:c r="H1996" s="37"/>
      <x:c r="I1996" s="37"/>
      <x:c r="J1996" s="1" t="n">
        <x:f>IF(ISNUMBER(F1996),E1996,0)</x:f>
        <x:v>0</x:v>
      </x:c>
      <x:c r="K1996" s="1"/>
      <x:c r="L1996" s="1" t="str">
        <x:v>https://blog.skyairline.com/parque-nacional-nahuelbuta/</x:v>
      </x:c>
      <x:c r="M1996" s="1" t="n">
        <x:v>0</x:v>
      </x:c>
    </x:row>
    <x:row r="1997" ht="18.75" customHeight="1">
      <x:c r="A1997" s="1" t="str">
        <x:v>https://blog.skyairline.com/documentos-que-necesitas-para-viajar-a-argentina-desde-chile/</x:v>
      </x:c>
      <x:c r="B1997" s="1" t="str">
        <x:v>que necesito para viajar a argentina</x:v>
      </x:c>
      <x:c r="C1997" s="1" t="str">
        <x:v>chl</x:v>
      </x:c>
      <x:c r="D1997" s="1" t="str">
        <x:v>Sin marca</x:v>
      </x:c>
      <x:c r="E1997" s="35" t="n">
        <x:v>1</x:v>
      </x:c>
      <x:c r="F1997" s="36" t="n">
        <x:v>0.73</x:v>
      </x:c>
      <x:c r="G1997" s="36" t="n">
        <x:f>IF(ISNUMBER(F1997),E1997*F1997,"")</x:f>
        <x:v>0.73</x:v>
      </x:c>
      <x:c r="H1997" s="37" t="d">
        <x:v>2026-10-15T00:00:00.000Z</x:v>
      </x:c>
      <x:c r="I1997" s="37" t="d">
        <x:v>2026-09-14T04:57:34.000Z</x:v>
      </x:c>
      <x:c r="J1997" s="1" t="n">
        <x:f>IF(ISNUMBER(F1997),E1997,0)</x:f>
        <x:v>1</x:v>
      </x:c>
      <x:c r="K1997" s="1"/>
      <x:c r="L1997" s="1" t="str">
        <x:v>https://blog.skyairline.com/parque-nacional-puyehue/</x:v>
      </x:c>
      <x:c r="M1997" s="1" t="n">
        <x:v>0</x:v>
      </x:c>
    </x:row>
    <x:row r="1998" ht="18.75" customHeight="1">
      <x:c r="A1998" s="1" t="str">
        <x:v>https://blog.skyairline.com/documentos-que-necesitas-para-viajar-a-argentina-desde-chile/</x:v>
      </x:c>
      <x:c r="B1998" s="1" t="str">
        <x:v>que se necesita para entrar a argentina desde chile</x:v>
      </x:c>
      <x:c r="C1998" s="1" t="str">
        <x:v>chl</x:v>
      </x:c>
      <x:c r="D1998" s="1" t="str">
        <x:v>Sin marca</x:v>
      </x:c>
      <x:c r="E1998" s="35" t="n">
        <x:v>1</x:v>
      </x:c>
      <x:c r="F1998" s="36"/>
      <x:c r="G1998" s="36" t="str">
        <x:f>IF(ISNUMBER(F1998),E1998*F1998,"")</x:f>
      </x:c>
      <x:c r="H1998" s="37"/>
      <x:c r="I1998" s="37"/>
      <x:c r="J1998" s="1" t="n">
        <x:f>IF(ISNUMBER(F1998),E1998,0)</x:f>
        <x:v>0</x:v>
      </x:c>
      <x:c r="K1998" s="1"/>
      <x:c r="L1998" s="1" t="str">
        <x:v>https://blog.skyairline.com/parque-nacional-torres-del-paine-2/</x:v>
      </x:c>
      <x:c r="M1998" s="1" t="n">
        <x:v>0</x:v>
      </x:c>
    </x:row>
    <x:row r="1999" ht="18.75" customHeight="1">
      <x:c r="A1999" s="1" t="str">
        <x:v>https://blog.skyairline.com/documentos-que-necesitas-para-viajar-a-argentina-desde-chile/</x:v>
      </x:c>
      <x:c r="B1999" s="1" t="str">
        <x:v>requisitos ingreso argentina</x:v>
      </x:c>
      <x:c r="C1999" s="1" t="str">
        <x:v>chl</x:v>
      </x:c>
      <x:c r="D1999" s="1" t="str">
        <x:v>Sin marca</x:v>
      </x:c>
      <x:c r="E1999" s="35" t="n">
        <x:v>1</x:v>
      </x:c>
      <x:c r="F1999" s="36" t="n">
        <x:v>0.2</x:v>
      </x:c>
      <x:c r="G1999" s="36" t="n">
        <x:f>IF(ISNUMBER(F1999),E1999*F1999,"")</x:f>
        <x:v>0.2</x:v>
      </x:c>
      <x:c r="H1999" s="37" t="d">
        <x:v>2026-10-15T00:00:00.000Z</x:v>
      </x:c>
      <x:c r="I1999" s="37" t="d">
        <x:v>2026-09-17T10:54:51.000Z</x:v>
      </x:c>
      <x:c r="J1999" s="1" t="n">
        <x:f>IF(ISNUMBER(F1999),E1999,0)</x:f>
        <x:v>1</x:v>
      </x:c>
      <x:c r="K1999" s="1"/>
      <x:c r="L1999" s="1" t="str">
        <x:v>https://blog.skyairline.com/parque-nacional-torres-del-paine-3/</x:v>
      </x:c>
      <x:c r="M1999" s="1" t="n">
        <x:v>0</x:v>
      </x:c>
    </x:row>
    <x:row r="2000" ht="18.75" customHeight="1">
      <x:c r="A2000" s="1" t="str">
        <x:v>https://blog.skyairline.com/documentos-que-necesitas-para-viajar-a-argentina-desde-chile/</x:v>
      </x:c>
      <x:c r="B2000" s="1" t="str">
        <x:v>requisitos para ingresar a argentina</x:v>
      </x:c>
      <x:c r="C2000" s="1" t="str">
        <x:v>chl</x:v>
      </x:c>
      <x:c r="D2000" s="1" t="str">
        <x:v>Sin marca</x:v>
      </x:c>
      <x:c r="E2000" s="35" t="n">
        <x:v>1</x:v>
      </x:c>
      <x:c r="F2000" s="36" t="n">
        <x:v>1.09</x:v>
      </x:c>
      <x:c r="G2000" s="36" t="n">
        <x:f>IF(ISNUMBER(F2000),E2000*F2000,"")</x:f>
        <x:v>1.09</x:v>
      </x:c>
      <x:c r="H2000" s="37" t="d">
        <x:v>2026-10-15T00:00:00.000Z</x:v>
      </x:c>
      <x:c r="I2000" s="37" t="d">
        <x:v>2026-09-16T11:05:25.000Z</x:v>
      </x:c>
      <x:c r="J2000" s="1" t="n">
        <x:f>IF(ISNUMBER(F2000),E2000,0)</x:f>
        <x:v>1</x:v>
      </x:c>
      <x:c r="K2000" s="1"/>
      <x:c r="L2000" s="1" t="str">
        <x:v>https://blog.skyairline.com/parque-nacional-torres-del-paine/</x:v>
      </x:c>
      <x:c r="M2000" s="1" t="n">
        <x:v>0</x:v>
      </x:c>
    </x:row>
    <x:row r="2001" ht="18.75" customHeight="1">
      <x:c r="A2001" s="1" t="str">
        <x:v>https://blog.skyairline.com/documentos-que-necesitas-para-viajar-a-argentina-desde-chile/</x:v>
      </x:c>
      <x:c r="B2001" s="1" t="str">
        <x:v>requisitos para ingresar a buenos aires</x:v>
      </x:c>
      <x:c r="C2001" s="1" t="str">
        <x:v>chl</x:v>
      </x:c>
      <x:c r="D2001" s="1" t="str">
        <x:v>Sin marca</x:v>
      </x:c>
      <x:c r="E2001" s="35" t="n">
        <x:v>1</x:v>
      </x:c>
      <x:c r="F2001" s="36" t="n">
        <x:v>1.03</x:v>
      </x:c>
      <x:c r="G2001" s="36" t="n">
        <x:f>IF(ISNUMBER(F2001),E2001*F2001,"")</x:f>
        <x:v>1.03</x:v>
      </x:c>
      <x:c r="H2001" s="37" t="d">
        <x:v>2026-10-15T00:00:00.000Z</x:v>
      </x:c>
      <x:c r="I2001" s="37" t="d">
        <x:v>2026-09-17T12:25:33.000Z</x:v>
      </x:c>
      <x:c r="J2001" s="1" t="n">
        <x:f>IF(ISNUMBER(F2001),E2001,0)</x:f>
        <x:v>1</x:v>
      </x:c>
      <x:c r="K2001" s="1"/>
      <x:c r="L2001" s="1" t="str">
        <x:v>https://blog.skyairline.com/parque-nahuelito-en-bariloche-2/</x:v>
      </x:c>
      <x:c r="M2001" s="1" t="n">
        <x:v>0</x:v>
      </x:c>
    </x:row>
    <x:row r="2002" ht="18.75" customHeight="1">
      <x:c r="A2002" s="1" t="str">
        <x:v>https://blog.skyairline.com/documentos-que-necesitas-para-viajar-a-argentina-desde-chile/</x:v>
      </x:c>
      <x:c r="B2002" s="1" t="str">
        <x:v>requisitos para viajar a argentina desde chile</x:v>
      </x:c>
      <x:c r="C2002" s="1" t="str">
        <x:v>chl</x:v>
      </x:c>
      <x:c r="D2002" s="1" t="str">
        <x:v>Sin marca</x:v>
      </x:c>
      <x:c r="E2002" s="35" t="n">
        <x:v>1</x:v>
      </x:c>
      <x:c r="F2002" s="36" t="n">
        <x:v>0.76</x:v>
      </x:c>
      <x:c r="G2002" s="36" t="n">
        <x:f>IF(ISNUMBER(F2002),E2002*F2002,"")</x:f>
        <x:v>0.76</x:v>
      </x:c>
      <x:c r="H2002" s="37" t="d">
        <x:v>2026-10-15T00:00:00.000Z</x:v>
      </x:c>
      <x:c r="I2002" s="37" t="d">
        <x:v>2026-09-14T09:35:55.000Z</x:v>
      </x:c>
      <x:c r="J2002" s="1" t="n">
        <x:f>IF(ISNUMBER(F2002),E2002,0)</x:f>
        <x:v>1</x:v>
      </x:c>
      <x:c r="K2002" s="1"/>
      <x:c r="L2002" s="1" t="str">
        <x:v>https://blog.skyairline.com/parque-nahuelito-en-bariloche/</x:v>
      </x:c>
      <x:c r="M2002" s="1" t="n">
        <x:v>0</x:v>
      </x:c>
    </x:row>
    <x:row r="2003" ht="18.75" customHeight="1">
      <x:c r="A2003" s="1" t="str">
        <x:v>https://blog.skyairline.com/documentos-que-necesitas-para-viajar-a-argentina-desde-chile/</x:v>
      </x:c>
      <x:c r="B2003" s="1" t="str">
        <x:v>requisitos para viajar a argentina en avión</x:v>
      </x:c>
      <x:c r="C2003" s="1" t="str">
        <x:v>chl</x:v>
      </x:c>
      <x:c r="D2003" s="1" t="str">
        <x:v>Sin marca</x:v>
      </x:c>
      <x:c r="E2003" s="35" t="n">
        <x:v>1</x:v>
      </x:c>
      <x:c r="F2003" s="36" t="n">
        <x:v>1.15</x:v>
      </x:c>
      <x:c r="G2003" s="36" t="n">
        <x:f>IF(ISNUMBER(F2003),E2003*F2003,"")</x:f>
        <x:v>1.15</x:v>
      </x:c>
      <x:c r="H2003" s="37" t="d">
        <x:v>2026-10-15T00:00:00.000Z</x:v>
      </x:c>
      <x:c r="I2003" s="37" t="d">
        <x:v>2026-09-16T04:04:49.000Z</x:v>
      </x:c>
      <x:c r="J2003" s="1" t="n">
        <x:f>IF(ISNUMBER(F2003),E2003,0)</x:f>
        <x:v>1</x:v>
      </x:c>
      <x:c r="K2003" s="1"/>
      <x:c r="L2003" s="1" t="str">
        <x:v>https://blog.skyairline.com/parque-provincial-aconcagua/</x:v>
      </x:c>
      <x:c r="M2003" s="1" t="n">
        <x:v>0</x:v>
      </x:c>
    </x:row>
    <x:row r="2004" ht="18.75" customHeight="1">
      <x:c r="A2004" s="1" t="str">
        <x:v>https://blog.skyairline.com/documentos-que-necesitas-para-viajar-a-argentina-desde-chile/</x:v>
      </x:c>
      <x:c r="B2004" s="1" t="str">
        <x:v>requisitos para viajar de chile a argentina</x:v>
      </x:c>
      <x:c r="C2004" s="1" t="str">
        <x:v>chl</x:v>
      </x:c>
      <x:c r="D2004" s="1" t="str">
        <x:v>Sin marca</x:v>
      </x:c>
      <x:c r="E2004" s="35" t="n">
        <x:v>1</x:v>
      </x:c>
      <x:c r="F2004" s="36"/>
      <x:c r="G2004" s="36" t="str">
        <x:f>IF(ISNUMBER(F2004),E2004*F2004,"")</x:f>
      </x:c>
      <x:c r="H2004" s="37" t="d">
        <x:v>2026-10-15T00:00:00.000Z</x:v>
      </x:c>
      <x:c r="I2004" s="37" t="d">
        <x:v>2026-09-14T20:01:57.000Z</x:v>
      </x:c>
      <x:c r="J2004" s="1" t="n">
        <x:f>IF(ISNUMBER(F2004),E2004,0)</x:f>
        <x:v>0</x:v>
      </x:c>
      <x:c r="K2004" s="1"/>
      <x:c r="L2004" s="1" t="str">
        <x:v>https://blog.skyairline.com/parques-acuaticos-en-punta-cana/</x:v>
      </x:c>
      <x:c r="M2004" s="1" t="n">
        <x:v>0</x:v>
      </x:c>
    </x:row>
    <x:row r="2005" ht="18.75" customHeight="1">
      <x:c r="A2005" s="1" t="str">
        <x:v>https://blog.skyairline.com/documentos-que-necesitas-para-viajar-a-argentina-desde-chile/</x:v>
      </x:c>
      <x:c r="B2005" s="1" t="str">
        <x:v>se necesita visa para viajar a argentina</x:v>
      </x:c>
      <x:c r="C2005" s="1" t="str">
        <x:v>chl</x:v>
      </x:c>
      <x:c r="D2005" s="1" t="str">
        <x:v>Sin marca</x:v>
      </x:c>
      <x:c r="E2005" s="35" t="n">
        <x:v>1</x:v>
      </x:c>
      <x:c r="F2005" s="36"/>
      <x:c r="G2005" s="36" t="str">
        <x:f>IF(ISNUMBER(F2005),E2005*F2005,"")</x:f>
      </x:c>
      <x:c r="H2005" s="37"/>
      <x:c r="I2005" s="37"/>
      <x:c r="J2005" s="1" t="n">
        <x:f>IF(ISNUMBER(F2005),E2005,0)</x:f>
        <x:v>0</x:v>
      </x:c>
      <x:c r="K2005" s="1"/>
      <x:c r="L2005" s="1" t="str">
        <x:v>https://blog.skyairline.com/parques-en-santiago/</x:v>
      </x:c>
      <x:c r="M2005" s="1" t="n">
        <x:v>0</x:v>
      </x:c>
    </x:row>
    <x:row r="2006" ht="18.75" customHeight="1">
      <x:c r="A2006" s="1" t="str">
        <x:v>https://blog.skyairline.com/documentos-que-necesitas-para-viajar-a-argentina-desde-chile/</x:v>
      </x:c>
      <x:c r="B2006" s="1" t="str">
        <x:v>viajo en avión</x:v>
      </x:c>
      <x:c r="C2006" s="1" t="str">
        <x:v>chl</x:v>
      </x:c>
      <x:c r="D2006" s="1" t="str">
        <x:v>Sin marca</x:v>
      </x:c>
      <x:c r="E2006" s="35" t="n">
        <x:v>1</x:v>
      </x:c>
      <x:c r="F2006" s="36"/>
      <x:c r="G2006" s="36" t="str">
        <x:f>IF(ISNUMBER(F2006),E2006*F2006,"")</x:f>
      </x:c>
      <x:c r="H2006" s="37"/>
      <x:c r="I2006" s="37"/>
      <x:c r="J2006" s="1" t="n">
        <x:f>IF(ISNUMBER(F2006),E2006,0)</x:f>
        <x:v>0</x:v>
      </x:c>
      <x:c r="K2006" s="1"/>
      <x:c r="L2006" s="1" t="str">
        <x:v>https://blog.skyairline.com/parques-xcaret/</x:v>
      </x:c>
      <x:c r="M2006" s="1" t="n">
        <x:v>0</x:v>
      </x:c>
    </x:row>
    <x:row r="2007" ht="18.75" customHeight="1">
      <x:c r="A2007" s="1" t="str">
        <x:v>https://blog.skyairline.com/documentos-viaje/</x:v>
      </x:c>
      <x:c r="B2007" s="1" t="str">
        <x:v>en sky airline</x:v>
      </x:c>
      <x:c r="C2007" s="1" t="str">
        <x:v>per</x:v>
      </x:c>
      <x:c r="D2007" s="1" t="str">
        <x:v>Marca</x:v>
      </x:c>
      <x:c r="E2007" s="35" t="n">
        <x:v>1</x:v>
      </x:c>
      <x:c r="F2007" s="36"/>
      <x:c r="G2007" s="36" t="str">
        <x:f>IF(ISNUMBER(F2007),E2007*F2007,"")</x:f>
      </x:c>
      <x:c r="H2007" s="37"/>
      <x:c r="I2007" s="37"/>
      <x:c r="J2007" s="1" t="n">
        <x:f>IF(ISNUMBER(F2007),E2007,0)</x:f>
        <x:v>0</x:v>
      </x:c>
      <x:c r="K2007" s="1"/>
      <x:c r="L2007" s="1" t="str">
        <x:v>https://blog.skyairline.com/pasajes-a-brasil/</x:v>
      </x:c>
      <x:c r="M2007" s="1" t="n">
        <x:v>0</x:v>
      </x:c>
    </x:row>
    <x:row r="2008" ht="18.75" customHeight="1">
      <x:c r="A2008" s="1" t="str">
        <x:v>https://blog.skyairline.com/documentos-viaje/</x:v>
      </x:c>
      <x:c r="B2008" s="1" t="str">
        <x:v>se puede viajar con comprobante de carnet</x:v>
      </x:c>
      <x:c r="C2008" s="1" t="str">
        <x:v>chl</x:v>
      </x:c>
      <x:c r="D2008" s="1" t="str">
        <x:v>Sin marca</x:v>
      </x:c>
      <x:c r="E2008" s="35" t="n">
        <x:v>1</x:v>
      </x:c>
      <x:c r="F2008" s="36"/>
      <x:c r="G2008" s="36" t="str">
        <x:f>IF(ISNUMBER(F2008),E2008*F2008,"")</x:f>
      </x:c>
      <x:c r="H2008" s="37" t="d">
        <x:v>2026-10-15T00:00:00.000Z</x:v>
      </x:c>
      <x:c r="I2008" s="37" t="d">
        <x:v>2026-09-16T02:30:19.000Z</x:v>
      </x:c>
      <x:c r="J2008" s="1" t="n">
        <x:f>IF(ISNUMBER(F2008),E2008,0)</x:f>
        <x:v>0</x:v>
      </x:c>
      <x:c r="K2008" s="1"/>
      <x:c r="L2008" s="1" t="str">
        <x:v>https://blog.skyairline.com/pasajes-a-estados-unidos/</x:v>
      </x:c>
      <x:c r="M2008" s="1" t="n">
        <x:v>0</x:v>
      </x:c>
    </x:row>
    <x:row r="2009" ht="18.75" customHeight="1">
      <x:c r="A2009" s="1" t="str">
        <x:v>https://blog.skyairline.com/documentos-viaje/</x:v>
      </x:c>
      <x:c r="B2009" s="1" t="str">
        <x:v>se puede viajar en avion con carnet vencido</x:v>
      </x:c>
      <x:c r="C2009" s="1" t="str">
        <x:v>chl</x:v>
      </x:c>
      <x:c r="D2009" s="1" t="str">
        <x:v>Sin marca</x:v>
      </x:c>
      <x:c r="E2009" s="35" t="n">
        <x:v>1</x:v>
      </x:c>
      <x:c r="F2009" s="36"/>
      <x:c r="G2009" s="36" t="str">
        <x:f>IF(ISNUMBER(F2009),E2009*F2009,"")</x:f>
      </x:c>
      <x:c r="H2009" s="37"/>
      <x:c r="I2009" s="37"/>
      <x:c r="J2009" s="1" t="n">
        <x:f>IF(ISNUMBER(F2009),E2009,0)</x:f>
        <x:v>0</x:v>
      </x:c>
      <x:c r="K2009" s="1"/>
      <x:c r="L2009" s="1" t="str">
        <x:v>https://blog.skyairline.com/pasajes-a-florianopolis/</x:v>
      </x:c>
      <x:c r="M2009" s="1" t="n">
        <x:v>0</x:v>
      </x:c>
    </x:row>
    <x:row r="2010" ht="18.75" customHeight="1">
      <x:c r="A2010" s="1" t="str">
        <x:v>https://blog.skyairline.com/documentos-viaje/</x:v>
      </x:c>
      <x:c r="B2010" s="1" t="str">
        <x:v>se puede viajar en avion con comprobante de carnet de identidad</x:v>
      </x:c>
      <x:c r="C2010" s="1" t="str">
        <x:v>chl</x:v>
      </x:c>
      <x:c r="D2010" s="1" t="str">
        <x:v>Sin marca</x:v>
      </x:c>
      <x:c r="E2010" s="35" t="n">
        <x:v>1</x:v>
      </x:c>
      <x:c r="F2010" s="36"/>
      <x:c r="G2010" s="36" t="str">
        <x:f>IF(ISNUMBER(F2010),E2010*F2010,"")</x:f>
      </x:c>
      <x:c r="H2010" s="37"/>
      <x:c r="I2010" s="37"/>
      <x:c r="J2010" s="1" t="n">
        <x:f>IF(ISNUMBER(F2010),E2010,0)</x:f>
        <x:v>0</x:v>
      </x:c>
      <x:c r="K2010" s="1"/>
      <x:c r="L2010" s="1" t="str">
        <x:v>https://blog.skyairline.com/pasajes-a-lima-peru/</x:v>
      </x:c>
      <x:c r="M2010" s="1" t="n">
        <x:v>0</x:v>
      </x:c>
    </x:row>
    <x:row r="2011" ht="18.75" customHeight="1">
      <x:c r="A2011" s="1" t="str">
        <x:v>https://blog.skyairline.com/documentos-viaje/</x:v>
      </x:c>
      <x:c r="B2011" s="1" t="str">
        <x:v>sky</x:v>
      </x:c>
      <x:c r="C2011" s="1" t="str">
        <x:v>chl</x:v>
      </x:c>
      <x:c r="D2011" s="1" t="str">
        <x:v>Marca</x:v>
      </x:c>
      <x:c r="E2011" s="35" t="n">
        <x:v>1</x:v>
      </x:c>
      <x:c r="F2011" s="36" t="n">
        <x:v>0.27</x:v>
      </x:c>
      <x:c r="G2011" s="36" t="n">
        <x:f>IF(ISNUMBER(F2011),E2011*F2011,"")</x:f>
        <x:v>0.27</x:v>
      </x:c>
      <x:c r="H2011" s="37" t="d">
        <x:v>2026-10-15T00:00:00.000Z</x:v>
      </x:c>
      <x:c r="I2011" s="37" t="d">
        <x:v>2026-09-17T02:52:38.000Z</x:v>
      </x:c>
      <x:c r="J2011" s="1" t="n">
        <x:f>IF(ISNUMBER(F2011),E2011,0)</x:f>
        <x:v>1</x:v>
      </x:c>
      <x:c r="K2011" s="1"/>
      <x:c r="L2011" s="1" t="str">
        <x:v>https://blog.skyairline.com/pasajes-a-osorno/</x:v>
      </x:c>
      <x:c r="M2011" s="1" t="n">
        <x:v>0</x:v>
      </x:c>
    </x:row>
    <x:row r="2012" ht="18.75" customHeight="1">
      <x:c r="A2012" s="1" t="str">
        <x:v>https://blog.skyairline.com/donde-comprar-un-pasaje-de-avion/</x:v>
      </x:c>
      <x:c r="B2012" s="1" t="str">
        <x:v>tiendas sky</x:v>
      </x:c>
      <x:c r="C2012" s="1" t="str">
        <x:v>chl</x:v>
      </x:c>
      <x:c r="D2012" s="1" t="str">
        <x:v>Marca</x:v>
      </x:c>
      <x:c r="E2012" s="35" t="n">
        <x:v>1</x:v>
      </x:c>
      <x:c r="F2012" s="36"/>
      <x:c r="G2012" s="36" t="str">
        <x:f>IF(ISNUMBER(F2012),E2012*F2012,"")</x:f>
      </x:c>
      <x:c r="H2012" s="37"/>
      <x:c r="I2012" s="37"/>
      <x:c r="J2012" s="1" t="n">
        <x:f>IF(ISNUMBER(F2012),E2012,0)</x:f>
        <x:v>0</x:v>
      </x:c>
      <x:c r="K2012" s="1"/>
      <x:c r="L2012" s="1" t="str">
        <x:v>https://blog.skyairline.com/pasajes-a-punta-cana-desde-chile-c%C3%B3mo-conseguir-los-mejores-precios/</x:v>
      </x:c>
      <x:c r="M2012" s="1" t="n">
        <x:v>0</x:v>
      </x:c>
    </x:row>
    <x:row r="2013" ht="18.75" customHeight="1">
      <x:c r="A2013" s="1" t="str">
        <x:v>https://blog.skyairline.com/donde-queda-buzios/</x:v>
      </x:c>
      <x:c r="B2013" s="1" t="str">
        <x:v>búzios brasil donde queda</x:v>
      </x:c>
      <x:c r="C2013" s="1" t="str">
        <x:v>col</x:v>
      </x:c>
      <x:c r="D2013" s="1" t="str">
        <x:v>Sin marca</x:v>
      </x:c>
      <x:c r="E2013" s="35" t="n">
        <x:v>1</x:v>
      </x:c>
      <x:c r="F2013" s="36"/>
      <x:c r="G2013" s="36" t="str">
        <x:f>IF(ISNUMBER(F2013),E2013*F2013,"")</x:f>
      </x:c>
      <x:c r="H2013" s="37"/>
      <x:c r="I2013" s="37"/>
      <x:c r="J2013" s="1" t="n">
        <x:f>IF(ISNUMBER(F2013),E2013,0)</x:f>
        <x:v>0</x:v>
      </x:c>
      <x:c r="K2013" s="1"/>
      <x:c r="L2013" s="1" t="str">
        <x:v>https://blog.skyairline.com/pasajes-a-punta-cana-desde-chile-como-conseguir-los-mejores-precios</x:v>
      </x:c>
      <x:c r="M2013" s="1" t="n">
        <x:v>0</x:v>
      </x:c>
    </x:row>
    <x:row r="2014" ht="18.75" customHeight="1">
      <x:c r="A2014" s="1" t="str">
        <x:v>https://blog.skyairline.com/donde-queda-buzios/</x:v>
      </x:c>
      <x:c r="B2014" s="1" t="str">
        <x:v>donde queda buzios mapa</x:v>
      </x:c>
      <x:c r="C2014" s="1" t="str">
        <x:v>chl</x:v>
      </x:c>
      <x:c r="D2014" s="1" t="str">
        <x:v>Sin marca</x:v>
      </x:c>
      <x:c r="E2014" s="35" t="n">
        <x:v>1</x:v>
      </x:c>
      <x:c r="F2014" s="36"/>
      <x:c r="G2014" s="36" t="str">
        <x:f>IF(ISNUMBER(F2014),E2014*F2014,"")</x:f>
      </x:c>
      <x:c r="H2014" s="37" t="d">
        <x:v>2026-10-15T00:00:00.000Z</x:v>
      </x:c>
      <x:c r="I2014" s="37" t="d">
        <x:v>2026-09-13T16:28:29.999Z</x:v>
      </x:c>
      <x:c r="J2014" s="1" t="n">
        <x:f>IF(ISNUMBER(F2014),E2014,0)</x:f>
        <x:v>0</x:v>
      </x:c>
      <x:c r="K2014" s="1"/>
      <x:c r="L2014" s="1" t="str">
        <x:v>https://blog.skyairline.com/pasajes-a-uruguay/</x:v>
      </x:c>
      <x:c r="M2014" s="1" t="n">
        <x:v>0</x:v>
      </x:c>
    </x:row>
    <x:row r="2015" ht="18.75" customHeight="1">
      <x:c r="A2015" s="1" t="str">
        <x:v>https://blog.skyairline.com/donde-queda-calafate/</x:v>
      </x:c>
      <x:c r="B2015" s="1" t="str">
        <x:v>calafate donde queda</x:v>
      </x:c>
      <x:c r="C2015" s="1" t="str">
        <x:v>chl</x:v>
      </x:c>
      <x:c r="D2015" s="1" t="str">
        <x:v>Sin marca</x:v>
      </x:c>
      <x:c r="E2015" s="35" t="n">
        <x:v>1</x:v>
      </x:c>
      <x:c r="F2015" s="36"/>
      <x:c r="G2015" s="36" t="str">
        <x:f>IF(ISNUMBER(F2015),E2015*F2015,"")</x:f>
      </x:c>
      <x:c r="H2015" s="37" t="d">
        <x:v>2026-10-15T00:00:00.000Z</x:v>
      </x:c>
      <x:c r="I2015" s="37" t="d">
        <x:v>2026-09-13T20:33:02.000Z</x:v>
      </x:c>
      <x:c r="J2015" s="1" t="n">
        <x:f>IF(ISNUMBER(F2015),E2015,0)</x:f>
        <x:v>0</x:v>
      </x:c>
      <x:c r="K2015" s="1"/>
      <x:c r="L2015" s="1" t="str">
        <x:v>https://blog.skyairline.com/pasajes-aereos-baratos/</x:v>
      </x:c>
      <x:c r="M2015" s="1" t="n">
        <x:v>0</x:v>
      </x:c>
    </x:row>
    <x:row r="2016" ht="18.75" customHeight="1">
      <x:c r="A2016" s="1" t="str">
        <x:v>https://blog.skyairline.com/donde-queda-calafate/</x:v>
      </x:c>
      <x:c r="B2016" s="1" t="str">
        <x:v>donde queda el calafate en argentina</x:v>
      </x:c>
      <x:c r="C2016" s="1" t="str">
        <x:v>chl</x:v>
      </x:c>
      <x:c r="D2016" s="1" t="str">
        <x:v>Sin marca</x:v>
      </x:c>
      <x:c r="E2016" s="35" t="n">
        <x:v>1</x:v>
      </x:c>
      <x:c r="F2016" s="36"/>
      <x:c r="G2016" s="36" t="str">
        <x:f>IF(ISNUMBER(F2016),E2016*F2016,"")</x:f>
      </x:c>
      <x:c r="H2016" s="37"/>
      <x:c r="I2016" s="37"/>
      <x:c r="J2016" s="1" t="n">
        <x:f>IF(ISNUMBER(F2016),E2016,0)</x:f>
        <x:v>0</x:v>
      </x:c>
      <x:c r="K2016" s="1"/>
      <x:c r="L2016" s="1" t="str">
        <x:v>https://blog.skyairline.com/pasajes-al-mejor-precio/</x:v>
      </x:c>
      <x:c r="M2016" s="1" t="n">
        <x:v>0</x:v>
      </x:c>
    </x:row>
    <x:row r="2017" ht="18.75" customHeight="1">
      <x:c r="A2017" s="1" t="str">
        <x:v>https://blog.skyairline.com/donde-queda-florianopolis/</x:v>
      </x:c>
      <x:c r="B2017" s="1" t="str">
        <x:v>dónde es florianópolis</x:v>
      </x:c>
      <x:c r="C2017" s="1" t="str">
        <x:v>arg</x:v>
      </x:c>
      <x:c r="D2017" s="1" t="str">
        <x:v>Sin marca</x:v>
      </x:c>
      <x:c r="E2017" s="35" t="n">
        <x:v>1</x:v>
      </x:c>
      <x:c r="F2017" s="36"/>
      <x:c r="G2017" s="36" t="str">
        <x:f>IF(ISNUMBER(F2017),E2017*F2017,"")</x:f>
      </x:c>
      <x:c r="H2017" s="37"/>
      <x:c r="I2017" s="37"/>
      <x:c r="J2017" s="1" t="n">
        <x:f>IF(ISNUMBER(F2017),E2017,0)</x:f>
        <x:v>0</x:v>
      </x:c>
      <x:c r="K2017" s="1"/>
      <x:c r="L2017" s="1" t="str">
        <x:v>https://blog.skyairline.com/pasajes-miami/</x:v>
      </x:c>
      <x:c r="M2017" s="1" t="n">
        <x:v>0</x:v>
      </x:c>
    </x:row>
    <x:row r="2018" ht="18.75" customHeight="1">
      <x:c r="A2018" s="1" t="str">
        <x:v>https://blog.skyairline.com/donde-queda-florianopolis/</x:v>
      </x:c>
      <x:c r="B2018" s="1" t="str">
        <x:v>dónde está florianópolis</x:v>
      </x:c>
      <x:c r="C2018" s="1" t="str">
        <x:v>chl</x:v>
      </x:c>
      <x:c r="D2018" s="1" t="str">
        <x:v>Sin marca</x:v>
      </x:c>
      <x:c r="E2018" s="35" t="n">
        <x:v>1</x:v>
      </x:c>
      <x:c r="F2018" s="36"/>
      <x:c r="G2018" s="36" t="str">
        <x:f>IF(ISNUMBER(F2018),E2018*F2018,"")</x:f>
      </x:c>
      <x:c r="H2018" s="37"/>
      <x:c r="I2018" s="37"/>
      <x:c r="J2018" s="1" t="n">
        <x:f>IF(ISNUMBER(F2018),E2018,0)</x:f>
        <x:v>0</x:v>
      </x:c>
      <x:c r="K2018" s="1"/>
      <x:c r="L2018" s="1" t="str">
        <x:v>https://blog.skyairline.com/pasajes-montevideo/</x:v>
      </x:c>
      <x:c r="M2018" s="1" t="n">
        <x:v>0</x:v>
      </x:c>
    </x:row>
    <x:row r="2019" ht="18.75" customHeight="1">
      <x:c r="A2019" s="1" t="str">
        <x:v>https://blog.skyairline.com/donde-queda-florianopolis/</x:v>
      </x:c>
      <x:c r="B2019" s="1" t="str">
        <x:v>florianópolis donde queda</x:v>
      </x:c>
      <x:c r="C2019" s="1" t="str">
        <x:v>per</x:v>
      </x:c>
      <x:c r="D2019" s="1" t="str">
        <x:v>Sin marca</x:v>
      </x:c>
      <x:c r="E2019" s="35" t="n">
        <x:v>1</x:v>
      </x:c>
      <x:c r="F2019" s="36"/>
      <x:c r="G2019" s="36" t="str">
        <x:f>IF(ISNUMBER(F2019),E2019*F2019,"")</x:f>
      </x:c>
      <x:c r="H2019" s="37" t="d">
        <x:v>2026-10-15T00:00:00.000Z</x:v>
      </x:c>
      <x:c r="I2019" s="37" t="d">
        <x:v>2026-09-13T02:52:24.000Z</x:v>
      </x:c>
      <x:c r="J2019" s="1" t="n">
        <x:f>IF(ISNUMBER(F2019),E2019,0)</x:f>
        <x:v>0</x:v>
      </x:c>
      <x:c r="K2019" s="1"/>
      <x:c r="L2019" s="1" t="str">
        <x:v>https://blog.skyairline.com/pasajes-o-osorno/</x:v>
      </x:c>
      <x:c r="M2019" s="1" t="n">
        <x:v>0</x:v>
      </x:c>
    </x:row>
    <x:row r="2020" ht="18.75" customHeight="1">
      <x:c r="A2020" s="1" t="str">
        <x:v>https://blog.skyairline.com/donde-queda-florianopolis/</x:v>
      </x:c>
      <x:c r="B2020" s="1" t="str">
        <x:v>florianópolis dónde queda</x:v>
      </x:c>
      <x:c r="C2020" s="1" t="str">
        <x:v>arg</x:v>
      </x:c>
      <x:c r="D2020" s="1" t="str">
        <x:v>Sin marca</x:v>
      </x:c>
      <x:c r="E2020" s="35" t="n">
        <x:v>1</x:v>
      </x:c>
      <x:c r="F2020" s="36"/>
      <x:c r="G2020" s="36" t="str">
        <x:f>IF(ISNUMBER(F2020),E2020*F2020,"")</x:f>
      </x:c>
      <x:c r="H2020" s="37"/>
      <x:c r="I2020" s="37"/>
      <x:c r="J2020" s="1" t="n">
        <x:f>IF(ISNUMBER(F2020),E2020,0)</x:f>
        <x:v>0</x:v>
      </x:c>
      <x:c r="K2020" s="1"/>
      <x:c r="L2020" s="1" t="str">
        <x:v>https://blog.skyairline.com/paseo-por-centro-historico-de-porto-alegre</x:v>
      </x:c>
      <x:c r="M2020" s="1" t="n">
        <x:v>0</x:v>
      </x:c>
    </x:row>
    <x:row r="2021" ht="18.75" customHeight="1">
      <x:c r="A2021" s="1" t="str">
        <x:v>https://blog.skyairline.com/donde-queda-hornopiren/</x:v>
      </x:c>
      <x:c r="B2021" s="1" t="str">
        <x:v>hornopiren</x:v>
      </x:c>
      <x:c r="C2021" s="1" t="str">
        <x:v>chl</x:v>
      </x:c>
      <x:c r="D2021" s="1" t="str">
        <x:v>Sin marca</x:v>
      </x:c>
      <x:c r="E2021" s="35" t="n">
        <x:v>1</x:v>
      </x:c>
      <x:c r="F2021" s="36"/>
      <x:c r="G2021" s="36" t="str">
        <x:f>IF(ISNUMBER(F2021),E2021*F2021,"")</x:f>
      </x:c>
      <x:c r="H2021" s="37"/>
      <x:c r="I2021" s="37"/>
      <x:c r="J2021" s="1" t="n">
        <x:f>IF(ISNUMBER(F2021),E2021,0)</x:f>
        <x:v>0</x:v>
      </x:c>
      <x:c r="K2021" s="1"/>
      <x:c r="L2021" s="1" t="str">
        <x:v>https://blog.skyairline.com/paseo-por-el-guaiba/</x:v>
      </x:c>
      <x:c r="M2021" s="1" t="n">
        <x:v>0</x:v>
      </x:c>
    </x:row>
    <x:row r="2022" ht="18.75" customHeight="1">
      <x:c r="A2022" s="1" t="str">
        <x:v>https://blog.skyairline.com/donde-queda-hornopiren/</x:v>
      </x:c>
      <x:c r="B2022" s="1" t="str">
        <x:v>hornopiren donde queda</x:v>
      </x:c>
      <x:c r="C2022" s="1" t="str">
        <x:v>chl</x:v>
      </x:c>
      <x:c r="D2022" s="1" t="str">
        <x:v>Sin marca</x:v>
      </x:c>
      <x:c r="E2022" s="35" t="n">
        <x:v>1</x:v>
      </x:c>
      <x:c r="F2022" s="36"/>
      <x:c r="G2022" s="36" t="str">
        <x:f>IF(ISNUMBER(F2022),E2022*F2022,"")</x:f>
      </x:c>
      <x:c r="H2022" s="37"/>
      <x:c r="I2022" s="37"/>
      <x:c r="J2022" s="1" t="n">
        <x:f>IF(ISNUMBER(F2022),E2022,0)</x:f>
        <x:v>0</x:v>
      </x:c>
      <x:c r="K2022" s="1"/>
      <x:c r="L2022" s="1" t="str">
        <x:v>https://blog.skyairline.com/paseo-por-em-centro-historico-de-porto-alegre-que-esperar</x:v>
      </x:c>
      <x:c r="M2022" s="1" t="n">
        <x:v>0</x:v>
      </x:c>
    </x:row>
    <x:row r="2023" ht="18.75" customHeight="1">
      <x:c r="A2023" s="1" t="str">
        <x:v>https://blog.skyairline.com/donde-queda-punta-cana/</x:v>
      </x:c>
      <x:c r="B2023" s="1" t="str">
        <x:v>de donde es punta cana</x:v>
      </x:c>
      <x:c r="C2023" s="1" t="str">
        <x:v>usa</x:v>
      </x:c>
      <x:c r="D2023" s="1" t="str">
        <x:v>Sin marca</x:v>
      </x:c>
      <x:c r="E2023" s="35" t="n">
        <x:v>1</x:v>
      </x:c>
      <x:c r="F2023" s="36"/>
      <x:c r="G2023" s="36" t="str">
        <x:f>IF(ISNUMBER(F2023),E2023*F2023,"")</x:f>
      </x:c>
      <x:c r="H2023" s="37"/>
      <x:c r="I2023" s="37"/>
      <x:c r="J2023" s="1" t="n">
        <x:f>IF(ISNUMBER(F2023),E2023,0)</x:f>
        <x:v>0</x:v>
      </x:c>
      <x:c r="K2023" s="1"/>
      <x:c r="L2023" s="1" t="str">
        <x:v>https://blog.skyairline.com/paseo-por-porto-alegre-centro-historico/</x:v>
      </x:c>
      <x:c r="M2023" s="1" t="n">
        <x:v>0</x:v>
      </x:c>
    </x:row>
    <x:row r="2024" ht="18.75" customHeight="1">
      <x:c r="A2024" s="1" t="str">
        <x:v>https://blog.skyairline.com/donde-queda-punta-cana/</x:v>
      </x:c>
      <x:c r="B2024" s="1" t="str">
        <x:v>donde está punta cana en el mapa</x:v>
      </x:c>
      <x:c r="C2024" s="1" t="str">
        <x:v>chl</x:v>
      </x:c>
      <x:c r="D2024" s="1" t="str">
        <x:v>Sin marca</x:v>
      </x:c>
      <x:c r="E2024" s="35" t="n">
        <x:v>1</x:v>
      </x:c>
      <x:c r="F2024" s="36" t="n">
        <x:v>0.33</x:v>
      </x:c>
      <x:c r="G2024" s="36" t="n">
        <x:f>IF(ISNUMBER(F2024),E2024*F2024,"")</x:f>
        <x:v>0.33</x:v>
      </x:c>
      <x:c r="H2024" s="37" t="d">
        <x:v>2026-10-15T00:00:00.000Z</x:v>
      </x:c>
      <x:c r="I2024" s="37" t="d">
        <x:v>2026-10-15T06:46:40.999Z</x:v>
      </x:c>
      <x:c r="J2024" s="1" t="n">
        <x:f>IF(ISNUMBER(F2024),E2024,0)</x:f>
        <x:v>1</x:v>
      </x:c>
      <x:c r="K2024" s="1"/>
      <x:c r="L2024" s="1" t="str">
        <x:v>https://blog.skyairline.com/patagonia-argentina/</x:v>
      </x:c>
      <x:c r="M2024" s="1" t="n">
        <x:v>0</x:v>
      </x:c>
    </x:row>
    <x:row r="2025" ht="18.75" customHeight="1">
      <x:c r="A2025" s="1" t="str">
        <x:v>https://blog.skyairline.com/donde-queda-punta-cana/</x:v>
      </x:c>
      <x:c r="B2025" s="1" t="str">
        <x:v>donde queda punta cana</x:v>
      </x:c>
      <x:c r="C2025" s="1" t="str">
        <x:v>ven</x:v>
      </x:c>
      <x:c r="D2025" s="1" t="str">
        <x:v>Sin marca</x:v>
      </x:c>
      <x:c r="E2025" s="35" t="n">
        <x:v>1</x:v>
      </x:c>
      <x:c r="F2025" s="36"/>
      <x:c r="G2025" s="36" t="str">
        <x:f>IF(ISNUMBER(F2025),E2025*F2025,"")</x:f>
      </x:c>
      <x:c r="H2025" s="37"/>
      <x:c r="I2025" s="37"/>
      <x:c r="J2025" s="1" t="n">
        <x:f>IF(ISNUMBER(F2025),E2025,0)</x:f>
        <x:v>0</x:v>
      </x:c>
      <x:c r="K2025" s="1"/>
      <x:c r="L2025" s="1" t="str">
        <x:v>https://blog.skyairline.com/patagonia-chile/</x:v>
      </x:c>
      <x:c r="M2025" s="1" t="n">
        <x:v>0</x:v>
      </x:c>
    </x:row>
    <x:row r="2026" ht="18.75" customHeight="1">
      <x:c r="A2026" s="1" t="str">
        <x:v>https://blog.skyairline.com/donde-queda-punta-cana/</x:v>
      </x:c>
      <x:c r="B2026" s="1" t="str">
        <x:v>donde queda punta cana?</x:v>
      </x:c>
      <x:c r="C2026" s="1" t="str">
        <x:v>chl</x:v>
      </x:c>
      <x:c r="D2026" s="1" t="str">
        <x:v>Sin marca</x:v>
      </x:c>
      <x:c r="E2026" s="35" t="n">
        <x:v>1</x:v>
      </x:c>
      <x:c r="F2026" s="36"/>
      <x:c r="G2026" s="36" t="str">
        <x:f>IF(ISNUMBER(F2026),E2026*F2026,"")</x:f>
      </x:c>
      <x:c r="H2026" s="37"/>
      <x:c r="I2026" s="37"/>
      <x:c r="J2026" s="1" t="n">
        <x:f>IF(ISNUMBER(F2026),E2026,0)</x:f>
        <x:v>0</x:v>
      </x:c>
      <x:c r="K2026" s="1"/>
      <x:c r="L2026" s="1" t="str">
        <x:v>https://blog.skyairline.com/patagonia-chilena-argentina-cual-elegir-para-tu-viaje/</x:v>
      </x:c>
      <x:c r="M2026" s="1" t="n">
        <x:v>0</x:v>
      </x:c>
    </x:row>
    <x:row r="2027" ht="18.75" customHeight="1">
      <x:c r="A2027" s="1" t="str">
        <x:v>https://blog.skyairline.com/donde-queda-punta-cana/</x:v>
      </x:c>
      <x:c r="B2027" s="1" t="str">
        <x:v>donde se ubica punta cana</x:v>
      </x:c>
      <x:c r="C2027" s="1" t="str">
        <x:v>per</x:v>
      </x:c>
      <x:c r="D2027" s="1" t="str">
        <x:v>Sin marca</x:v>
      </x:c>
      <x:c r="E2027" s="35" t="n">
        <x:v>1</x:v>
      </x:c>
      <x:c r="F2027" s="36"/>
      <x:c r="G2027" s="36" t="str">
        <x:f>IF(ISNUMBER(F2027),E2027*F2027,"")</x:f>
      </x:c>
      <x:c r="H2027" s="37"/>
      <x:c r="I2027" s="37"/>
      <x:c r="J2027" s="1" t="n">
        <x:f>IF(ISNUMBER(F2027),E2027,0)</x:f>
        <x:v>0</x:v>
      </x:c>
      <x:c r="K2027" s="1"/>
      <x:c r="L2027" s="1" t="str">
        <x:v>https://blog.skyairline.com/patagonia-chilena-argentina-cual-es-tu-viaje/</x:v>
      </x:c>
      <x:c r="M2027" s="1" t="n">
        <x:v>0</x:v>
      </x:c>
    </x:row>
    <x:row r="2028" ht="18.75" customHeight="1">
      <x:c r="A2028" s="1" t="str">
        <x:v>https://blog.skyairline.com/donde-queda-punta-cana/</x:v>
      </x:c>
      <x:c r="B2028" s="1" t="str">
        <x:v>dónde es punta cana</x:v>
      </x:c>
      <x:c r="C2028" s="1" t="str">
        <x:v>bol</x:v>
      </x:c>
      <x:c r="D2028" s="1" t="str">
        <x:v>Sin marca</x:v>
      </x:c>
      <x:c r="E2028" s="35" t="n">
        <x:v>1</x:v>
      </x:c>
      <x:c r="F2028" s="36"/>
      <x:c r="G2028" s="36" t="str">
        <x:f>IF(ISNUMBER(F2028),E2028*F2028,"")</x:f>
      </x:c>
      <x:c r="H2028" s="37"/>
      <x:c r="I2028" s="37"/>
      <x:c r="J2028" s="1" t="n">
        <x:f>IF(ISNUMBER(F2028),E2028,0)</x:f>
        <x:v>0</x:v>
      </x:c>
      <x:c r="K2028" s="1"/>
      <x:c r="L2028" s="1" t="str">
        <x:v>https://blog.skyairline.com/patagonia-chilena-o-argentina-cual-elegir-para-la-patagonia-chilena</x:v>
      </x:c>
      <x:c r="M2028" s="1" t="n">
        <x:v>0</x:v>
      </x:c>
    </x:row>
    <x:row r="2029" ht="18.75" customHeight="1">
      <x:c r="A2029" s="1" t="str">
        <x:v>https://blog.skyairline.com/donde-queda-punta-cana/</x:v>
      </x:c>
      <x:c r="B2029" s="1" t="str">
        <x:v>dónde es punta cana</x:v>
      </x:c>
      <x:c r="C2029" s="1" t="str">
        <x:v>per</x:v>
      </x:c>
      <x:c r="D2029" s="1" t="str">
        <x:v>Sin marca</x:v>
      </x:c>
      <x:c r="E2029" s="35" t="n">
        <x:v>1</x:v>
      </x:c>
      <x:c r="F2029" s="36" t="n">
        <x:v>1.11</x:v>
      </x:c>
      <x:c r="G2029" s="36" t="n">
        <x:f>IF(ISNUMBER(F2029),E2029*F2029,"")</x:f>
        <x:v>1.11</x:v>
      </x:c>
      <x:c r="H2029" s="37" t="d">
        <x:v>2026-10-15T00:00:00.000Z</x:v>
      </x:c>
      <x:c r="I2029" s="37" t="d">
        <x:v>2026-09-16T15:47:50.000Z</x:v>
      </x:c>
      <x:c r="J2029" s="1" t="n">
        <x:f>IF(ISNUMBER(F2029),E2029,0)</x:f>
        <x:v>1</x:v>
      </x:c>
      <x:c r="K2029" s="1"/>
      <x:c r="L2029" s="1" t="str">
        <x:v>https://blog.skyairline.com/patagonia-chilena-o-argentina-cual-elegir/</x:v>
      </x:c>
      <x:c r="M2029" s="1" t="n">
        <x:v>0</x:v>
      </x:c>
    </x:row>
    <x:row r="2030" ht="18.75" customHeight="1">
      <x:c r="A2030" s="1" t="str">
        <x:v>https://blog.skyairline.com/donde-queda-punta-cana/</x:v>
      </x:c>
      <x:c r="B2030" s="1" t="str">
        <x:v>dónde está ubicado punta cana</x:v>
      </x:c>
      <x:c r="C2030" s="1" t="str">
        <x:v>chl</x:v>
      </x:c>
      <x:c r="D2030" s="1" t="str">
        <x:v>Sin marca</x:v>
      </x:c>
      <x:c r="E2030" s="35" t="n">
        <x:v>1</x:v>
      </x:c>
      <x:c r="F2030" s="36"/>
      <x:c r="G2030" s="36" t="str">
        <x:f>IF(ISNUMBER(F2030),E2030*F2030,"")</x:f>
      </x:c>
      <x:c r="H2030" s="37"/>
      <x:c r="I2030" s="37"/>
      <x:c r="J2030" s="1" t="n">
        <x:f>IF(ISNUMBER(F2030),E2030,0)</x:f>
        <x:v>0</x:v>
      </x:c>
      <x:c r="K2030" s="1"/>
      <x:c r="L2030" s="1" t="str">
        <x:v>https://blog.skyairline.com/patagonia-chileno-o-argentina-cual-elegir-para-tu-viaje/</x:v>
      </x:c>
      <x:c r="M2030" s="1" t="n">
        <x:v>0</x:v>
      </x:c>
    </x:row>
    <x:row r="2031" ht="18.75" customHeight="1">
      <x:c r="A2031" s="1" t="str">
        <x:v>https://blog.skyairline.com/donde-queda-punta-cana/</x:v>
      </x:c>
      <x:c r="B2031" s="1" t="str">
        <x:v>dónde queda punta cana</x:v>
      </x:c>
      <x:c r="C2031" s="1" t="str">
        <x:v>col</x:v>
      </x:c>
      <x:c r="D2031" s="1" t="str">
        <x:v>Sin marca</x:v>
      </x:c>
      <x:c r="E2031" s="35" t="n">
        <x:v>1</x:v>
      </x:c>
      <x:c r="F2031" s="36"/>
      <x:c r="G2031" s="36" t="str">
        <x:f>IF(ISNUMBER(F2031),E2031*F2031,"")</x:f>
      </x:c>
      <x:c r="H2031" s="37"/>
      <x:c r="I2031" s="37"/>
      <x:c r="J2031" s="1" t="n">
        <x:f>IF(ISNUMBER(F2031),E2031,0)</x:f>
        <x:v>0</x:v>
      </x:c>
      <x:c r="K2031" s="1"/>
      <x:c r="L2031" s="1" t="str">
        <x:v>https://blog.skyairline.com/patrimonio-cultural-de-chile/</x:v>
      </x:c>
      <x:c r="M2031" s="1" t="n">
        <x:v>0</x:v>
      </x:c>
    </x:row>
    <x:row r="2032" ht="18.75" customHeight="1">
      <x:c r="A2032" s="1" t="str">
        <x:v>https://blog.skyairline.com/donde-queda-punta-cana/</x:v>
      </x:c>
      <x:c r="B2032" s="1" t="str">
        <x:v>dónde queda punta cana</x:v>
      </x:c>
      <x:c r="C2032" s="1" t="str">
        <x:v>per</x:v>
      </x:c>
      <x:c r="D2032" s="1" t="str">
        <x:v>Sin marca</x:v>
      </x:c>
      <x:c r="E2032" s="35" t="n">
        <x:v>1</x:v>
      </x:c>
      <x:c r="F2032" s="36" t="n">
        <x:v>0.72</x:v>
      </x:c>
      <x:c r="G2032" s="36" t="n">
        <x:f>IF(ISNUMBER(F2032),E2032*F2032,"")</x:f>
        <x:v>0.72</x:v>
      </x:c>
      <x:c r="H2032" s="37" t="d">
        <x:v>2026-10-15T00:00:00.000Z</x:v>
      </x:c>
      <x:c r="I2032" s="37" t="d">
        <x:v>2026-10-15T12:27:02.000Z</x:v>
      </x:c>
      <x:c r="J2032" s="1" t="n">
        <x:f>IF(ISNUMBER(F2032),E2032,0)</x:f>
        <x:v>1</x:v>
      </x:c>
      <x:c r="K2032" s="1"/>
      <x:c r="L2032" s="1" t="str">
        <x:v>https://blog.skyairline.com/patrimonios-naturales-de-chile/</x:v>
      </x:c>
      <x:c r="M2032" s="1" t="n">
        <x:v>0</x:v>
      </x:c>
    </x:row>
    <x:row r="2033" ht="18.75" customHeight="1">
      <x:c r="A2033" s="1" t="str">
        <x:v>https://blog.skyairline.com/donde-queda-punta-cana/</x:v>
      </x:c>
      <x:c r="B2033" s="1" t="str">
        <x:v>dónde queda república dominicana punta cana</x:v>
      </x:c>
      <x:c r="C2033" s="1" t="str">
        <x:v>col</x:v>
      </x:c>
      <x:c r="D2033" s="1" t="str">
        <x:v>Sin marca</x:v>
      </x:c>
      <x:c r="E2033" s="35" t="n">
        <x:v>1</x:v>
      </x:c>
      <x:c r="F2033" s="36"/>
      <x:c r="G2033" s="36" t="str">
        <x:f>IF(ISNUMBER(F2033),E2033*F2033,"")</x:f>
      </x:c>
      <x:c r="H2033" s="37"/>
      <x:c r="I2033" s="37"/>
      <x:c r="J2033" s="1" t="n">
        <x:f>IF(ISNUMBER(F2033),E2033,0)</x:f>
        <x:v>0</x:v>
      </x:c>
      <x:c r="K2033" s="1"/>
      <x:c r="L2033" s="1" t="str">
        <x:v>https://blog.skyairline.com/peliculas-de-viajes/</x:v>
      </x:c>
      <x:c r="M2033" s="1" t="n">
        <x:v>0</x:v>
      </x:c>
    </x:row>
    <x:row r="2034" ht="18.75" customHeight="1">
      <x:c r="A2034" s="1" t="str">
        <x:v>https://blog.skyairline.com/donde-queda-punta-cana/</x:v>
      </x:c>
      <x:c r="B2034" s="1" t="str">
        <x:v>en donde es punta cana</x:v>
      </x:c>
      <x:c r="C2034" s="1" t="str">
        <x:v>col</x:v>
      </x:c>
      <x:c r="D2034" s="1" t="str">
        <x:v>Sin marca</x:v>
      </x:c>
      <x:c r="E2034" s="35" t="n">
        <x:v>1</x:v>
      </x:c>
      <x:c r="F2034" s="36"/>
      <x:c r="G2034" s="36" t="str">
        <x:f>IF(ISNUMBER(F2034),E2034*F2034,"")</x:f>
      </x:c>
      <x:c r="H2034" s="37"/>
      <x:c r="I2034" s="37"/>
      <x:c r="J2034" s="1" t="n">
        <x:f>IF(ISNUMBER(F2034),E2034,0)</x:f>
        <x:v>0</x:v>
      </x:c>
      <x:c r="K2034" s="1"/>
      <x:c r="L2034" s="1" t="str">
        <x:v>https://blog.skyairline.com/peninsula-valdes/</x:v>
      </x:c>
      <x:c r="M2034" s="1" t="n">
        <x:v>0</x:v>
      </x:c>
    </x:row>
    <x:row r="2035" ht="18.75" customHeight="1">
      <x:c r="A2035" s="1" t="str">
        <x:v>https://blog.skyairline.com/donde-queda-punta-cana/</x:v>
      </x:c>
      <x:c r="B2035" s="1" t="str">
        <x:v>en dónde queda punta cana</x:v>
      </x:c>
      <x:c r="C2035" s="1" t="str">
        <x:v>col</x:v>
      </x:c>
      <x:c r="D2035" s="1" t="str">
        <x:v>Sin marca</x:v>
      </x:c>
      <x:c r="E2035" s="35" t="n">
        <x:v>1</x:v>
      </x:c>
      <x:c r="F2035" s="36"/>
      <x:c r="G2035" s="36" t="str">
        <x:f>IF(ISNUMBER(F2035),E2035*F2035,"")</x:f>
      </x:c>
      <x:c r="H2035" s="37"/>
      <x:c r="I2035" s="37"/>
      <x:c r="J2035" s="1" t="n">
        <x:f>IF(ISNUMBER(F2035),E2035,0)</x:f>
        <x:v>0</x:v>
      </x:c>
      <x:c r="K2035" s="1"/>
      <x:c r="L2035" s="1" t="str">
        <x:v>https://blog.skyairline.com/pensando-en-viajar-fuera-de-chile-para-los-fin-de-semanas-largos-sky-recomienda-6-destinos-para-disfrutar-a-menos-de-4-horas-de-vuelo/</x:v>
      </x:c>
      <x:c r="M2035" s="1" t="n">
        <x:v>0</x:v>
      </x:c>
    </x:row>
    <x:row r="2036" ht="18.75" customHeight="1">
      <x:c r="A2036" s="1" t="str">
        <x:v>https://blog.skyairline.com/donde-queda-punta-cana/</x:v>
      </x:c>
      <x:c r="B2036" s="1" t="str">
        <x:v>en qué continente queda punta cana</x:v>
      </x:c>
      <x:c r="C2036" s="1" t="str">
        <x:v>col</x:v>
      </x:c>
      <x:c r="D2036" s="1" t="str">
        <x:v>Sin marca</x:v>
      </x:c>
      <x:c r="E2036" s="35" t="n">
        <x:v>1</x:v>
      </x:c>
      <x:c r="F2036" s="36"/>
      <x:c r="G2036" s="36" t="str">
        <x:f>IF(ISNUMBER(F2036),E2036*F2036,"")</x:f>
      </x:c>
      <x:c r="H2036" s="37"/>
      <x:c r="I2036" s="37"/>
      <x:c r="J2036" s="1" t="n">
        <x:f>IF(ISNUMBER(F2036),E2036,0)</x:f>
        <x:v>0</x:v>
      </x:c>
      <x:c r="K2036" s="1"/>
      <x:c r="L2036" s="1" t="str">
        <x:v>https://blog.skyairline.com/perros-viajar-avion/</x:v>
      </x:c>
      <x:c r="M2036" s="1" t="n">
        <x:v>0</x:v>
      </x:c>
    </x:row>
    <x:row r="2037" ht="18.75" customHeight="1">
      <x:c r="A2037" s="1" t="str">
        <x:v>https://blog.skyairline.com/donde-queda-punta-cana/</x:v>
      </x:c>
      <x:c r="B2037" s="1" t="str">
        <x:v>en qué país está punta cana</x:v>
      </x:c>
      <x:c r="C2037" s="1" t="str">
        <x:v>mex</x:v>
      </x:c>
      <x:c r="D2037" s="1" t="str">
        <x:v>Sin marca</x:v>
      </x:c>
      <x:c r="E2037" s="35" t="n">
        <x:v>1</x:v>
      </x:c>
      <x:c r="F2037" s="36"/>
      <x:c r="G2037" s="36" t="str">
        <x:f>IF(ISNUMBER(F2037),E2037*F2037,"")</x:f>
      </x:c>
      <x:c r="H2037" s="37"/>
      <x:c r="I2037" s="37"/>
      <x:c r="J2037" s="1" t="n">
        <x:f>IF(ISNUMBER(F2037),E2037,0)</x:f>
        <x:v>0</x:v>
      </x:c>
      <x:c r="K2037" s="1"/>
      <x:c r="L2037" s="1" t="str">
        <x:v>https://blog.skyairline.com/peru-sky-airline-proyecta-mas-de-206-mil-viajeros-para-las-fiestas-de-fin-de-ano/</x:v>
      </x:c>
      <x:c r="M2037" s="1" t="n">
        <x:v>0</x:v>
      </x:c>
    </x:row>
    <x:row r="2038" ht="18.75" customHeight="1">
      <x:c r="A2038" s="1" t="str">
        <x:v>https://blog.skyairline.com/donde-queda-punta-cana/</x:v>
      </x:c>
      <x:c r="B2038" s="1" t="str">
        <x:v>en qué país queda punta cana</x:v>
      </x:c>
      <x:c r="C2038" s="1" t="str">
        <x:v>chl</x:v>
      </x:c>
      <x:c r="D2038" s="1" t="str">
        <x:v>Sin marca</x:v>
      </x:c>
      <x:c r="E2038" s="35" t="n">
        <x:v>1</x:v>
      </x:c>
      <x:c r="F2038" s="36" t="n">
        <x:v>1.75</x:v>
      </x:c>
      <x:c r="G2038" s="36" t="n">
        <x:f>IF(ISNUMBER(F2038),E2038*F2038,"")</x:f>
        <x:v>1.75</x:v>
      </x:c>
      <x:c r="H2038" s="37" t="d">
        <x:v>2026-10-15T00:00:00.000Z</x:v>
      </x:c>
      <x:c r="I2038" s="37" t="d">
        <x:v>2026-09-17T06:08:57.000Z</x:v>
      </x:c>
      <x:c r="J2038" s="1" t="n">
        <x:f>IF(ISNUMBER(F2038),E2038,0)</x:f>
        <x:v>1</x:v>
      </x:c>
      <x:c r="K2038" s="1"/>
      <x:c r="L2038" s="1" t="str">
        <x:v>https://blog.skyairline.com/peso-argentino-a-peso-chileno/</x:v>
      </x:c>
      <x:c r="M2038" s="1" t="n">
        <x:v>0</x:v>
      </x:c>
    </x:row>
    <x:row r="2039" ht="18.75" customHeight="1">
      <x:c r="A2039" s="1" t="str">
        <x:v>https://blog.skyairline.com/donde-queda-punta-cana/</x:v>
      </x:c>
      <x:c r="B2039" s="1" t="str">
        <x:v>punta cana</x:v>
      </x:c>
      <x:c r="C2039" s="1" t="str">
        <x:v>dom</x:v>
      </x:c>
      <x:c r="D2039" s="1" t="str">
        <x:v>Sin marca</x:v>
      </x:c>
      <x:c r="E2039" s="35" t="n">
        <x:v>1</x:v>
      </x:c>
      <x:c r="F2039" s="36"/>
      <x:c r="G2039" s="36" t="str">
        <x:f>IF(ISNUMBER(F2039),E2039*F2039,"")</x:f>
      </x:c>
      <x:c r="H2039" s="37"/>
      <x:c r="I2039" s="37"/>
      <x:c r="J2039" s="1" t="n">
        <x:f>IF(ISNUMBER(F2039),E2039,0)</x:f>
        <x:v>0</x:v>
      </x:c>
      <x:c r="K2039" s="1"/>
      <x:c r="L2039" s="1" t="str">
        <x:v>https://blog.skyairline.com/peulla/</x:v>
      </x:c>
      <x:c r="M2039" s="1" t="n">
        <x:v>0</x:v>
      </x:c>
    </x:row>
    <x:row r="2040" ht="18.75" customHeight="1">
      <x:c r="A2040" s="1" t="str">
        <x:v>https://blog.skyairline.com/donde-queda-punta-cana/</x:v>
      </x:c>
      <x:c r="B2040" s="1" t="str">
        <x:v>punta cana donde queda</x:v>
      </x:c>
      <x:c r="C2040" s="1" t="str">
        <x:v>per</x:v>
      </x:c>
      <x:c r="D2040" s="1" t="str">
        <x:v>Sin marca</x:v>
      </x:c>
      <x:c r="E2040" s="35" t="n">
        <x:v>1</x:v>
      </x:c>
      <x:c r="F2040" s="36" t="n">
        <x:v>0.98</x:v>
      </x:c>
      <x:c r="G2040" s="36" t="n">
        <x:f>IF(ISNUMBER(F2040),E2040*F2040,"")</x:f>
        <x:v>0.98</x:v>
      </x:c>
      <x:c r="H2040" s="37" t="d">
        <x:v>2026-10-15T00:00:00.000Z</x:v>
      </x:c>
      <x:c r="I2040" s="37" t="d">
        <x:v>2026-09-14T02:54:57.000Z</x:v>
      </x:c>
      <x:c r="J2040" s="1" t="n">
        <x:f>IF(ISNUMBER(F2040),E2040,0)</x:f>
        <x:v>1</x:v>
      </x:c>
      <x:c r="K2040" s="1"/>
      <x:c r="L2040" s="1" t="str">
        <x:v>https://blog.skyairline.com/pica-en-iquique-un-oasis-en-medio-del-desierto</x:v>
      </x:c>
      <x:c r="M2040" s="1" t="n">
        <x:v>0</x:v>
      </x:c>
    </x:row>
    <x:row r="2041" ht="18.75" customHeight="1">
      <x:c r="A2041" s="1" t="str">
        <x:v>https://blog.skyairline.com/donde-queda-punta-cana/</x:v>
      </x:c>
      <x:c r="B2041" s="1" t="str">
        <x:v>punta cana en que pais esta</x:v>
      </x:c>
      <x:c r="C2041" s="1" t="str">
        <x:v>per</x:v>
      </x:c>
      <x:c r="D2041" s="1" t="str">
        <x:v>Sin marca</x:v>
      </x:c>
      <x:c r="E2041" s="35" t="n">
        <x:v>1</x:v>
      </x:c>
      <x:c r="F2041" s="36"/>
      <x:c r="G2041" s="36" t="str">
        <x:f>IF(ISNUMBER(F2041),E2041*F2041,"")</x:f>
      </x:c>
      <x:c r="H2041" s="37" t="d">
        <x:v>2026-10-15T00:00:00.000Z</x:v>
      </x:c>
      <x:c r="I2041" s="37" t="d">
        <x:v>2026-09-16T01:48:33.000Z</x:v>
      </x:c>
      <x:c r="J2041" s="1" t="n">
        <x:f>IF(ISNUMBER(F2041),E2041,0)</x:f>
        <x:v>0</x:v>
      </x:c>
      <x:c r="K2041" s="1"/>
      <x:c r="L2041" s="1" t="str">
        <x:v>https://blog.skyairline.com/pica-iquique-un-oasis-en-el-desierto</x:v>
      </x:c>
      <x:c r="M2041" s="1" t="n">
        <x:v>0</x:v>
      </x:c>
    </x:row>
    <x:row r="2042" ht="18.75" customHeight="1">
      <x:c r="A2042" s="1" t="str">
        <x:v>https://blog.skyairline.com/donde-queda-punta-cana/</x:v>
      </x:c>
      <x:c r="B2042" s="1" t="str">
        <x:v>punta cana es una isla</x:v>
      </x:c>
      <x:c r="C2042" s="1" t="str">
        <x:v>col</x:v>
      </x:c>
      <x:c r="D2042" s="1" t="str">
        <x:v>Sin marca</x:v>
      </x:c>
      <x:c r="E2042" s="35" t="n">
        <x:v>1</x:v>
      </x:c>
      <x:c r="F2042" s="36"/>
      <x:c r="G2042" s="36" t="str">
        <x:f>IF(ISNUMBER(F2042),E2042*F2042,"")</x:f>
      </x:c>
      <x:c r="H2042" s="37"/>
      <x:c r="I2042" s="37"/>
      <x:c r="J2042" s="1" t="n">
        <x:f>IF(ISNUMBER(F2042),E2042,0)</x:f>
        <x:v>0</x:v>
      </x:c>
      <x:c r="K2042" s="1"/>
      <x:c r="L2042" s="1" t="str">
        <x:v>https://blog.skyairline.com/pichilemu/</x:v>
      </x:c>
      <x:c r="M2042" s="1" t="n">
        <x:v>0</x:v>
      </x:c>
    </x:row>
    <x:row r="2043" ht="18.75" customHeight="1">
      <x:c r="A2043" s="1" t="str">
        <x:v>https://blog.skyairline.com/donde-queda-rancagua/</x:v>
      </x:c>
      <x:c r="B2043" s="1" t="str">
        <x:v>donde queda rancagua</x:v>
      </x:c>
      <x:c r="C2043" s="1" t="str">
        <x:v>ury</x:v>
      </x:c>
      <x:c r="D2043" s="1" t="str">
        <x:v>Sin marca</x:v>
      </x:c>
      <x:c r="E2043" s="35" t="n">
        <x:v>1</x:v>
      </x:c>
      <x:c r="F2043" s="36"/>
      <x:c r="G2043" s="36" t="str">
        <x:f>IF(ISNUMBER(F2043),E2043*F2043,"")</x:f>
      </x:c>
      <x:c r="H2043" s="37"/>
      <x:c r="I2043" s="37"/>
      <x:c r="J2043" s="1" t="n">
        <x:f>IF(ISNUMBER(F2043),E2043,0)</x:f>
        <x:v>0</x:v>
      </x:c>
      <x:c r="K2043" s="1"/>
      <x:c r="L2043" s="1" t="str">
        <x:v>https://blog.skyairline.com/pinguinos-de-humboldt/</x:v>
      </x:c>
      <x:c r="M2043" s="1" t="n">
        <x:v>0</x:v>
      </x:c>
    </x:row>
    <x:row r="2044" ht="18.75" customHeight="1">
      <x:c r="A2044" s="1" t="str">
        <x:v>https://blog.skyairline.com/donde-queda-rancagua/</x:v>
      </x:c>
      <x:c r="B2044" s="1" t="str">
        <x:v>donde queda rancagua?</x:v>
      </x:c>
      <x:c r="C2044" s="1" t="str">
        <x:v>usa</x:v>
      </x:c>
      <x:c r="D2044" s="1" t="str">
        <x:v>Sin marca</x:v>
      </x:c>
      <x:c r="E2044" s="35" t="n">
        <x:v>1</x:v>
      </x:c>
      <x:c r="F2044" s="36"/>
      <x:c r="G2044" s="36" t="str">
        <x:f>IF(ISNUMBER(F2044),E2044*F2044,"")</x:f>
      </x:c>
      <x:c r="H2044" s="37"/>
      <x:c r="I2044" s="37"/>
      <x:c r="J2044" s="1" t="n">
        <x:f>IF(ISNUMBER(F2044),E2044,0)</x:f>
        <x:v>0</x:v>
      </x:c>
      <x:c r="K2044" s="1"/>
      <x:c r="L2044" s="1" t="str">
        <x:v>https://blog.skyairline.com/planifica-tu-viaje/</x:v>
      </x:c>
      <x:c r="M2044" s="1" t="n">
        <x:v>0</x:v>
      </x:c>
    </x:row>
    <x:row r="2045" ht="18.75" customHeight="1">
      <x:c r="A2045" s="1" t="str">
        <x:v>https://blog.skyairline.com/donde-queda-rancagua/</x:v>
      </x:c>
      <x:c r="B2045" s="1" t="str">
        <x:v>rancagua</x:v>
      </x:c>
      <x:c r="C2045" s="1" t="str">
        <x:v>chl</x:v>
      </x:c>
      <x:c r="D2045" s="1" t="str">
        <x:v>Sin marca</x:v>
      </x:c>
      <x:c r="E2045" s="35" t="n">
        <x:v>1</x:v>
      </x:c>
      <x:c r="F2045" s="36" t="n">
        <x:v>1.06</x:v>
      </x:c>
      <x:c r="G2045" s="36" t="n">
        <x:f>IF(ISNUMBER(F2045),E2045*F2045,"")</x:f>
        <x:v>1.06</x:v>
      </x:c>
      <x:c r="H2045" s="37" t="d">
        <x:v>2026-10-15T00:00:00.000Z</x:v>
      </x:c>
      <x:c r="I2045" s="37" t="d">
        <x:v>2026-09-14T08:52:53.000Z</x:v>
      </x:c>
      <x:c r="J2045" s="1" t="n">
        <x:f>IF(ISNUMBER(F2045),E2045,0)</x:f>
        <x:v>1</x:v>
      </x:c>
      <x:c r="K2045" s="1"/>
      <x:c r="L2045" s="1" t="str">
        <x:v>https://blog.skyairline.com/planificacion-de-viajes/</x:v>
      </x:c>
      <x:c r="M2045" s="1" t="n">
        <x:v>0</x:v>
      </x:c>
    </x:row>
    <x:row r="2046" ht="18.75" customHeight="1">
      <x:c r="A2046" s="1" t="str">
        <x:v>https://blog.skyairline.com/donde-queda-rancagua/</x:v>
      </x:c>
      <x:c r="B2046" s="1" t="str">
        <x:v>rancagua donde queda</x:v>
      </x:c>
      <x:c r="C2046" s="1" t="str">
        <x:v>per</x:v>
      </x:c>
      <x:c r="D2046" s="1" t="str">
        <x:v>Sin marca</x:v>
      </x:c>
      <x:c r="E2046" s="35" t="n">
        <x:v>1</x:v>
      </x:c>
      <x:c r="F2046" s="36"/>
      <x:c r="G2046" s="36" t="str">
        <x:f>IF(ISNUMBER(F2046),E2046*F2046,"")</x:f>
      </x:c>
      <x:c r="H2046" s="37" t="d">
        <x:v>2026-10-15T00:00:00.000Z</x:v>
      </x:c>
      <x:c r="I2046" s="37" t="d">
        <x:v>2026-09-17T00:18:47.000Z</x:v>
      </x:c>
      <x:c r="J2046" s="1" t="n">
        <x:f>IF(ISNUMBER(F2046),E2046,0)</x:f>
        <x:v>0</x:v>
      </x:c>
      <x:c r="K2046" s="1"/>
      <x:c r="L2046" s="1" t="str">
        <x:v>https://blog.skyairline.com/playa-cavanchi/</x:v>
      </x:c>
      <x:c r="M2046" s="1" t="n">
        <x:v>0</x:v>
      </x:c>
    </x:row>
    <x:row r="2047" ht="18.75" customHeight="1">
      <x:c r="A2047" s="1" t="str">
        <x:v>https://blog.skyairline.com/donde-viajar-con-ninos/</x:v>
      </x:c>
      <x:c r="B2047" s="1" t="str">
        <x:v>destino para viajar con niños</x:v>
      </x:c>
      <x:c r="C2047" s="1" t="str">
        <x:v>chl</x:v>
      </x:c>
      <x:c r="D2047" s="1" t="str">
        <x:v>Sin marca</x:v>
      </x:c>
      <x:c r="E2047" s="35" t="n">
        <x:v>1</x:v>
      </x:c>
      <x:c r="F2047" s="36"/>
      <x:c r="G2047" s="36" t="str">
        <x:f>IF(ISNUMBER(F2047),E2047*F2047,"")</x:f>
      </x:c>
      <x:c r="H2047" s="37"/>
      <x:c r="I2047" s="37"/>
      <x:c r="J2047" s="1" t="n">
        <x:f>IF(ISNUMBER(F2047),E2047,0)</x:f>
        <x:v>0</x:v>
      </x:c>
      <x:c r="K2047" s="1"/>
      <x:c r="L2047" s="1" t="str">
        <x:v>https://blog.skyairline.com/playa-cerca-de-sao-paulo</x:v>
      </x:c>
      <x:c r="M2047" s="1" t="n">
        <x:v>0</x:v>
      </x:c>
    </x:row>
    <x:row r="2048" ht="18.75" customHeight="1">
      <x:c r="A2048" s="1" t="str">
        <x:v>https://blog.skyairline.com/donde-viajar-con-ninos/</x:v>
      </x:c>
      <x:c r="B2048" s="1" t="str">
        <x:v>destinos baratos para viajar con niños</x:v>
      </x:c>
      <x:c r="C2048" s="1" t="str">
        <x:v>chl</x:v>
      </x:c>
      <x:c r="D2048" s="1" t="str">
        <x:v>Sin marca</x:v>
      </x:c>
      <x:c r="E2048" s="35" t="n">
        <x:v>1</x:v>
      </x:c>
      <x:c r="F2048" s="36"/>
      <x:c r="G2048" s="36" t="str">
        <x:f>IF(ISNUMBER(F2048),E2048*F2048,"")</x:f>
      </x:c>
      <x:c r="H2048" s="37"/>
      <x:c r="I2048" s="37"/>
      <x:c r="J2048" s="1" t="n">
        <x:f>IF(ISNUMBER(F2048),E2048,0)</x:f>
        <x:v>0</x:v>
      </x:c>
      <x:c r="K2048" s="1"/>
      <x:c r="L2048" s="1" t="str">
        <x:v>https://blog.skyairline.com/playa-cerca-santiago/</x:v>
      </x:c>
      <x:c r="M2048" s="1" t="n">
        <x:v>0</x:v>
      </x:c>
    </x:row>
    <x:row r="2049" ht="18.75" customHeight="1">
      <x:c r="A2049" s="1" t="str">
        <x:v>https://blog.skyairline.com/donde-viajar-con-ninos/</x:v>
      </x:c>
      <x:c r="B2049" s="1" t="str">
        <x:v>destinos para ir con niños</x:v>
      </x:c>
      <x:c r="C2049" s="1" t="str">
        <x:v>chl</x:v>
      </x:c>
      <x:c r="D2049" s="1" t="str">
        <x:v>Sin marca</x:v>
      </x:c>
      <x:c r="E2049" s="35" t="n">
        <x:v>1</x:v>
      </x:c>
      <x:c r="F2049" s="36"/>
      <x:c r="G2049" s="36" t="str">
        <x:f>IF(ISNUMBER(F2049),E2049*F2049,"")</x:f>
      </x:c>
      <x:c r="H2049" s="37" t="d">
        <x:v>2026-10-15T00:00:00.000Z</x:v>
      </x:c>
      <x:c r="I2049" s="37" t="d">
        <x:v>2026-06-13T03:42:51.000Z</x:v>
      </x:c>
      <x:c r="J2049" s="1" t="n">
        <x:f>IF(ISNUMBER(F2049),E2049,0)</x:f>
        <x:v>0</x:v>
      </x:c>
      <x:c r="K2049" s="1"/>
      <x:c r="L2049" s="1" t="str">
        <x:v>https://blog.skyairline.com/playa-en-miami/</x:v>
      </x:c>
      <x:c r="M2049" s="1" t="n">
        <x:v>0</x:v>
      </x:c>
    </x:row>
    <x:row r="2050" ht="18.75" customHeight="1">
      <x:c r="A2050" s="1" t="str">
        <x:v>https://blog.skyairline.com/donde-viajar-con-ninos/</x:v>
      </x:c>
      <x:c r="B2050" s="1" t="str">
        <x:v>destinos para viajar con niños en sudamérica</x:v>
      </x:c>
      <x:c r="C2050" s="1" t="str">
        <x:v>chl</x:v>
      </x:c>
      <x:c r="D2050" s="1" t="str">
        <x:v>Sin marca</x:v>
      </x:c>
      <x:c r="E2050" s="35" t="n">
        <x:v>1</x:v>
      </x:c>
      <x:c r="F2050" s="36"/>
      <x:c r="G2050" s="36" t="str">
        <x:f>IF(ISNUMBER(F2050),E2050*F2050,"")</x:f>
      </x:c>
      <x:c r="H2050" s="37" t="d">
        <x:v>2026-10-15T00:00:00.000Z</x:v>
      </x:c>
      <x:c r="I2050" s="37" t="d">
        <x:v>2026-06-16T11:25:43.000Z</x:v>
      </x:c>
      <x:c r="J2050" s="1" t="n">
        <x:f>IF(ISNUMBER(F2050),E2050,0)</x:f>
        <x:v>0</x:v>
      </x:c>
      <x:c r="K2050" s="1"/>
      <x:c r="L2050" s="1" t="str">
        <x:v>https://blog.skyairline.com/playa-las-docas/</x:v>
      </x:c>
      <x:c r="M2050" s="1" t="n">
        <x:v>0</x:v>
      </x:c>
    </x:row>
    <x:row r="2051" ht="18.75" customHeight="1">
      <x:c r="A2051" s="1" t="str">
        <x:v>https://blog.skyairline.com/donde-viajar-con-ninos/</x:v>
      </x:c>
      <x:c r="B2051" s="1" t="str">
        <x:v>donde ir de vacaciones con niños</x:v>
      </x:c>
      <x:c r="C2051" s="1" t="str">
        <x:v>chl</x:v>
      </x:c>
      <x:c r="D2051" s="1" t="str">
        <x:v>Sin marca</x:v>
      </x:c>
      <x:c r="E2051" s="35" t="n">
        <x:v>1</x:v>
      </x:c>
      <x:c r="F2051" s="36"/>
      <x:c r="G2051" s="36" t="str">
        <x:f>IF(ISNUMBER(F2051),E2051*F2051,"")</x:f>
      </x:c>
      <x:c r="H2051" s="37" t="d">
        <x:v>2026-10-15T00:00:00.000Z</x:v>
      </x:c>
      <x:c r="I2051" s="37" t="d">
        <x:v>2026-06-15T20:28:37.000Z</x:v>
      </x:c>
      <x:c r="J2051" s="1" t="n">
        <x:f>IF(ISNUMBER(F2051),E2051,0)</x:f>
        <x:v>0</x:v>
      </x:c>
      <x:c r="K2051" s="1"/>
      <x:c r="L2051" s="1" t="str">
        <x:v>https://blog.skyairline.com/playa-los-cuervos/</x:v>
      </x:c>
      <x:c r="M2051" s="1" t="n">
        <x:v>0</x:v>
      </x:c>
    </x:row>
    <x:row r="2052" ht="18.75" customHeight="1">
      <x:c r="A2052" s="1" t="str">
        <x:v>https://blog.skyairline.com/donde-viajar-con-ninos/</x:v>
      </x:c>
      <x:c r="B2052" s="1" t="str">
        <x:v>donde ir de vacaciones con un bebe de 1 año</x:v>
      </x:c>
      <x:c r="C2052" s="1" t="str">
        <x:v>chl</x:v>
      </x:c>
      <x:c r="D2052" s="1" t="str">
        <x:v>Sin marca</x:v>
      </x:c>
      <x:c r="E2052" s="35" t="n">
        <x:v>1</x:v>
      </x:c>
      <x:c r="F2052" s="36"/>
      <x:c r="G2052" s="36" t="str">
        <x:f>IF(ISNUMBER(F2052),E2052*F2052,"")</x:f>
      </x:c>
      <x:c r="H2052" s="37"/>
      <x:c r="I2052" s="37"/>
      <x:c r="J2052" s="1" t="n">
        <x:f>IF(ISNUMBER(F2052),E2052,0)</x:f>
        <x:v>0</x:v>
      </x:c>
      <x:c r="K2052" s="1"/>
      <x:c r="L2052" s="1" t="str">
        <x:v>https://blog.skyairline.com/playa-renaca/</x:v>
      </x:c>
      <x:c r="M2052" s="1" t="n">
        <x:v>0</x:v>
      </x:c>
    </x:row>
    <x:row r="2053" ht="18.75" customHeight="1">
      <x:c r="A2053" s="1" t="str">
        <x:v>https://blog.skyairline.com/donde-viajar-con-ninos/</x:v>
      </x:c>
      <x:c r="B2053" s="1" t="str">
        <x:v>ideas de vacaciones con niños</x:v>
      </x:c>
      <x:c r="C2053" s="1" t="str">
        <x:v>chl</x:v>
      </x:c>
      <x:c r="D2053" s="1" t="str">
        <x:v>Sin marca</x:v>
      </x:c>
      <x:c r="E2053" s="35" t="n">
        <x:v>1</x:v>
      </x:c>
      <x:c r="F2053" s="36"/>
      <x:c r="G2053" s="36" t="str">
        <x:f>IF(ISNUMBER(F2053),E2053*F2053,"")</x:f>
      </x:c>
      <x:c r="H2053" s="37"/>
      <x:c r="I2053" s="37"/>
      <x:c r="J2053" s="1" t="n">
        <x:f>IF(ISNUMBER(F2053),E2053,0)</x:f>
        <x:v>0</x:v>
      </x:c>
      <x:c r="K2053" s="1"/>
      <x:c r="L2053" s="1" t="str">
        <x:v>https://blog.skyairline.com/playas-al-norte-de-chile-7-destinos-imperdibles-%E2%80%93-sky-airline-%E2%80%93-blog</x:v>
      </x:c>
      <x:c r="M2053" s="1" t="n">
        <x:v>0</x:v>
      </x:c>
    </x:row>
    <x:row r="2054" ht="18.75" customHeight="1">
      <x:c r="A2054" s="1" t="str">
        <x:v>https://blog.skyairline.com/donde-viajar-con-ninos/</x:v>
      </x:c>
      <x:c r="B2054" s="1" t="str">
        <x:v>lugares donde viajar con niños</x:v>
      </x:c>
      <x:c r="C2054" s="1" t="str">
        <x:v>chl</x:v>
      </x:c>
      <x:c r="D2054" s="1" t="str">
        <x:v>Sin marca</x:v>
      </x:c>
      <x:c r="E2054" s="35" t="n">
        <x:v>1</x:v>
      </x:c>
      <x:c r="F2054" s="36"/>
      <x:c r="G2054" s="36" t="str">
        <x:f>IF(ISNUMBER(F2054),E2054*F2054,"")</x:f>
      </x:c>
      <x:c r="H2054" s="37" t="d">
        <x:v>2026-10-15T00:00:00.000Z</x:v>
      </x:c>
      <x:c r="I2054" s="37" t="d">
        <x:v>2026-06-14T20:36:24.000Z</x:v>
      </x:c>
      <x:c r="J2054" s="1" t="n">
        <x:f>IF(ISNUMBER(F2054),E2054,0)</x:f>
        <x:v>0</x:v>
      </x:c>
      <x:c r="K2054" s="1"/>
      <x:c r="L2054" s="1" t="str">
        <x:v>https://blog.skyairline.com/playas-artificiales-de-antofagasta-para-pasar-un-dia-relax/</x:v>
      </x:c>
      <x:c r="M2054" s="1" t="n">
        <x:v>0</x:v>
      </x:c>
    </x:row>
    <x:row r="2055" ht="18.75" customHeight="1">
      <x:c r="A2055" s="1" t="str">
        <x:v>https://blog.skyairline.com/donde-viajar-con-ninos/</x:v>
      </x:c>
      <x:c r="B2055" s="1" t="str">
        <x:v>lugares para ir con niños de vacaciones</x:v>
      </x:c>
      <x:c r="C2055" s="1" t="str">
        <x:v>chl</x:v>
      </x:c>
      <x:c r="D2055" s="1" t="str">
        <x:v>Sin marca</x:v>
      </x:c>
      <x:c r="E2055" s="35" t="n">
        <x:v>1</x:v>
      </x:c>
      <x:c r="F2055" s="36"/>
      <x:c r="G2055" s="36" t="str">
        <x:f>IF(ISNUMBER(F2055),E2055*F2055,"")</x:f>
      </x:c>
      <x:c r="H2055" s="37" t="d">
        <x:v>2026-10-15T00:00:00.000Z</x:v>
      </x:c>
      <x:c r="I2055" s="37" t="d">
        <x:v>2026-06-15T14:57:23.000Z</x:v>
      </x:c>
      <x:c r="J2055" s="1" t="n">
        <x:f>IF(ISNUMBER(F2055),E2055,0)</x:f>
        <x:v>0</x:v>
      </x:c>
      <x:c r="K2055" s="1"/>
      <x:c r="L2055" s="1" t="str">
        <x:v>https://blog.skyairline.com/playas-artificiales-def-antofagasta/</x:v>
      </x:c>
      <x:c r="M2055" s="1" t="n">
        <x:v>0</x:v>
      </x:c>
    </x:row>
    <x:row r="2056" ht="18.75" customHeight="1">
      <x:c r="A2056" s="1" t="str">
        <x:v>https://blog.skyairline.com/donde-viajar-con-ninos/</x:v>
      </x:c>
      <x:c r="B2056" s="1" t="str">
        <x:v>lugares para viajar con niños en el extranjero</x:v>
      </x:c>
      <x:c r="C2056" s="1" t="str">
        <x:v>chl</x:v>
      </x:c>
      <x:c r="D2056" s="1" t="str">
        <x:v>Sin marca</x:v>
      </x:c>
      <x:c r="E2056" s="35" t="n">
        <x:v>1</x:v>
      </x:c>
      <x:c r="F2056" s="36"/>
      <x:c r="G2056" s="36" t="str">
        <x:f>IF(ISNUMBER(F2056),E2056*F2056,"")</x:f>
      </x:c>
      <x:c r="H2056" s="37"/>
      <x:c r="I2056" s="37"/>
      <x:c r="J2056" s="1" t="n">
        <x:f>IF(ISNUMBER(F2056),E2056,0)</x:f>
        <x:v>0</x:v>
      </x:c>
      <x:c r="K2056" s="1"/>
      <x:c r="L2056" s="1" t="str">
        <x:v>https://blog.skyairline.com/playas-cerca-de-sao-paulo</x:v>
      </x:c>
      <x:c r="M2056" s="1" t="n">
        <x:v>0</x:v>
      </x:c>
    </x:row>
    <x:row r="2057" ht="18.75" customHeight="1">
      <x:c r="A2057" s="1" t="str">
        <x:v>https://blog.skyairline.com/donde-viajar-con-ninos/</x:v>
      </x:c>
      <x:c r="B2057" s="1" t="str">
        <x:v>lugares para viajar con niños en el extranjero</x:v>
      </x:c>
      <x:c r="C2057" s="1" t="str">
        <x:v>per</x:v>
      </x:c>
      <x:c r="D2057" s="1" t="str">
        <x:v>Sin marca</x:v>
      </x:c>
      <x:c r="E2057" s="35" t="n">
        <x:v>1</x:v>
      </x:c>
      <x:c r="F2057" s="36"/>
      <x:c r="G2057" s="36" t="str">
        <x:f>IF(ISNUMBER(F2057),E2057*F2057,"")</x:f>
      </x:c>
      <x:c r="H2057" s="37"/>
      <x:c r="I2057" s="37"/>
      <x:c r="J2057" s="1" t="n">
        <x:f>IF(ISNUMBER(F2057),E2057,0)</x:f>
        <x:v>0</x:v>
      </x:c>
      <x:c r="K2057" s="1"/>
      <x:c r="L2057" s="1" t="str">
        <x:v>https://blog.skyairline.com/playas-crake-santiago/</x:v>
      </x:c>
      <x:c r="M2057" s="1" t="n">
        <x:v>0</x:v>
      </x:c>
    </x:row>
    <x:row r="2058" ht="18.75" customHeight="1">
      <x:c r="A2058" s="1" t="str">
        <x:v>https://blog.skyairline.com/donde-viajar-con-ninos/</x:v>
      </x:c>
      <x:c r="B2058" s="1" t="str">
        <x:v>lugares para viajar en familia económicos</x:v>
      </x:c>
      <x:c r="C2058" s="1" t="str">
        <x:v>chl</x:v>
      </x:c>
      <x:c r="D2058" s="1" t="str">
        <x:v>Sin marca</x:v>
      </x:c>
      <x:c r="E2058" s="35" t="n">
        <x:v>1</x:v>
      </x:c>
      <x:c r="F2058" s="36" t="n">
        <x:v>0.51</x:v>
      </x:c>
      <x:c r="G2058" s="36" t="n">
        <x:f>IF(ISNUMBER(F2058),E2058*F2058,"")</x:f>
        <x:v>0.51</x:v>
      </x:c>
      <x:c r="H2058" s="37" t="d">
        <x:v>2026-10-15T00:00:00.000Z</x:v>
      </x:c>
      <x:c r="I2058" s="37" t="d">
        <x:v>2026-09-17T21:23:56.000Z</x:v>
      </x:c>
      <x:c r="J2058" s="1" t="n">
        <x:f>IF(ISNUMBER(F2058),E2058,0)</x:f>
        <x:v>1</x:v>
      </x:c>
      <x:c r="K2058" s="1"/>
      <x:c r="L2058" s="1" t="str">
        <x:v>https://blog.skyairline.com/playas-de-chile/</x:v>
      </x:c>
      <x:c r="M2058" s="1" t="n">
        <x:v>0</x:v>
      </x:c>
    </x:row>
    <x:row r="2059" ht="18.75" customHeight="1">
      <x:c r="A2059" s="1" t="str">
        <x:v>https://blog.skyairline.com/donde-viajar-con-ninos/</x:v>
      </x:c>
      <x:c r="B2059" s="1" t="str">
        <x:v>paises para viajar con niños</x:v>
      </x:c>
      <x:c r="C2059" s="1" t="str">
        <x:v>chl</x:v>
      </x:c>
      <x:c r="D2059" s="1" t="str">
        <x:v>Sin marca</x:v>
      </x:c>
      <x:c r="E2059" s="35" t="n">
        <x:v>1</x:v>
      </x:c>
      <x:c r="F2059" s="36"/>
      <x:c r="G2059" s="36" t="str">
        <x:f>IF(ISNUMBER(F2059),E2059*F2059,"")</x:f>
      </x:c>
      <x:c r="H2059" s="37" t="d">
        <x:v>2026-10-15T00:00:00.000Z</x:v>
      </x:c>
      <x:c r="I2059" s="37" t="d">
        <x:v>2026-06-16T01:07:03.000Z</x:v>
      </x:c>
      <x:c r="J2059" s="1" t="n">
        <x:f>IF(ISNUMBER(F2059),E2059,0)</x:f>
        <x:v>0</x:v>
      </x:c>
      <x:c r="K2059" s="1"/>
      <x:c r="L2059" s="1" t="str">
        <x:v>https://blog.skyairline.com/playas-de-montevideo/</x:v>
      </x:c>
      <x:c r="M2059" s="1" t="n">
        <x:v>0</x:v>
      </x:c>
    </x:row>
    <x:row r="2060" ht="18.75" customHeight="1">
      <x:c r="A2060" s="1" t="str">
        <x:v>https://blog.skyairline.com/donde-viajar-con-ninos/</x:v>
      </x:c>
      <x:c r="B2060" s="1" t="str">
        <x:v>viaje con niños</x:v>
      </x:c>
      <x:c r="C2060" s="1" t="str">
        <x:v>chl</x:v>
      </x:c>
      <x:c r="D2060" s="1" t="str">
        <x:v>Sin marca</x:v>
      </x:c>
      <x:c r="E2060" s="35" t="n">
        <x:v>1</x:v>
      </x:c>
      <x:c r="F2060" s="36"/>
      <x:c r="G2060" s="36" t="str">
        <x:f>IF(ISNUMBER(F2060),E2060*F2060,"")</x:f>
      </x:c>
      <x:c r="H2060" s="37" t="d">
        <x:v>2026-10-15T00:00:00.000Z</x:v>
      </x:c>
      <x:c r="I2060" s="37" t="d">
        <x:v>2026-06-14T03:22:35.000Z</x:v>
      </x:c>
      <x:c r="J2060" s="1" t="n">
        <x:f>IF(ISNUMBER(F2060),E2060,0)</x:f>
        <x:v>0</x:v>
      </x:c>
      <x:c r="K2060" s="1"/>
      <x:c r="L2060" s="1" t="str">
        <x:v>https://blog.skyairline.com/playas-de-piura</x:v>
      </x:c>
      <x:c r="M2060" s="1" t="n">
        <x:v>0</x:v>
      </x:c>
    </x:row>
    <x:row r="2061" ht="18.75" customHeight="1">
      <x:c r="A2061" s="1" t="str">
        <x:v>https://blog.skyairline.com/dunas-chile/</x:v>
      </x:c>
      <x:c r="B2061" s="1" t="str">
        <x:v>dunas en chile</x:v>
      </x:c>
      <x:c r="C2061" s="1" t="str">
        <x:v>chl</x:v>
      </x:c>
      <x:c r="D2061" s="1" t="str">
        <x:v>Sin marca</x:v>
      </x:c>
      <x:c r="E2061" s="35" t="n">
        <x:v>1</x:v>
      </x:c>
      <x:c r="F2061" s="36"/>
      <x:c r="G2061" s="36" t="str">
        <x:f>IF(ISNUMBER(F2061),E2061*F2061,"")</x:f>
      </x:c>
      <x:c r="H2061" s="37" t="d">
        <x:v>2026-10-15T00:00:00.000Z</x:v>
      </x:c>
      <x:c r="I2061" s="37" t="d">
        <x:v>2026-09-12T22:53:23.000Z</x:v>
      </x:c>
      <x:c r="J2061" s="1" t="n">
        <x:f>IF(ISNUMBER(F2061),E2061,0)</x:f>
        <x:v>0</x:v>
      </x:c>
      <x:c r="K2061" s="1"/>
      <x:c r="L2061" s="1" t="str">
        <x:v>https://blog.skyairline.com/playas-de-republica-dominicana-las-mejores-para-disfrutar-del-caribe</x:v>
      </x:c>
      <x:c r="M2061" s="1" t="n">
        <x:v>0</x:v>
      </x:c>
    </x:row>
    <x:row r="2062" ht="18.75" customHeight="1">
      <x:c r="A2062" s="1" t="str">
        <x:v>https://blog.skyairline.com/edificio-mas-alto-de-chile/</x:v>
      </x:c>
      <x:c r="B2062" s="1" t="str">
        <x:v>costanera center</x:v>
      </x:c>
      <x:c r="C2062" s="1" t="str">
        <x:v>chl</x:v>
      </x:c>
      <x:c r="D2062" s="1" t="str">
        <x:v>Sin marca</x:v>
      </x:c>
      <x:c r="E2062" s="35" t="n">
        <x:v>1</x:v>
      </x:c>
      <x:c r="F2062" s="36" t="n">
        <x:v>0.1</x:v>
      </x:c>
      <x:c r="G2062" s="36" t="n">
        <x:f>IF(ISNUMBER(F2062),E2062*F2062,"")</x:f>
        <x:v>0.1</x:v>
      </x:c>
      <x:c r="H2062" s="37" t="d">
        <x:v>2026-10-15T00:00:00.000Z</x:v>
      </x:c>
      <x:c r="I2062" s="37" t="d">
        <x:v>2026-09-12T20:20:26.000Z</x:v>
      </x:c>
      <x:c r="J2062" s="1" t="n">
        <x:f>IF(ISNUMBER(F2062),E2062,0)</x:f>
        <x:v>1</x:v>
      </x:c>
      <x:c r="K2062" s="1"/>
      <x:c r="L2062" s="1" t="str">
        <x:v>https://blog.skyairline.com/playas-de-republica-dominicana-las-mejores-para-disfrutar-del-caribe/</x:v>
      </x:c>
      <x:c r="M2062" s="1" t="n">
        <x:v>0</x:v>
      </x:c>
    </x:row>
    <x:row r="2063" ht="18.75" customHeight="1">
      <x:c r="A2063" s="1" t="str">
        <x:v>https://blog.skyairline.com/eje-cafetero/</x:v>
      </x:c>
      <x:c r="B2063" s="1" t="str">
        <x:v>clima en salento</x:v>
      </x:c>
      <x:c r="C2063" s="1" t="str">
        <x:v>chl</x:v>
      </x:c>
      <x:c r="D2063" s="1" t="str">
        <x:v>Sin marca</x:v>
      </x:c>
      <x:c r="E2063" s="35" t="n">
        <x:v>1</x:v>
      </x:c>
      <x:c r="F2063" s="36"/>
      <x:c r="G2063" s="36" t="str">
        <x:f>IF(ISNUMBER(F2063),E2063*F2063,"")</x:f>
      </x:c>
      <x:c r="H2063" s="37"/>
      <x:c r="I2063" s="37"/>
      <x:c r="J2063" s="1" t="n">
        <x:f>IF(ISNUMBER(F2063),E2063,0)</x:f>
        <x:v>0</x:v>
      </x:c>
      <x:c r="K2063" s="1"/>
      <x:c r="L2063" s="1" t="str">
        <x:v>https://blog.skyairline.com/playas-del-caribe-2/</x:v>
      </x:c>
      <x:c r="M2063" s="1" t="n">
        <x:v>0</x:v>
      </x:c>
    </x:row>
    <x:row r="2064" ht="18.75" customHeight="1">
      <x:c r="A2064" s="1" t="str">
        <x:v>https://blog.skyairline.com/el-doral/</x:v>
      </x:c>
      <x:c r="B2064" s="1" t="str">
        <x:v>si deseo</x:v>
      </x:c>
      <x:c r="C2064" s="1" t="str">
        <x:v>col</x:v>
      </x:c>
      <x:c r="D2064" s="1" t="str">
        <x:v>Sin marca</x:v>
      </x:c>
      <x:c r="E2064" s="35" t="n">
        <x:v>1</x:v>
      </x:c>
      <x:c r="F2064" s="36"/>
      <x:c r="G2064" s="36" t="str">
        <x:f>IF(ISNUMBER(F2064),E2064*F2064,"")</x:f>
      </x:c>
      <x:c r="H2064" s="37"/>
      <x:c r="I2064" s="37"/>
      <x:c r="J2064" s="1" t="n">
        <x:f>IF(ISNUMBER(F2064),E2064,0)</x:f>
        <x:v>0</x:v>
      </x:c>
      <x:c r="K2064" s="1"/>
      <x:c r="L2064" s="1" t="str">
        <x:v>https://blog.skyairline.com/playas-del-caribe/</x:v>
      </x:c>
      <x:c r="M2064" s="1" t="n">
        <x:v>0</x:v>
      </x:c>
    </x:row>
    <x:row r="2065" ht="18.75" customHeight="1">
      <x:c r="A2065" s="1" t="str">
        <x:v>https://blog.skyairline.com/el-tiempo-en-florianopolis/</x:v>
      </x:c>
      <x:c r="B2065" s="1" t="str">
        <x:v>florianópolis tiempo</x:v>
      </x:c>
      <x:c r="C2065" s="1" t="str">
        <x:v>chl</x:v>
      </x:c>
      <x:c r="D2065" s="1" t="str">
        <x:v>Sin marca</x:v>
      </x:c>
      <x:c r="E2065" s="35" t="n">
        <x:v>1</x:v>
      </x:c>
      <x:c r="F2065" s="36" t="n">
        <x:v>0.05</x:v>
      </x:c>
      <x:c r="G2065" s="36" t="n">
        <x:f>IF(ISNUMBER(F2065),E2065*F2065,"")</x:f>
        <x:v>0.05</x:v>
      </x:c>
      <x:c r="H2065" s="37" t="d">
        <x:v>2026-10-15T00:00:00.000Z</x:v>
      </x:c>
      <x:c r="I2065" s="37" t="d">
        <x:v>2026-09-12T17:33:13.000Z</x:v>
      </x:c>
      <x:c r="J2065" s="1" t="n">
        <x:f>IF(ISNUMBER(F2065),E2065,0)</x:f>
        <x:v>1</x:v>
      </x:c>
      <x:c r="K2065" s="1"/>
      <x:c r="L2065" s="1" t="str">
        <x:v>https://blog.skyairline.com/playas-del-norte/</x:v>
      </x:c>
      <x:c r="M2065" s="1" t="n">
        <x:v>0</x:v>
      </x:c>
    </x:row>
    <x:row r="2066" ht="18.75" customHeight="1">
      <x:c r="A2066" s="1" t="str">
        <x:v>https://blog.skyairline.com/enchufe-argentina/</x:v>
      </x:c>
      <x:c r="B2066" s="1" t="str">
        <x:v>adaptador de enchufe para argentina</x:v>
      </x:c>
      <x:c r="C2066" s="1" t="str">
        <x:v>chl</x:v>
      </x:c>
      <x:c r="D2066" s="1" t="str">
        <x:v>Sin marca</x:v>
      </x:c>
      <x:c r="E2066" s="35" t="n">
        <x:v>1</x:v>
      </x:c>
      <x:c r="F2066" s="36"/>
      <x:c r="G2066" s="36" t="str">
        <x:f>IF(ISNUMBER(F2066),E2066*F2066,"")</x:f>
      </x:c>
      <x:c r="H2066" s="37"/>
      <x:c r="I2066" s="37"/>
      <x:c r="J2066" s="1" t="n">
        <x:f>IF(ISNUMBER(F2066),E2066,0)</x:f>
        <x:v>0</x:v>
      </x:c>
      <x:c r="K2066" s="1"/>
      <x:c r="L2066" s="1" t="str">
        <x:v>https://blog.skyairline.com/playas-del-sur-de-chile</x:v>
      </x:c>
      <x:c r="M2066" s="1" t="n">
        <x:v>0</x:v>
      </x:c>
    </x:row>
    <x:row r="2067" ht="18.75" customHeight="1">
      <x:c r="A2067" s="1" t="str">
        <x:v>https://blog.skyairline.com/enchufe-argentina/</x:v>
      </x:c>
      <x:c r="B2067" s="1" t="str">
        <x:v>argentina enchufes</x:v>
      </x:c>
      <x:c r="C2067" s="1" t="str">
        <x:v>ecu</x:v>
      </x:c>
      <x:c r="D2067" s="1" t="str">
        <x:v>Sin marca</x:v>
      </x:c>
      <x:c r="E2067" s="35" t="n">
        <x:v>1</x:v>
      </x:c>
      <x:c r="F2067" s="36"/>
      <x:c r="G2067" s="36" t="str">
        <x:f>IF(ISNUMBER(F2067),E2067*F2067,"")</x:f>
      </x:c>
      <x:c r="H2067" s="37"/>
      <x:c r="I2067" s="37"/>
      <x:c r="J2067" s="1" t="n">
        <x:f>IF(ISNUMBER(F2067),E2067,0)</x:f>
        <x:v>0</x:v>
      </x:c>
      <x:c r="K2067" s="1"/>
      <x:c r="L2067" s="1" t="str">
        <x:v>https://blog.skyairline.com/playas-en-punta-cana/</x:v>
      </x:c>
      <x:c r="M2067" s="1" t="n">
        <x:v>0</x:v>
      </x:c>
    </x:row>
    <x:row r="2068" ht="18.75" customHeight="1">
      <x:c r="A2068" s="1" t="str">
        <x:v>https://blog.skyairline.com/enchufe-argentina/</x:v>
      </x:c>
      <x:c r="B2068" s="1" t="str">
        <x:v>argentina tipo de enchufe</x:v>
      </x:c>
      <x:c r="C2068" s="1" t="str">
        <x:v>per</x:v>
      </x:c>
      <x:c r="D2068" s="1" t="str">
        <x:v>Sin marca</x:v>
      </x:c>
      <x:c r="E2068" s="35" t="n">
        <x:v>1</x:v>
      </x:c>
      <x:c r="F2068" s="36"/>
      <x:c r="G2068" s="36" t="str">
        <x:f>IF(ISNUMBER(F2068),E2068*F2068,"")</x:f>
      </x:c>
      <x:c r="H2068" s="37"/>
      <x:c r="I2068" s="37"/>
      <x:c r="J2068" s="1" t="n">
        <x:f>IF(ISNUMBER(F2068),E2068,0)</x:f>
        <x:v>0</x:v>
      </x:c>
      <x:c r="K2068" s="1"/>
      <x:c r="L2068" s="1" t="str">
        <x:v>https://blog.skyairline.com/playas-for-ir-con-ninos/</x:v>
      </x:c>
      <x:c r="M2068" s="1" t="n">
        <x:v>0</x:v>
      </x:c>
    </x:row>
    <x:row r="2069" ht="18.75" customHeight="1">
      <x:c r="A2069" s="1" t="str">
        <x:v>https://blog.skyairline.com/enchufe-argentina/</x:v>
      </x:c>
      <x:c r="B2069" s="1" t="str">
        <x:v>como se llama el enchufe que se usa en argentina</x:v>
      </x:c>
      <x:c r="C2069" s="1" t="str">
        <x:v>arg</x:v>
      </x:c>
      <x:c r="D2069" s="1" t="str">
        <x:v>Sin marca</x:v>
      </x:c>
      <x:c r="E2069" s="35" t="n">
        <x:v>1</x:v>
      </x:c>
      <x:c r="F2069" s="36"/>
      <x:c r="G2069" s="36" t="str">
        <x:f>IF(ISNUMBER(F2069),E2069*F2069,"")</x:f>
      </x:c>
      <x:c r="H2069" s="37"/>
      <x:c r="I2069" s="37"/>
      <x:c r="J2069" s="1" t="n">
        <x:f>IF(ISNUMBER(F2069),E2069,0)</x:f>
        <x:v>0</x:v>
      </x:c>
      <x:c r="K2069" s="1"/>
      <x:c r="L2069" s="1" t="str">
        <x:v>https://blog.skyairline.com/playas-imperdibles-buzios/</x:v>
      </x:c>
      <x:c r="M2069" s="1" t="n">
        <x:v>0</x:v>
      </x:c>
    </x:row>
    <x:row r="2070" ht="18.75" customHeight="1">
      <x:c r="A2070" s="1" t="str">
        <x:v>https://blog.skyairline.com/enchufe-argentina/</x:v>
      </x:c>
      <x:c r="B2070" s="1" t="str">
        <x:v>como son los enchufes en argentina</x:v>
      </x:c>
      <x:c r="C2070" s="1" t="str">
        <x:v>chl</x:v>
      </x:c>
      <x:c r="D2070" s="1" t="str">
        <x:v>Sin marca</x:v>
      </x:c>
      <x:c r="E2070" s="35" t="n">
        <x:v>1</x:v>
      </x:c>
      <x:c r="F2070" s="36"/>
      <x:c r="G2070" s="36" t="str">
        <x:f>IF(ISNUMBER(F2070),E2070*F2070,"")</x:f>
      </x:c>
      <x:c r="H2070" s="37"/>
      <x:c r="I2070" s="37"/>
      <x:c r="J2070" s="1" t="n">
        <x:f>IF(ISNUMBER(F2070),E2070,0)</x:f>
        <x:v>0</x:v>
      </x:c>
      <x:c r="K2070" s="1"/>
      <x:c r="L2070" s="1" t="str">
        <x:v>https://blog.skyairline.com/playas-mas-cercanas-buscando-aires/</x:v>
      </x:c>
      <x:c r="M2070" s="1" t="n">
        <x:v>0</x:v>
      </x:c>
    </x:row>
    <x:row r="2071" ht="18.75" customHeight="1">
      <x:c r="A2071" s="1" t="str">
        <x:v>https://blog.skyairline.com/enchufe-argentina/</x:v>
      </x:c>
      <x:c r="B2071" s="1" t="str">
        <x:v>como son los toma corrientes en argentina</x:v>
      </x:c>
      <x:c r="C2071" s="1" t="str">
        <x:v>col</x:v>
      </x:c>
      <x:c r="D2071" s="1" t="str">
        <x:v>Sin marca</x:v>
      </x:c>
      <x:c r="E2071" s="35" t="n">
        <x:v>1</x:v>
      </x:c>
      <x:c r="F2071" s="36"/>
      <x:c r="G2071" s="36" t="str">
        <x:f>IF(ISNUMBER(F2071),E2071*F2071,"")</x:f>
      </x:c>
      <x:c r="H2071" s="37"/>
      <x:c r="I2071" s="37"/>
      <x:c r="J2071" s="1" t="n">
        <x:f>IF(ISNUMBER(F2071),E2071,0)</x:f>
        <x:v>0</x:v>
      </x:c>
      <x:c r="K2071" s="1"/>
      <x:c r="L2071" s="1" t="str">
        <x:v>https://blog.skyairline.com/playas-mas-cercanas-de-buenos-aires/</x:v>
      </x:c>
      <x:c r="M2071" s="1" t="n">
        <x:v>0</x:v>
      </x:c>
    </x:row>
    <x:row r="2072" ht="18.75" customHeight="1">
      <x:c r="A2072" s="1" t="str">
        <x:v>https://blog.skyairline.com/enchufe-argentina/</x:v>
      </x:c>
      <x:c r="B2072" s="1" t="str">
        <x:v>como son los tomacorrientes en argentina</x:v>
      </x:c>
      <x:c r="C2072" s="1" t="str">
        <x:v>per</x:v>
      </x:c>
      <x:c r="D2072" s="1" t="str">
        <x:v>Sin marca</x:v>
      </x:c>
      <x:c r="E2072" s="35" t="n">
        <x:v>1</x:v>
      </x:c>
      <x:c r="F2072" s="36"/>
      <x:c r="G2072" s="36" t="str">
        <x:f>IF(ISNUMBER(F2072),E2072*F2072,"")</x:f>
      </x:c>
      <x:c r="H2072" s="37"/>
      <x:c r="I2072" s="37"/>
      <x:c r="J2072" s="1" t="n">
        <x:f>IF(ISNUMBER(F2072),E2072,0)</x:f>
        <x:v>0</x:v>
      </x:c>
      <x:c r="K2072" s="1"/>
      <x:c r="L2072" s="1" t="str">
        <x:v>https://blog.skyairline.com/playas-mas-cercanas-desde-buenos_aires/</x:v>
      </x:c>
      <x:c r="M2072" s="1" t="n">
        <x:v>0</x:v>
      </x:c>
    </x:row>
    <x:row r="2073" ht="18.75" customHeight="1">
      <x:c r="A2073" s="1" t="str">
        <x:v>https://blog.skyairline.com/enchufe-argentina/</x:v>
      </x:c>
      <x:c r="B2073" s="1" t="str">
        <x:v>enchufe argentina</x:v>
      </x:c>
      <x:c r="C2073" s="1" t="str">
        <x:v>bra</x:v>
      </x:c>
      <x:c r="D2073" s="1" t="str">
        <x:v>Sin marca</x:v>
      </x:c>
      <x:c r="E2073" s="35" t="n">
        <x:v>1</x:v>
      </x:c>
      <x:c r="F2073" s="36"/>
      <x:c r="G2073" s="36" t="str">
        <x:f>IF(ISNUMBER(F2073),E2073*F2073,"")</x:f>
      </x:c>
      <x:c r="H2073" s="37"/>
      <x:c r="I2073" s="37"/>
      <x:c r="J2073" s="1" t="n">
        <x:f>IF(ISNUMBER(F2073),E2073,0)</x:f>
        <x:v>0</x:v>
      </x:c>
      <x:c r="K2073" s="1"/>
      <x:c r="L2073" s="1" t="str">
        <x:v>https://blog.skyairline.com/playas-para-hacer-con-ninos/</x:v>
      </x:c>
      <x:c r="M2073" s="1" t="n">
        <x:v>0</x:v>
      </x:c>
    </x:row>
    <x:row r="2074" ht="18.75" customHeight="1">
      <x:c r="A2074" s="1" t="str">
        <x:v>https://blog.skyairline.com/enchufe-argentina/</x:v>
      </x:c>
      <x:c r="B2074" s="1" t="str">
        <x:v>enchufe argentina</x:v>
      </x:c>
      <x:c r="C2074" s="1" t="str">
        <x:v>esp</x:v>
      </x:c>
      <x:c r="D2074" s="1" t="str">
        <x:v>Sin marca</x:v>
      </x:c>
      <x:c r="E2074" s="35" t="n">
        <x:v>1</x:v>
      </x:c>
      <x:c r="F2074" s="36"/>
      <x:c r="G2074" s="36" t="str">
        <x:f>IF(ISNUMBER(F2074),E2074*F2074,"")</x:f>
      </x:c>
      <x:c r="H2074" s="37"/>
      <x:c r="I2074" s="37"/>
      <x:c r="J2074" s="1" t="n">
        <x:f>IF(ISNUMBER(F2074),E2074,0)</x:f>
        <x:v>0</x:v>
      </x:c>
      <x:c r="K2074" s="1"/>
      <x:c r="L2074" s="1" t="str">
        <x:v>https://blog.skyairline.com/playas-republica-dominicana-las-mejores-para-disfrutar-del-caribe/</x:v>
      </x:c>
      <x:c r="M2074" s="1" t="n">
        <x:v>0</x:v>
      </x:c>
    </x:row>
    <x:row r="2075" ht="18.75" customHeight="1">
      <x:c r="A2075" s="1" t="str">
        <x:v>https://blog.skyairline.com/enchufe-argentina/</x:v>
      </x:c>
      <x:c r="B2075" s="1" t="str">
        <x:v>enchufe argentino tipo</x:v>
      </x:c>
      <x:c r="C2075" s="1" t="str">
        <x:v>chl</x:v>
      </x:c>
      <x:c r="D2075" s="1" t="str">
        <x:v>Sin marca</x:v>
      </x:c>
      <x:c r="E2075" s="35" t="n">
        <x:v>1</x:v>
      </x:c>
      <x:c r="F2075" s="36"/>
      <x:c r="G2075" s="36" t="str">
        <x:f>IF(ISNUMBER(F2075),E2075*F2075,"")</x:f>
      </x:c>
      <x:c r="H2075" s="37"/>
      <x:c r="I2075" s="37"/>
      <x:c r="J2075" s="1" t="n">
        <x:f>IF(ISNUMBER(F2075),E2075,0)</x:f>
        <x:v>0</x:v>
      </x:c>
      <x:c r="K2075" s="1"/>
      <x:c r="L2075" s="1" t="str">
        <x:v>https://blog.skyairline.com/playas-salvador-bahia/</x:v>
      </x:c>
      <x:c r="M2075" s="1" t="n">
        <x:v>0</x:v>
      </x:c>
    </x:row>
    <x:row r="2076" ht="18.75" customHeight="1">
      <x:c r="A2076" s="1" t="str">
        <x:v>https://blog.skyairline.com/enchufe-argentina/</x:v>
      </x:c>
      <x:c r="B2076" s="1" t="str">
        <x:v>enchufe que se usa en argentina</x:v>
      </x:c>
      <x:c r="C2076" s="1" t="str">
        <x:v>esp</x:v>
      </x:c>
      <x:c r="D2076" s="1" t="str">
        <x:v>Sin marca</x:v>
      </x:c>
      <x:c r="E2076" s="35" t="n">
        <x:v>1</x:v>
      </x:c>
      <x:c r="F2076" s="36"/>
      <x:c r="G2076" s="36" t="str">
        <x:f>IF(ISNUMBER(F2076),E2076*F2076,"")</x:f>
      </x:c>
      <x:c r="H2076" s="37"/>
      <x:c r="I2076" s="37"/>
      <x:c r="J2076" s="1" t="n">
        <x:f>IF(ISNUMBER(F2076),E2076,0)</x:f>
        <x:v>0</x:v>
      </x:c>
      <x:c r="K2076" s="1"/>
      <x:c r="L2076" s="1" t="str">
        <x:v>https://blog.skyairline.com/playas-uruguay</x:v>
      </x:c>
      <x:c r="M2076" s="1" t="n">
        <x:v>0</x:v>
      </x:c>
    </x:row>
    <x:row r="2077" ht="18.75" customHeight="1">
      <x:c r="A2077" s="1" t="str">
        <x:v>https://blog.skyairline.com/enchufe-argentina/</x:v>
      </x:c>
      <x:c r="B2077" s="1" t="str">
        <x:v>enchufe tipo c argentina</x:v>
      </x:c>
      <x:c r="C2077" s="1" t="str">
        <x:v>gtm</x:v>
      </x:c>
      <x:c r="D2077" s="1" t="str">
        <x:v>Sin marca</x:v>
      </x:c>
      <x:c r="E2077" s="35" t="n">
        <x:v>1</x:v>
      </x:c>
      <x:c r="F2077" s="36"/>
      <x:c r="G2077" s="36" t="str">
        <x:f>IF(ISNUMBER(F2077),E2077*F2077,"")</x:f>
      </x:c>
      <x:c r="H2077" s="37"/>
      <x:c r="I2077" s="37"/>
      <x:c r="J2077" s="1" t="n">
        <x:f>IF(ISNUMBER(F2077),E2077,0)</x:f>
        <x:v>0</x:v>
      </x:c>
      <x:c r="K2077" s="1"/>
      <x:c r="L2077" s="1" t="str">
        <x:v>https://blog.skyairline.com/playas-virgenes-en-chile-las-mejores-para-desconectarte/</x:v>
      </x:c>
      <x:c r="M2077" s="1" t="n">
        <x:v>0</x:v>
      </x:c>
    </x:row>
    <x:row r="2078" ht="18.75" customHeight="1">
      <x:c r="A2078" s="1" t="str">
        <x:v>https://blog.skyairline.com/enchufe-argentina/</x:v>
      </x:c>
      <x:c r="B2078" s="1" t="str">
        <x:v>enchufe tipo i argentina</x:v>
      </x:c>
      <x:c r="C2078" s="1" t="str">
        <x:v>pan</x:v>
      </x:c>
      <x:c r="D2078" s="1" t="str">
        <x:v>Sin marca</x:v>
      </x:c>
      <x:c r="E2078" s="35" t="n">
        <x:v>1</x:v>
      </x:c>
      <x:c r="F2078" s="36"/>
      <x:c r="G2078" s="36" t="str">
        <x:f>IF(ISNUMBER(F2078),E2078*F2078,"")</x:f>
      </x:c>
      <x:c r="H2078" s="37"/>
      <x:c r="I2078" s="37"/>
      <x:c r="J2078" s="1" t="n">
        <x:f>IF(ISNUMBER(F2078),E2078,0)</x:f>
        <x:v>0</x:v>
      </x:c>
      <x:c r="K2078" s="1"/>
      <x:c r="L2078" s="1" t="str">
        <x:v>https://blog.skyairline.com/plaza-de-mayo/</x:v>
      </x:c>
      <x:c r="M2078" s="1" t="n">
        <x:v>0</x:v>
      </x:c>
    </x:row>
    <x:row r="2079" ht="18.75" customHeight="1">
      <x:c r="A2079" s="1" t="str">
        <x:v>https://blog.skyairline.com/enchufe-argentina/</x:v>
      </x:c>
      <x:c r="B2079" s="1" t="str">
        <x:v>enchufes argentina</x:v>
      </x:c>
      <x:c r="C2079" s="1" t="str">
        <x:v>chl</x:v>
      </x:c>
      <x:c r="D2079" s="1" t="str">
        <x:v>Sin marca</x:v>
      </x:c>
      <x:c r="E2079" s="35" t="n">
        <x:v>1</x:v>
      </x:c>
      <x:c r="F2079" s="36" t="n">
        <x:v>0.07</x:v>
      </x:c>
      <x:c r="G2079" s="36" t="n">
        <x:f>IF(ISNUMBER(F2079),E2079*F2079,"")</x:f>
        <x:v>0.07</x:v>
      </x:c>
      <x:c r="H2079" s="37" t="d">
        <x:v>2026-10-15T00:00:00.000Z</x:v>
      </x:c>
      <x:c r="I2079" s="37" t="d">
        <x:v>2026-09-16T18:49:48.000Z</x:v>
      </x:c>
      <x:c r="J2079" s="1" t="n">
        <x:f>IF(ISNUMBER(F2079),E2079,0)</x:f>
        <x:v>1</x:v>
      </x:c>
      <x:c r="K2079" s="1"/>
      <x:c r="L2079" s="1" t="str">
        <x:v>https://blog.skyairline.com/pomerode/</x:v>
      </x:c>
      <x:c r="M2079" s="1" t="n">
        <x:v>0</x:v>
      </x:c>
    </x:row>
    <x:row r="2080" ht="18.75" customHeight="1">
      <x:c r="A2080" s="1" t="str">
        <x:v>https://blog.skyairline.com/enchufe-argentina/</x:v>
      </x:c>
      <x:c r="B2080" s="1" t="str">
        <x:v>enchufes argentina</x:v>
      </x:c>
      <x:c r="C2080" s="1" t="str">
        <x:v>per</x:v>
      </x:c>
      <x:c r="D2080" s="1" t="str">
        <x:v>Sin marca</x:v>
      </x:c>
      <x:c r="E2080" s="35" t="n">
        <x:v>1</x:v>
      </x:c>
      <x:c r="F2080" s="36" t="n">
        <x:v>0.15</x:v>
      </x:c>
      <x:c r="G2080" s="36" t="n">
        <x:f>IF(ISNUMBER(F2080),E2080*F2080,"")</x:f>
        <x:v>0.15</x:v>
      </x:c>
      <x:c r="H2080" s="37" t="d">
        <x:v>2026-10-15T00:00:00.000Z</x:v>
      </x:c>
      <x:c r="I2080" s="37" t="d">
        <x:v>2026-09-14T01:39:14.000Z</x:v>
      </x:c>
      <x:c r="J2080" s="1" t="n">
        <x:f>IF(ISNUMBER(F2080),E2080,0)</x:f>
        <x:v>1</x:v>
      </x:c>
      <x:c r="K2080" s="1"/>
      <x:c r="L2080" s="1" t="str">
        <x:v>https://blog.skyairline.com/ponemos-el-cielo-al-alcance-de-todos-y-no-solo-de-algunos/</x:v>
      </x:c>
      <x:c r="M2080" s="1" t="n">
        <x:v>0</x:v>
      </x:c>
    </x:row>
    <x:row r="2081" ht="18.75" customHeight="1">
      <x:c r="A2081" s="1" t="str">
        <x:v>https://blog.skyairline.com/enchufe-argentina/</x:v>
      </x:c>
      <x:c r="B2081" s="1" t="str">
        <x:v>enchufes argentina adaptador</x:v>
      </x:c>
      <x:c r="C2081" s="1" t="str">
        <x:v>esp</x:v>
      </x:c>
      <x:c r="D2081" s="1" t="str">
        <x:v>Sin marca</x:v>
      </x:c>
      <x:c r="E2081" s="35" t="n">
        <x:v>1</x:v>
      </x:c>
      <x:c r="F2081" s="36"/>
      <x:c r="G2081" s="36" t="str">
        <x:f>IF(ISNUMBER(F2081),E2081*F2081,"")</x:f>
      </x:c>
      <x:c r="H2081" s="37"/>
      <x:c r="I2081" s="37"/>
      <x:c r="J2081" s="1" t="n">
        <x:f>IF(ISNUMBER(F2081),E2081,0)</x:f>
        <x:v>0</x:v>
      </x:c>
      <x:c r="K2081" s="1"/>
      <x:c r="L2081" s="1" t="str">
        <x:v>https://blog.skyairline.com/portal-turismo/novedades-turismo/2344-circuito-turistico-de-playas-artificiales-de-la-ciudad</x:v>
      </x:c>
      <x:c r="M2081" s="1" t="n">
        <x:v>0</x:v>
      </x:c>
    </x:row>
    <x:row r="2082" ht="18.75" customHeight="1">
      <x:c r="A2082" s="1" t="str">
        <x:v>https://blog.skyairline.com/enchufe-argentina/</x:v>
      </x:c>
      <x:c r="B2082" s="1" t="str">
        <x:v>enchufes en argentina</x:v>
      </x:c>
      <x:c r="C2082" s="1" t="str">
        <x:v>ecu</x:v>
      </x:c>
      <x:c r="D2082" s="1" t="str">
        <x:v>Sin marca</x:v>
      </x:c>
      <x:c r="E2082" s="35" t="n">
        <x:v>1</x:v>
      </x:c>
      <x:c r="F2082" s="36"/>
      <x:c r="G2082" s="36" t="str">
        <x:f>IF(ISNUMBER(F2082),E2082*F2082,"")</x:f>
      </x:c>
      <x:c r="H2082" s="37"/>
      <x:c r="I2082" s="37"/>
      <x:c r="J2082" s="1" t="n">
        <x:f>IF(ISNUMBER(F2082),E2082,0)</x:f>
        <x:v>0</x:v>
      </x:c>
      <x:c r="K2082" s="1"/>
      <x:c r="L2082" s="1" t="str">
        <x:v>https://blog.skyairline.com/portillo/</x:v>
      </x:c>
      <x:c r="M2082" s="1" t="n">
        <x:v>0</x:v>
      </x:c>
    </x:row>
    <x:row r="2083" ht="18.75" customHeight="1">
      <x:c r="A2083" s="1" t="str">
        <x:v>https://blog.skyairline.com/enchufe-argentina/</x:v>
      </x:c>
      <x:c r="B2083" s="1" t="str">
        <x:v>que enchufes usan en argentina</x:v>
      </x:c>
      <x:c r="C2083" s="1" t="str">
        <x:v>chl</x:v>
      </x:c>
      <x:c r="D2083" s="1" t="str">
        <x:v>Sin marca</x:v>
      </x:c>
      <x:c r="E2083" s="35" t="n">
        <x:v>1</x:v>
      </x:c>
      <x:c r="F2083" s="36"/>
      <x:c r="G2083" s="36" t="str">
        <x:f>IF(ISNUMBER(F2083),E2083*F2083,"")</x:f>
      </x:c>
      <x:c r="H2083" s="37"/>
      <x:c r="I2083" s="37"/>
      <x:c r="J2083" s="1" t="n">
        <x:f>IF(ISNUMBER(F2083),E2083,0)</x:f>
        <x:v>0</x:v>
      </x:c>
      <x:c r="K2083" s="1"/>
      <x:c r="L2083" s="1" t="str">
        <x:v>https://blog.skyairline.com/porto-alegre-brasil/</x:v>
      </x:c>
      <x:c r="M2083" s="1" t="n">
        <x:v>0</x:v>
      </x:c>
    </x:row>
    <x:row r="2084" ht="18.75" customHeight="1">
      <x:c r="A2084" s="1" t="str">
        <x:v>https://blog.skyairline.com/enchufe-argentina/</x:v>
      </x:c>
      <x:c r="B2084" s="1" t="str">
        <x:v>que tipo de enchufe se usa en argentina</x:v>
      </x:c>
      <x:c r="C2084" s="1" t="str">
        <x:v>chl</x:v>
      </x:c>
      <x:c r="D2084" s="1" t="str">
        <x:v>Sin marca</x:v>
      </x:c>
      <x:c r="E2084" s="35" t="n">
        <x:v>1</x:v>
      </x:c>
      <x:c r="F2084" s="36" t="n">
        <x:v>0.03</x:v>
      </x:c>
      <x:c r="G2084" s="36" t="n">
        <x:f>IF(ISNUMBER(F2084),E2084*F2084,"")</x:f>
        <x:v>0.03</x:v>
      </x:c>
      <x:c r="H2084" s="37" t="d">
        <x:v>2026-10-15T00:00:00.000Z</x:v>
      </x:c>
      <x:c r="I2084" s="37" t="d">
        <x:v>2026-09-16T00:45:25.000Z</x:v>
      </x:c>
      <x:c r="J2084" s="1" t="n">
        <x:f>IF(ISNUMBER(F2084),E2084,0)</x:f>
        <x:v>1</x:v>
      </x:c>
      <x:c r="K2084" s="1"/>
      <x:c r="L2084" s="1" t="str">
        <x:v>https://blog.skyairline.com/porto-alegre-desde-santiago/</x:v>
      </x:c>
      <x:c r="M2084" s="1" t="n">
        <x:v>0</x:v>
      </x:c>
    </x:row>
    <x:row r="2085" ht="18.75" customHeight="1">
      <x:c r="A2085" s="1" t="str">
        <x:v>https://blog.skyairline.com/enchufe-argentina/</x:v>
      </x:c>
      <x:c r="B2085" s="1" t="str">
        <x:v>que tipo de enchufe se usa en argentina</x:v>
      </x:c>
      <x:c r="C2085" s="1" t="str">
        <x:v>ury</x:v>
      </x:c>
      <x:c r="D2085" s="1" t="str">
        <x:v>Sin marca</x:v>
      </x:c>
      <x:c r="E2085" s="35" t="n">
        <x:v>1</x:v>
      </x:c>
      <x:c r="F2085" s="36"/>
      <x:c r="G2085" s="36" t="str">
        <x:f>IF(ISNUMBER(F2085),E2085*F2085,"")</x:f>
      </x:c>
      <x:c r="H2085" s="37"/>
      <x:c r="I2085" s="37"/>
      <x:c r="J2085" s="1" t="n">
        <x:f>IF(ISNUMBER(F2085),E2085,0)</x:f>
        <x:v>0</x:v>
      </x:c>
      <x:c r="K2085" s="1"/>
      <x:c r="L2085" s="1" t="str">
        <x:v>https://blog.skyairline.com/post/clima-en-salvador-de-bahia</x:v>
      </x:c>
      <x:c r="M2085" s="1" t="n">
        <x:v>0</x:v>
      </x:c>
    </x:row>
    <x:row r="2086" ht="18.75" customHeight="1">
      <x:c r="A2086" s="1" t="str">
        <x:v>https://blog.skyairline.com/enchufe-argentina/</x:v>
      </x:c>
      <x:c r="B2086" s="1" t="str">
        <x:v>que tipo de enchufe usan en argentina</x:v>
      </x:c>
      <x:c r="C2086" s="1" t="str">
        <x:v>chl</x:v>
      </x:c>
      <x:c r="D2086" s="1" t="str">
        <x:v>Sin marca</x:v>
      </x:c>
      <x:c r="E2086" s="35" t="n">
        <x:v>1</x:v>
      </x:c>
      <x:c r="F2086" s="36"/>
      <x:c r="G2086" s="36" t="str">
        <x:f>IF(ISNUMBER(F2086),E2086*F2086,"")</x:f>
      </x:c>
      <x:c r="H2086" s="37"/>
      <x:c r="I2086" s="37"/>
      <x:c r="J2086" s="1" t="n">
        <x:f>IF(ISNUMBER(F2086),E2086,0)</x:f>
        <x:v>0</x:v>
      </x:c>
      <x:c r="K2086" s="1"/>
      <x:c r="L2086" s="1" t="str">
        <x:v>https://blog.skyairline.com/post/primavera-en-chile-2/</x:v>
      </x:c>
      <x:c r="M2086" s="1" t="n">
        <x:v>0</x:v>
      </x:c>
    </x:row>
    <x:row r="2087" ht="18.75" customHeight="1">
      <x:c r="A2087" s="1" t="str">
        <x:v>https://blog.skyairline.com/enchufe-argentina/</x:v>
      </x:c>
      <x:c r="B2087" s="1" t="str">
        <x:v>que tipo de tomacorriente se usa en argentina</x:v>
      </x:c>
      <x:c r="C2087" s="1" t="str">
        <x:v>ecu</x:v>
      </x:c>
      <x:c r="D2087" s="1" t="str">
        <x:v>Sin marca</x:v>
      </x:c>
      <x:c r="E2087" s="35" t="n">
        <x:v>1</x:v>
      </x:c>
      <x:c r="F2087" s="36"/>
      <x:c r="G2087" s="36" t="str">
        <x:f>IF(ISNUMBER(F2087),E2087*F2087,"")</x:f>
      </x:c>
      <x:c r="H2087" s="37"/>
      <x:c r="I2087" s="37"/>
      <x:c r="J2087" s="1" t="n">
        <x:f>IF(ISNUMBER(F2087),E2087,0)</x:f>
        <x:v>0</x:v>
      </x:c>
      <x:c r="K2087" s="1"/>
      <x:c r="L2087" s="1" t="str">
        <x:v>https://blog.skyairline.com/praia-do-rosa-brasil</x:v>
      </x:c>
      <x:c r="M2087" s="1" t="n">
        <x:v>0</x:v>
      </x:c>
    </x:row>
    <x:row r="2088" ht="18.75" customHeight="1">
      <x:c r="A2088" s="1" t="str">
        <x:v>https://blog.skyairline.com/enchufe-argentina/</x:v>
      </x:c>
      <x:c r="B2088" s="1" t="str">
        <x:v>que voltaje se usa en argentina</x:v>
      </x:c>
      <x:c r="C2088" s="1" t="str">
        <x:v>chl</x:v>
      </x:c>
      <x:c r="D2088" s="1" t="str">
        <x:v>Sin marca</x:v>
      </x:c>
      <x:c r="E2088" s="35" t="n">
        <x:v>1</x:v>
      </x:c>
      <x:c r="F2088" s="36"/>
      <x:c r="G2088" s="36" t="str">
        <x:f>IF(ISNUMBER(F2088),E2088*F2088,"")</x:f>
      </x:c>
      <x:c r="H2088" s="37"/>
      <x:c r="I2088" s="37"/>
      <x:c r="J2088" s="1" t="n">
        <x:f>IF(ISNUMBER(F2088),E2088,0)</x:f>
        <x:v>0</x:v>
      </x:c>
      <x:c r="K2088" s="1"/>
      <x:c r="L2088" s="1" t="str">
        <x:v>https://blog.skyairline.com/prepararse-para-el-invierno/</x:v>
      </x:c>
      <x:c r="M2088" s="1" t="n">
        <x:v>0</x:v>
      </x:c>
    </x:row>
    <x:row r="2089" ht="18.75" customHeight="1">
      <x:c r="A2089" s="1" t="str">
        <x:v>https://blog.skyairline.com/enchufe-argentina/</x:v>
      </x:c>
      <x:c r="B2089" s="1" t="str">
        <x:v>tipo de enchufe en argentina</x:v>
      </x:c>
      <x:c r="C2089" s="1" t="str">
        <x:v>cri</x:v>
      </x:c>
      <x:c r="D2089" s="1" t="str">
        <x:v>Sin marca</x:v>
      </x:c>
      <x:c r="E2089" s="35" t="n">
        <x:v>1</x:v>
      </x:c>
      <x:c r="F2089" s="36"/>
      <x:c r="G2089" s="36" t="str">
        <x:f>IF(ISNUMBER(F2089),E2089*F2089,"")</x:f>
      </x:c>
      <x:c r="H2089" s="37"/>
      <x:c r="I2089" s="37"/>
      <x:c r="J2089" s="1" t="n">
        <x:f>IF(ISNUMBER(F2089),E2089,0)</x:f>
        <x:v>0</x:v>
      </x:c>
      <x:c r="K2089" s="1"/>
      <x:c r="L2089" s="1" t="str">
        <x:v>https://blog.skyairline.com/prepararse-para-the-cyber-day/</x:v>
      </x:c>
      <x:c r="M2089" s="1" t="n">
        <x:v>0</x:v>
      </x:c>
    </x:row>
    <x:row r="2090" ht="18.75" customHeight="1">
      <x:c r="A2090" s="1" t="str">
        <x:v>https://blog.skyairline.com/enchufe-argentina/</x:v>
      </x:c>
      <x:c r="B2090" s="1" t="str">
        <x:v>tipo de enchufes en argentina</x:v>
      </x:c>
      <x:c r="C2090" s="1" t="str">
        <x:v>chl</x:v>
      </x:c>
      <x:c r="D2090" s="1" t="str">
        <x:v>Sin marca</x:v>
      </x:c>
      <x:c r="E2090" s="35" t="n">
        <x:v>1</x:v>
      </x:c>
      <x:c r="F2090" s="36"/>
      <x:c r="G2090" s="36" t="str">
        <x:f>IF(ISNUMBER(F2090),E2090*F2090,"")</x:f>
      </x:c>
      <x:c r="H2090" s="37"/>
      <x:c r="I2090" s="37"/>
      <x:c r="J2090" s="1" t="n">
        <x:f>IF(ISNUMBER(F2090),E2090,0)</x:f>
        <x:v>0</x:v>
      </x:c>
      <x:c r="K2090" s="1"/>
      <x:c r="L2090" s="1" t="str">
        <x:v>https://blog.skyairline.com/preparativos-para-viajar-2/</x:v>
      </x:c>
      <x:c r="M2090" s="1" t="n">
        <x:v>0</x:v>
      </x:c>
    </x:row>
    <x:row r="2091" ht="18.75" customHeight="1">
      <x:c r="A2091" s="1" t="str">
        <x:v>https://blog.skyairline.com/enchufe-argentina/</x:v>
      </x:c>
      <x:c r="B2091" s="1" t="str">
        <x:v>tipo de enchufes en argentina</x:v>
      </x:c>
      <x:c r="C2091" s="1" t="str">
        <x:v>per</x:v>
      </x:c>
      <x:c r="D2091" s="1" t="str">
        <x:v>Sin marca</x:v>
      </x:c>
      <x:c r="E2091" s="35" t="n">
        <x:v>1</x:v>
      </x:c>
      <x:c r="F2091" s="36"/>
      <x:c r="G2091" s="36" t="str">
        <x:f>IF(ISNUMBER(F2091),E2091*F2091,"")</x:f>
      </x:c>
      <x:c r="H2091" s="37"/>
      <x:c r="I2091" s="37"/>
      <x:c r="J2091" s="1" t="n">
        <x:f>IF(ISNUMBER(F2091),E2091,0)</x:f>
        <x:v>0</x:v>
      </x:c>
      <x:c r="K2091" s="1"/>
      <x:c r="L2091" s="1" t="str">
        <x:v>https://blog.skyairline.com/presupuesto-para-viajar-en-familia/</x:v>
      </x:c>
      <x:c r="M2091" s="1" t="n">
        <x:v>0</x:v>
      </x:c>
    </x:row>
    <x:row r="2092" ht="18.75" customHeight="1">
      <x:c r="A2092" s="1" t="str">
        <x:v>https://blog.skyairline.com/enchufe-argentina/</x:v>
      </x:c>
      <x:c r="B2092" s="1" t="str">
        <x:v>tipo enchufe argentina</x:v>
      </x:c>
      <x:c r="C2092" s="1" t="str">
        <x:v>chl</x:v>
      </x:c>
      <x:c r="D2092" s="1" t="str">
        <x:v>Sin marca</x:v>
      </x:c>
      <x:c r="E2092" s="35" t="n">
        <x:v>1</x:v>
      </x:c>
      <x:c r="F2092" s="36"/>
      <x:c r="G2092" s="36" t="str">
        <x:f>IF(ISNUMBER(F2092),E2092*F2092,"")</x:f>
      </x:c>
      <x:c r="H2092" s="37"/>
      <x:c r="I2092" s="37"/>
      <x:c r="J2092" s="1" t="n">
        <x:f>IF(ISNUMBER(F2092),E2092,0)</x:f>
        <x:v>0</x:v>
      </x:c>
      <x:c r="K2092" s="1"/>
      <x:c r="L2092" s="1" t="str">
        <x:v>https://blog.skyairline.com/presupuesto-para-viajar/</x:v>
      </x:c>
      <x:c r="M2092" s="1" t="n">
        <x:v>0</x:v>
      </x:c>
    </x:row>
    <x:row r="2093" ht="18.75" customHeight="1">
      <x:c r="A2093" s="1" t="str">
        <x:v>https://blog.skyairline.com/enchufe-argentina/</x:v>
      </x:c>
      <x:c r="B2093" s="1" t="str">
        <x:v>tipos de enchufes argentina</x:v>
      </x:c>
      <x:c r="C2093" s="1" t="str">
        <x:v>arg</x:v>
      </x:c>
      <x:c r="D2093" s="1" t="str">
        <x:v>Sin marca</x:v>
      </x:c>
      <x:c r="E2093" s="35" t="n">
        <x:v>1</x:v>
      </x:c>
      <x:c r="F2093" s="36"/>
      <x:c r="G2093" s="36" t="str">
        <x:f>IF(ISNUMBER(F2093),E2093*F2093,"")</x:f>
      </x:c>
      <x:c r="H2093" s="37"/>
      <x:c r="I2093" s="37"/>
      <x:c r="J2093" s="1" t="n">
        <x:f>IF(ISNUMBER(F2093),E2093,0)</x:f>
        <x:v>0</x:v>
      </x:c>
      <x:c r="K2093" s="1"/>
      <x:c r="L2093" s="1" t="str">
        <x:v>https://blog.skyairline.com/prevencion-de-contagios-al-viajar/</x:v>
      </x:c>
      <x:c r="M2093" s="1" t="n">
        <x:v>0</x:v>
      </x:c>
    </x:row>
    <x:row r="2094" ht="18.75" customHeight="1">
      <x:c r="A2094" s="1" t="str">
        <x:v>https://blog.skyairline.com/enchufe-argentina/</x:v>
      </x:c>
      <x:c r="B2094" s="1" t="str">
        <x:v>tipos de tomacorrientes en argentina</x:v>
      </x:c>
      <x:c r="C2094" s="1" t="str">
        <x:v>gtm</x:v>
      </x:c>
      <x:c r="D2094" s="1" t="str">
        <x:v>Sin marca</x:v>
      </x:c>
      <x:c r="E2094" s="35" t="n">
        <x:v>1</x:v>
      </x:c>
      <x:c r="F2094" s="36"/>
      <x:c r="G2094" s="36" t="str">
        <x:f>IF(ISNUMBER(F2094),E2094*F2094,"")</x:f>
      </x:c>
      <x:c r="H2094" s="37"/>
      <x:c r="I2094" s="37"/>
      <x:c r="J2094" s="1" t="n">
        <x:f>IF(ISNUMBER(F2094),E2094,0)</x:f>
        <x:v>0</x:v>
      </x:c>
      <x:c r="K2094" s="1"/>
      <x:c r="L2094" s="1" t="str">
        <x:v>https://blog.skyairline.com/primavera-in-chile-2/</x:v>
      </x:c>
      <x:c r="M2094" s="1" t="n">
        <x:v>0</x:v>
      </x:c>
    </x:row>
    <x:row r="2095" ht="18.75" customHeight="1">
      <x:c r="A2095" s="1" t="str">
        <x:v>https://blog.skyairline.com/enchufe-argentina/</x:v>
      </x:c>
      <x:c r="B2095" s="1" t="str">
        <x:v>toma corriente en argentina</x:v>
      </x:c>
      <x:c r="C2095" s="1" t="str">
        <x:v>col</x:v>
      </x:c>
      <x:c r="D2095" s="1" t="str">
        <x:v>Sin marca</x:v>
      </x:c>
      <x:c r="E2095" s="35" t="n">
        <x:v>1</x:v>
      </x:c>
      <x:c r="F2095" s="36"/>
      <x:c r="G2095" s="36" t="str">
        <x:f>IF(ISNUMBER(F2095),E2095*F2095,"")</x:f>
      </x:c>
      <x:c r="H2095" s="37"/>
      <x:c r="I2095" s="37"/>
      <x:c r="J2095" s="1" t="n">
        <x:f>IF(ISNUMBER(F2095),E2095,0)</x:f>
        <x:v>0</x:v>
      </x:c>
      <x:c r="K2095" s="1"/>
      <x:c r="L2095" s="1" t="str">
        <x:v>https://blog.skyairline.com/primer-lugar-en-del-premio-nacional-de-satisfaccion-de-clientes-procalidad-2023/</x:v>
      </x:c>
      <x:c r="M2095" s="1" t="n">
        <x:v>0</x:v>
      </x:c>
    </x:row>
    <x:row r="2096" ht="18.75" customHeight="1">
      <x:c r="A2096" s="1" t="str">
        <x:v>https://blog.skyairline.com/enchufe-argentina/</x:v>
      </x:c>
      <x:c r="B2096" s="1" t="str">
        <x:v>toma corriente en argentina</x:v>
      </x:c>
      <x:c r="C2096" s="1" t="str">
        <x:v>mex</x:v>
      </x:c>
      <x:c r="D2096" s="1" t="str">
        <x:v>Sin marca</x:v>
      </x:c>
      <x:c r="E2096" s="35" t="n">
        <x:v>1</x:v>
      </x:c>
      <x:c r="F2096" s="36"/>
      <x:c r="G2096" s="36" t="str">
        <x:f>IF(ISNUMBER(F2096),E2096*F2096,"")</x:f>
      </x:c>
      <x:c r="H2096" s="37"/>
      <x:c r="I2096" s="37"/>
      <x:c r="J2096" s="1" t="n">
        <x:f>IF(ISNUMBER(F2096),E2096,0)</x:f>
        <x:v>0</x:v>
      </x:c>
      <x:c r="K2096" s="1"/>
      <x:c r="L2096" s="1" t="str">
        <x:v>https://blog.skyairline.com/programa-de-fidelidad-de-sky-airline-alcanza-500-mil-usuarios-de-los-cuales-cerca-del-50-son-chilenos/</x:v>
      </x:c>
      <x:c r="M2096" s="1" t="n">
        <x:v>0</x:v>
      </x:c>
    </x:row>
    <x:row r="2097" ht="18.75" customHeight="1">
      <x:c r="A2097" s="1" t="str">
        <x:v>https://blog.skyairline.com/enchufe-argentina/</x:v>
      </x:c>
      <x:c r="B2097" s="1" t="str">
        <x:v>toma corrientes en argentina</x:v>
      </x:c>
      <x:c r="C2097" s="1" t="str">
        <x:v>ecu</x:v>
      </x:c>
      <x:c r="D2097" s="1" t="str">
        <x:v>Sin marca</x:v>
      </x:c>
      <x:c r="E2097" s="35" t="n">
        <x:v>1</x:v>
      </x:c>
      <x:c r="F2097" s="36"/>
      <x:c r="G2097" s="36" t="str">
        <x:f>IF(ISNUMBER(F2097),E2097*F2097,"")</x:f>
      </x:c>
      <x:c r="H2097" s="37"/>
      <x:c r="I2097" s="37"/>
      <x:c r="J2097" s="1" t="n">
        <x:f>IF(ISNUMBER(F2097),E2097,0)</x:f>
        <x:v>0</x:v>
      </x:c>
      <x:c r="K2097" s="1"/>
      <x:c r="L2097" s="1" t="str">
        <x:v>https://blog.skyairline.com/proteger-la-piel-del-sol/</x:v>
      </x:c>
      <x:c r="M2097" s="1" t="n">
        <x:v>0</x:v>
      </x:c>
    </x:row>
    <x:row r="2098" ht="18.75" customHeight="1">
      <x:c r="A2098" s="1" t="str">
        <x:v>https://blog.skyairline.com/enchufe-argentina/</x:v>
      </x:c>
      <x:c r="B2098" s="1" t="str">
        <x:v>tomacorriente en argentina</x:v>
      </x:c>
      <x:c r="C2098" s="1" t="str">
        <x:v>per</x:v>
      </x:c>
      <x:c r="D2098" s="1" t="str">
        <x:v>Sin marca</x:v>
      </x:c>
      <x:c r="E2098" s="35" t="n">
        <x:v>1</x:v>
      </x:c>
      <x:c r="F2098" s="36" t="n">
        <x:v>0.03</x:v>
      </x:c>
      <x:c r="G2098" s="36" t="n">
        <x:f>IF(ISNUMBER(F2098),E2098*F2098,"")</x:f>
        <x:v>0.03</x:v>
      </x:c>
      <x:c r="H2098" s="37" t="d">
        <x:v>2026-10-15T00:00:00.000Z</x:v>
      </x:c>
      <x:c r="I2098" s="37" t="d">
        <x:v>2026-10-15T15:57:20.999Z</x:v>
      </x:c>
      <x:c r="J2098" s="1" t="n">
        <x:f>IF(ISNUMBER(F2098),E2098,0)</x:f>
        <x:v>1</x:v>
      </x:c>
      <x:c r="K2098" s="1"/>
      <x:c r="L2098" s="1" t="str">
        <x:v>https://blog.skyairline.com/protegerse-del-calor/</x:v>
      </x:c>
      <x:c r="M2098" s="1" t="n">
        <x:v>0</x:v>
      </x:c>
    </x:row>
    <x:row r="2099" ht="18.75" customHeight="1">
      <x:c r="A2099" s="1" t="str">
        <x:v>https://blog.skyairline.com/enchufe-argentina/</x:v>
      </x:c>
      <x:c r="B2099" s="1" t="str">
        <x:v>tomacorrientes en argentina</x:v>
      </x:c>
      <x:c r="C2099" s="1" t="str">
        <x:v>per</x:v>
      </x:c>
      <x:c r="D2099" s="1" t="str">
        <x:v>Sin marca</x:v>
      </x:c>
      <x:c r="E2099" s="35" t="n">
        <x:v>1</x:v>
      </x:c>
      <x:c r="F2099" s="36" t="n">
        <x:v>0.02</x:v>
      </x:c>
      <x:c r="G2099" s="36" t="n">
        <x:f>IF(ISNUMBER(F2099),E2099*F2099,"")</x:f>
        <x:v>0.02</x:v>
      </x:c>
      <x:c r="H2099" s="37" t="d">
        <x:v>2026-10-15T00:00:00.000Z</x:v>
      </x:c>
      <x:c r="I2099" s="37" t="d">
        <x:v>2026-09-13T03:45:06.000Z</x:v>
      </x:c>
      <x:c r="J2099" s="1" t="n">
        <x:f>IF(ISNUMBER(F2099),E2099,0)</x:f>
        <x:v>1</x:v>
      </x:c>
      <x:c r="K2099" s="1"/>
      <x:c r="L2099" s="1" t="str">
        <x:v>https://blog.skyairline.com/pueblicos-originarios-del-norte-de-chile</x:v>
      </x:c>
      <x:c r="M2099" s="1" t="n">
        <x:v>0</x:v>
      </x:c>
    </x:row>
    <x:row r="2100" ht="18.75" customHeight="1">
      <x:c r="A2100" s="1" t="str">
        <x:v>https://blog.skyairline.com/enchufe-argentina/</x:v>
      </x:c>
      <x:c r="B2100" s="1" t="str">
        <x:v>voltaje en argentina</x:v>
      </x:c>
      <x:c r="C2100" s="1" t="str">
        <x:v>chl</x:v>
      </x:c>
      <x:c r="D2100" s="1" t="str">
        <x:v>Sin marca</x:v>
      </x:c>
      <x:c r="E2100" s="35" t="n">
        <x:v>1</x:v>
      </x:c>
      <x:c r="F2100" s="36"/>
      <x:c r="G2100" s="36" t="str">
        <x:f>IF(ISNUMBER(F2100),E2100*F2100,"")</x:f>
      </x:c>
      <x:c r="H2100" s="37" t="d">
        <x:v>2026-10-15T00:00:00.000Z</x:v>
      </x:c>
      <x:c r="I2100" s="37" t="d">
        <x:v>2026-09-12T21:02:27.000Z</x:v>
      </x:c>
      <x:c r="J2100" s="1" t="n">
        <x:f>IF(ISNUMBER(F2100),E2100,0)</x:f>
        <x:v>0</x:v>
      </x:c>
      <x:c r="K2100" s="1"/>
      <x:c r="L2100" s="1" t="str">
        <x:v>https://blog.skyairline.com/pueblos-del-sur-de-chile-con-encanto-y-tradiciones</x:v>
      </x:c>
      <x:c r="M2100" s="1" t="n">
        <x:v>0</x:v>
      </x:c>
    </x:row>
    <x:row r="2101" ht="18.75" customHeight="1">
      <x:c r="A2101" s="1" t="str">
        <x:v>https://blog.skyairline.com/enchufe-argentina/</x:v>
      </x:c>
      <x:c r="B2101" s="1" t="str">
        <x:v>voltaje en argentina</x:v>
      </x:c>
      <x:c r="C2101" s="1" t="str">
        <x:v>col</x:v>
      </x:c>
      <x:c r="D2101" s="1" t="str">
        <x:v>Sin marca</x:v>
      </x:c>
      <x:c r="E2101" s="35" t="n">
        <x:v>1</x:v>
      </x:c>
      <x:c r="F2101" s="36"/>
      <x:c r="G2101" s="36" t="str">
        <x:f>IF(ISNUMBER(F2101),E2101*F2101,"")</x:f>
      </x:c>
      <x:c r="H2101" s="37"/>
      <x:c r="I2101" s="37"/>
      <x:c r="J2101" s="1" t="n">
        <x:f>IF(ISNUMBER(F2101),E2101,0)</x:f>
        <x:v>0</x:v>
      </x:c>
      <x:c r="K2101" s="1"/>
      <x:c r="L2101" s="1" t="str">
        <x:v>https://blog.skyairline.com/pueblos-del-sur-de-chile-encanto-tradiciones</x:v>
      </x:c>
      <x:c r="M2101" s="1" t="n">
        <x:v>0</x:v>
      </x:c>
    </x:row>
    <x:row r="2102" ht="18.75" customHeight="1">
      <x:c r="A2102" s="1" t="str">
        <x:v>https://blog.skyairline.com/enchufe-brasil/</x:v>
      </x:c>
      <x:c r="B2102" s="1" t="str">
        <x:v>adaptador enchufe brasil chile</x:v>
      </x:c>
      <x:c r="C2102" s="1" t="str">
        <x:v>chl</x:v>
      </x:c>
      <x:c r="D2102" s="1" t="str">
        <x:v>Sin marca</x:v>
      </x:c>
      <x:c r="E2102" s="35" t="n">
        <x:v>1</x:v>
      </x:c>
      <x:c r="F2102" s="36" t="n">
        <x:v>0.12</x:v>
      </x:c>
      <x:c r="G2102" s="36" t="n">
        <x:f>IF(ISNUMBER(F2102),E2102*F2102,"")</x:f>
        <x:v>0.12</x:v>
      </x:c>
      <x:c r="H2102" s="37" t="d">
        <x:v>2026-10-15T00:00:00.000Z</x:v>
      </x:c>
      <x:c r="I2102" s="37" t="d">
        <x:v>2026-09-13T05:48:40.000Z</x:v>
      </x:c>
      <x:c r="J2102" s="1" t="n">
        <x:f>IF(ISNUMBER(F2102),E2102,0)</x:f>
        <x:v>1</x:v>
      </x:c>
      <x:c r="K2102" s="1"/>
      <x:c r="L2102" s="1" t="str">
        <x:v>https://blog.skyairline.com/pueblos-originarios-de-chile-historia-y-cultura/</x:v>
      </x:c>
      <x:c r="M2102" s="1" t="n">
        <x:v>0</x:v>
      </x:c>
    </x:row>
    <x:row r="2103" ht="18.75" customHeight="1">
      <x:c r="A2103" s="1" t="str">
        <x:v>https://blog.skyairline.com/enchufe-brasil/</x:v>
      </x:c>
      <x:c r="B2103" s="1" t="str">
        <x:v>adaptador tipo n brasil</x:v>
      </x:c>
      <x:c r="C2103" s="1" t="str">
        <x:v>chl</x:v>
      </x:c>
      <x:c r="D2103" s="1" t="str">
        <x:v>Sin marca</x:v>
      </x:c>
      <x:c r="E2103" s="35" t="n">
        <x:v>1</x:v>
      </x:c>
      <x:c r="F2103" s="36" t="n">
        <x:v>0.07</x:v>
      </x:c>
      <x:c r="G2103" s="36" t="n">
        <x:f>IF(ISNUMBER(F2103),E2103*F2103,"")</x:f>
        <x:v>0.07</x:v>
      </x:c>
      <x:c r="H2103" s="37" t="d">
        <x:v>2026-10-15T00:00:00.000Z</x:v>
      </x:c>
      <x:c r="I2103" s="37" t="d">
        <x:v>2026-09-13T17:22:50.000Z</x:v>
      </x:c>
      <x:c r="J2103" s="1" t="n">
        <x:f>IF(ISNUMBER(F2103),E2103,0)</x:f>
        <x:v>1</x:v>
      </x:c>
      <x:c r="K2103" s="1"/>
      <x:c r="L2103" s="1" t="str">
        <x:v>https://blog.skyairline.com/pueblos-originarios-de-chile-historia-y-culture</x:v>
      </x:c>
      <x:c r="M2103" s="1" t="n">
        <x:v>0</x:v>
      </x:c>
    </x:row>
    <x:row r="2104" ht="18.75" customHeight="1">
      <x:c r="A2104" s="1" t="str">
        <x:v>https://blog.skyairline.com/enchufe-brasil/</x:v>
      </x:c>
      <x:c r="B2104" s="1" t="str">
        <x:v>brasil enchufes corriente</x:v>
      </x:c>
      <x:c r="C2104" s="1" t="str">
        <x:v>chl</x:v>
      </x:c>
      <x:c r="D2104" s="1" t="str">
        <x:v>Sin marca</x:v>
      </x:c>
      <x:c r="E2104" s="35" t="n">
        <x:v>1</x:v>
      </x:c>
      <x:c r="F2104" s="36"/>
      <x:c r="G2104" s="36" t="str">
        <x:f>IF(ISNUMBER(F2104),E2104*F2104,"")</x:f>
      </x:c>
      <x:c r="H2104" s="37"/>
      <x:c r="I2104" s="37"/>
      <x:c r="J2104" s="1" t="n">
        <x:f>IF(ISNUMBER(F2104),E2104,0)</x:f>
        <x:v>0</x:v>
      </x:c>
      <x:c r="K2104" s="1"/>
      <x:c r="L2104" s="1" t="str">
        <x:v>https://blog.skyairline.com/pueblos-originarios-de-chile-zona-norte</x:v>
      </x:c>
      <x:c r="M2104" s="1" t="n">
        <x:v>0</x:v>
      </x:c>
    </x:row>
    <x:row r="2105" ht="18.75" customHeight="1">
      <x:c r="A2105" s="1" t="str">
        <x:v>https://blog.skyairline.com/enchufe-brasil/</x:v>
      </x:c>
      <x:c r="B2105" s="1" t="str">
        <x:v>enchife brasil</x:v>
      </x:c>
      <x:c r="C2105" s="1" t="str">
        <x:v>chl</x:v>
      </x:c>
      <x:c r="D2105" s="1" t="str">
        <x:v>Sin marca</x:v>
      </x:c>
      <x:c r="E2105" s="35" t="n">
        <x:v>1</x:v>
      </x:c>
      <x:c r="F2105" s="36"/>
      <x:c r="G2105" s="36" t="str">
        <x:f>IF(ISNUMBER(F2105),E2105*F2105,"")</x:f>
      </x:c>
      <x:c r="H2105" s="37"/>
      <x:c r="I2105" s="37"/>
      <x:c r="J2105" s="1" t="n">
        <x:f>IF(ISNUMBER(F2105),E2105,0)</x:f>
        <x:v>0</x:v>
      </x:c>
      <x:c r="K2105" s="1"/>
      <x:c r="L2105" s="1" t="str">
        <x:v>https://blog.skyairline.com/pueblos-originarios-de-chile-zona-norte-historia-y-cultura</x:v>
      </x:c>
      <x:c r="M2105" s="1" t="n">
        <x:v>0</x:v>
      </x:c>
    </x:row>
    <x:row r="2106" ht="18.75" customHeight="1">
      <x:c r="A2106" s="1" t="str">
        <x:v>https://blog.skyairline.com/enchufe-brasil/</x:v>
      </x:c>
      <x:c r="B2106" s="1" t="str">
        <x:v>enchufe brasil</x:v>
      </x:c>
      <x:c r="C2106" s="1" t="str">
        <x:v>esp</x:v>
      </x:c>
      <x:c r="D2106" s="1" t="str">
        <x:v>Sin marca</x:v>
      </x:c>
      <x:c r="E2106" s="35" t="n">
        <x:v>1</x:v>
      </x:c>
      <x:c r="F2106" s="36"/>
      <x:c r="G2106" s="36" t="str">
        <x:f>IF(ISNUMBER(F2106),E2106*F2106,"")</x:f>
      </x:c>
      <x:c r="H2106" s="37"/>
      <x:c r="I2106" s="37"/>
      <x:c r="J2106" s="1" t="n">
        <x:f>IF(ISNUMBER(F2106),E2106,0)</x:f>
        <x:v>0</x:v>
      </x:c>
      <x:c r="K2106" s="1"/>
      <x:c r="L2106" s="1" t="str">
        <x:v>https://blog.skyairline.com/pueblos-originarios-de-la-zona-norte</x:v>
      </x:c>
      <x:c r="M2106" s="1" t="n">
        <x:v>0</x:v>
      </x:c>
    </x:row>
    <x:row r="2107" ht="18.75" customHeight="1">
      <x:c r="A2107" s="1" t="str">
        <x:v>https://blog.skyairline.com/enchufe-brasil/</x:v>
      </x:c>
      <x:c r="B2107" s="1" t="str">
        <x:v>enchufe brazil</x:v>
      </x:c>
      <x:c r="C2107" s="1" t="str">
        <x:v>chl</x:v>
      </x:c>
      <x:c r="D2107" s="1" t="str">
        <x:v>Sin marca</x:v>
      </x:c>
      <x:c r="E2107" s="35" t="n">
        <x:v>1</x:v>
      </x:c>
      <x:c r="F2107" s="36"/>
      <x:c r="G2107" s="36" t="str">
        <x:f>IF(ISNUMBER(F2107),E2107*F2107,"")</x:f>
      </x:c>
      <x:c r="H2107" s="37"/>
      <x:c r="I2107" s="37"/>
      <x:c r="J2107" s="1" t="n">
        <x:f>IF(ISNUMBER(F2107),E2107,0)</x:f>
        <x:v>0</x:v>
      </x:c>
      <x:c r="K2107" s="1"/>
      <x:c r="L2107" s="1" t="str">
        <x:v>https://blog.skyairline.com/pueblos-originarios-de-norte-de-chile-historia-y-cultura/</x:v>
      </x:c>
      <x:c r="M2107" s="1" t="n">
        <x:v>0</x:v>
      </x:c>
    </x:row>
    <x:row r="2108" ht="18.75" customHeight="1">
      <x:c r="A2108" s="1" t="str">
        <x:v>https://blog.skyairline.com/enchufe-brasil/</x:v>
      </x:c>
      <x:c r="B2108" s="1" t="str">
        <x:v>enchufe de brasil</x:v>
      </x:c>
      <x:c r="C2108" s="1" t="str">
        <x:v>chl</x:v>
      </x:c>
      <x:c r="D2108" s="1" t="str">
        <x:v>Sin marca</x:v>
      </x:c>
      <x:c r="E2108" s="35" t="n">
        <x:v>1</x:v>
      </x:c>
      <x:c r="F2108" s="36"/>
      <x:c r="G2108" s="36" t="str">
        <x:f>IF(ISNUMBER(F2108),E2108*F2108,"")</x:f>
      </x:c>
      <x:c r="H2108" s="37"/>
      <x:c r="I2108" s="37"/>
      <x:c r="J2108" s="1" t="n">
        <x:f>IF(ISNUMBER(F2108),E2108,0)</x:f>
        <x:v>0</x:v>
      </x:c>
      <x:c r="K2108" s="1"/>
      <x:c r="L2108" s="1" t="str">
        <x:v>https://blog.skyairline.com/pueblos-originarios-del-norgte-chile-historia-y-cultura/</x:v>
      </x:c>
      <x:c r="M2108" s="1" t="n">
        <x:v>0</x:v>
      </x:c>
    </x:row>
    <x:row r="2109" ht="18.75" customHeight="1">
      <x:c r="A2109" s="1" t="str">
        <x:v>https://blog.skyairline.com/enchufe-brasil/</x:v>
      </x:c>
      <x:c r="B2109" s="1" t="str">
        <x:v>enchufe en brazil</x:v>
      </x:c>
      <x:c r="C2109" s="1" t="str">
        <x:v>chl</x:v>
      </x:c>
      <x:c r="D2109" s="1" t="str">
        <x:v>Sin marca</x:v>
      </x:c>
      <x:c r="E2109" s="35" t="n">
        <x:v>1</x:v>
      </x:c>
      <x:c r="F2109" s="36"/>
      <x:c r="G2109" s="36" t="str">
        <x:f>IF(ISNUMBER(F2109),E2109*F2109,"")</x:f>
      </x:c>
      <x:c r="H2109" s="37"/>
      <x:c r="I2109" s="37"/>
      <x:c r="J2109" s="1" t="n">
        <x:f>IF(ISNUMBER(F2109),E2109,0)</x:f>
        <x:v>0</x:v>
      </x:c>
      <x:c r="K2109" s="1"/>
      <x:c r="L2109" s="1" t="str">
        <x:v>https://blog.skyairline.com/pueblos-originarios-del-norte-chile-historia-y-cultura/</x:v>
      </x:c>
      <x:c r="M2109" s="1" t="n">
        <x:v>0</x:v>
      </x:c>
    </x:row>
    <x:row r="2110" ht="18.75" customHeight="1">
      <x:c r="A2110" s="1" t="str">
        <x:v>https://blog.skyairline.com/enchufe-brasil/</x:v>
      </x:c>
      <x:c r="B2110" s="1" t="str">
        <x:v>enchufe que se usa en brasil</x:v>
      </x:c>
      <x:c r="C2110" s="1" t="str">
        <x:v>chl</x:v>
      </x:c>
      <x:c r="D2110" s="1" t="str">
        <x:v>Sin marca</x:v>
      </x:c>
      <x:c r="E2110" s="35" t="n">
        <x:v>1</x:v>
      </x:c>
      <x:c r="F2110" s="36"/>
      <x:c r="G2110" s="36" t="str">
        <x:f>IF(ISNUMBER(F2110),E2110*F2110,"")</x:f>
      </x:c>
      <x:c r="H2110" s="37"/>
      <x:c r="I2110" s="37"/>
      <x:c r="J2110" s="1" t="n">
        <x:f>IF(ISNUMBER(F2110),E2110,0)</x:f>
        <x:v>0</x:v>
      </x:c>
      <x:c r="K2110" s="1"/>
      <x:c r="L2110" s="1" t="str">
        <x:v>https://blog.skyairline.com/pueblos-originarios-del-norte-de-chile-historia-y-culture/</x:v>
      </x:c>
      <x:c r="M2110" s="1" t="n">
        <x:v>0</x:v>
      </x:c>
    </x:row>
    <x:row r="2111" ht="18.75" customHeight="1">
      <x:c r="A2111" s="1" t="str">
        <x:v>https://blog.skyairline.com/enchufe-brasil/</x:v>
      </x:c>
      <x:c r="B2111" s="1" t="str">
        <x:v>enchufe rio de janeiro</x:v>
      </x:c>
      <x:c r="C2111" s="1" t="str">
        <x:v>chl</x:v>
      </x:c>
      <x:c r="D2111" s="1" t="str">
        <x:v>Sin marca</x:v>
      </x:c>
      <x:c r="E2111" s="35" t="n">
        <x:v>1</x:v>
      </x:c>
      <x:c r="F2111" s="36" t="n">
        <x:v>0.06</x:v>
      </x:c>
      <x:c r="G2111" s="36" t="n">
        <x:f>IF(ISNUMBER(F2111),E2111*F2111,"")</x:f>
        <x:v>0.06</x:v>
      </x:c>
      <x:c r="H2111" s="37" t="d">
        <x:v>2026-10-15T00:00:00.000Z</x:v>
      </x:c>
      <x:c r="I2111" s="37" t="d">
        <x:v>2026-10-15T06:36:21.000Z</x:v>
      </x:c>
      <x:c r="J2111" s="1" t="n">
        <x:f>IF(ISNUMBER(F2111),E2111,0)</x:f>
        <x:v>1</x:v>
      </x:c>
      <x:c r="K2111" s="1"/>
      <x:c r="L2111" s="1" t="str">
        <x:v>https://blog.skyairline.com/pueblos-originarios-del-norte-de-chile-historia-y-culura/</x:v>
      </x:c>
      <x:c r="M2111" s="1" t="n">
        <x:v>0</x:v>
      </x:c>
    </x:row>
    <x:row r="2112" ht="18.75" customHeight="1">
      <x:c r="A2112" s="1" t="str">
        <x:v>https://blog.skyairline.com/enchufe-brasil/</x:v>
      </x:c>
      <x:c r="B2112" s="1" t="str">
        <x:v>enchufes en rio de janeiro</x:v>
      </x:c>
      <x:c r="C2112" s="1" t="str">
        <x:v>chl</x:v>
      </x:c>
      <x:c r="D2112" s="1" t="str">
        <x:v>Sin marca</x:v>
      </x:c>
      <x:c r="E2112" s="35" t="n">
        <x:v>1</x:v>
      </x:c>
      <x:c r="F2112" s="36"/>
      <x:c r="G2112" s="36" t="str">
        <x:f>IF(ISNUMBER(F2112),E2112*F2112,"")</x:f>
      </x:c>
      <x:c r="H2112" s="37" t="d">
        <x:v>2026-10-15T00:00:00.000Z</x:v>
      </x:c>
      <x:c r="I2112" s="37" t="d">
        <x:v>2026-09-14T09:13:59.000Z</x:v>
      </x:c>
      <x:c r="J2112" s="1" t="n">
        <x:f>IF(ISNUMBER(F2112),E2112,0)</x:f>
        <x:v>0</x:v>
      </x:c>
      <x:c r="K2112" s="1"/>
      <x:c r="L2112" s="1" t="str">
        <x:v>https://blog.skyairline.com/pueblos-originarios-del-norte-de-chile-historia-y-curiosidades/</x:v>
      </x:c>
      <x:c r="M2112" s="1" t="n">
        <x:v>0</x:v>
      </x:c>
    </x:row>
    <x:row r="2113" ht="18.75" customHeight="1">
      <x:c r="A2113" s="1" t="str">
        <x:v>https://blog.skyairline.com/enchufe-brasil/</x:v>
      </x:c>
      <x:c r="B2113" s="1" t="str">
        <x:v>que enchufe usan en brasil</x:v>
      </x:c>
      <x:c r="C2113" s="1" t="str">
        <x:v>chl</x:v>
      </x:c>
      <x:c r="D2113" s="1" t="str">
        <x:v>Sin marca</x:v>
      </x:c>
      <x:c r="E2113" s="35" t="n">
        <x:v>1</x:v>
      </x:c>
      <x:c r="F2113" s="36"/>
      <x:c r="G2113" s="36" t="str">
        <x:f>IF(ISNUMBER(F2113),E2113*F2113,"")</x:f>
      </x:c>
      <x:c r="H2113" s="37"/>
      <x:c r="I2113" s="37"/>
      <x:c r="J2113" s="1" t="n">
        <x:f>IF(ISNUMBER(F2113),E2113,0)</x:f>
        <x:v>0</x:v>
      </x:c>
      <x:c r="K2113" s="1"/>
      <x:c r="L2113" s="1" t="str">
        <x:v>https://blog.skyairline.com/pueblos-originarios-del-norte-de-chile-history-y-cultura/</x:v>
      </x:c>
      <x:c r="M2113" s="1" t="n">
        <x:v>0</x:v>
      </x:c>
    </x:row>
    <x:row r="2114" ht="18.75" customHeight="1">
      <x:c r="A2114" s="1" t="str">
        <x:v>https://blog.skyairline.com/enchufe-brasil/</x:v>
      </x:c>
      <x:c r="B2114" s="1" t="str">
        <x:v>qué enchufe se usa en brasil</x:v>
      </x:c>
      <x:c r="C2114" s="1" t="str">
        <x:v>chl</x:v>
      </x:c>
      <x:c r="D2114" s="1" t="str">
        <x:v>Sin marca</x:v>
      </x:c>
      <x:c r="E2114" s="35" t="n">
        <x:v>1</x:v>
      </x:c>
      <x:c r="F2114" s="36" t="n">
        <x:v>0.27</x:v>
      </x:c>
      <x:c r="G2114" s="36" t="n">
        <x:f>IF(ISNUMBER(F2114),E2114*F2114,"")</x:f>
        <x:v>0.27</x:v>
      </x:c>
      <x:c r="H2114" s="37" t="d">
        <x:v>2026-10-15T00:00:00.000Z</x:v>
      </x:c>
      <x:c r="I2114" s="37" t="d">
        <x:v>2026-09-14T11:27:32.000Z</x:v>
      </x:c>
      <x:c r="J2114" s="1" t="n">
        <x:f>IF(ISNUMBER(F2114),E2114,0)</x:f>
        <x:v>1</x:v>
      </x:c>
      <x:c r="K2114" s="1"/>
      <x:c r="L2114" s="1" t="str">
        <x:v>https://blog.skyairline.com/puente-de-los-suspiros/</x:v>
      </x:c>
      <x:c r="M2114" s="1" t="n">
        <x:v>0</x:v>
      </x:c>
    </x:row>
    <x:row r="2115" ht="18.75" customHeight="1">
      <x:c r="A2115" s="1" t="str">
        <x:v>https://blog.skyairline.com/enchufe-brasil/</x:v>
      </x:c>
      <x:c r="B2115" s="1" t="str">
        <x:v>tomacorrientes en brasil</x:v>
      </x:c>
      <x:c r="C2115" s="1" t="str">
        <x:v>chl</x:v>
      </x:c>
      <x:c r="D2115" s="1" t="str">
        <x:v>Sin marca</x:v>
      </x:c>
      <x:c r="E2115" s="35" t="n">
        <x:v>1</x:v>
      </x:c>
      <x:c r="F2115" s="36"/>
      <x:c r="G2115" s="36" t="str">
        <x:f>IF(ISNUMBER(F2115),E2115*F2115,"")</x:f>
      </x:c>
      <x:c r="H2115" s="37"/>
      <x:c r="I2115" s="37"/>
      <x:c r="J2115" s="1" t="n">
        <x:f>IF(ISNUMBER(F2115),E2115,0)</x:f>
        <x:v>0</x:v>
      </x:c>
      <x:c r="K2115" s="1"/>
      <x:c r="L2115" s="1" t="str">
        <x:v>https://blog.skyairline.com/puephol_...-originarios-del-norte-de-chile-historia-y-cultura/</x:v>
      </x:c>
      <x:c r="M2115" s="1" t="n">
        <x:v>0</x:v>
      </x:c>
    </x:row>
    <x:row r="2116" ht="18.75" customHeight="1">
      <x:c r="A2116" s="1" t="str">
        <x:v>https://blog.skyairline.com/enchufe-estadounidense/</x:v>
      </x:c>
      <x:c r="B2116" s="1" t="str">
        <x:v>enchufe miami</x:v>
      </x:c>
      <x:c r="C2116" s="1" t="str">
        <x:v>chl</x:v>
      </x:c>
      <x:c r="D2116" s="1" t="str">
        <x:v>Sin marca</x:v>
      </x:c>
      <x:c r="E2116" s="35" t="n">
        <x:v>1</x:v>
      </x:c>
      <x:c r="F2116" s="36"/>
      <x:c r="G2116" s="36" t="str">
        <x:f>IF(ISNUMBER(F2116),E2116*F2116,"")</x:f>
      </x:c>
      <x:c r="H2116" s="37"/>
      <x:c r="I2116" s="37"/>
      <x:c r="J2116" s="1" t="n">
        <x:f>IF(ISNUMBER(F2116),E2116,0)</x:f>
        <x:v>0</x:v>
      </x:c>
      <x:c r="K2116" s="1"/>
      <x:c r="L2116" s="1" t="str">
        <x:v>https://blog.skyairline.com/puerto-iguazu/</x:v>
      </x:c>
      <x:c r="M2116" s="1" t="n">
        <x:v>0</x:v>
      </x:c>
    </x:row>
    <x:row r="2117" ht="18.75" customHeight="1">
      <x:c r="A2117" s="1" t="str">
        <x:v>https://blog.skyairline.com/enchufe-peru/</x:v>
      </x:c>
      <x:c r="B2117" s="1" t="str">
        <x:v>enchufe en peru</x:v>
      </x:c>
      <x:c r="C2117" s="1" t="str">
        <x:v>chl</x:v>
      </x:c>
      <x:c r="D2117" s="1" t="str">
        <x:v>Sin marca</x:v>
      </x:c>
      <x:c r="E2117" s="35" t="n">
        <x:v>1</x:v>
      </x:c>
      <x:c r="F2117" s="36"/>
      <x:c r="G2117" s="36" t="str">
        <x:f>IF(ISNUMBER(F2117),E2117*F2117,"")</x:f>
      </x:c>
      <x:c r="H2117" s="37"/>
      <x:c r="I2117" s="37"/>
      <x:c r="J2117" s="1" t="n">
        <x:f>IF(ISNUMBER(F2117),E2117,0)</x:f>
        <x:v>0</x:v>
      </x:c>
      <x:c r="K2117" s="1"/>
      <x:c r="L2117" s="1" t="str">
        <x:v>https://blog.skyairline.com/puerto-madryn/</x:v>
      </x:c>
      <x:c r="M2117" s="1" t="n">
        <x:v>0</x:v>
      </x:c>
    </x:row>
    <x:row r="2118" ht="18.75" customHeight="1">
      <x:c r="A2118" s="1" t="str">
        <x:v>https://blog.skyairline.com/enchufe-peru/</x:v>
      </x:c>
      <x:c r="B2118" s="1" t="str">
        <x:v>enchufes de peru</x:v>
      </x:c>
      <x:c r="C2118" s="1" t="str">
        <x:v>chl</x:v>
      </x:c>
      <x:c r="D2118" s="1" t="str">
        <x:v>Sin marca</x:v>
      </x:c>
      <x:c r="E2118" s="35" t="n">
        <x:v>1</x:v>
      </x:c>
      <x:c r="F2118" s="36"/>
      <x:c r="G2118" s="36" t="str">
        <x:f>IF(ISNUMBER(F2118),E2118*F2118,"")</x:f>
      </x:c>
      <x:c r="H2118" s="37"/>
      <x:c r="I2118" s="37"/>
      <x:c r="J2118" s="1" t="n">
        <x:f>IF(ISNUMBER(F2118),E2118,0)</x:f>
        <x:v>0</x:v>
      </x:c>
      <x:c r="K2118" s="1"/>
      <x:c r="L2118" s="1" t="str">
        <x:v>https://blog.skyairline.com/puerto-maldonado-2</x:v>
      </x:c>
      <x:c r="M2118" s="1" t="n">
        <x:v>0</x:v>
      </x:c>
    </x:row>
    <x:row r="2119" ht="18.75" customHeight="1">
      <x:c r="A2119" s="1" t="str">
        <x:v>https://blog.skyairline.com/enchufe-peru/</x:v>
      </x:c>
      <x:c r="B2119" s="1" t="str">
        <x:v>qué tipo de enchufe se usa en perú</x:v>
      </x:c>
      <x:c r="C2119" s="1" t="str">
        <x:v>col</x:v>
      </x:c>
      <x:c r="D2119" s="1" t="str">
        <x:v>Sin marca</x:v>
      </x:c>
      <x:c r="E2119" s="35" t="n">
        <x:v>1</x:v>
      </x:c>
      <x:c r="F2119" s="36"/>
      <x:c r="G2119" s="36" t="str">
        <x:f>IF(ISNUMBER(F2119),E2119*F2119,"")</x:f>
      </x:c>
      <x:c r="H2119" s="37"/>
      <x:c r="I2119" s="37"/>
      <x:c r="J2119" s="1" t="n">
        <x:f>IF(ISNUMBER(F2119),E2119,0)</x:f>
        <x:v>0</x:v>
      </x:c>
      <x:c r="K2119" s="1"/>
      <x:c r="L2119" s="1" t="str">
        <x:v>https://blog.skyairline.com/puerto-montt-a-puerto-varas</x:v>
      </x:c>
      <x:c r="M2119" s="1" t="n">
        <x:v>0</x:v>
      </x:c>
    </x:row>
    <x:row r="2120" ht="18.75" customHeight="1">
      <x:c r="A2120" s="1" t="str">
        <x:v>https://blog.skyairline.com/enchufe-peru/</x:v>
      </x:c>
      <x:c r="B2120" s="1" t="str">
        <x:v>tipo de enchufe en perú us</x:v>
      </x:c>
      <x:c r="C2120" s="1" t="str">
        <x:v>chl</x:v>
      </x:c>
      <x:c r="D2120" s="1" t="str">
        <x:v>Sin marca</x:v>
      </x:c>
      <x:c r="E2120" s="35" t="n">
        <x:v>1</x:v>
      </x:c>
      <x:c r="F2120" s="36"/>
      <x:c r="G2120" s="36" t="str">
        <x:f>IF(ISNUMBER(F2120),E2120*F2120,"")</x:f>
      </x:c>
      <x:c r="H2120" s="37" t="d">
        <x:v>2026-10-15T00:00:00.000Z</x:v>
      </x:c>
      <x:c r="I2120" s="37" t="d">
        <x:v>2026-09-15T06:22:47.000Z</x:v>
      </x:c>
      <x:c r="J2120" s="1" t="n">
        <x:f>IF(ISNUMBER(F2120),E2120,0)</x:f>
        <x:v>0</x:v>
      </x:c>
      <x:c r="K2120" s="1"/>
      <x:c r="L2120" s="1" t="str">
        <x:v>https://blog.skyairline.com/puerto-montt-a-puerto-varas-una-ruta-que-encanta</x:v>
      </x:c>
      <x:c r="M2120" s="1" t="n">
        <x:v>0</x:v>
      </x:c>
    </x:row>
    <x:row r="2121" ht="18.75" customHeight="1">
      <x:c r="A2121" s="1" t="str">
        <x:v>https://blog.skyairline.com/enchufe-peru/</x:v>
      </x:c>
      <x:c r="B2121" s="1" t="str">
        <x:v>tipo de enchufes en peru</x:v>
      </x:c>
      <x:c r="C2121" s="1" t="str">
        <x:v>chl</x:v>
      </x:c>
      <x:c r="D2121" s="1" t="str">
        <x:v>Sin marca</x:v>
      </x:c>
      <x:c r="E2121" s="35" t="n">
        <x:v>1</x:v>
      </x:c>
      <x:c r="F2121" s="36"/>
      <x:c r="G2121" s="36" t="str">
        <x:f>IF(ISNUMBER(F2121),E2121*F2121,"")</x:f>
      </x:c>
      <x:c r="H2121" s="37"/>
      <x:c r="I2121" s="37"/>
      <x:c r="J2121" s="1" t="n">
        <x:f>IF(ISNUMBER(F2121),E2121,0)</x:f>
        <x:v>0</x:v>
      </x:c>
      <x:c r="K2121" s="1"/>
      <x:c r="L2121" s="1" t="str">
        <x:v>https://blog.skyairline.com/puerto-montt-calama-y-antofagasta-entre-los-destinos-favoritos-para-semana-santa-2025/</x:v>
      </x:c>
      <x:c r="M2121" s="1" t="n">
        <x:v>0</x:v>
      </x:c>
    </x:row>
    <x:row r="2122" ht="18.75" customHeight="1">
      <x:c r="A2122" s="1" t="str">
        <x:v>https://blog.skyairline.com/enchufe-peru/</x:v>
      </x:c>
      <x:c r="B2122" s="1" t="str">
        <x:v>tipo enchufe en peru</x:v>
      </x:c>
      <x:c r="C2122" s="1" t="str">
        <x:v>chl</x:v>
      </x:c>
      <x:c r="D2122" s="1" t="str">
        <x:v>Sin marca</x:v>
      </x:c>
      <x:c r="E2122" s="35" t="n">
        <x:v>1</x:v>
      </x:c>
      <x:c r="F2122" s="36"/>
      <x:c r="G2122" s="36" t="str">
        <x:f>IF(ISNUMBER(F2122),E2122*F2122,"")</x:f>
      </x:c>
      <x:c r="H2122" s="37"/>
      <x:c r="I2122" s="37"/>
      <x:c r="J2122" s="1" t="n">
        <x:f>IF(ISNUMBER(F2122),E2122,0)</x:f>
        <x:v>0</x:v>
      </x:c>
      <x:c r="K2122" s="1"/>
      <x:c r="L2122" s="1" t="str">
        <x:v>https://blog.skyairline.com/puerto-montt-en-invierno/</x:v>
      </x:c>
      <x:c r="M2122" s="1" t="n">
        <x:v>0</x:v>
      </x:c>
    </x:row>
    <x:row r="2123" ht="18.75" customHeight="1">
      <x:c r="A2123" s="1" t="str">
        <x:v>https://blog.skyairline.com/enchufe-peru/</x:v>
      </x:c>
      <x:c r="B2123" s="1" t="str">
        <x:v>voltaje en peru</x:v>
      </x:c>
      <x:c r="C2123" s="1" t="str">
        <x:v>chl</x:v>
      </x:c>
      <x:c r="D2123" s="1" t="str">
        <x:v>Sin marca</x:v>
      </x:c>
      <x:c r="E2123" s="35" t="n">
        <x:v>1</x:v>
      </x:c>
      <x:c r="F2123" s="36"/>
      <x:c r="G2123" s="36" t="str">
        <x:f>IF(ISNUMBER(F2123),E2123*F2123,"")</x:f>
      </x:c>
      <x:c r="H2123" s="37" t="d">
        <x:v>2026-10-15T00:00:00.000Z</x:v>
      </x:c>
      <x:c r="I2123" s="37" t="d">
        <x:v>2026-09-12T21:08:07.000Z</x:v>
      </x:c>
      <x:c r="J2123" s="1" t="n">
        <x:f>IF(ISNUMBER(F2123),E2123,0)</x:f>
        <x:v>0</x:v>
      </x:c>
      <x:c r="K2123" s="1"/>
      <x:c r="L2123" s="1" t="str">
        <x:v>https://blog.skyairline.com/puerto-montt-puerto-varas/</x:v>
      </x:c>
      <x:c r="M2123" s="1" t="n">
        <x:v>0</x:v>
      </x:c>
    </x:row>
    <x:row r="2124" ht="18.75" customHeight="1">
      <x:c r="A2124" s="1" t="str">
        <x:v>https://blog.skyairline.com/entrada-pan-de-azucar/</x:v>
      </x:c>
      <x:c r="B2124" s="1" t="str">
        <x:v>entrada pan de azucar</x:v>
      </x:c>
      <x:c r="C2124" s="1" t="str">
        <x:v>chl</x:v>
      </x:c>
      <x:c r="D2124" s="1" t="str">
        <x:v>Sin marca</x:v>
      </x:c>
      <x:c r="E2124" s="35" t="n">
        <x:v>1</x:v>
      </x:c>
      <x:c r="F2124" s="36" t="n">
        <x:v>0.38</x:v>
      </x:c>
      <x:c r="G2124" s="36" t="n">
        <x:f>IF(ISNUMBER(F2124),E2124*F2124,"")</x:f>
        <x:v>0.38</x:v>
      </x:c>
      <x:c r="H2124" s="37" t="d">
        <x:v>2026-10-15T00:00:00.000Z</x:v>
      </x:c>
      <x:c r="I2124" s="37" t="d">
        <x:v>2026-09-17T14:02:24.000Z</x:v>
      </x:c>
      <x:c r="J2124" s="1" t="n">
        <x:f>IF(ISNUMBER(F2124),E2124,0)</x:f>
        <x:v>1</x:v>
      </x:c>
      <x:c r="K2124" s="1"/>
      <x:c r="L2124" s="1" t="str">
        <x:v>https://blog.skyairline.com/puerto-montt/</x:v>
      </x:c>
      <x:c r="M2124" s="1" t="n">
        <x:v>0</x:v>
      </x:c>
    </x:row>
    <x:row r="2125" ht="18.75" customHeight="1">
      <x:c r="A2125" s="1" t="str">
        <x:v>https://blog.skyairline.com/equipaje-de-bodega/</x:v>
      </x:c>
      <x:c r="B2125" s="1" t="str">
        <x:v>articulo personal sky</x:v>
      </x:c>
      <x:c r="C2125" s="1" t="str">
        <x:v>per</x:v>
      </x:c>
      <x:c r="D2125" s="1" t="str">
        <x:v>Marca</x:v>
      </x:c>
      <x:c r="E2125" s="35" t="n">
        <x:v>1</x:v>
      </x:c>
      <x:c r="F2125" s="36"/>
      <x:c r="G2125" s="36" t="str">
        <x:f>IF(ISNUMBER(F2125),E2125*F2125,"")</x:f>
      </x:c>
      <x:c r="H2125" s="37"/>
      <x:c r="I2125" s="37"/>
      <x:c r="J2125" s="1" t="n">
        <x:f>IF(ISNUMBER(F2125),E2125,0)</x:f>
        <x:v>0</x:v>
      </x:c>
      <x:c r="K2125" s="1"/>
      <x:c r="L2125" s="1" t="str">
        <x:v>https://blog.skyairline.com/puerto-natales-a-puerto-anas/</x:v>
      </x:c>
      <x:c r="M2125" s="1" t="n">
        <x:v>0</x:v>
      </x:c>
    </x:row>
    <x:row r="2126" ht="18.75" customHeight="1">
      <x:c r="A2126" s="1" t="str">
        <x:v>https://blog.skyairline.com/equipaje-de-bodega/</x:v>
      </x:c>
      <x:c r="B2126" s="1" t="str">
        <x:v>articulo personal sky medidas</x:v>
      </x:c>
      <x:c r="C2126" s="1" t="str">
        <x:v>chl</x:v>
      </x:c>
      <x:c r="D2126" s="1" t="str">
        <x:v>Marca</x:v>
      </x:c>
      <x:c r="E2126" s="35" t="n">
        <x:v>1</x:v>
      </x:c>
      <x:c r="F2126" s="36"/>
      <x:c r="G2126" s="36" t="str">
        <x:f>IF(ISNUMBER(F2126),E2126*F2126,"")</x:f>
      </x:c>
      <x:c r="H2126" s="37"/>
      <x:c r="I2126" s="37"/>
      <x:c r="J2126" s="1" t="n">
        <x:f>IF(ISNUMBER(F2126),E2126,0)</x:f>
        <x:v>0</x:v>
      </x:c>
      <x:c r="K2126" s="1"/>
      <x:c r="L2126" s="1" t="str">
        <x:v>https://blog.skyairline.com/puerto-natales-a-puerto-natales/</x:v>
      </x:c>
      <x:c r="M2126" s="1" t="n">
        <x:v>0</x:v>
      </x:c>
    </x:row>
    <x:row r="2127" ht="18.75" customHeight="1">
      <x:c r="A2127" s="1" t="str">
        <x:v>https://blog.skyairline.com/equipaje-de-bodega/</x:v>
      </x:c>
      <x:c r="B2127" s="1" t="str">
        <x:v>bodega</x:v>
      </x:c>
      <x:c r="C2127" s="1" t="str">
        <x:v>usa</x:v>
      </x:c>
      <x:c r="D2127" s="1" t="str">
        <x:v>Sin marca</x:v>
      </x:c>
      <x:c r="E2127" s="35" t="n">
        <x:v>1</x:v>
      </x:c>
      <x:c r="F2127" s="36"/>
      <x:c r="G2127" s="36" t="str">
        <x:f>IF(ISNUMBER(F2127),E2127*F2127,"")</x:f>
      </x:c>
      <x:c r="H2127" s="37"/>
      <x:c r="I2127" s="37"/>
      <x:c r="J2127" s="1" t="n">
        <x:f>IF(ISNUMBER(F2127),E2127,0)</x:f>
        <x:v>0</x:v>
      </x:c>
      <x:c r="K2127" s="1"/>
      <x:c r="L2127" s="1" t="str">
        <x:v>https://blog.skyairline.com/puerto-natales-a-punta-arenas</x:v>
      </x:c>
      <x:c r="M2127" s="1" t="n">
        <x:v>0</x:v>
      </x:c>
    </x:row>
    <x:row r="2128" ht="18.75" customHeight="1">
      <x:c r="A2128" s="1" t="str">
        <x:v>https://blog.skyairline.com/equipaje-de-bodega/</x:v>
      </x:c>
      <x:c r="B2128" s="1" t="str">
        <x:v>bolso de mano en sky medidas</x:v>
      </x:c>
      <x:c r="C2128" s="1" t="str">
        <x:v>chl</x:v>
      </x:c>
      <x:c r="D2128" s="1" t="str">
        <x:v>Marca</x:v>
      </x:c>
      <x:c r="E2128" s="35" t="n">
        <x:v>1</x:v>
      </x:c>
      <x:c r="F2128" s="36"/>
      <x:c r="G2128" s="36" t="str">
        <x:f>IF(ISNUMBER(F2128),E2128*F2128,"")</x:f>
      </x:c>
      <x:c r="H2128" s="37"/>
      <x:c r="I2128" s="37"/>
      <x:c r="J2128" s="1" t="n">
        <x:f>IF(ISNUMBER(F2128),E2128,0)</x:f>
        <x:v>0</x:v>
      </x:c>
      <x:c r="K2128" s="1"/>
      <x:c r="L2128" s="1" t="str">
        <x:v>https://blog.skyairline.com/puerto-natales-a-punta-arenas-sin-complicarte</x:v>
      </x:c>
      <x:c r="M2128" s="1" t="n">
        <x:v>0</x:v>
      </x:c>
    </x:row>
    <x:row r="2129" ht="18.75" customHeight="1">
      <x:c r="A2129" s="1" t="str">
        <x:v>https://blog.skyairline.com/equipaje-de-bodega/</x:v>
      </x:c>
      <x:c r="B2129" s="1" t="str">
        <x:v>bolso de mano en sky peru</x:v>
      </x:c>
      <x:c r="C2129" s="1" t="str">
        <x:v>per</x:v>
      </x:c>
      <x:c r="D2129" s="1" t="str">
        <x:v>Marca</x:v>
      </x:c>
      <x:c r="E2129" s="35" t="n">
        <x:v>1</x:v>
      </x:c>
      <x:c r="F2129" s="36"/>
      <x:c r="G2129" s="36" t="str">
        <x:f>IF(ISNUMBER(F2129),E2129*F2129,"")</x:f>
      </x:c>
      <x:c r="H2129" s="37" t="d">
        <x:v>2026-10-15T00:00:00.000Z</x:v>
      </x:c>
      <x:c r="I2129" s="37" t="d">
        <x:v>2026-09-13T21:30:28.000Z</x:v>
      </x:c>
      <x:c r="J2129" s="1" t="n">
        <x:f>IF(ISNUMBER(F2129),E2129,0)</x:f>
        <x:v>0</x:v>
      </x:c>
      <x:c r="K2129" s="1"/>
      <x:c r="L2129" s="1" t="str">
        <x:v>https://blog.skyairline.com/puerto-natales-a-torres-del-paine</x:v>
      </x:c>
      <x:c r="M2129" s="1" t="n">
        <x:v>0</x:v>
      </x:c>
    </x:row>
    <x:row r="2130" ht="18.75" customHeight="1">
      <x:c r="A2130" s="1" t="str">
        <x:v>https://blog.skyairline.com/equipaje-de-bodega/</x:v>
      </x:c>
      <x:c r="B2130" s="1" t="str">
        <x:v>bolso de mano medidas</x:v>
      </x:c>
      <x:c r="C2130" s="1" t="str">
        <x:v>chl</x:v>
      </x:c>
      <x:c r="D2130" s="1" t="str">
        <x:v>Sin marca</x:v>
      </x:c>
      <x:c r="E2130" s="35" t="n">
        <x:v>1</x:v>
      </x:c>
      <x:c r="F2130" s="36" t="n">
        <x:v>0.21</x:v>
      </x:c>
      <x:c r="G2130" s="36" t="n">
        <x:f>IF(ISNUMBER(F2130),E2130*F2130,"")</x:f>
        <x:v>0.21</x:v>
      </x:c>
      <x:c r="H2130" s="37" t="d">
        <x:v>2026-10-15T00:00:00.000Z</x:v>
      </x:c>
      <x:c r="I2130" s="37" t="d">
        <x:v>2026-09-15T20:46:35.000Z</x:v>
      </x:c>
      <x:c r="J2130" s="1" t="n">
        <x:f>IF(ISNUMBER(F2130),E2130,0)</x:f>
        <x:v>1</x:v>
      </x:c>
      <x:c r="K2130" s="1"/>
      <x:c r="L2130" s="1" t="str">
        <x:v>https://blog.skyairline.com/puerto-natales-en-invierno/</x:v>
      </x:c>
      <x:c r="M2130" s="1" t="n">
        <x:v>0</x:v>
      </x:c>
    </x:row>
    <x:row r="2131" ht="18.75" customHeight="1">
      <x:c r="A2131" s="1" t="str">
        <x:v>https://blog.skyairline.com/equipaje-de-bodega/</x:v>
      </x:c>
      <x:c r="B2131" s="1" t="str">
        <x:v>bolso de mano sky airlines</x:v>
      </x:c>
      <x:c r="C2131" s="1" t="str">
        <x:v>chl</x:v>
      </x:c>
      <x:c r="D2131" s="1" t="str">
        <x:v>Marca</x:v>
      </x:c>
      <x:c r="E2131" s="35" t="n">
        <x:v>1</x:v>
      </x:c>
      <x:c r="F2131" s="36" t="n">
        <x:v>0.33</x:v>
      </x:c>
      <x:c r="G2131" s="36" t="n">
        <x:f>IF(ISNUMBER(F2131),E2131*F2131,"")</x:f>
        <x:v>0.33</x:v>
      </x:c>
      <x:c r="H2131" s="37" t="d">
        <x:v>2026-10-15T00:00:00.000Z</x:v>
      </x:c>
      <x:c r="I2131" s="37" t="d">
        <x:v>2026-09-17T13:49:37.000Z</x:v>
      </x:c>
      <x:c r="J2131" s="1" t="n">
        <x:f>IF(ISNUMBER(F2131),E2131,0)</x:f>
        <x:v>1</x:v>
      </x:c>
      <x:c r="K2131" s="1"/>
      <x:c r="L2131" s="1" t="str">
        <x:v>https://blog.skyairline.com/puerto-natales/</x:v>
      </x:c>
      <x:c r="M2131" s="1" t="n">
        <x:v>0</x:v>
      </x:c>
    </x:row>
    <x:row r="2132" ht="18.75" customHeight="1">
      <x:c r="A2132" s="1" t="str">
        <x:v>https://blog.skyairline.com/equipaje-de-bodega/</x:v>
      </x:c>
      <x:c r="B2132" s="1" t="str">
        <x:v>bolso de mano sky medidas y peso</x:v>
      </x:c>
      <x:c r="C2132" s="1" t="str">
        <x:v>arg</x:v>
      </x:c>
      <x:c r="D2132" s="1" t="str">
        <x:v>Marca</x:v>
      </x:c>
      <x:c r="E2132" s="35" t="n">
        <x:v>1</x:v>
      </x:c>
      <x:c r="F2132" s="36"/>
      <x:c r="G2132" s="36" t="str">
        <x:f>IF(ISNUMBER(F2132),E2132*F2132,"")</x:f>
      </x:c>
      <x:c r="H2132" s="37"/>
      <x:c r="I2132" s="37"/>
      <x:c r="J2132" s="1" t="n">
        <x:f>IF(ISNUMBER(F2132),E2132,0)</x:f>
        <x:v>0</x:v>
      </x:c>
      <x:c r="K2132" s="1"/>
      <x:c r="L2132" s="1" t="str">
        <x:v>https://blog.skyairline.com/puerto-varas/</x:v>
      </x:c>
      <x:c r="M2132" s="1" t="n">
        <x:v>0</x:v>
      </x:c>
    </x:row>
    <x:row r="2133" ht="18.75" customHeight="1">
      <x:c r="A2133" s="1" t="str">
        <x:v>https://blog.skyairline.com/equipaje-de-bodega/</x:v>
      </x:c>
      <x:c r="B2133" s="1" t="str">
        <x:v>bolso de mano sky peso</x:v>
      </x:c>
      <x:c r="C2133" s="1" t="str">
        <x:v>chl</x:v>
      </x:c>
      <x:c r="D2133" s="1" t="str">
        <x:v>Marca</x:v>
      </x:c>
      <x:c r="E2133" s="35" t="n">
        <x:v>1</x:v>
      </x:c>
      <x:c r="F2133" s="36"/>
      <x:c r="G2133" s="36" t="str">
        <x:f>IF(ISNUMBER(F2133),E2133*F2133,"")</x:f>
      </x:c>
      <x:c r="H2133" s="37" t="d">
        <x:v>2026-10-15T00:00:00.000Z</x:v>
      </x:c>
      <x:c r="I2133" s="37" t="d">
        <x:v>2026-10-15T14:20:26.999Z</x:v>
      </x:c>
      <x:c r="J2133" s="1" t="n">
        <x:f>IF(ISNUMBER(F2133),E2133,0)</x:f>
        <x:v>0</x:v>
      </x:c>
      <x:c r="K2133" s="1"/>
      <x:c r="L2133" s="1" t="str">
        <x:v>https://blog.skyairline.com/puerto-williams/</x:v>
      </x:c>
      <x:c r="M2133" s="1" t="n">
        <x:v>0</x:v>
      </x:c>
    </x:row>
    <x:row r="2134" ht="18.75" customHeight="1">
      <x:c r="A2134" s="1" t="str">
        <x:v>https://blog.skyairline.com/equipaje-de-bodega/</x:v>
      </x:c>
      <x:c r="B2134" s="1" t="str">
        <x:v>bolso mano sky medidas</x:v>
      </x:c>
      <x:c r="C2134" s="1" t="str">
        <x:v>chl</x:v>
      </x:c>
      <x:c r="D2134" s="1" t="str">
        <x:v>Marca</x:v>
      </x:c>
      <x:c r="E2134" s="35" t="n">
        <x:v>1</x:v>
      </x:c>
      <x:c r="F2134" s="36"/>
      <x:c r="G2134" s="36" t="str">
        <x:f>IF(ISNUMBER(F2134),E2134*F2134,"")</x:f>
      </x:c>
      <x:c r="H2134" s="37"/>
      <x:c r="I2134" s="37"/>
      <x:c r="J2134" s="1" t="n">
        <x:f>IF(ISNUMBER(F2134),E2134,0)</x:f>
        <x:v>0</x:v>
      </x:c>
      <x:c r="K2134" s="1"/>
      <x:c r="L2134" s="1" t="str">
        <x:v>https://blog.skyairline.com/punta-arenas-patagonia/</x:v>
      </x:c>
      <x:c r="M2134" s="1" t="n">
        <x:v>0</x:v>
      </x:c>
    </x:row>
    <x:row r="2135" ht="18.75" customHeight="1">
      <x:c r="A2135" s="1" t="str">
        <x:v>https://blog.skyairline.com/equipaje-de-bodega/</x:v>
      </x:c>
      <x:c r="B2135" s="1" t="str">
        <x:v>bolso sky</x:v>
      </x:c>
      <x:c r="C2135" s="1" t="str">
        <x:v>per</x:v>
      </x:c>
      <x:c r="D2135" s="1" t="str">
        <x:v>Marca</x:v>
      </x:c>
      <x:c r="E2135" s="35" t="n">
        <x:v>1</x:v>
      </x:c>
      <x:c r="F2135" s="36"/>
      <x:c r="G2135" s="36" t="str">
        <x:f>IF(ISNUMBER(F2135),E2135*F2135,"")</x:f>
      </x:c>
      <x:c r="H2135" s="37"/>
      <x:c r="I2135" s="37"/>
      <x:c r="J2135" s="1" t="n">
        <x:f>IF(ISNUMBER(F2135),E2135,0)</x:f>
        <x:v>0</x:v>
      </x:c>
      <x:c r="K2135" s="1"/>
      <x:c r="L2135" s="1" t="str">
        <x:v>https://blog.skyairline.com/punta-cana-en-temporada-baja</x:v>
      </x:c>
      <x:c r="M2135" s="1" t="n">
        <x:v>0</x:v>
      </x:c>
    </x:row>
    <x:row r="2136" ht="18.75" customHeight="1">
      <x:c r="A2136" s="1" t="str">
        <x:v>https://blog.skyairline.com/equipaje-de-bodega/</x:v>
      </x:c>
      <x:c r="B2136" s="1" t="str">
        <x:v>carry on sky</x:v>
      </x:c>
      <x:c r="C2136" s="1" t="str">
        <x:v>per</x:v>
      </x:c>
      <x:c r="D2136" s="1" t="str">
        <x:v>Marca</x:v>
      </x:c>
      <x:c r="E2136" s="35" t="n">
        <x:v>1</x:v>
      </x:c>
      <x:c r="F2136" s="36"/>
      <x:c r="G2136" s="36" t="str">
        <x:f>IF(ISNUMBER(F2136),E2136*F2136,"")</x:f>
      </x:c>
      <x:c r="H2136" s="37"/>
      <x:c r="I2136" s="37"/>
      <x:c r="J2136" s="1" t="n">
        <x:f>IF(ISNUMBER(F2136),E2136,0)</x:f>
        <x:v>0</x:v>
      </x:c>
      <x:c r="K2136" s="1"/>
      <x:c r="L2136" s="1" t="str">
        <x:v>https://blog.skyairline.com/punta-cana-o-cancun/</x:v>
      </x:c>
      <x:c r="M2136" s="1" t="n">
        <x:v>0</x:v>
      </x:c>
    </x:row>
    <x:row r="2137" ht="18.75" customHeight="1">
      <x:c r="A2137" s="1" t="str">
        <x:v>https://blog.skyairline.com/equipaje-de-bodega/</x:v>
      </x:c>
      <x:c r="B2137" s="1" t="str">
        <x:v>carry on sky airlines</x:v>
      </x:c>
      <x:c r="C2137" s="1" t="str">
        <x:v>ury</x:v>
      </x:c>
      <x:c r="D2137" s="1" t="str">
        <x:v>Marca</x:v>
      </x:c>
      <x:c r="E2137" s="35" t="n">
        <x:v>1</x:v>
      </x:c>
      <x:c r="F2137" s="36"/>
      <x:c r="G2137" s="36" t="str">
        <x:f>IF(ISNUMBER(F2137),E2137*F2137,"")</x:f>
      </x:c>
      <x:c r="H2137" s="37"/>
      <x:c r="I2137" s="37"/>
      <x:c r="J2137" s="1" t="n">
        <x:f>IF(ISNUMBER(F2137),E2137,0)</x:f>
        <x:v>0</x:v>
      </x:c>
      <x:c r="K2137" s="1"/>
      <x:c r="L2137" s="1" t="str">
        <x:v>https://blog.skyairline.com/punta-del-Este-montevideo</x:v>
      </x:c>
      <x:c r="M2137" s="1" t="n">
        <x:v>0</x:v>
      </x:c>
    </x:row>
    <x:row r="2138" ht="18.75" customHeight="1">
      <x:c r="A2138" s="1" t="str">
        <x:v>https://blog.skyairline.com/equipaje-de-bodega/</x:v>
      </x:c>
      <x:c r="B2138" s="1" t="str">
        <x:v>carry on sky medidas</x:v>
      </x:c>
      <x:c r="C2138" s="1" t="str">
        <x:v>per</x:v>
      </x:c>
      <x:c r="D2138" s="1" t="str">
        <x:v>Marca</x:v>
      </x:c>
      <x:c r="E2138" s="35" t="n">
        <x:v>1</x:v>
      </x:c>
      <x:c r="F2138" s="36"/>
      <x:c r="G2138" s="36" t="str">
        <x:f>IF(ISNUMBER(F2138),E2138*F2138,"")</x:f>
      </x:c>
      <x:c r="H2138" s="37"/>
      <x:c r="I2138" s="37"/>
      <x:c r="J2138" s="1" t="n">
        <x:f>IF(ISNUMBER(F2138),E2138,0)</x:f>
        <x:v>0</x:v>
      </x:c>
      <x:c r="K2138" s="1"/>
      <x:c r="L2138" s="1" t="str">
        <x:v>https://blog.skyairline.com/punta-del-este-sky/</x:v>
      </x:c>
      <x:c r="M2138" s="1" t="n">
        <x:v>0</x:v>
      </x:c>
    </x:row>
    <x:row r="2139" ht="18.75" customHeight="1">
      <x:c r="A2139" s="1" t="str">
        <x:v>https://blog.skyairline.com/equipaje-de-bodega/</x:v>
      </x:c>
      <x:c r="B2139" s="1" t="str">
        <x:v>carry on sky medidas</x:v>
      </x:c>
      <x:c r="C2139" s="1" t="str">
        <x:v>ury</x:v>
      </x:c>
      <x:c r="D2139" s="1" t="str">
        <x:v>Marca</x:v>
      </x:c>
      <x:c r="E2139" s="35" t="n">
        <x:v>1</x:v>
      </x:c>
      <x:c r="F2139" s="36"/>
      <x:c r="G2139" s="36" t="str">
        <x:f>IF(ISNUMBER(F2139),E2139*F2139,"")</x:f>
      </x:c>
      <x:c r="H2139" s="37"/>
      <x:c r="I2139" s="37"/>
      <x:c r="J2139" s="1" t="n">
        <x:f>IF(ISNUMBER(F2139),E2139,0)</x:f>
        <x:v>0</x:v>
      </x:c>
      <x:c r="K2139" s="1"/>
      <x:c r="L2139" s="1" t="str">
        <x:v>https://blog.skyairline.com/punta-del-estemontevideo/</x:v>
      </x:c>
      <x:c r="M2139" s="1" t="n">
        <x:v>0</x:v>
      </x:c>
    </x:row>
    <x:row r="2140" ht="18.75" customHeight="1">
      <x:c r="A2140" s="1" t="str">
        <x:v>https://blog.skyairline.com/equipaje-de-bodega/</x:v>
      </x:c>
      <x:c r="B2140" s="1" t="str">
        <x:v>como debe ser el equipaje de mano para viajar en avion</x:v>
      </x:c>
      <x:c r="C2140" s="1" t="str">
        <x:v>chl</x:v>
      </x:c>
      <x:c r="D2140" s="1" t="str">
        <x:v>Sin marca</x:v>
      </x:c>
      <x:c r="E2140" s="35" t="n">
        <x:v>1</x:v>
      </x:c>
      <x:c r="F2140" s="36"/>
      <x:c r="G2140" s="36" t="str">
        <x:f>IF(ISNUMBER(F2140),E2140*F2140,"")</x:f>
      </x:c>
      <x:c r="H2140" s="37"/>
      <x:c r="I2140" s="37"/>
      <x:c r="J2140" s="1" t="n">
        <x:f>IF(ISNUMBER(F2140),E2140,0)</x:f>
        <x:v>0</x:v>
      </x:c>
      <x:c r="K2140" s="1"/>
      <x:c r="L2140" s="1" t="str">
        <x:v>https://blog.skyairline.com/punta-sal</x:v>
      </x:c>
      <x:c r="M2140" s="1" t="n">
        <x:v>0</x:v>
      </x:c>
    </x:row>
    <x:row r="2141" ht="18.75" customHeight="1">
      <x:c r="A2141" s="1" t="str">
        <x:v>https://blog.skyairline.com/equipaje-de-bodega/</x:v>
      </x:c>
      <x:c r="B2141" s="1" t="str">
        <x:v>cual es el equipaje de cabina en sky</x:v>
      </x:c>
      <x:c r="C2141" s="1" t="str">
        <x:v>per</x:v>
      </x:c>
      <x:c r="D2141" s="1" t="str">
        <x:v>Marca</x:v>
      </x:c>
      <x:c r="E2141" s="35" t="n">
        <x:v>1</x:v>
      </x:c>
      <x:c r="F2141" s="36"/>
      <x:c r="G2141" s="36" t="str">
        <x:f>IF(ISNUMBER(F2141),E2141*F2141,"")</x:f>
      </x:c>
      <x:c r="H2141" s="37"/>
      <x:c r="I2141" s="37"/>
      <x:c r="J2141" s="1" t="n">
        <x:f>IF(ISNUMBER(F2141),E2141,0)</x:f>
        <x:v>0</x:v>
      </x:c>
      <x:c r="K2141" s="1"/>
      <x:c r="L2141" s="1" t="str">
        <x:v>https://blog.skyairline.com/punta-sal-peru-como-llegar</x:v>
      </x:c>
      <x:c r="M2141" s="1" t="n">
        <x:v>0</x:v>
      </x:c>
    </x:row>
    <x:row r="2142" ht="18.75" customHeight="1">
      <x:c r="A2142" s="1" t="str">
        <x:v>https://blog.skyairline.com/equipaje-de-bodega/</x:v>
      </x:c>
      <x:c r="B2142" s="1" t="str">
        <x:v>cuales son las medidas de mochila de cabina</x:v>
      </x:c>
      <x:c r="C2142" s="1" t="str">
        <x:v>chl</x:v>
      </x:c>
      <x:c r="D2142" s="1" t="str">
        <x:v>Sin marca</x:v>
      </x:c>
      <x:c r="E2142" s="35" t="n">
        <x:v>1</x:v>
      </x:c>
      <x:c r="F2142" s="36"/>
      <x:c r="G2142" s="36" t="str">
        <x:f>IF(ISNUMBER(F2142),E2142*F2142,"")</x:f>
      </x:c>
      <x:c r="H2142" s="37"/>
      <x:c r="I2142" s="37"/>
      <x:c r="J2142" s="1" t="n">
        <x:f>IF(ISNUMBER(F2142),E2142,0)</x:f>
        <x:v>0</x:v>
      </x:c>
      <x:c r="K2142" s="1"/>
      <x:c r="L2142" s="1" t="str">
        <x:v>https://blog.skyairline.com/putre/</x:v>
      </x:c>
      <x:c r="M2142" s="1" t="n">
        <x:v>0</x:v>
      </x:c>
    </x:row>
    <x:row r="2143" ht="18.75" customHeight="1">
      <x:c r="A2143" s="1" t="str">
        <x:v>https://blog.skyairline.com/equipaje-de-bodega/</x:v>
      </x:c>
      <x:c r="B2143" s="1" t="str">
        <x:v>cuanto debe pesar la mochila de mano</x:v>
      </x:c>
      <x:c r="C2143" s="1" t="str">
        <x:v>chl</x:v>
      </x:c>
      <x:c r="D2143" s="1" t="str">
        <x:v>Sin marca</x:v>
      </x:c>
      <x:c r="E2143" s="35" t="n">
        <x:v>1</x:v>
      </x:c>
      <x:c r="F2143" s="36"/>
      <x:c r="G2143" s="36" t="str">
        <x:f>IF(ISNUMBER(F2143),E2143*F2143,"")</x:f>
      </x:c>
      <x:c r="H2143" s="37"/>
      <x:c r="I2143" s="37"/>
      <x:c r="J2143" s="1" t="n">
        <x:f>IF(ISNUMBER(F2143),E2143,0)</x:f>
        <x:v>0</x:v>
      </x:c>
      <x:c r="K2143" s="1"/>
      <x:c r="L2143" s="1" t="str">
        <x:v>https://blog.skyairline.com/quando-son-las-vacaciones-de-en-chile/</x:v>
      </x:c>
      <x:c r="M2143" s="1" t="n">
        <x:v>0</x:v>
      </x:c>
    </x:row>
    <x:row r="2144" ht="18.75" customHeight="1">
      <x:c r="A2144" s="1" t="str">
        <x:v>https://blog.skyairline.com/equipaje-de-bodega/</x:v>
      </x:c>
      <x:c r="B2144" s="1" t="str">
        <x:v>cuanto kilos se puede llevar en el avion</x:v>
      </x:c>
      <x:c r="C2144" s="1" t="str">
        <x:v>per</x:v>
      </x:c>
      <x:c r="D2144" s="1" t="str">
        <x:v>Sin marca</x:v>
      </x:c>
      <x:c r="E2144" s="35" t="n">
        <x:v>1</x:v>
      </x:c>
      <x:c r="F2144" s="36"/>
      <x:c r="G2144" s="36" t="str">
        <x:f>IF(ISNUMBER(F2144),E2144*F2144,"")</x:f>
      </x:c>
      <x:c r="H2144" s="37"/>
      <x:c r="I2144" s="37"/>
      <x:c r="J2144" s="1" t="n">
        <x:f>IF(ISNUMBER(F2144),E2144,0)</x:f>
        <x:v>0</x:v>
      </x:c>
      <x:c r="K2144" s="1"/>
      <x:c r="L2144" s="1" t="str">
        <x:v>https://blog.skyairline.com/que-comer-en-florinaopolis/</x:v>
      </x:c>
      <x:c r="M2144" s="1" t="n">
        <x:v>0</x:v>
      </x:c>
    </x:row>
    <x:row r="2145" ht="18.75" customHeight="1">
      <x:c r="A2145" s="1" t="str">
        <x:v>https://blog.skyairline.com/equipaje-de-bodega/</x:v>
      </x:c>
      <x:c r="B2145" s="1" t="str">
        <x:v>cuanto tiene que pesar la maleta de cabina</x:v>
      </x:c>
      <x:c r="C2145" s="1" t="str">
        <x:v>chl</x:v>
      </x:c>
      <x:c r="D2145" s="1" t="str">
        <x:v>Sin marca</x:v>
      </x:c>
      <x:c r="E2145" s="35" t="n">
        <x:v>1</x:v>
      </x:c>
      <x:c r="F2145" s="36"/>
      <x:c r="G2145" s="36" t="str">
        <x:f>IF(ISNUMBER(F2145),E2145*F2145,"")</x:f>
      </x:c>
      <x:c r="H2145" s="37"/>
      <x:c r="I2145" s="37"/>
      <x:c r="J2145" s="1" t="n">
        <x:f>IF(ISNUMBER(F2145),E2145,0)</x:f>
        <x:v>0</x:v>
      </x:c>
      <x:c r="K2145" s="1"/>
      <x:c r="L2145" s="1" t="str">
        <x:v>https://blog.skyairline.com/que-comer-en-punta-cana/</x:v>
      </x:c>
      <x:c r="M2145" s="1" t="n">
        <x:v>0</x:v>
      </x:c>
    </x:row>
    <x:row r="2146" ht="18.75" customHeight="1">
      <x:c r="A2146" s="1" t="str">
        <x:v>https://blog.skyairline.com/equipaje-de-bodega/</x:v>
      </x:c>
      <x:c r="B2146" s="1" t="str">
        <x:v>cuánto tiene que pesar una maleta de cabina</x:v>
      </x:c>
      <x:c r="C2146" s="1" t="str">
        <x:v>chl</x:v>
      </x:c>
      <x:c r="D2146" s="1" t="str">
        <x:v>Sin marca</x:v>
      </x:c>
      <x:c r="E2146" s="35" t="n">
        <x:v>1</x:v>
      </x:c>
      <x:c r="F2146" s="36"/>
      <x:c r="G2146" s="36" t="str">
        <x:f>IF(ISNUMBER(F2146),E2146*F2146,"")</x:f>
      </x:c>
      <x:c r="H2146" s="37"/>
      <x:c r="I2146" s="37"/>
      <x:c r="J2146" s="1" t="n">
        <x:f>IF(ISNUMBER(F2146),E2146,0)</x:f>
        <x:v>0</x:v>
      </x:c>
      <x:c r="K2146" s="1"/>
      <x:c r="L2146" s="1" t="str">
        <x:v>https://blog.skyairline.com/que-es-ecoturismo/</x:v>
      </x:c>
      <x:c r="M2146" s="1" t="n">
        <x:v>0</x:v>
      </x:c>
    </x:row>
    <x:row r="2147" ht="18.75" customHeight="1">
      <x:c r="A2147" s="1" t="str">
        <x:v>https://blog.skyairline.com/equipaje-de-bodega/</x:v>
      </x:c>
      <x:c r="B2147" s="1" t="str">
        <x:v>dimensiones de mochila de cabina</x:v>
      </x:c>
      <x:c r="C2147" s="1" t="str">
        <x:v>chl</x:v>
      </x:c>
      <x:c r="D2147" s="1" t="str">
        <x:v>Sin marca</x:v>
      </x:c>
      <x:c r="E2147" s="35" t="n">
        <x:v>1</x:v>
      </x:c>
      <x:c r="F2147" s="36"/>
      <x:c r="G2147" s="36" t="str">
        <x:f>IF(ISNUMBER(F2147),E2147*F2147,"")</x:f>
      </x:c>
      <x:c r="H2147" s="37"/>
      <x:c r="I2147" s="37"/>
      <x:c r="J2147" s="1" t="n">
        <x:f>IF(ISNUMBER(F2147),E2147,0)</x:f>
        <x:v>0</x:v>
      </x:c>
      <x:c r="K2147" s="1"/>
      <x:c r="L2147" s="1" t="str">
        <x:v>https://blog.skyairline.com/que-es-el-check-in-vuelos/</x:v>
      </x:c>
      <x:c r="M2147" s="1" t="n">
        <x:v>0</x:v>
      </x:c>
    </x:row>
    <x:row r="2148" ht="18.75" customHeight="1">
      <x:c r="A2148" s="1" t="str">
        <x:v>https://blog.skyairline.com/equipaje-de-bodega/</x:v>
      </x:c>
      <x:c r="B2148" s="1" t="str">
        <x:v>dimensiones equipaje de mano sky</x:v>
      </x:c>
      <x:c r="C2148" s="1" t="str">
        <x:v>per</x:v>
      </x:c>
      <x:c r="D2148" s="1" t="str">
        <x:v>Marca</x:v>
      </x:c>
      <x:c r="E2148" s="35" t="n">
        <x:v>1</x:v>
      </x:c>
      <x:c r="F2148" s="36"/>
      <x:c r="G2148" s="36" t="str">
        <x:f>IF(ISNUMBER(F2148),E2148*F2148,"")</x:f>
      </x:c>
      <x:c r="H2148" s="37"/>
      <x:c r="I2148" s="37"/>
      <x:c r="J2148" s="1" t="n">
        <x:f>IF(ISNUMBER(F2148),E2148,0)</x:f>
        <x:v>0</x:v>
      </x:c>
      <x:c r="K2148" s="1"/>
      <x:c r="L2148" s="1" t="str">
        <x:v>https://blog.skyairline.com/que-es-el-check-in-y-para-que-sirve/</x:v>
      </x:c>
      <x:c r="M2148" s="1" t="n">
        <x:v>0</x:v>
      </x:c>
    </x:row>
    <x:row r="2149" ht="18.75" customHeight="1">
      <x:c r="A2149" s="1" t="str">
        <x:v>https://blog.skyairline.com/equipaje-de-bodega/</x:v>
      </x:c>
      <x:c r="B2149" s="1" t="str">
        <x:v>dimensiones mochila sky</x:v>
      </x:c>
      <x:c r="C2149" s="1" t="str">
        <x:v>per</x:v>
      </x:c>
      <x:c r="D2149" s="1" t="str">
        <x:v>Marca</x:v>
      </x:c>
      <x:c r="E2149" s="35" t="n">
        <x:v>1</x:v>
      </x:c>
      <x:c r="F2149" s="36"/>
      <x:c r="G2149" s="36" t="str">
        <x:f>IF(ISNUMBER(F2149),E2149*F2149,"")</x:f>
      </x:c>
      <x:c r="H2149" s="37"/>
      <x:c r="I2149" s="37"/>
      <x:c r="J2149" s="1" t="n">
        <x:f>IF(ISNUMBER(F2149),E2149,0)</x:f>
        <x:v>0</x:v>
      </x:c>
      <x:c r="K2149" s="1"/>
      <x:c r="L2149" s="1" t="str">
        <x:v>https://blog.skyairline.com/que-es-el-check-in/que-es-el-check-in-y-para-que-sirve/</x:v>
      </x:c>
      <x:c r="M2149" s="1" t="n">
        <x:v>0</x:v>
      </x:c>
    </x:row>
    <x:row r="2150" ht="18.75" customHeight="1">
      <x:c r="A2150" s="1" t="str">
        <x:v>https://blog.skyairline.com/equipaje-de-bodega/</x:v>
      </x:c>
      <x:c r="B2150" s="1" t="str">
        <x:v>equipaje bodega sky</x:v>
      </x:c>
      <x:c r="C2150" s="1" t="str">
        <x:v>chl</x:v>
      </x:c>
      <x:c r="D2150" s="1" t="str">
        <x:v>Marca</x:v>
      </x:c>
      <x:c r="E2150" s="35" t="n">
        <x:v>1</x:v>
      </x:c>
      <x:c r="F2150" s="36"/>
      <x:c r="G2150" s="36" t="str">
        <x:f>IF(ISNUMBER(F2150),E2150*F2150,"")</x:f>
      </x:c>
      <x:c r="H2150" s="37" t="d">
        <x:v>2026-10-15T00:00:00.000Z</x:v>
      </x:c>
      <x:c r="I2150" s="37" t="d">
        <x:v>2026-09-12T22:53:34.000Z</x:v>
      </x:c>
      <x:c r="J2150" s="1" t="n">
        <x:f>IF(ISNUMBER(F2150),E2150,0)</x:f>
        <x:v>0</x:v>
      </x:c>
      <x:c r="K2150" s="1"/>
      <x:c r="L2150" s="1" t="str">
        <x:v>https://blog.skyairline.com/que-es-el-diechiocho-y-que-se-puede-hace-ese-dia/</x:v>
      </x:c>
      <x:c r="M2150" s="1" t="n">
        <x:v>0</x:v>
      </x:c>
    </x:row>
    <x:row r="2151" ht="18.75" customHeight="1">
      <x:c r="A2151" s="1" t="str">
        <x:v>https://blog.skyairline.com/equipaje-de-bodega/</x:v>
      </x:c>
      <x:c r="B2151" s="1" t="str">
        <x:v>equipaje de bodega</x:v>
      </x:c>
      <x:c r="C2151" s="1" t="str">
        <x:v>per</x:v>
      </x:c>
      <x:c r="D2151" s="1" t="str">
        <x:v>Sin marca</x:v>
      </x:c>
      <x:c r="E2151" s="35" t="n">
        <x:v>1</x:v>
      </x:c>
      <x:c r="F2151" s="36" t="n">
        <x:v>0.23</x:v>
      </x:c>
      <x:c r="G2151" s="36" t="n">
        <x:f>IF(ISNUMBER(F2151),E2151*F2151,"")</x:f>
        <x:v>0.23</x:v>
      </x:c>
      <x:c r="H2151" s="37" t="d">
        <x:v>2026-10-15T00:00:00.000Z</x:v>
      </x:c>
      <x:c r="I2151" s="37" t="d">
        <x:v>2026-10-15T03:44:55.999Z</x:v>
      </x:c>
      <x:c r="J2151" s="1" t="n">
        <x:f>IF(ISNUMBER(F2151),E2151,0)</x:f>
        <x:v>1</x:v>
      </x:c>
      <x:c r="K2151" s="1"/>
      <x:c r="L2151" s="1" t="str">
        <x:v>https://blog.skyairline.com/que-es-el-diechiocho-y-que-se-puede-hacer-ese-dia/</x:v>
      </x:c>
      <x:c r="M2151" s="1" t="n">
        <x:v>0</x:v>
      </x:c>
    </x:row>
    <x:row r="2152" ht="18.75" customHeight="1">
      <x:c r="A2152" s="1" t="str">
        <x:v>https://blog.skyairline.com/equipaje-de-bodega/</x:v>
      </x:c>
      <x:c r="B2152" s="1" t="str">
        <x:v>equipaje de bodega 23 kg</x:v>
      </x:c>
      <x:c r="C2152" s="1" t="str">
        <x:v>per</x:v>
      </x:c>
      <x:c r="D2152" s="1" t="str">
        <x:v>Sin marca</x:v>
      </x:c>
      <x:c r="E2152" s="35" t="n">
        <x:v>1</x:v>
      </x:c>
      <x:c r="F2152" s="36" t="n">
        <x:v>0.02</x:v>
      </x:c>
      <x:c r="G2152" s="36" t="n">
        <x:f>IF(ISNUMBER(F2152),E2152*F2152,"")</x:f>
        <x:v>0.02</x:v>
      </x:c>
      <x:c r="H2152" s="37" t="d">
        <x:v>2026-10-15T00:00:00.000Z</x:v>
      </x:c>
      <x:c r="I2152" s="37" t="d">
        <x:v>2026-09-17T04:52:21.000Z</x:v>
      </x:c>
      <x:c r="J2152" s="1" t="n">
        <x:f>IF(ISNUMBER(F2152),E2152,0)</x:f>
        <x:v>1</x:v>
      </x:c>
      <x:c r="K2152" s="1"/>
      <x:c r="L2152" s="1" t="str">
        <x:v>https://blog.skyairline.com/que-es-el-dieciocho-y-que-se-puede-hacer-ese-dia/</x:v>
      </x:c>
      <x:c r="M2152" s="1" t="n">
        <x:v>0</x:v>
      </x:c>
    </x:row>
    <x:row r="2153" ht="18.75" customHeight="1">
      <x:c r="A2153" s="1" t="str">
        <x:v>https://blog.skyairline.com/equipaje-de-bodega/</x:v>
      </x:c>
      <x:c r="B2153" s="1" t="str">
        <x:v>equipaje de bodega sky</x:v>
      </x:c>
      <x:c r="C2153" s="1" t="str">
        <x:v>col</x:v>
      </x:c>
      <x:c r="D2153" s="1" t="str">
        <x:v>Marca</x:v>
      </x:c>
      <x:c r="E2153" s="35" t="n">
        <x:v>1</x:v>
      </x:c>
      <x:c r="F2153" s="36"/>
      <x:c r="G2153" s="36" t="str">
        <x:f>IF(ISNUMBER(F2153),E2153*F2153,"")</x:f>
      </x:c>
      <x:c r="H2153" s="37"/>
      <x:c r="I2153" s="37"/>
      <x:c r="J2153" s="1" t="n">
        <x:f>IF(ISNUMBER(F2153),E2153,0)</x:f>
        <x:v>0</x:v>
      </x:c>
      <x:c r="K2153" s="1"/>
      <x:c r="L2153" s="1" t="str">
        <x:v>https://blog.skyairline.com/que-es-el-dieciocho-y-que-se-se-puede-hacer-ese-dia/</x:v>
      </x:c>
      <x:c r="M2153" s="1" t="n">
        <x:v>0</x:v>
      </x:c>
    </x:row>
    <x:row r="2154" ht="18.75" customHeight="1">
      <x:c r="A2154" s="1" t="str">
        <x:v>https://blog.skyairline.com/equipaje-de-bodega/</x:v>
      </x:c>
      <x:c r="B2154" s="1" t="str">
        <x:v>equipaje de cabina sky</x:v>
      </x:c>
      <x:c r="C2154" s="1" t="str">
        <x:v>per</x:v>
      </x:c>
      <x:c r="D2154" s="1" t="str">
        <x:v>Marca</x:v>
      </x:c>
      <x:c r="E2154" s="35" t="n">
        <x:v>1</x:v>
      </x:c>
      <x:c r="F2154" s="36" t="n">
        <x:v>0.02</x:v>
      </x:c>
      <x:c r="G2154" s="36" t="n">
        <x:f>IF(ISNUMBER(F2154),E2154*F2154,"")</x:f>
        <x:v>0.02</x:v>
      </x:c>
      <x:c r="H2154" s="37" t="d">
        <x:v>2026-10-15T00:00:00.000Z</x:v>
      </x:c>
      <x:c r="I2154" s="37" t="d">
        <x:v>2026-09-13T19:00:49.000Z</x:v>
      </x:c>
      <x:c r="J2154" s="1" t="n">
        <x:f>IF(ISNUMBER(F2154),E2154,0)</x:f>
        <x:v>1</x:v>
      </x:c>
      <x:c r="K2154" s="1"/>
      <x:c r="L2154" s="1" t="str">
        <x:v>https://blog.skyairline.com/que-es-el-dieciocho/</x:v>
      </x:c>
      <x:c r="M2154" s="1" t="n">
        <x:v>0</x:v>
      </x:c>
    </x:row>
    <x:row r="2155" ht="18.75" customHeight="1">
      <x:c r="A2155" s="1" t="str">
        <x:v>https://blog.skyairline.com/equipaje-de-bodega/</x:v>
      </x:c>
      <x:c r="B2155" s="1" t="str">
        <x:v>equipaje de cabina sky medidas</x:v>
      </x:c>
      <x:c r="C2155" s="1" t="str">
        <x:v>chl</x:v>
      </x:c>
      <x:c r="D2155" s="1" t="str">
        <x:v>Marca</x:v>
      </x:c>
      <x:c r="E2155" s="35" t="n">
        <x:v>1</x:v>
      </x:c>
      <x:c r="F2155" s="36"/>
      <x:c r="G2155" s="36" t="str">
        <x:f>IF(ISNUMBER(F2155),E2155*F2155,"")</x:f>
      </x:c>
      <x:c r="H2155" s="37"/>
      <x:c r="I2155" s="37"/>
      <x:c r="J2155" s="1" t="n">
        <x:f>IF(ISNUMBER(F2155),E2155,0)</x:f>
        <x:v>0</x:v>
      </x:c>
      <x:c r="K2155" s="1"/>
      <x:c r="L2155" s="1" t="str">
        <x:v>https://blog.skyairline.com/que-es-el-equipaje-documentado-cuando-es-necesario/</x:v>
      </x:c>
      <x:c r="M2155" s="1" t="n">
        <x:v>0</x:v>
      </x:c>
    </x:row>
    <x:row r="2156" ht="18.75" customHeight="1">
      <x:c r="A2156" s="1" t="str">
        <x:v>https://blog.skyairline.com/equipaje-de-bodega/</x:v>
      </x:c>
      <x:c r="B2156" s="1" t="str">
        <x:v>equipaje de cabina sky medidas</x:v>
      </x:c>
      <x:c r="C2156" s="1" t="str">
        <x:v>per</x:v>
      </x:c>
      <x:c r="D2156" s="1" t="str">
        <x:v>Marca</x:v>
      </x:c>
      <x:c r="E2156" s="35" t="n">
        <x:v>1</x:v>
      </x:c>
      <x:c r="F2156" s="36"/>
      <x:c r="G2156" s="36" t="str">
        <x:f>IF(ISNUMBER(F2156),E2156*F2156,"")</x:f>
      </x:c>
      <x:c r="H2156" s="37"/>
      <x:c r="I2156" s="37"/>
      <x:c r="J2156" s="1" t="n">
        <x:f>IF(ISNUMBER(F2156),E2156,0)</x:f>
        <x:v>0</x:v>
      </x:c>
      <x:c r="K2156" s="1"/>
      <x:c r="L2156" s="1" t="str">
        <x:v>https://blog.skyairline.com/que-es-el-equipaje-documentado-cuando-es-realmente-necesario/</x:v>
      </x:c>
      <x:c r="M2156" s="1" t="n">
        <x:v>0</x:v>
      </x:c>
    </x:row>
    <x:row r="2157" ht="18.75" customHeight="1">
      <x:c r="A2157" s="1" t="str">
        <x:v>https://blog.skyairline.com/equipaje-de-bodega/</x:v>
      </x:c>
      <x:c r="B2157" s="1" t="str">
        <x:v>equipaje de mano sky</x:v>
      </x:c>
      <x:c r="C2157" s="1" t="str">
        <x:v>arg</x:v>
      </x:c>
      <x:c r="D2157" s="1" t="str">
        <x:v>Marca</x:v>
      </x:c>
      <x:c r="E2157" s="35" t="n">
        <x:v>1</x:v>
      </x:c>
      <x:c r="F2157" s="36"/>
      <x:c r="G2157" s="36" t="str">
        <x:f>IF(ISNUMBER(F2157),E2157*F2157,"")</x:f>
      </x:c>
      <x:c r="H2157" s="37"/>
      <x:c r="I2157" s="37"/>
      <x:c r="J2157" s="1" t="n">
        <x:f>IF(ISNUMBER(F2157),E2157,0)</x:f>
        <x:v>0</x:v>
      </x:c>
      <x:c r="K2157" s="1"/>
      <x:c r="L2157" s="1" t="str">
        <x:v>https://blog.skyairline.com/que-es-el-equipaje-documentado-que-es-realmente-y-cuando-se-aplica-</x:v>
      </x:c>
      <x:c r="M2157" s="1" t="n">
        <x:v>0</x:v>
      </x:c>
    </x:row>
    <x:row r="2158" ht="18.75" customHeight="1">
      <x:c r="A2158" s="1" t="str">
        <x:v>https://blog.skyairline.com/equipaje-de-bodega/</x:v>
      </x:c>
      <x:c r="B2158" s="1" t="str">
        <x:v>equipaje de mano sky airlines</x:v>
      </x:c>
      <x:c r="C2158" s="1" t="str">
        <x:v>esp</x:v>
      </x:c>
      <x:c r="D2158" s="1" t="str">
        <x:v>Marca</x:v>
      </x:c>
      <x:c r="E2158" s="35" t="n">
        <x:v>1</x:v>
      </x:c>
      <x:c r="F2158" s="36"/>
      <x:c r="G2158" s="36" t="str">
        <x:f>IF(ISNUMBER(F2158),E2158*F2158,"")</x:f>
      </x:c>
      <x:c r="H2158" s="37"/>
      <x:c r="I2158" s="37"/>
      <x:c r="J2158" s="1" t="n">
        <x:f>IF(ISNUMBER(F2158),E2158,0)</x:f>
        <x:v>0</x:v>
      </x:c>
      <x:c r="K2158" s="1"/>
      <x:c r="L2158" s="1" t="str">
        <x:v>https://blog.skyairline.com/que-es-el-equipaje-documentado-y-cuando-en-realidad-es-necesario/</x:v>
      </x:c>
      <x:c r="M2158" s="1" t="n">
        <x:v>0</x:v>
      </x:c>
    </x:row>
    <x:row r="2159" ht="18.75" customHeight="1">
      <x:c r="A2159" s="1" t="str">
        <x:v>https://blog.skyairline.com/equipaje-de-bodega/</x:v>
      </x:c>
      <x:c r="B2159" s="1" t="str">
        <x:v>equipaje de mano sky airlines</x:v>
      </x:c>
      <x:c r="C2159" s="1" t="str">
        <x:v>mex</x:v>
      </x:c>
      <x:c r="D2159" s="1" t="str">
        <x:v>Marca</x:v>
      </x:c>
      <x:c r="E2159" s="35" t="n">
        <x:v>1</x:v>
      </x:c>
      <x:c r="F2159" s="36"/>
      <x:c r="G2159" s="36" t="str">
        <x:f>IF(ISNUMBER(F2159),E2159*F2159,"")</x:f>
      </x:c>
      <x:c r="H2159" s="37"/>
      <x:c r="I2159" s="37"/>
      <x:c r="J2159" s="1" t="n">
        <x:f>IF(ISNUMBER(F2159),E2159,0)</x:f>
        <x:v>0</x:v>
      </x:c>
      <x:c r="K2159" s="1"/>
      <x:c r="L2159" s="1" t="str">
        <x:v>https://blog.skyairline.com/que-es-el-equipaje-documentado-y-cuando-es-realmente-</x:v>
      </x:c>
      <x:c r="M2159" s="1" t="n">
        <x:v>0</x:v>
      </x:c>
    </x:row>
    <x:row r="2160" ht="18.75" customHeight="1">
      <x:c r="A2160" s="1" t="str">
        <x:v>https://blog.skyairline.com/equipaje-de-bodega/</x:v>
      </x:c>
      <x:c r="B2160" s="1" t="str">
        <x:v>equipaje de mano tamaño</x:v>
      </x:c>
      <x:c r="C2160" s="1" t="str">
        <x:v>chl</x:v>
      </x:c>
      <x:c r="D2160" s="1" t="str">
        <x:v>Sin marca</x:v>
      </x:c>
      <x:c r="E2160" s="35" t="n">
        <x:v>1</x:v>
      </x:c>
      <x:c r="F2160" s="36" t="n">
        <x:v>0.07</x:v>
      </x:c>
      <x:c r="G2160" s="36" t="n">
        <x:f>IF(ISNUMBER(F2160),E2160*F2160,"")</x:f>
        <x:v>0.07</x:v>
      </x:c>
      <x:c r="H2160" s="37" t="d">
        <x:v>2026-10-15T00:00:00.000Z</x:v>
      </x:c>
      <x:c r="I2160" s="37" t="d">
        <x:v>2026-10-15T18:45:35.000Z</x:v>
      </x:c>
      <x:c r="J2160" s="1" t="n">
        <x:f>IF(ISNUMBER(F2160),E2160,0)</x:f>
        <x:v>1</x:v>
      </x:c>
      <x:c r="K2160" s="1"/>
      <x:c r="L2160" s="1" t="str">
        <x:v>https://blog.skyairline.com/que-es-el-equipaje-documentado-y-cuando-es-realmente-necesario</x:v>
      </x:c>
      <x:c r="M2160" s="1" t="n">
        <x:v>0</x:v>
      </x:c>
    </x:row>
    <x:row r="2161" ht="18.75" customHeight="1">
      <x:c r="A2161" s="1" t="str">
        <x:v>https://blog.skyairline.com/equipaje-de-bodega/</x:v>
      </x:c>
      <x:c r="B2161" s="1" t="str">
        <x:v>equipaje de mano y equipaje de cabina</x:v>
      </x:c>
      <x:c r="C2161" s="1" t="str">
        <x:v>per</x:v>
      </x:c>
      <x:c r="D2161" s="1" t="str">
        <x:v>Sin marca</x:v>
      </x:c>
      <x:c r="E2161" s="35" t="n">
        <x:v>1</x:v>
      </x:c>
      <x:c r="F2161" s="36"/>
      <x:c r="G2161" s="36" t="str">
        <x:f>IF(ISNUMBER(F2161),E2161*F2161,"")</x:f>
      </x:c>
      <x:c r="H2161" s="37"/>
      <x:c r="I2161" s="37"/>
      <x:c r="J2161" s="1" t="n">
        <x:f>IF(ISNUMBER(F2161),E2161,0)</x:f>
        <x:v>0</x:v>
      </x:c>
      <x:c r="K2161" s="1"/>
      <x:c r="L2161" s="1" t="str">
        <x:v>https://blog.skyairline.com/que-es-el-equipaje-documentado-y-cuando-es-realmente-necesario/</x:v>
      </x:c>
      <x:c r="M2161" s="1" t="n">
        <x:v>0</x:v>
      </x:c>
    </x:row>
    <x:row r="2162" ht="18.75" customHeight="1">
      <x:c r="A2162" s="1" t="str">
        <x:v>https://blog.skyairline.com/equipaje-de-bodega/</x:v>
      </x:c>
      <x:c r="B2162" s="1" t="str">
        <x:v>equipaje de sky airlines</x:v>
      </x:c>
      <x:c r="C2162" s="1" t="str">
        <x:v>col</x:v>
      </x:c>
      <x:c r="D2162" s="1" t="str">
        <x:v>Marca</x:v>
      </x:c>
      <x:c r="E2162" s="35" t="n">
        <x:v>1</x:v>
      </x:c>
      <x:c r="F2162" s="36"/>
      <x:c r="G2162" s="36" t="str">
        <x:f>IF(ISNUMBER(F2162),E2162*F2162,"")</x:f>
      </x:c>
      <x:c r="H2162" s="37"/>
      <x:c r="I2162" s="37"/>
      <x:c r="J2162" s="1" t="n">
        <x:f>IF(ISNUMBER(F2162),E2162,0)</x:f>
        <x:v>0</x:v>
      </x:c>
      <x:c r="K2162" s="1"/>
      <x:c r="L2162" s="1" t="str">
        <x:v>https://blog.skyairline.com/que-es-el-equipaje-documentado-y-cuando-es-realmente-necesario?</x:v>
      </x:c>
      <x:c r="M2162" s="1" t="n">
        <x:v>0</x:v>
      </x:c>
    </x:row>
    <x:row r="2163" ht="18.75" customHeight="1">
      <x:c r="A2163" s="1" t="str">
        <x:v>https://blog.skyairline.com/equipaje-de-bodega/</x:v>
      </x:c>
      <x:c r="B2163" s="1" t="str">
        <x:v>equipaje en cabina sky</x:v>
      </x:c>
      <x:c r="C2163" s="1" t="str">
        <x:v>chl</x:v>
      </x:c>
      <x:c r="D2163" s="1" t="str">
        <x:v>Marca</x:v>
      </x:c>
      <x:c r="E2163" s="35" t="n">
        <x:v>1</x:v>
      </x:c>
      <x:c r="F2163" s="36"/>
      <x:c r="G2163" s="36" t="str">
        <x:f>IF(ISNUMBER(F2163),E2163*F2163,"")</x:f>
      </x:c>
      <x:c r="H2163" s="37" t="d">
        <x:v>2026-10-15T00:00:00.000Z</x:v>
      </x:c>
      <x:c r="I2163" s="37" t="d">
        <x:v>2026-09-14T12:50:03.000Z</x:v>
      </x:c>
      <x:c r="J2163" s="1" t="n">
        <x:f>IF(ISNUMBER(F2163),E2163,0)</x:f>
        <x:v>0</x:v>
      </x:c>
      <x:c r="K2163" s="1"/>
      <x:c r="L2163" s="1" t="str">
        <x:v>https://blog.skyairline.com/que-es-el-equipaje-documentado-y-cuando-es-reemplazo/</x:v>
      </x:c>
      <x:c r="M2163" s="1" t="n">
        <x:v>0</x:v>
      </x:c>
    </x:row>
    <x:row r="2164" ht="18.75" customHeight="1">
      <x:c r="A2164" s="1" t="str">
        <x:v>https://blog.skyairline.com/equipaje-de-bodega/</x:v>
      </x:c>
      <x:c r="B2164" s="1" t="str">
        <x:v>equipaje en cabina sky medidas</x:v>
      </x:c>
      <x:c r="C2164" s="1" t="str">
        <x:v>ita</x:v>
      </x:c>
      <x:c r="D2164" s="1" t="str">
        <x:v>Marca</x:v>
      </x:c>
      <x:c r="E2164" s="35" t="n">
        <x:v>1</x:v>
      </x:c>
      <x:c r="F2164" s="36"/>
      <x:c r="G2164" s="36" t="str">
        <x:f>IF(ISNUMBER(F2164),E2164*F2164,"")</x:f>
      </x:c>
      <x:c r="H2164" s="37"/>
      <x:c r="I2164" s="37"/>
      <x:c r="J2164" s="1" t="n">
        <x:f>IF(ISNUMBER(F2164),E2164,0)</x:f>
        <x:v>0</x:v>
      </x:c>
      <x:c r="K2164" s="1"/>
      <x:c r="L2164" s="1" t="str">
        <x:v>https://blog.skyairline.com/que-es-el-fruto-de-oro-y-donde-se-encontrara/</x:v>
      </x:c>
      <x:c r="M2164" s="1" t="n">
        <x:v>0</x:v>
      </x:c>
    </x:row>
    <x:row r="2165" ht="18.75" customHeight="1">
      <x:c r="A2165" s="1" t="str">
        <x:v>https://blog.skyairline.com/equipaje-de-bodega/</x:v>
      </x:c>
      <x:c r="B2165" s="1" t="str">
        <x:v>equipaje en sky</x:v>
      </x:c>
      <x:c r="C2165" s="1" t="str">
        <x:v>chl</x:v>
      </x:c>
      <x:c r="D2165" s="1" t="str">
        <x:v>Marca</x:v>
      </x:c>
      <x:c r="E2165" s="35" t="n">
        <x:v>1</x:v>
      </x:c>
      <x:c r="F2165" s="36"/>
      <x:c r="G2165" s="36" t="str">
        <x:f>IF(ISNUMBER(F2165),E2165*F2165,"")</x:f>
      </x:c>
      <x:c r="H2165" s="37" t="d">
        <x:v>2026-10-15T00:00:00.000Z</x:v>
      </x:c>
      <x:c r="I2165" s="37" t="d">
        <x:v>2026-09-16T18:10:59.000Z</x:v>
      </x:c>
      <x:c r="J2165" s="1" t="n">
        <x:f>IF(ISNUMBER(F2165),E2165,0)</x:f>
        <x:v>0</x:v>
      </x:c>
      <x:c r="K2165" s="1"/>
      <x:c r="L2165" s="1" t="str">
        <x:v>https://blog.skyairline.com/que-es-el-sargazo-y-como-afecta-a-las-caribe/</x:v>
      </x:c>
      <x:c r="M2165" s="1" t="n">
        <x:v>0</x:v>
      </x:c>
    </x:row>
    <x:row r="2166" ht="18.75" customHeight="1">
      <x:c r="A2166" s="1" t="str">
        <x:v>https://blog.skyairline.com/equipaje-de-bodega/</x:v>
      </x:c>
      <x:c r="B2166" s="1" t="str">
        <x:v>equipaje en sky</x:v>
      </x:c>
      <x:c r="C2166" s="1" t="str">
        <x:v>per</x:v>
      </x:c>
      <x:c r="D2166" s="1" t="str">
        <x:v>Marca</x:v>
      </x:c>
      <x:c r="E2166" s="35" t="n">
        <x:v>1</x:v>
      </x:c>
      <x:c r="F2166" s="36"/>
      <x:c r="G2166" s="36" t="str">
        <x:f>IF(ISNUMBER(F2166),E2166*F2166,"")</x:f>
      </x:c>
      <x:c r="H2166" s="37"/>
      <x:c r="I2166" s="37"/>
      <x:c r="J2166" s="1" t="n">
        <x:f>IF(ISNUMBER(F2166),E2166,0)</x:f>
        <x:v>0</x:v>
      </x:c>
      <x:c r="K2166" s="1"/>
      <x:c r="L2166" s="1" t="str">
        <x:v>https://blog.skyairline.com/que-es-el-sargazo-y-como-afecta-a-las-playas-del-caribe-del-caribe</x:v>
      </x:c>
      <x:c r="M2166" s="1" t="n">
        <x:v>0</x:v>
      </x:c>
    </x:row>
    <x:row r="2167" ht="18.75" customHeight="1">
      <x:c r="A2167" s="1" t="str">
        <x:v>https://blog.skyairline.com/equipaje-de-bodega/</x:v>
      </x:c>
      <x:c r="B2167" s="1" t="str">
        <x:v>equipaje especial sky</x:v>
      </x:c>
      <x:c r="C2167" s="1" t="str">
        <x:v>per</x:v>
      </x:c>
      <x:c r="D2167" s="1" t="str">
        <x:v>Marca</x:v>
      </x:c>
      <x:c r="E2167" s="35" t="n">
        <x:v>1</x:v>
      </x:c>
      <x:c r="F2167" s="36" t="n">
        <x:v>2.87</x:v>
      </x:c>
      <x:c r="G2167" s="36" t="n">
        <x:f>IF(ISNUMBER(F2167),E2167*F2167,"")</x:f>
        <x:v>2.87</x:v>
      </x:c>
      <x:c r="H2167" s="37" t="d">
        <x:v>2026-10-15T00:00:00.000Z</x:v>
      </x:c>
      <x:c r="I2167" s="37" t="d">
        <x:v>2026-10-15T15:24:22.000Z</x:v>
      </x:c>
      <x:c r="J2167" s="1" t="n">
        <x:f>IF(ISNUMBER(F2167),E2167,0)</x:f>
        <x:v>1</x:v>
      </x:c>
      <x:c r="K2167" s="1"/>
      <x:c r="L2167" s="1" t="str">
        <x:v>https://blog.skyairline.com/que-es-el-sargazo-y-como-afecta-a-las-playas-del-caribe/</x:v>
      </x:c>
      <x:c r="M2167" s="1" t="n">
        <x:v>0</x:v>
      </x:c>
    </x:row>
    <x:row r="2168" ht="18.75" customHeight="1">
      <x:c r="A2168" s="1" t="str">
        <x:v>https://blog.skyairline.com/equipaje-de-bodega/</x:v>
      </x:c>
      <x:c r="B2168" s="1" t="str">
        <x:v>equipaje sky</x:v>
      </x:c>
      <x:c r="C2168" s="1" t="str">
        <x:v>pol</x:v>
      </x:c>
      <x:c r="D2168" s="1" t="str">
        <x:v>Marca</x:v>
      </x:c>
      <x:c r="E2168" s="35" t="n">
        <x:v>1</x:v>
      </x:c>
      <x:c r="F2168" s="36"/>
      <x:c r="G2168" s="36" t="str">
        <x:f>IF(ISNUMBER(F2168),E2168*F2168,"")</x:f>
      </x:c>
      <x:c r="H2168" s="37"/>
      <x:c r="I2168" s="37"/>
      <x:c r="J2168" s="1" t="n">
        <x:f>IF(ISNUMBER(F2168),E2168,0)</x:f>
        <x:v>0</x:v>
      </x:c>
      <x:c r="K2168" s="1"/>
      <x:c r="L2168" s="1" t="str">
        <x:v>https://blog.skyairline.com/que-es-er-equipaje-documentado/</x:v>
      </x:c>
      <x:c r="M2168" s="1" t="n">
        <x:v>0</x:v>
      </x:c>
    </x:row>
    <x:row r="2169" ht="18.75" customHeight="1">
      <x:c r="A2169" s="1" t="str">
        <x:v>https://blog.skyairline.com/equipaje-de-bodega/</x:v>
      </x:c>
      <x:c r="B2169" s="1" t="str">
        <x:v>equipaje sky airlines</x:v>
      </x:c>
      <x:c r="C2169" s="1" t="str">
        <x:v>chl</x:v>
      </x:c>
      <x:c r="D2169" s="1" t="str">
        <x:v>Marca</x:v>
      </x:c>
      <x:c r="E2169" s="35" t="n">
        <x:v>1</x:v>
      </x:c>
      <x:c r="F2169" s="36" t="n">
        <x:v>1.22</x:v>
      </x:c>
      <x:c r="G2169" s="36" t="n">
        <x:f>IF(ISNUMBER(F2169),E2169*F2169,"")</x:f>
        <x:v>1.22</x:v>
      </x:c>
      <x:c r="H2169" s="37" t="d">
        <x:v>2026-10-15T00:00:00.000Z</x:v>
      </x:c>
      <x:c r="I2169" s="37" t="d">
        <x:v>2026-09-13T11:46:09.000Z</x:v>
      </x:c>
      <x:c r="J2169" s="1" t="n">
        <x:f>IF(ISNUMBER(F2169),E2169,0)</x:f>
        <x:v>1</x:v>
      </x:c>
      <x:c r="K2169" s="1"/>
      <x:c r="L2169" s="1" t="str">
        <x:v>https://blog.skyairline.com/que-es-la-tasa-de-embarque-y-por-que-es-obligatoria/</x:v>
      </x:c>
      <x:c r="M2169" s="1" t="n">
        <x:v>0</x:v>
      </x:c>
    </x:row>
    <x:row r="2170" ht="18.75" customHeight="1">
      <x:c r="A2170" s="1" t="str">
        <x:v>https://blog.skyairline.com/equipaje-de-bodega/</x:v>
      </x:c>
      <x:c r="B2170" s="1" t="str">
        <x:v>equipaje sky airlines</x:v>
      </x:c>
      <x:c r="C2170" s="1" t="str">
        <x:v>col</x:v>
      </x:c>
      <x:c r="D2170" s="1" t="str">
        <x:v>Marca</x:v>
      </x:c>
      <x:c r="E2170" s="35" t="n">
        <x:v>1</x:v>
      </x:c>
      <x:c r="F2170" s="36"/>
      <x:c r="G2170" s="36" t="str">
        <x:f>IF(ISNUMBER(F2170),E2170*F2170,"")</x:f>
      </x:c>
      <x:c r="H2170" s="37"/>
      <x:c r="I2170" s="37"/>
      <x:c r="J2170" s="1" t="n">
        <x:f>IF(ISNUMBER(F2170),E2170,0)</x:f>
        <x:v>0</x:v>
      </x:c>
      <x:c r="K2170" s="1"/>
      <x:c r="L2170" s="1" t="str">
        <x:v>https://blog.skyairline.com/que-es-le-diechiocho-y-que-se-puedee-hacer-ese-dia/</x:v>
      </x:c>
      <x:c r="M2170" s="1" t="n">
        <x:v>0</x:v>
      </x:c>
    </x:row>
    <x:row r="2171" ht="18.75" customHeight="1">
      <x:c r="A2171" s="1" t="str">
        <x:v>https://blog.skyairline.com/equipaje-de-bodega/</x:v>
      </x:c>
      <x:c r="B2171" s="1" t="str">
        <x:v>equipaje sky airlines</x:v>
      </x:c>
      <x:c r="C2171" s="1" t="str">
        <x:v>esp</x:v>
      </x:c>
      <x:c r="D2171" s="1" t="str">
        <x:v>Marca</x:v>
      </x:c>
      <x:c r="E2171" s="35" t="n">
        <x:v>1</x:v>
      </x:c>
      <x:c r="F2171" s="36"/>
      <x:c r="G2171" s="36" t="str">
        <x:f>IF(ISNUMBER(F2171),E2171*F2171,"")</x:f>
      </x:c>
      <x:c r="H2171" s="37"/>
      <x:c r="I2171" s="37"/>
      <x:c r="J2171" s="1" t="n">
        <x:f>IF(ISNUMBER(F2171),E2171,0)</x:f>
        <x:v>0</x:v>
      </x:c>
      <x:c r="K2171" s="1"/>
      <x:c r="L2171" s="1" t="str">
        <x:v>https://blog.skyairline.com/que-es-the-check-in/</x:v>
      </x:c>
      <x:c r="M2171" s="1" t="n">
        <x:v>0</x:v>
      </x:c>
    </x:row>
    <x:row r="2172" ht="18.75" customHeight="1">
      <x:c r="A2172" s="1" t="str">
        <x:v>https://blog.skyairline.com/equipaje-de-bodega/</x:v>
      </x:c>
      <x:c r="B2172" s="1" t="str">
        <x:v>equipaje sky medidas</x:v>
      </x:c>
      <x:c r="C2172" s="1" t="str">
        <x:v>ury</x:v>
      </x:c>
      <x:c r="D2172" s="1" t="str">
        <x:v>Marca</x:v>
      </x:c>
      <x:c r="E2172" s="35" t="n">
        <x:v>1</x:v>
      </x:c>
      <x:c r="F2172" s="36"/>
      <x:c r="G2172" s="36" t="str">
        <x:f>IF(ISNUMBER(F2172),E2172*F2172,"")</x:f>
      </x:c>
      <x:c r="H2172" s="37"/>
      <x:c r="I2172" s="37"/>
      <x:c r="J2172" s="1" t="n">
        <x:f>IF(ISNUMBER(F2172),E2172,0)</x:f>
        <x:v>0</x:v>
      </x:c>
      <x:c r="K2172" s="1"/>
      <x:c r="L2172" s="1" t="str">
        <x:v>https://blog.skyairline.com/que-es-the-diechiocho/</x:v>
      </x:c>
      <x:c r="M2172" s="1" t="n">
        <x:v>0</x:v>
      </x:c>
    </x:row>
    <x:row r="2173" ht="18.75" customHeight="1">
      <x:c r="A2173" s="1" t="str">
        <x:v>https://blog.skyairline.com/equipaje-de-bodega/</x:v>
      </x:c>
      <x:c r="B2173" s="1" t="str">
        <x:v>equipajes sky</x:v>
      </x:c>
      <x:c r="C2173" s="1" t="str">
        <x:v>chl</x:v>
      </x:c>
      <x:c r="D2173" s="1" t="str">
        <x:v>Marca</x:v>
      </x:c>
      <x:c r="E2173" s="35" t="n">
        <x:v>1</x:v>
      </x:c>
      <x:c r="F2173" s="36" t="n">
        <x:v>1.49</x:v>
      </x:c>
      <x:c r="G2173" s="36" t="n">
        <x:f>IF(ISNUMBER(F2173),E2173*F2173,"")</x:f>
        <x:v>1.49</x:v>
      </x:c>
      <x:c r="H2173" s="37" t="d">
        <x:v>2026-10-15T00:00:00.000Z</x:v>
      </x:c>
      <x:c r="I2173" s="37" t="d">
        <x:v>2026-09-13T18:52:39.000Z</x:v>
      </x:c>
      <x:c r="J2173" s="1" t="n">
        <x:f>IF(ISNUMBER(F2173),E2173,0)</x:f>
        <x:v>1</x:v>
      </x:c>
      <x:c r="K2173" s="1"/>
      <x:c r="L2173" s="1" t="str">
        <x:v>https://blog.skyairline.com/que-es-uma-bitacora/</x:v>
      </x:c>
      <x:c r="M2173" s="1" t="n">
        <x:v>0</x:v>
      </x:c>
    </x:row>
    <x:row r="2174" ht="18.75" customHeight="1">
      <x:c r="A2174" s="1" t="str">
        <x:v>https://blog.skyairline.com/equipaje-de-bodega/</x:v>
      </x:c>
      <x:c r="B2174" s="1" t="str">
        <x:v>la maleta de cabina de cuantos kilos es</x:v>
      </x:c>
      <x:c r="C2174" s="1" t="str">
        <x:v>chl</x:v>
      </x:c>
      <x:c r="D2174" s="1" t="str">
        <x:v>Sin marca</x:v>
      </x:c>
      <x:c r="E2174" s="35" t="n">
        <x:v>1</x:v>
      </x:c>
      <x:c r="F2174" s="36"/>
      <x:c r="G2174" s="36" t="str">
        <x:f>IF(ISNUMBER(F2174),E2174*F2174,"")</x:f>
      </x:c>
      <x:c r="H2174" s="37"/>
      <x:c r="I2174" s="37"/>
      <x:c r="J2174" s="1" t="n">
        <x:f>IF(ISNUMBER(F2174),E2174,0)</x:f>
        <x:v>0</x:v>
      </x:c>
      <x:c r="K2174" s="1"/>
      <x:c r="L2174" s="1" t="str">
        <x:v>https://blog.skyairline.com/que-es-un-que-es-una-bitacora/</x:v>
      </x:c>
      <x:c r="M2174" s="1" t="n">
        <x:v>0</x:v>
      </x:c>
    </x:row>
    <x:row r="2175" ht="18.75" customHeight="1">
      <x:c r="A2175" s="1" t="str">
        <x:v>https://blog.skyairline.com/equipaje-de-bodega/</x:v>
      </x:c>
      <x:c r="B2175" s="1" t="str">
        <x:v>lima</x:v>
      </x:c>
      <x:c r="C2175" s="1" t="str">
        <x:v>per</x:v>
      </x:c>
      <x:c r="D2175" s="1" t="str">
        <x:v>Sin marca</x:v>
      </x:c>
      <x:c r="E2175" s="35" t="n">
        <x:v>1</x:v>
      </x:c>
      <x:c r="F2175" s="36" t="n">
        <x:v>0.5</x:v>
      </x:c>
      <x:c r="G2175" s="36" t="n">
        <x:f>IF(ISNUMBER(F2175),E2175*F2175,"")</x:f>
        <x:v>0.5</x:v>
      </x:c>
      <x:c r="H2175" s="37" t="d">
        <x:v>2026-10-15T00:00:00.000Z</x:v>
      </x:c>
      <x:c r="I2175" s="37" t="d">
        <x:v>2026-09-17T00:24:56.000Z</x:v>
      </x:c>
      <x:c r="J2175" s="1" t="n">
        <x:f>IF(ISNUMBER(F2175),E2175,0)</x:f>
        <x:v>1</x:v>
      </x:c>
      <x:c r="K2175" s="1"/>
      <x:c r="L2175" s="1" t="str">
        <x:v>https://blog.skyairline.com/que-est-hostal-y-por-que-es-una-opcion-economica-para-viajar/</x:v>
      </x:c>
      <x:c r="M2175" s="1" t="n">
        <x:v>0</x:v>
      </x:c>
    </x:row>
    <x:row r="2176" ht="18.75" customHeight="1">
      <x:c r="A2176" s="1" t="str">
        <x:v>https://blog.skyairline.com/equipaje-de-bodega/</x:v>
      </x:c>
      <x:c r="B2176" s="1" t="str">
        <x:v>mala de mao sky airlines</x:v>
      </x:c>
      <x:c r="C2176" s="1" t="str">
        <x:v>per</x:v>
      </x:c>
      <x:c r="D2176" s="1" t="str">
        <x:v>Marca</x:v>
      </x:c>
      <x:c r="E2176" s="35" t="n">
        <x:v>1</x:v>
      </x:c>
      <x:c r="F2176" s="36"/>
      <x:c r="G2176" s="36" t="str">
        <x:f>IF(ISNUMBER(F2176),E2176*F2176,"")</x:f>
      </x:c>
      <x:c r="H2176" s="37"/>
      <x:c r="I2176" s="37"/>
      <x:c r="J2176" s="1" t="n">
        <x:f>IF(ISNUMBER(F2176),E2176,0)</x:f>
        <x:v>0</x:v>
      </x:c>
      <x:c r="K2176" s="1"/>
      <x:c r="L2176" s="1" t="str">
        <x:v>https://blog.skyairline.com/que-est-hostal/</x:v>
      </x:c>
      <x:c r="M2176" s="1" t="n">
        <x:v>0</x:v>
      </x:c>
    </x:row>
    <x:row r="2177" ht="18.75" customHeight="1">
      <x:c r="A2177" s="1" t="str">
        <x:v>https://blog.skyairline.com/equipaje-de-bodega/</x:v>
      </x:c>
      <x:c r="B2177" s="1" t="str">
        <x:v>maleta de bodega sky</x:v>
      </x:c>
      <x:c r="C2177" s="1" t="str">
        <x:v>bra</x:v>
      </x:c>
      <x:c r="D2177" s="1" t="str">
        <x:v>Marca</x:v>
      </x:c>
      <x:c r="E2177" s="35" t="n">
        <x:v>1</x:v>
      </x:c>
      <x:c r="F2177" s="36"/>
      <x:c r="G2177" s="36" t="str">
        <x:f>IF(ISNUMBER(F2177),E2177*F2177,"")</x:f>
      </x:c>
      <x:c r="H2177" s="37"/>
      <x:c r="I2177" s="37"/>
      <x:c r="J2177" s="1" t="n">
        <x:f>IF(ISNUMBER(F2177),E2177,0)</x:f>
        <x:v>0</x:v>
      </x:c>
      <x:c r="K2177" s="1"/>
      <x:c r="L2177" s="1" t="str">
        <x:v>https://blog.skyairline.com/que-est-una-bitacora/</x:v>
      </x:c>
      <x:c r="M2177" s="1" t="n">
        <x:v>0</x:v>
      </x:c>
    </x:row>
    <x:row r="2178" ht="18.75" customHeight="1">
      <x:c r="A2178" s="1" t="str">
        <x:v>https://blog.skyairline.com/equipaje-de-bodega/</x:v>
      </x:c>
      <x:c r="B2178" s="1" t="str">
        <x:v>maleta de mano permitida en avion</x:v>
      </x:c>
      <x:c r="C2178" s="1" t="str">
        <x:v>chl</x:v>
      </x:c>
      <x:c r="D2178" s="1" t="str">
        <x:v>Sin marca</x:v>
      </x:c>
      <x:c r="E2178" s="35" t="n">
        <x:v>1</x:v>
      </x:c>
      <x:c r="F2178" s="36"/>
      <x:c r="G2178" s="36" t="str">
        <x:f>IF(ISNUMBER(F2178),E2178*F2178,"")</x:f>
      </x:c>
      <x:c r="H2178" s="37"/>
      <x:c r="I2178" s="37"/>
      <x:c r="J2178" s="1" t="n">
        <x:f>IF(ISNUMBER(F2178),E2178,0)</x:f>
        <x:v>0</x:v>
      </x:c>
      <x:c r="K2178" s="1"/>
      <x:c r="L2178" s="1" t="str">
        <x:v>https://blog.skyairline.com/que-estrabajador-hostal/</x:v>
      </x:c>
      <x:c r="M2178" s="1" t="n">
        <x:v>0</x:v>
      </x:c>
    </x:row>
    <x:row r="2179" ht="18.75" customHeight="1">
      <x:c r="A2179" s="1" t="str">
        <x:v>https://blog.skyairline.com/equipaje-de-bodega/</x:v>
      </x:c>
      <x:c r="B2179" s="1" t="str">
        <x:v>maleta de mano sky</x:v>
      </x:c>
      <x:c r="C2179" s="1" t="str">
        <x:v>bra</x:v>
      </x:c>
      <x:c r="D2179" s="1" t="str">
        <x:v>Marca</x:v>
      </x:c>
      <x:c r="E2179" s="35" t="n">
        <x:v>1</x:v>
      </x:c>
      <x:c r="F2179" s="36"/>
      <x:c r="G2179" s="36" t="str">
        <x:f>IF(ISNUMBER(F2179),E2179*F2179,"")</x:f>
      </x:c>
      <x:c r="H2179" s="37"/>
      <x:c r="I2179" s="37"/>
      <x:c r="J2179" s="1" t="n">
        <x:f>IF(ISNUMBER(F2179),E2179,0)</x:f>
        <x:v>0</x:v>
      </x:c>
      <x:c r="K2179" s="1"/>
      <x:c r="L2179" s="1" t="str">
        <x:v>https://blog.skyairline.com/que-fao-paulo/</x:v>
      </x:c>
      <x:c r="M2179" s="1" t="n">
        <x:v>0</x:v>
      </x:c>
    </x:row>
    <x:row r="2180" ht="18.75" customHeight="1">
      <x:c r="A2180" s="1" t="str">
        <x:v>https://blog.skyairline.com/equipaje-de-bodega/</x:v>
      </x:c>
      <x:c r="B2180" s="1" t="str">
        <x:v>maleta de mano sky</x:v>
      </x:c>
      <x:c r="C2180" s="1" t="str">
        <x:v>chl</x:v>
      </x:c>
      <x:c r="D2180" s="1" t="str">
        <x:v>Marca</x:v>
      </x:c>
      <x:c r="E2180" s="35" t="n">
        <x:v>1</x:v>
      </x:c>
      <x:c r="F2180" s="36" t="n">
        <x:v>0.09</x:v>
      </x:c>
      <x:c r="G2180" s="36" t="n">
        <x:f>IF(ISNUMBER(F2180),E2180*F2180,"")</x:f>
        <x:v>0.09</x:v>
      </x:c>
      <x:c r="H2180" s="37" t="d">
        <x:v>2026-10-15T00:00:00.000Z</x:v>
      </x:c>
      <x:c r="I2180" s="37" t="d">
        <x:v>2026-09-12T17:46:50.000Z</x:v>
      </x:c>
      <x:c r="J2180" s="1" t="n">
        <x:f>IF(ISNUMBER(F2180),E2180,0)</x:f>
        <x:v>1</x:v>
      </x:c>
      <x:c r="K2180" s="1"/>
      <x:c r="L2180" s="1" t="str">
        <x:v>https://blog.skyairline.com/que-hacer-chiloe/</x:v>
      </x:c>
      <x:c r="M2180" s="1" t="n">
        <x:v>0</x:v>
      </x:c>
    </x:row>
    <x:row r="2181" ht="18.75" customHeight="1">
      <x:c r="A2181" s="1" t="str">
        <x:v>https://blog.skyairline.com/equipaje-de-bodega/</x:v>
      </x:c>
      <x:c r="B2181" s="1" t="str">
        <x:v>maleta de mano sky</x:v>
      </x:c>
      <x:c r="C2181" s="1" t="str">
        <x:v>per</x:v>
      </x:c>
      <x:c r="D2181" s="1" t="str">
        <x:v>Marca</x:v>
      </x:c>
      <x:c r="E2181" s="35" t="n">
        <x:v>1</x:v>
      </x:c>
      <x:c r="F2181" s="36" t="n">
        <x:v>0.01</x:v>
      </x:c>
      <x:c r="G2181" s="36" t="n">
        <x:f>IF(ISNUMBER(F2181),E2181*F2181,"")</x:f>
        <x:v>0.01</x:v>
      </x:c>
      <x:c r="H2181" s="37" t="d">
        <x:v>2026-10-15T00:00:00.000Z</x:v>
      </x:c>
      <x:c r="I2181" s="37" t="d">
        <x:v>2026-09-14T05:43:23.000Z</x:v>
      </x:c>
      <x:c r="J2181" s="1" t="n">
        <x:f>IF(ISNUMBER(F2181),E2181,0)</x:f>
        <x:v>1</x:v>
      </x:c>
      <x:c r="K2181" s="1"/>
      <x:c r="L2181" s="1" t="str">
        <x:v>https://blog.skyairline.com/que-hacer-con-ninos-en-cancun/</x:v>
      </x:c>
      <x:c r="M2181" s="1" t="n">
        <x:v>0</x:v>
      </x:c>
    </x:row>
    <x:row r="2182" ht="18.75" customHeight="1">
      <x:c r="A2182" s="1" t="str">
        <x:v>https://blog.skyairline.com/equipaje-de-bodega/</x:v>
      </x:c>
      <x:c r="B2182" s="1" t="str">
        <x:v>maleta de mano sky medidas</x:v>
      </x:c>
      <x:c r="C2182" s="1" t="str">
        <x:v>chl</x:v>
      </x:c>
      <x:c r="D2182" s="1" t="str">
        <x:v>Marca</x:v>
      </x:c>
      <x:c r="E2182" s="35" t="n">
        <x:v>1</x:v>
      </x:c>
      <x:c r="F2182" s="36"/>
      <x:c r="G2182" s="36" t="str">
        <x:f>IF(ISNUMBER(F2182),E2182*F2182,"")</x:f>
      </x:c>
      <x:c r="H2182" s="37" t="d">
        <x:v>2026-10-15T00:00:00.000Z</x:v>
      </x:c>
      <x:c r="I2182" s="37" t="d">
        <x:v>2026-09-16T16:51:33.000Z</x:v>
      </x:c>
      <x:c r="J2182" s="1" t="n">
        <x:f>IF(ISNUMBER(F2182),E2182,0)</x:f>
        <x:v>0</x:v>
      </x:c>
      <x:c r="K2182" s="1"/>
      <x:c r="L2182" s="1" t="str">
        <x:v>https://blog.skyairline.com/que-hacer-en-antofagasta</x:v>
      </x:c>
      <x:c r="M2182" s="1" t="n">
        <x:v>0</x:v>
      </x:c>
    </x:row>
    <x:row r="2183" ht="18.75" customHeight="1">
      <x:c r="A2183" s="1" t="str">
        <x:v>https://blog.skyairline.com/equipaje-de-bodega/</x:v>
      </x:c>
      <x:c r="B2183" s="1" t="str">
        <x:v>maleta de mano sky medidas</x:v>
      </x:c>
      <x:c r="C2183" s="1" t="str">
        <x:v>per</x:v>
      </x:c>
      <x:c r="D2183" s="1" t="str">
        <x:v>Marca</x:v>
      </x:c>
      <x:c r="E2183" s="35" t="n">
        <x:v>1</x:v>
      </x:c>
      <x:c r="F2183" s="36"/>
      <x:c r="G2183" s="36" t="str">
        <x:f>IF(ISNUMBER(F2183),E2183*F2183,"")</x:f>
      </x:c>
      <x:c r="H2183" s="37" t="d">
        <x:v>2026-10-15T00:00:00.000Z</x:v>
      </x:c>
      <x:c r="I2183" s="37" t="d">
        <x:v>2026-09-16T11:46:31.999Z</x:v>
      </x:c>
      <x:c r="J2183" s="1" t="n">
        <x:f>IF(ISNUMBER(F2183),E2183,0)</x:f>
        <x:v>0</x:v>
      </x:c>
      <x:c r="K2183" s="1"/>
      <x:c r="L2183" s="1" t="str">
        <x:v>https://blog.skyairline.com/que-hacer-en-buenos-aires/</x:v>
      </x:c>
      <x:c r="M2183" s="1" t="n">
        <x:v>0</x:v>
      </x:c>
    </x:row>
    <x:row r="2184" ht="18.75" customHeight="1">
      <x:c r="A2184" s="1" t="str">
        <x:v>https://blog.skyairline.com/equipaje-de-bodega/</x:v>
      </x:c>
      <x:c r="B2184" s="1" t="str">
        <x:v>maleta en mano</x:v>
      </x:c>
      <x:c r="C2184" s="1" t="str">
        <x:v>per</x:v>
      </x:c>
      <x:c r="D2184" s="1" t="str">
        <x:v>Sin marca</x:v>
      </x:c>
      <x:c r="E2184" s="35" t="n">
        <x:v>1</x:v>
      </x:c>
      <x:c r="F2184" s="36"/>
      <x:c r="G2184" s="36" t="str">
        <x:f>IF(ISNUMBER(F2184),E2184*F2184,"")</x:f>
      </x:c>
      <x:c r="H2184" s="37"/>
      <x:c r="I2184" s="37"/>
      <x:c r="J2184" s="1" t="n">
        <x:f>IF(ISNUMBER(F2184),E2184,0)</x:f>
        <x:v>0</x:v>
      </x:c>
      <x:c r="K2184" s="1"/>
      <x:c r="L2184" s="1" t="str">
        <x:v>https://blog.skyairline.com/que-hacer-en-calafate/</x:v>
      </x:c>
      <x:c r="M2184" s="1" t="n">
        <x:v>0</x:v>
      </x:c>
    </x:row>
    <x:row r="2185" ht="18.75" customHeight="1">
      <x:c r="A2185" s="1" t="str">
        <x:v>https://blog.skyairline.com/equipaje-de-bodega/</x:v>
      </x:c>
      <x:c r="B2185" s="1" t="str">
        <x:v>maleta sky</x:v>
      </x:c>
      <x:c r="C2185" s="1" t="str">
        <x:v>per</x:v>
      </x:c>
      <x:c r="D2185" s="1" t="str">
        <x:v>Marca</x:v>
      </x:c>
      <x:c r="E2185" s="35" t="n">
        <x:v>1</x:v>
      </x:c>
      <x:c r="F2185" s="36" t="n">
        <x:v>0.65</x:v>
      </x:c>
      <x:c r="G2185" s="36" t="n">
        <x:f>IF(ISNUMBER(F2185),E2185*F2185,"")</x:f>
        <x:v>0.65</x:v>
      </x:c>
      <x:c r="H2185" s="37" t="d">
        <x:v>2026-10-15T00:00:00.000Z</x:v>
      </x:c>
      <x:c r="I2185" s="37" t="d">
        <x:v>2026-09-16T01:23:28.999Z</x:v>
      </x:c>
      <x:c r="J2185" s="1" t="n">
        <x:f>IF(ISNUMBER(F2185),E2185,0)</x:f>
        <x:v>1</x:v>
      </x:c>
      <x:c r="K2185" s="1"/>
      <x:c r="L2185" s="1" t="str">
        <x:v>https://blog.skyairline.com/que-hacer-en-calama/</x:v>
      </x:c>
      <x:c r="M2185" s="1" t="n">
        <x:v>0</x:v>
      </x:c>
    </x:row>
    <x:row r="2186" ht="18.75" customHeight="1">
      <x:c r="A2186" s="1" t="str">
        <x:v>https://blog.skyairline.com/equipaje-de-bodega/</x:v>
      </x:c>
      <x:c r="B2186" s="1" t="str">
        <x:v>maleta viaje 23 kg</x:v>
      </x:c>
      <x:c r="C2186" s="1" t="str">
        <x:v>chl</x:v>
      </x:c>
      <x:c r="D2186" s="1" t="str">
        <x:v>Sin marca</x:v>
      </x:c>
      <x:c r="E2186" s="35" t="n">
        <x:v>1</x:v>
      </x:c>
      <x:c r="F2186" s="36" t="n">
        <x:v>0.14</x:v>
      </x:c>
      <x:c r="G2186" s="36" t="n">
        <x:f>IF(ISNUMBER(F2186),E2186*F2186,"")</x:f>
        <x:v>0.14</x:v>
      </x:c>
      <x:c r="H2186" s="37" t="d">
        <x:v>2026-10-15T00:00:00.000Z</x:v>
      </x:c>
      <x:c r="I2186" s="37" t="d">
        <x:v>2026-09-16T10:17:57.000Z</x:v>
      </x:c>
      <x:c r="J2186" s="1" t="n">
        <x:f>IF(ISNUMBER(F2186),E2186,0)</x:f>
        <x:v>1</x:v>
      </x:c>
      <x:c r="K2186" s="1"/>
      <x:c r="L2186" s="1" t="str">
        <x:v>https://blog.skyairline.com/que-hacer-en-cancun/</x:v>
      </x:c>
      <x:c r="M2186" s="1" t="n">
        <x:v>0</x:v>
      </x:c>
    </x:row>
    <x:row r="2187" ht="18.75" customHeight="1">
      <x:c r="A2187" s="1" t="str">
        <x:v>https://blog.skyairline.com/equipaje-de-bodega/</x:v>
      </x:c>
      <x:c r="B2187" s="1" t="str">
        <x:v>maletas sky</x:v>
      </x:c>
      <x:c r="C2187" s="1" t="str">
        <x:v>per</x:v>
      </x:c>
      <x:c r="D2187" s="1" t="str">
        <x:v>Marca</x:v>
      </x:c>
      <x:c r="E2187" s="35" t="n">
        <x:v>1</x:v>
      </x:c>
      <x:c r="F2187" s="36" t="n">
        <x:v>0.3</x:v>
      </x:c>
      <x:c r="G2187" s="36" t="n">
        <x:f>IF(ISNUMBER(F2187),E2187*F2187,"")</x:f>
        <x:v>0.3</x:v>
      </x:c>
      <x:c r="H2187" s="37" t="d">
        <x:v>2026-10-15T00:00:00.000Z</x:v>
      </x:c>
      <x:c r="I2187" s="37" t="d">
        <x:v>2026-09-15T04:23:03.000Z</x:v>
      </x:c>
      <x:c r="J2187" s="1" t="n">
        <x:f>IF(ISNUMBER(F2187),E2187,0)</x:f>
        <x:v>1</x:v>
      </x:c>
      <x:c r="K2187" s="1"/>
      <x:c r="L2187" s="1" t="str">
        <x:v>https://blog.skyairline.com/que-hacer-en-el-centro-de-el-calafate/</x:v>
      </x:c>
      <x:c r="M2187" s="1" t="n">
        <x:v>0</x:v>
      </x:c>
    </x:row>
    <x:row r="2188" ht="18.75" customHeight="1">
      <x:c r="A2188" s="1" t="str">
        <x:v>https://blog.skyairline.com/equipaje-de-bodega/</x:v>
      </x:c>
      <x:c r="B2188" s="1" t="str">
        <x:v>medida de maleta de mano sky</x:v>
      </x:c>
      <x:c r="C2188" s="1" t="str">
        <x:v>chl</x:v>
      </x:c>
      <x:c r="D2188" s="1" t="str">
        <x:v>Marca</x:v>
      </x:c>
      <x:c r="E2188" s="35" t="n">
        <x:v>1</x:v>
      </x:c>
      <x:c r="F2188" s="36"/>
      <x:c r="G2188" s="36" t="str">
        <x:f>IF(ISNUMBER(F2188),E2188*F2188,"")</x:f>
      </x:c>
      <x:c r="H2188" s="37"/>
      <x:c r="I2188" s="37"/>
      <x:c r="J2188" s="1" t="n">
        <x:f>IF(ISNUMBER(F2188),E2188,0)</x:f>
        <x:v>0</x:v>
      </x:c>
      <x:c r="K2188" s="1"/>
      <x:c r="L2188" s="1" t="str">
        <x:v>https://blog.skyairline.com/que-hacer-en-mendoza/</x:v>
      </x:c>
      <x:c r="M2188" s="1" t="n">
        <x:v>0</x:v>
      </x:c>
    </x:row>
    <x:row r="2189" ht="18.75" customHeight="1">
      <x:c r="A2189" s="1" t="str">
        <x:v>https://blog.skyairline.com/equipaje-de-bodega/</x:v>
      </x:c>
      <x:c r="B2189" s="1" t="str">
        <x:v>medida de mochila sky</x:v>
      </x:c>
      <x:c r="C2189" s="1" t="str">
        <x:v>per</x:v>
      </x:c>
      <x:c r="D2189" s="1" t="str">
        <x:v>Marca</x:v>
      </x:c>
      <x:c r="E2189" s="35" t="n">
        <x:v>1</x:v>
      </x:c>
      <x:c r="F2189" s="36"/>
      <x:c r="G2189" s="36" t="str">
        <x:f>IF(ISNUMBER(F2189),E2189*F2189,"")</x:f>
      </x:c>
      <x:c r="H2189" s="37"/>
      <x:c r="I2189" s="37"/>
      <x:c r="J2189" s="1" t="n">
        <x:f>IF(ISNUMBER(F2189),E2189,0)</x:f>
        <x:v>0</x:v>
      </x:c>
      <x:c r="K2189" s="1"/>
      <x:c r="L2189" s="1" t="str">
        <x:v>https://blog.skyairline.com/que-hacer-en-montevideo/</x:v>
      </x:c>
      <x:c r="M2189" s="1" t="n">
        <x:v>0</x:v>
      </x:c>
    </x:row>
    <x:row r="2190" ht="18.75" customHeight="1">
      <x:c r="A2190" s="1" t="str">
        <x:v>https://blog.skyairline.com/equipaje-de-bodega/</x:v>
      </x:c>
      <x:c r="B2190" s="1" t="str">
        <x:v>medida maleta de cabina</x:v>
      </x:c>
      <x:c r="C2190" s="1" t="str">
        <x:v>chl</x:v>
      </x:c>
      <x:c r="D2190" s="1" t="str">
        <x:v>Sin marca</x:v>
      </x:c>
      <x:c r="E2190" s="35" t="n">
        <x:v>1</x:v>
      </x:c>
      <x:c r="F2190" s="36" t="n">
        <x:v>0.1</x:v>
      </x:c>
      <x:c r="G2190" s="36" t="n">
        <x:f>IF(ISNUMBER(F2190),E2190*F2190,"")</x:f>
        <x:v>0.1</x:v>
      </x:c>
      <x:c r="H2190" s="37" t="d">
        <x:v>2026-10-15T00:00:00.000Z</x:v>
      </x:c>
      <x:c r="I2190" s="37" t="d">
        <x:v>2026-09-14T02:52:13.000Z</x:v>
      </x:c>
      <x:c r="J2190" s="1" t="n">
        <x:f>IF(ISNUMBER(F2190),E2190,0)</x:f>
        <x:v>1</x:v>
      </x:c>
      <x:c r="K2190" s="1"/>
      <x:c r="L2190" s="1" t="str">
        <x:v>https://blog.skyairline.com/que-hacer-en-peru-con-10-dias-de-vacaciones-o-mas/</x:v>
      </x:c>
      <x:c r="M2190" s="1" t="n">
        <x:v>0</x:v>
      </x:c>
    </x:row>
    <x:row r="2191" ht="18.75" customHeight="1">
      <x:c r="A2191" s="1" t="str">
        <x:v>https://blog.skyairline.com/equipaje-de-bodega/</x:v>
      </x:c>
      <x:c r="B2191" s="1" t="str">
        <x:v>medida maleta de cabina sky</x:v>
      </x:c>
      <x:c r="C2191" s="1" t="str">
        <x:v>chl</x:v>
      </x:c>
      <x:c r="D2191" s="1" t="str">
        <x:v>Marca</x:v>
      </x:c>
      <x:c r="E2191" s="35" t="n">
        <x:v>1</x:v>
      </x:c>
      <x:c r="F2191" s="36"/>
      <x:c r="G2191" s="36" t="str">
        <x:f>IF(ISNUMBER(F2191),E2191*F2191,"")</x:f>
      </x:c>
      <x:c r="H2191" s="37"/>
      <x:c r="I2191" s="37"/>
      <x:c r="J2191" s="1" t="n">
        <x:f>IF(ISNUMBER(F2191),E2191,0)</x:f>
        <x:v>0</x:v>
      </x:c>
      <x:c r="K2191" s="1"/>
      <x:c r="L2191" s="1" t="str">
        <x:v>https://blog.skyairline.com/que-hacer-en-playa-del-carmen/</x:v>
      </x:c>
      <x:c r="M2191" s="1" t="n">
        <x:v>0</x:v>
      </x:c>
    </x:row>
    <x:row r="2192" ht="18.75" customHeight="1">
      <x:c r="A2192" s="1" t="str">
        <x:v>https://blog.skyairline.com/equipaje-de-bodega/</x:v>
      </x:c>
      <x:c r="B2192" s="1" t="str">
        <x:v>medida maleta sky</x:v>
      </x:c>
      <x:c r="C2192" s="1" t="str">
        <x:v>per</x:v>
      </x:c>
      <x:c r="D2192" s="1" t="str">
        <x:v>Marca</x:v>
      </x:c>
      <x:c r="E2192" s="35" t="n">
        <x:v>1</x:v>
      </x:c>
      <x:c r="F2192" s="36"/>
      <x:c r="G2192" s="36" t="str">
        <x:f>IF(ISNUMBER(F2192),E2192*F2192,"")</x:f>
      </x:c>
      <x:c r="H2192" s="37"/>
      <x:c r="I2192" s="37"/>
      <x:c r="J2192" s="1" t="n">
        <x:f>IF(ISNUMBER(F2192),E2192,0)</x:f>
        <x:v>0</x:v>
      </x:c>
      <x:c r="K2192" s="1"/>
      <x:c r="L2192" s="1" t="str">
        <x:v>https://blog.skyairline.com/que-hacer-en-porto-alegre</x:v>
      </x:c>
      <x:c r="M2192" s="1" t="n">
        <x:v>0</x:v>
      </x:c>
    </x:row>
    <x:row r="2193" ht="18.75" customHeight="1">
      <x:c r="A2193" s="1" t="str">
        <x:v>https://blog.skyairline.com/equipaje-de-bodega/</x:v>
      </x:c>
      <x:c r="B2193" s="1" t="str">
        <x:v>medida maletas de cabina</x:v>
      </x:c>
      <x:c r="C2193" s="1" t="str">
        <x:v>chl</x:v>
      </x:c>
      <x:c r="D2193" s="1" t="str">
        <x:v>Sin marca</x:v>
      </x:c>
      <x:c r="E2193" s="35" t="n">
        <x:v>1</x:v>
      </x:c>
      <x:c r="F2193" s="36"/>
      <x:c r="G2193" s="36" t="str">
        <x:f>IF(ISNUMBER(F2193),E2193*F2193,"")</x:f>
      </x:c>
      <x:c r="H2193" s="37"/>
      <x:c r="I2193" s="37"/>
      <x:c r="J2193" s="1" t="n">
        <x:f>IF(ISNUMBER(F2193),E2193,0)</x:f>
        <x:v>0</x:v>
      </x:c>
      <x:c r="K2193" s="1"/>
      <x:c r="L2193" s="1" t="str">
        <x:v>https://blog.skyairline.com/que-hacer-en-porto-alegre/que-hacer-en-porto-alegre</x:v>
      </x:c>
      <x:c r="M2193" s="1" t="n">
        <x:v>0</x:v>
      </x:c>
    </x:row>
    <x:row r="2194" ht="18.75" customHeight="1">
      <x:c r="A2194" s="1" t="str">
        <x:v>https://blog.skyairline.com/equipaje-de-bodega/</x:v>
      </x:c>
      <x:c r="B2194" s="1" t="str">
        <x:v>medida mochila de cabina</x:v>
      </x:c>
      <x:c r="C2194" s="1" t="str">
        <x:v>chl</x:v>
      </x:c>
      <x:c r="D2194" s="1" t="str">
        <x:v>Sin marca</x:v>
      </x:c>
      <x:c r="E2194" s="35" t="n">
        <x:v>1</x:v>
      </x:c>
      <x:c r="F2194" s="36"/>
      <x:c r="G2194" s="36" t="str">
        <x:f>IF(ISNUMBER(F2194),E2194*F2194,"")</x:f>
      </x:c>
      <x:c r="H2194" s="37"/>
      <x:c r="I2194" s="37"/>
      <x:c r="J2194" s="1" t="n">
        <x:f>IF(ISNUMBER(F2194),E2194,0)</x:f>
        <x:v>0</x:v>
      </x:c>
      <x:c r="K2194" s="1"/>
      <x:c r="L2194" s="1" t="str">
        <x:v>https://blog.skyairline.com/que-hacer-en-pucon/</x:v>
      </x:c>
      <x:c r="M2194" s="1" t="n">
        <x:v>0</x:v>
      </x:c>
    </x:row>
    <x:row r="2195" ht="18.75" customHeight="1">
      <x:c r="A2195" s="1" t="str">
        <x:v>https://blog.skyairline.com/equipaje-de-bodega/</x:v>
      </x:c>
      <x:c r="B2195" s="1" t="str">
        <x:v>medida mochila sky airlines</x:v>
      </x:c>
      <x:c r="C2195" s="1" t="str">
        <x:v>chl</x:v>
      </x:c>
      <x:c r="D2195" s="1" t="str">
        <x:v>Marca</x:v>
      </x:c>
      <x:c r="E2195" s="35" t="n">
        <x:v>1</x:v>
      </x:c>
      <x:c r="F2195" s="36"/>
      <x:c r="G2195" s="36" t="str">
        <x:f>IF(ISNUMBER(F2195),E2195*F2195,"")</x:f>
      </x:c>
      <x:c r="H2195" s="37"/>
      <x:c r="I2195" s="37"/>
      <x:c r="J2195" s="1" t="n">
        <x:f>IF(ISNUMBER(F2195),E2195,0)</x:f>
        <x:v>0</x:v>
      </x:c>
      <x:c r="K2195" s="1"/>
      <x:c r="L2195" s="1" t="str">
        <x:v>https://blog.skyairline.com/que-hacer-en-puerto-varas/</x:v>
      </x:c>
      <x:c r="M2195" s="1" t="n">
        <x:v>0</x:v>
      </x:c>
    </x:row>
    <x:row r="2196" ht="18.75" customHeight="1">
      <x:c r="A2196" s="1" t="str">
        <x:v>https://blog.skyairline.com/equipaje-de-bodega/</x:v>
      </x:c>
      <x:c r="B2196" s="1" t="str">
        <x:v>medidas bolso de mano</x:v>
      </x:c>
      <x:c r="C2196" s="1" t="str">
        <x:v>chl</x:v>
      </x:c>
      <x:c r="D2196" s="1" t="str">
        <x:v>Sin marca</x:v>
      </x:c>
      <x:c r="E2196" s="35" t="n">
        <x:v>1</x:v>
      </x:c>
      <x:c r="F2196" s="36"/>
      <x:c r="G2196" s="36" t="str">
        <x:f>IF(ISNUMBER(F2196),E2196*F2196,"")</x:f>
      </x:c>
      <x:c r="H2196" s="37"/>
      <x:c r="I2196" s="37"/>
      <x:c r="J2196" s="1" t="n">
        <x:f>IF(ISNUMBER(F2196),E2196,0)</x:f>
        <x:v>0</x:v>
      </x:c>
      <x:c r="K2196" s="1"/>
      <x:c r="L2196" s="1" t="str">
        <x:v>https://blog.skyairline.com/que-hacer-en-san-martin-de-los-andes/</x:v>
      </x:c>
      <x:c r="M2196" s="1" t="n">
        <x:v>0</x:v>
      </x:c>
    </x:row>
    <x:row r="2197" ht="18.75" customHeight="1">
      <x:c r="A2197" s="1" t="str">
        <x:v>https://blog.skyairline.com/equipaje-de-bodega/</x:v>
      </x:c>
      <x:c r="B2197" s="1" t="str">
        <x:v>medidas bolso de mano sky</x:v>
      </x:c>
      <x:c r="C2197" s="1" t="str">
        <x:v>arg</x:v>
      </x:c>
      <x:c r="D2197" s="1" t="str">
        <x:v>Marca</x:v>
      </x:c>
      <x:c r="E2197" s="35" t="n">
        <x:v>1</x:v>
      </x:c>
      <x:c r="F2197" s="36"/>
      <x:c r="G2197" s="36" t="str">
        <x:f>IF(ISNUMBER(F2197),E2197*F2197,"")</x:f>
      </x:c>
      <x:c r="H2197" s="37"/>
      <x:c r="I2197" s="37"/>
      <x:c r="J2197" s="1" t="n">
        <x:f>IF(ISNUMBER(F2197),E2197,0)</x:f>
        <x:v>0</x:v>
      </x:c>
      <x:c r="K2197" s="1"/>
      <x:c r="L2197" s="1" t="str">
        <x:v>https://blog.skyairline.com/que-hacer-en-sao-pablo/</x:v>
      </x:c>
      <x:c r="M2197" s="1" t="n">
        <x:v>0</x:v>
      </x:c>
    </x:row>
    <x:row r="2198" ht="18.75" customHeight="1">
      <x:c r="A2198" s="1" t="str">
        <x:v>https://blog.skyairline.com/equipaje-de-bodega/</x:v>
      </x:c>
      <x:c r="B2198" s="1" t="str">
        <x:v>medidas bolso de mano sky</x:v>
      </x:c>
      <x:c r="C2198" s="1" t="str">
        <x:v>ury</x:v>
      </x:c>
      <x:c r="D2198" s="1" t="str">
        <x:v>Marca</x:v>
      </x:c>
      <x:c r="E2198" s="35" t="n">
        <x:v>1</x:v>
      </x:c>
      <x:c r="F2198" s="36"/>
      <x:c r="G2198" s="36" t="str">
        <x:f>IF(ISNUMBER(F2198),E2198*F2198,"")</x:f>
      </x:c>
      <x:c r="H2198" s="37"/>
      <x:c r="I2198" s="37"/>
      <x:c r="J2198" s="1" t="n">
        <x:f>IF(ISNUMBER(F2198),E2198,0)</x:f>
        <x:v>0</x:v>
      </x:c>
      <x:c r="K2198" s="1"/>
      <x:c r="L2198" s="1" t="str">
        <x:v>https://blog.skyairline.com/que-hacer-en-sao-pao/</x:v>
      </x:c>
      <x:c r="M2198" s="1" t="n">
        <x:v>0</x:v>
      </x:c>
    </x:row>
    <x:row r="2199" ht="18.75" customHeight="1">
      <x:c r="A2199" s="1" t="str">
        <x:v>https://blog.skyairline.com/equipaje-de-bodega/</x:v>
      </x:c>
      <x:c r="B2199" s="1" t="str">
        <x:v>medidas bolso de mano sky 2026</x:v>
      </x:c>
      <x:c r="C2199" s="1" t="str">
        <x:v>arg</x:v>
      </x:c>
      <x:c r="D2199" s="1" t="str">
        <x:v>Marca</x:v>
      </x:c>
      <x:c r="E2199" s="35" t="n">
        <x:v>1</x:v>
      </x:c>
      <x:c r="F2199" s="36"/>
      <x:c r="G2199" s="36" t="str">
        <x:f>IF(ISNUMBER(F2199),E2199*F2199,"")</x:f>
      </x:c>
      <x:c r="H2199" s="37"/>
      <x:c r="I2199" s="37"/>
      <x:c r="J2199" s="1" t="n">
        <x:f>IF(ISNUMBER(F2199),E2199,0)</x:f>
        <x:v>0</x:v>
      </x:c>
      <x:c r="K2199" s="1"/>
      <x:c r="L2199" s="1" t="str">
        <x:v>https://blog.skyairline.com/que-hacer-en-sao-paulo</x:v>
      </x:c>
      <x:c r="M2199" s="1" t="n">
        <x:v>0</x:v>
      </x:c>
    </x:row>
    <x:row r="2200" ht="18.75" customHeight="1">
      <x:c r="A2200" s="1" t="str">
        <x:v>https://blog.skyairline.com/equipaje-de-bodega/</x:v>
      </x:c>
      <x:c r="B2200" s="1" t="str">
        <x:v>medidas carry on sky</x:v>
      </x:c>
      <x:c r="C2200" s="1" t="str">
        <x:v>arg</x:v>
      </x:c>
      <x:c r="D2200" s="1" t="str">
        <x:v>Marca</x:v>
      </x:c>
      <x:c r="E2200" s="35" t="n">
        <x:v>1</x:v>
      </x:c>
      <x:c r="F2200" s="36"/>
      <x:c r="G2200" s="36" t="str">
        <x:f>IF(ISNUMBER(F2200),E2200*F2200,"")</x:f>
      </x:c>
      <x:c r="H2200" s="37"/>
      <x:c r="I2200" s="37"/>
      <x:c r="J2200" s="1" t="n">
        <x:f>IF(ISNUMBER(F2200),E2200,0)</x:f>
        <x:v>0</x:v>
      </x:c>
      <x:c r="K2200" s="1"/>
      <x:c r="L2200" s="1" t="str">
        <x:v>https://blog.skyairline.com/que-hacer-en-sao-paulo-si-vienes-desde-santiago/</x:v>
      </x:c>
      <x:c r="M2200" s="1" t="n">
        <x:v>0</x:v>
      </x:c>
    </x:row>
    <x:row r="2201" ht="18.75" customHeight="1">
      <x:c r="A2201" s="1" t="str">
        <x:v>https://blog.skyairline.com/equipaje-de-bodega/</x:v>
      </x:c>
      <x:c r="B2201" s="1" t="str">
        <x:v>medidas carry on sky</x:v>
      </x:c>
      <x:c r="C2201" s="1" t="str">
        <x:v>ury</x:v>
      </x:c>
      <x:c r="D2201" s="1" t="str">
        <x:v>Marca</x:v>
      </x:c>
      <x:c r="E2201" s="35" t="n">
        <x:v>1</x:v>
      </x:c>
      <x:c r="F2201" s="36"/>
      <x:c r="G2201" s="36" t="str">
        <x:f>IF(ISNUMBER(F2201),E2201*F2201,"")</x:f>
      </x:c>
      <x:c r="H2201" s="37"/>
      <x:c r="I2201" s="37"/>
      <x:c r="J2201" s="1" t="n">
        <x:f>IF(ISNUMBER(F2201),E2201,0)</x:f>
        <x:v>0</x:v>
      </x:c>
      <x:c r="K2201" s="1"/>
      <x:c r="L2201" s="1" t="str">
        <x:v>https://blog.skyairline.com/que-hacer-en-sao-pulo/</x:v>
      </x:c>
      <x:c r="M2201" s="1" t="n">
        <x:v>0</x:v>
      </x:c>
    </x:row>
    <x:row r="2202" ht="18.75" customHeight="1">
      <x:c r="A2202" s="1" t="str">
        <x:v>https://blog.skyairline.com/equipaje-de-bodega/</x:v>
      </x:c>
      <x:c r="B2202" s="1" t="str">
        <x:v>medidas de bolso de mano sky</x:v>
      </x:c>
      <x:c r="C2202" s="1" t="str">
        <x:v>ury</x:v>
      </x:c>
      <x:c r="D2202" s="1" t="str">
        <x:v>Marca</x:v>
      </x:c>
      <x:c r="E2202" s="35" t="n">
        <x:v>1</x:v>
      </x:c>
      <x:c r="F2202" s="36"/>
      <x:c r="G2202" s="36" t="str">
        <x:f>IF(ISNUMBER(F2202),E2202*F2202,"")</x:f>
      </x:c>
      <x:c r="H2202" s="37"/>
      <x:c r="I2202" s="37"/>
      <x:c r="J2202" s="1" t="n">
        <x:f>IF(ISNUMBER(F2202),E2202,0)</x:f>
        <x:v>0</x:v>
      </x:c>
      <x:c r="K2202" s="1"/>
      <x:c r="L2202" s="1" t="str">
        <x:v>https://blog.skyairline.com/que-hacer-en-sao_paulo/</x:v>
      </x:c>
      <x:c r="M2202" s="1" t="n">
        <x:v>0</x:v>
      </x:c>
    </x:row>
    <x:row r="2203" ht="18.75" customHeight="1">
      <x:c r="A2203" s="1" t="str">
        <x:v>https://blog.skyairline.com/equipaje-de-bodega/</x:v>
      </x:c>
      <x:c r="B2203" s="1" t="str">
        <x:v>medidas de carry on sky</x:v>
      </x:c>
      <x:c r="C2203" s="1" t="str">
        <x:v>ury</x:v>
      </x:c>
      <x:c r="D2203" s="1" t="str">
        <x:v>Marca</x:v>
      </x:c>
      <x:c r="E2203" s="35" t="n">
        <x:v>1</x:v>
      </x:c>
      <x:c r="F2203" s="36"/>
      <x:c r="G2203" s="36" t="str">
        <x:f>IF(ISNUMBER(F2203),E2203*F2203,"")</x:f>
      </x:c>
      <x:c r="H2203" s="37"/>
      <x:c r="I2203" s="37"/>
      <x:c r="J2203" s="1" t="n">
        <x:f>IF(ISNUMBER(F2203),E2203,0)</x:f>
        <x:v>0</x:v>
      </x:c>
      <x:c r="K2203" s="1"/>
      <x:c r="L2203" s="1" t="str">
        <x:v>https://blog.skyairline.com/que-hacer-en-saopaulo/</x:v>
      </x:c>
      <x:c r="M2203" s="1" t="n">
        <x:v>0</x:v>
      </x:c>
    </x:row>
    <x:row r="2204" ht="18.75" customHeight="1">
      <x:c r="A2204" s="1" t="str">
        <x:v>https://blog.skyairline.com/equipaje-de-bodega/</x:v>
      </x:c>
      <x:c r="B2204" s="1" t="str">
        <x:v>medidas de equipaje sky</x:v>
      </x:c>
      <x:c r="C2204" s="1" t="str">
        <x:v>arg</x:v>
      </x:c>
      <x:c r="D2204" s="1" t="str">
        <x:v>Marca</x:v>
      </x:c>
      <x:c r="E2204" s="35" t="n">
        <x:v>1</x:v>
      </x:c>
      <x:c r="F2204" s="36"/>
      <x:c r="G2204" s="36" t="str">
        <x:f>IF(ISNUMBER(F2204),E2204*F2204,"")</x:f>
      </x:c>
      <x:c r="H2204" s="37"/>
      <x:c r="I2204" s="37"/>
      <x:c r="J2204" s="1" t="n">
        <x:f>IF(ISNUMBER(F2204),E2204,0)</x:f>
        <x:v>0</x:v>
      </x:c>
      <x:c r="K2204" s="1"/>
      <x:c r="L2204" s="1" t="str">
        <x:v>https://blog.skyairline.com/que-hacer-en-saopaulo/que-hacer-en-sao-paulo-10-lugares-imperdibles-de-la-capital-paulista/</x:v>
      </x:c>
      <x:c r="M2204" s="1" t="n">
        <x:v>0</x:v>
      </x:c>
    </x:row>
    <x:row r="2205" ht="18.75" customHeight="1">
      <x:c r="A2205" s="1" t="str">
        <x:v>https://blog.skyairline.com/equipaje-de-bodega/</x:v>
      </x:c>
      <x:c r="B2205" s="1" t="str">
        <x:v>medidas de equipaje sky</x:v>
      </x:c>
      <x:c r="C2205" s="1" t="str">
        <x:v>ury</x:v>
      </x:c>
      <x:c r="D2205" s="1" t="str">
        <x:v>Marca</x:v>
      </x:c>
      <x:c r="E2205" s="35" t="n">
        <x:v>1</x:v>
      </x:c>
      <x:c r="F2205" s="36"/>
      <x:c r="G2205" s="36" t="str">
        <x:f>IF(ISNUMBER(F2205),E2205*F2205,"")</x:f>
      </x:c>
      <x:c r="H2205" s="37"/>
      <x:c r="I2205" s="37"/>
      <x:c r="J2205" s="1" t="n">
        <x:f>IF(ISNUMBER(F2205),E2205,0)</x:f>
        <x:v>0</x:v>
      </x:c>
      <x:c r="K2205" s="1"/>
      <x:c r="L2205" s="1" t="str">
        <x:v>https://blog.skyairline.com/que-hacer-en-tacna/</x:v>
      </x:c>
      <x:c r="M2205" s="1" t="n">
        <x:v>0</x:v>
      </x:c>
    </x:row>
    <x:row r="2206" ht="18.75" customHeight="1">
      <x:c r="A2206" s="1" t="str">
        <x:v>https://blog.skyairline.com/equipaje-de-bodega/</x:v>
      </x:c>
      <x:c r="B2206" s="1" t="str">
        <x:v>medidas de equipaje sky</x:v>
      </x:c>
      <x:c r="C2206" s="1" t="str">
        <x:v>usa</x:v>
      </x:c>
      <x:c r="D2206" s="1" t="str">
        <x:v>Marca</x:v>
      </x:c>
      <x:c r="E2206" s="35" t="n">
        <x:v>1</x:v>
      </x:c>
      <x:c r="F2206" s="36"/>
      <x:c r="G2206" s="36" t="str">
        <x:f>IF(ISNUMBER(F2206),E2206*F2206,"")</x:f>
      </x:c>
      <x:c r="H2206" s="37"/>
      <x:c r="I2206" s="37"/>
      <x:c r="J2206" s="1" t="n">
        <x:f>IF(ISNUMBER(F2206),E2206,0)</x:f>
        <x:v>0</x:v>
      </x:c>
      <x:c r="K2206" s="1"/>
      <x:c r="L2206" s="1" t="str">
        <x:v>https://blog.skyairline.com/que-hacer-en-tulum/</x:v>
      </x:c>
      <x:c r="M2206" s="1" t="n">
        <x:v>0</x:v>
      </x:c>
    </x:row>
    <x:row r="2207" ht="18.75" customHeight="1">
      <x:c r="A2207" s="1" t="str">
        <x:v>https://blog.skyairline.com/equipaje-de-bodega/</x:v>
      </x:c>
      <x:c r="B2207" s="1" t="str">
        <x:v>medidas de maleta de mano</x:v>
      </x:c>
      <x:c r="C2207" s="1" t="str">
        <x:v>per</x:v>
      </x:c>
      <x:c r="D2207" s="1" t="str">
        <x:v>Sin marca</x:v>
      </x:c>
      <x:c r="E2207" s="35" t="n">
        <x:v>1</x:v>
      </x:c>
      <x:c r="F2207" s="36"/>
      <x:c r="G2207" s="36" t="str">
        <x:f>IF(ISNUMBER(F2207),E2207*F2207,"")</x:f>
      </x:c>
      <x:c r="H2207" s="37"/>
      <x:c r="I2207" s="37"/>
      <x:c r="J2207" s="1" t="n">
        <x:f>IF(ISNUMBER(F2207),E2207,0)</x:f>
        <x:v>0</x:v>
      </x:c>
      <x:c r="K2207" s="1"/>
      <x:c r="L2207" s="1" t="str">
        <x:v>https://blog.skyairline.com/que-hacer-lima-familia/</x:v>
      </x:c>
      <x:c r="M2207" s="1" t="n">
        <x:v>0</x:v>
      </x:c>
    </x:row>
    <x:row r="2208" ht="18.75" customHeight="1">
      <x:c r="A2208" s="1" t="str">
        <x:v>https://blog.skyairline.com/equipaje-de-bodega/</x:v>
      </x:c>
      <x:c r="B2208" s="1" t="str">
        <x:v>medidas de maleta de mano sky</x:v>
      </x:c>
      <x:c r="C2208" s="1" t="str">
        <x:v>chl</x:v>
      </x:c>
      <x:c r="D2208" s="1" t="str">
        <x:v>Marca</x:v>
      </x:c>
      <x:c r="E2208" s="35" t="n">
        <x:v>1</x:v>
      </x:c>
      <x:c r="F2208" s="36"/>
      <x:c r="G2208" s="36" t="str">
        <x:f>IF(ISNUMBER(F2208),E2208*F2208,"")</x:f>
      </x:c>
      <x:c r="H2208" s="37" t="d">
        <x:v>2026-10-15T00:00:00.000Z</x:v>
      </x:c>
      <x:c r="I2208" s="37" t="d">
        <x:v>2026-09-15T18:07:43.999Z</x:v>
      </x:c>
      <x:c r="J2208" s="1" t="n">
        <x:f>IF(ISNUMBER(F2208),E2208,0)</x:f>
        <x:v>0</x:v>
      </x:c>
      <x:c r="K2208" s="1"/>
      <x:c r="L2208" s="1" t="str">
        <x:v>https://blog.skyairline.com/que-hacer-lima/</x:v>
      </x:c>
      <x:c r="M2208" s="1" t="n">
        <x:v>0</x:v>
      </x:c>
    </x:row>
    <x:row r="2209" ht="18.75" customHeight="1">
      <x:c r="A2209" s="1" t="str">
        <x:v>https://blog.skyairline.com/equipaje-de-bodega/</x:v>
      </x:c>
      <x:c r="B2209" s="1" t="str">
        <x:v>medidas de maleta de mano sky</x:v>
      </x:c>
      <x:c r="C2209" s="1" t="str">
        <x:v>per</x:v>
      </x:c>
      <x:c r="D2209" s="1" t="str">
        <x:v>Marca</x:v>
      </x:c>
      <x:c r="E2209" s="35" t="n">
        <x:v>1</x:v>
      </x:c>
      <x:c r="F2209" s="36"/>
      <x:c r="G2209" s="36" t="str">
        <x:f>IF(ISNUMBER(F2209),E2209*F2209,"")</x:f>
      </x:c>
      <x:c r="H2209" s="37" t="d">
        <x:v>2026-10-15T00:00:00.000Z</x:v>
      </x:c>
      <x:c r="I2209" s="37" t="d">
        <x:v>2026-09-13T14:36:02.000Z</x:v>
      </x:c>
      <x:c r="J2209" s="1" t="n">
        <x:f>IF(ISNUMBER(F2209),E2209,0)</x:f>
        <x:v>0</x:v>
      </x:c>
      <x:c r="K2209" s="1"/>
      <x:c r="L2209" s="1" t="str">
        <x:v>https://blog.skyairline.com/que-hacer-mi-vuelo-fue-cancelado/</x:v>
      </x:c>
      <x:c r="M2209" s="1" t="n">
        <x:v>0</x:v>
      </x:c>
    </x:row>
    <x:row r="2210" ht="18.75" customHeight="1">
      <x:c r="A2210" s="1" t="str">
        <x:v>https://blog.skyairline.com/equipaje-de-bodega/</x:v>
      </x:c>
      <x:c r="B2210" s="1" t="str">
        <x:v>medidas de maleta de mano sky peru</x:v>
      </x:c>
      <x:c r="C2210" s="1" t="str">
        <x:v>per</x:v>
      </x:c>
      <x:c r="D2210" s="1" t="str">
        <x:v>Marca</x:v>
      </x:c>
      <x:c r="E2210" s="35" t="n">
        <x:v>1</x:v>
      </x:c>
      <x:c r="F2210" s="36"/>
      <x:c r="G2210" s="36" t="str">
        <x:f>IF(ISNUMBER(F2210),E2210*F2210,"")</x:f>
      </x:c>
      <x:c r="H2210" s="37"/>
      <x:c r="I2210" s="37"/>
      <x:c r="J2210" s="1" t="n">
        <x:f>IF(ISNUMBER(F2210),E2210,0)</x:f>
        <x:v>0</x:v>
      </x:c>
      <x:c r="K2210" s="1"/>
      <x:c r="L2210" s="1" t="str">
        <x:v>https://blog.skyairline.com/que-hacer-porto-alegre-6-atractivos-turisticos-que-te-recomendamos/</x:v>
      </x:c>
      <x:c r="M2210" s="1" t="n">
        <x:v>0</x:v>
      </x:c>
    </x:row>
    <x:row r="2211" ht="18.75" customHeight="1">
      <x:c r="A2211" s="1" t="str">
        <x:v>https://blog.skyairline.com/equipaje-de-bodega/</x:v>
      </x:c>
      <x:c r="B2211" s="1" t="str">
        <x:v>medidas de mochila de mano sky</x:v>
      </x:c>
      <x:c r="C2211" s="1" t="str">
        <x:v>chl</x:v>
      </x:c>
      <x:c r="D2211" s="1" t="str">
        <x:v>Marca</x:v>
      </x:c>
      <x:c r="E2211" s="35" t="n">
        <x:v>1</x:v>
      </x:c>
      <x:c r="F2211" s="36"/>
      <x:c r="G2211" s="36" t="str">
        <x:f>IF(ISNUMBER(F2211),E2211*F2211,"")</x:f>
      </x:c>
      <x:c r="H2211" s="37"/>
      <x:c r="I2211" s="37"/>
      <x:c r="J2211" s="1" t="n">
        <x:f>IF(ISNUMBER(F2211),E2211,0)</x:f>
        <x:v>0</x:v>
      </x:c>
      <x:c r="K2211" s="1"/>
      <x:c r="L2211" s="1" t="str">
        <x:v>https://blog.skyairline.com/que-hacer-porto-alegre/</x:v>
      </x:c>
      <x:c r="M2211" s="1" t="n">
        <x:v>0</x:v>
      </x:c>
    </x:row>
    <x:row r="2212" ht="18.75" customHeight="1">
      <x:c r="A2212" s="1" t="str">
        <x:v>https://blog.skyairline.com/equipaje-de-bodega/</x:v>
      </x:c>
      <x:c r="B2212" s="1" t="str">
        <x:v>medidas de mochila de mano sky</x:v>
      </x:c>
      <x:c r="C2212" s="1" t="str">
        <x:v>per</x:v>
      </x:c>
      <x:c r="D2212" s="1" t="str">
        <x:v>Marca</x:v>
      </x:c>
      <x:c r="E2212" s="35" t="n">
        <x:v>1</x:v>
      </x:c>
      <x:c r="F2212" s="36"/>
      <x:c r="G2212" s="36" t="str">
        <x:f>IF(ISNUMBER(F2212),E2212*F2212,"")</x:f>
      </x:c>
      <x:c r="H2212" s="37"/>
      <x:c r="I2212" s="37"/>
      <x:c r="J2212" s="1" t="n">
        <x:f>IF(ISNUMBER(F2212),E2212,0)</x:f>
        <x:v>0</x:v>
      </x:c>
      <x:c r="K2212" s="1"/>
      <x:c r="L2212" s="1" t="str">
        <x:v>https://blog.skyairline.com/que-hacer-punta-arenas/</x:v>
      </x:c>
      <x:c r="M2212" s="1" t="n">
        <x:v>0</x:v>
      </x:c>
    </x:row>
    <x:row r="2213" ht="18.75" customHeight="1">
      <x:c r="A2213" s="1" t="str">
        <x:v>https://blog.skyairline.com/equipaje-de-bodega/</x:v>
      </x:c>
      <x:c r="B2213" s="1" t="str">
        <x:v>medidas de mochila para avion</x:v>
      </x:c>
      <x:c r="C2213" s="1" t="str">
        <x:v>chl</x:v>
      </x:c>
      <x:c r="D2213" s="1" t="str">
        <x:v>Sin marca</x:v>
      </x:c>
      <x:c r="E2213" s="35" t="n">
        <x:v>1</x:v>
      </x:c>
      <x:c r="F2213" s="36"/>
      <x:c r="G2213" s="36" t="str">
        <x:f>IF(ISNUMBER(F2213),E2213*F2213,"")</x:f>
      </x:c>
      <x:c r="H2213" s="37"/>
      <x:c r="I2213" s="37"/>
      <x:c r="J2213" s="1" t="n">
        <x:f>IF(ISNUMBER(F2213),E2213,0)</x:f>
        <x:v>0</x:v>
      </x:c>
      <x:c r="K2213" s="1"/>
      <x:c r="L2213" s="1" t="str">
        <x:v>https://blog.skyairline.com/que-hacer-salvador-bahia/</x:v>
      </x:c>
      <x:c r="M2213" s="1" t="n">
        <x:v>0</x:v>
      </x:c>
    </x:row>
    <x:row r="2214" ht="18.75" customHeight="1">
      <x:c r="A2214" s="1" t="str">
        <x:v>https://blog.skyairline.com/equipaje-de-bodega/</x:v>
      </x:c>
      <x:c r="B2214" s="1" t="str">
        <x:v>medidas de mochila para avion sky</x:v>
      </x:c>
      <x:c r="C2214" s="1" t="str">
        <x:v>chl</x:v>
      </x:c>
      <x:c r="D2214" s="1" t="str">
        <x:v>Marca</x:v>
      </x:c>
      <x:c r="E2214" s="35" t="n">
        <x:v>1</x:v>
      </x:c>
      <x:c r="F2214" s="36"/>
      <x:c r="G2214" s="36" t="str">
        <x:f>IF(ISNUMBER(F2214),E2214*F2214,"")</x:f>
      </x:c>
      <x:c r="H2214" s="37"/>
      <x:c r="I2214" s="37"/>
      <x:c r="J2214" s="1" t="n">
        <x:f>IF(ISNUMBER(F2214),E2214,0)</x:f>
        <x:v>0</x:v>
      </x:c>
      <x:c r="K2214" s="1"/>
      <x:c r="L2214" s="1" t="str">
        <x:v>https://blog.skyairline.com/que-hacer-sao-paulo/</x:v>
      </x:c>
      <x:c r="M2214" s="1" t="n">
        <x:v>0</x:v>
      </x:c>
    </x:row>
    <x:row r="2215" ht="18.75" customHeight="1">
      <x:c r="A2215" s="1" t="str">
        <x:v>https://blog.skyairline.com/equipaje-de-bodega/</x:v>
      </x:c>
      <x:c r="B2215" s="1" t="str">
        <x:v>medidas de sky</x:v>
      </x:c>
      <x:c r="C2215" s="1" t="str">
        <x:v>usa</x:v>
      </x:c>
      <x:c r="D2215" s="1" t="str">
        <x:v>Marca</x:v>
      </x:c>
      <x:c r="E2215" s="35" t="n">
        <x:v>1</x:v>
      </x:c>
      <x:c r="F2215" s="36"/>
      <x:c r="G2215" s="36" t="str">
        <x:f>IF(ISNUMBER(F2215),E2215*F2215,"")</x:f>
      </x:c>
      <x:c r="H2215" s="37"/>
      <x:c r="I2215" s="37"/>
      <x:c r="J2215" s="1" t="n">
        <x:f>IF(ISNUMBER(F2215),E2215,0)</x:f>
        <x:v>0</x:v>
      </x:c>
      <x:c r="K2215" s="1"/>
      <x:c r="L2215" s="1" t="str">
        <x:v>https://blog.skyairline.com/que-hacer-si-mi-vuelo-che-cancelado/</x:v>
      </x:c>
      <x:c r="M2215" s="1" t="n">
        <x:v>0</x:v>
      </x:c>
    </x:row>
    <x:row r="2216" ht="18.75" customHeight="1">
      <x:c r="A2216" s="1" t="str">
        <x:v>https://blog.skyairline.com/equipaje-de-bodega/</x:v>
      </x:c>
      <x:c r="B2216" s="1" t="str">
        <x:v>medidas del bolso de mano sky</x:v>
      </x:c>
      <x:c r="C2216" s="1" t="str">
        <x:v>per</x:v>
      </x:c>
      <x:c r="D2216" s="1" t="str">
        <x:v>Marca</x:v>
      </x:c>
      <x:c r="E2216" s="35" t="n">
        <x:v>1</x:v>
      </x:c>
      <x:c r="F2216" s="36"/>
      <x:c r="G2216" s="36" t="str">
        <x:f>IF(ISNUMBER(F2216),E2216*F2216,"")</x:f>
      </x:c>
      <x:c r="H2216" s="37"/>
      <x:c r="I2216" s="37"/>
      <x:c r="J2216" s="1" t="n">
        <x:f>IF(ISNUMBER(F2216),E2216,0)</x:f>
        <x:v>0</x:v>
      </x:c>
      <x:c r="K2216" s="1"/>
      <x:c r="L2216" s="1" t="str">
        <x:v>https://blog.skyairline.com/que-hacer-si-mi-vuelo-de-sky-a-ser-cancelado/</x:v>
      </x:c>
      <x:c r="M2216" s="1" t="n">
        <x:v>0</x:v>
      </x:c>
    </x:row>
    <x:row r="2217" ht="18.75" customHeight="1">
      <x:c r="A2217" s="1" t="str">
        <x:v>https://blog.skyairline.com/equipaje-de-bodega/</x:v>
      </x:c>
      <x:c r="B2217" s="1" t="str">
        <x:v>medidas del equipaje de mano sky</x:v>
      </x:c>
      <x:c r="C2217" s="1" t="str">
        <x:v>chl</x:v>
      </x:c>
      <x:c r="D2217" s="1" t="str">
        <x:v>Marca</x:v>
      </x:c>
      <x:c r="E2217" s="35" t="n">
        <x:v>1</x:v>
      </x:c>
      <x:c r="F2217" s="36"/>
      <x:c r="G2217" s="36" t="str">
        <x:f>IF(ISNUMBER(F2217),E2217*F2217,"")</x:f>
      </x:c>
      <x:c r="H2217" s="37" t="d">
        <x:v>2026-10-15T00:00:00.000Z</x:v>
      </x:c>
      <x:c r="I2217" s="37" t="d">
        <x:v>2026-09-15T17:53:58.000Z</x:v>
      </x:c>
      <x:c r="J2217" s="1" t="n">
        <x:f>IF(ISNUMBER(F2217),E2217,0)</x:f>
        <x:v>0</x:v>
      </x:c>
      <x:c r="K2217" s="1"/>
      <x:c r="L2217" s="1" t="str">
        <x:v>https://blog.skyairline.com/que-hacer-si-mi-vuelo-del-vuelo/</x:v>
      </x:c>
      <x:c r="M2217" s="1" t="n">
        <x:v>0</x:v>
      </x:c>
    </x:row>
    <x:row r="2218" ht="18.75" customHeight="1">
      <x:c r="A2218" s="1" t="str">
        <x:v>https://blog.skyairline.com/equipaje-de-bodega/</x:v>
      </x:c>
      <x:c r="B2218" s="1" t="str">
        <x:v>medidas del equipaje de mano sky</x:v>
      </x:c>
      <x:c r="C2218" s="1" t="str">
        <x:v>per</x:v>
      </x:c>
      <x:c r="D2218" s="1" t="str">
        <x:v>Marca</x:v>
      </x:c>
      <x:c r="E2218" s="35" t="n">
        <x:v>1</x:v>
      </x:c>
      <x:c r="F2218" s="36"/>
      <x:c r="G2218" s="36" t="str">
        <x:f>IF(ISNUMBER(F2218),E2218*F2218,"")</x:f>
      </x:c>
      <x:c r="H2218" s="37"/>
      <x:c r="I2218" s="37"/>
      <x:c r="J2218" s="1" t="n">
        <x:f>IF(ISNUMBER(F2218),E2218,0)</x:f>
        <x:v>0</x:v>
      </x:c>
      <x:c r="K2218" s="1"/>
      <x:c r="L2218" s="1" t="str">
        <x:v>https://blog.skyairline.com/que-hacer-si-mi-vuelo-fue-cancelo/</x:v>
      </x:c>
      <x:c r="M2218" s="1" t="n">
        <x:v>0</x:v>
      </x:c>
    </x:row>
    <x:row r="2219" ht="18.75" customHeight="1">
      <x:c r="A2219" s="1" t="str">
        <x:v>https://blog.skyairline.com/equipaje-de-bodega/</x:v>
      </x:c>
      <x:c r="B2219" s="1" t="str">
        <x:v>medidas equipaje cabina</x:v>
      </x:c>
      <x:c r="C2219" s="1" t="str">
        <x:v>chl</x:v>
      </x:c>
      <x:c r="D2219" s="1" t="str">
        <x:v>Sin marca</x:v>
      </x:c>
      <x:c r="E2219" s="35" t="n">
        <x:v>1</x:v>
      </x:c>
      <x:c r="F2219" s="36"/>
      <x:c r="G2219" s="36" t="str">
        <x:f>IF(ISNUMBER(F2219),E2219*F2219,"")</x:f>
      </x:c>
      <x:c r="H2219" s="37"/>
      <x:c r="I2219" s="37"/>
      <x:c r="J2219" s="1" t="n">
        <x:f>IF(ISNUMBER(F2219),E2219,0)</x:f>
        <x:v>0</x:v>
      </x:c>
      <x:c r="K2219" s="1"/>
      <x:c r="L2219" s="1" t="str">
        <x:v>https://blog.skyairline.com/que-hacer-si-vuelo-fue-cancelado/</x:v>
      </x:c>
      <x:c r="M2219" s="1" t="n">
        <x:v>0</x:v>
      </x:c>
    </x:row>
    <x:row r="2220" ht="18.75" customHeight="1">
      <x:c r="A2220" s="1" t="str">
        <x:v>https://blog.skyairline.com/equipaje-de-bodega/</x:v>
      </x:c>
      <x:c r="B2220" s="1" t="str">
        <x:v>medidas equipaje de cabina sky</x:v>
      </x:c>
      <x:c r="C2220" s="1" t="str">
        <x:v>per</x:v>
      </x:c>
      <x:c r="D2220" s="1" t="str">
        <x:v>Marca</x:v>
      </x:c>
      <x:c r="E2220" s="35" t="n">
        <x:v>1</x:v>
      </x:c>
      <x:c r="F2220" s="36"/>
      <x:c r="G2220" s="36" t="str">
        <x:f>IF(ISNUMBER(F2220),E2220*F2220,"")</x:f>
      </x:c>
      <x:c r="H2220" s="37"/>
      <x:c r="I2220" s="37"/>
      <x:c r="J2220" s="1" t="n">
        <x:f>IF(ISNUMBER(F2220),E2220,0)</x:f>
        <x:v>0</x:v>
      </x:c>
      <x:c r="K2220" s="1"/>
      <x:c r="L2220" s="1" t="str">
        <x:v>https://blog.skyairline.com/que-hacer-tarapoto/</x:v>
      </x:c>
      <x:c r="M2220" s="1" t="n">
        <x:v>0</x:v>
      </x:c>
    </x:row>
    <x:row r="2221" ht="18.75" customHeight="1">
      <x:c r="A2221" s="1" t="str">
        <x:v>https://blog.skyairline.com/equipaje-de-bodega/</x:v>
      </x:c>
      <x:c r="B2221" s="1" t="str">
        <x:v>medidas equipaje de mano sky peru</x:v>
      </x:c>
      <x:c r="C2221" s="1" t="str">
        <x:v>per</x:v>
      </x:c>
      <x:c r="D2221" s="1" t="str">
        <x:v>Marca</x:v>
      </x:c>
      <x:c r="E2221" s="35" t="n">
        <x:v>1</x:v>
      </x:c>
      <x:c r="F2221" s="36"/>
      <x:c r="G2221" s="36" t="str">
        <x:f>IF(ISNUMBER(F2221),E2221*F2221,"")</x:f>
      </x:c>
      <x:c r="H2221" s="37"/>
      <x:c r="I2221" s="37"/>
      <x:c r="J2221" s="1" t="n">
        <x:f>IF(ISNUMBER(F2221),E2221,0)</x:f>
        <x:v>0</x:v>
      </x:c>
      <x:c r="K2221" s="1"/>
      <x:c r="L2221" s="1" t="str">
        <x:v>https://blog.skyairline.com/que-hacer-valparaiso/</x:v>
      </x:c>
      <x:c r="M2221" s="1" t="n">
        <x:v>0</x:v>
      </x:c>
    </x:row>
    <x:row r="2222" ht="18.75" customHeight="1">
      <x:c r="A2222" s="1" t="str">
        <x:v>https://blog.skyairline.com/equipaje-de-bodega/</x:v>
      </x:c>
      <x:c r="B2222" s="1" t="str">
        <x:v>medidas equipaje sky</x:v>
      </x:c>
      <x:c r="C2222" s="1" t="str">
        <x:v>arg</x:v>
      </x:c>
      <x:c r="D2222" s="1" t="str">
        <x:v>Marca</x:v>
      </x:c>
      <x:c r="E2222" s="35" t="n">
        <x:v>1</x:v>
      </x:c>
      <x:c r="F2222" s="36"/>
      <x:c r="G2222" s="36" t="str">
        <x:f>IF(ISNUMBER(F2222),E2222*F2222,"")</x:f>
      </x:c>
      <x:c r="H2222" s="37"/>
      <x:c r="I2222" s="37"/>
      <x:c r="J2222" s="1" t="n">
        <x:f>IF(ISNUMBER(F2222),E2222,0)</x:f>
        <x:v>0</x:v>
      </x:c>
      <x:c r="K2222" s="1"/>
      <x:c r="L2222" s="1" t="str">
        <x:v>https://blog.skyairline.com/que-haler-en-porto-alegre</x:v>
      </x:c>
      <x:c r="M2222" s="1" t="n">
        <x:v>0</x:v>
      </x:c>
    </x:row>
    <x:row r="2223" ht="18.75" customHeight="1">
      <x:c r="A2223" s="1" t="str">
        <x:v>https://blog.skyairline.com/equipaje-de-bodega/</x:v>
      </x:c>
      <x:c r="B2223" s="1" t="str">
        <x:v>medidas equipaje sky</x:v>
      </x:c>
      <x:c r="C2223" s="1" t="str">
        <x:v>esp</x:v>
      </x:c>
      <x:c r="D2223" s="1" t="str">
        <x:v>Marca</x:v>
      </x:c>
      <x:c r="E2223" s="35" t="n">
        <x:v>1</x:v>
      </x:c>
      <x:c r="F2223" s="36"/>
      <x:c r="G2223" s="36" t="str">
        <x:f>IF(ISNUMBER(F2223),E2223*F2223,"")</x:f>
      </x:c>
      <x:c r="H2223" s="37"/>
      <x:c r="I2223" s="37"/>
      <x:c r="J2223" s="1" t="n">
        <x:f>IF(ISNUMBER(F2223),E2223,0)</x:f>
        <x:v>0</x:v>
      </x:c>
      <x:c r="K2223" s="1"/>
      <x:c r="L2223" s="1" t="str">
        <x:v>https://blog.skyairline.com/que-is-check-in/</x:v>
      </x:c>
      <x:c r="M2223" s="1" t="n">
        <x:v>0</x:v>
      </x:c>
    </x:row>
    <x:row r="2224" ht="18.75" customHeight="1">
      <x:c r="A2224" s="1" t="str">
        <x:v>https://blog.skyairline.com/equipaje-de-bodega/</x:v>
      </x:c>
      <x:c r="B2224" s="1" t="str">
        <x:v>medidas equipaje sky</x:v>
      </x:c>
      <x:c r="C2224" s="1" t="str">
        <x:v>usa</x:v>
      </x:c>
      <x:c r="D2224" s="1" t="str">
        <x:v>Marca</x:v>
      </x:c>
      <x:c r="E2224" s="35" t="n">
        <x:v>1</x:v>
      </x:c>
      <x:c r="F2224" s="36"/>
      <x:c r="G2224" s="36" t="str">
        <x:f>IF(ISNUMBER(F2224),E2224*F2224,"")</x:f>
      </x:c>
      <x:c r="H2224" s="37"/>
      <x:c r="I2224" s="37"/>
      <x:c r="J2224" s="1" t="n">
        <x:f>IF(ISNUMBER(F2224),E2224,0)</x:f>
        <x:v>0</x:v>
      </x:c>
      <x:c r="K2224" s="1"/>
      <x:c r="L2224" s="1" t="str">
        <x:v>https://blog.skyairline.com/que-is-el-check-in/</x:v>
      </x:c>
      <x:c r="M2224" s="1" t="n">
        <x:v>0</x:v>
      </x:c>
    </x:row>
    <x:row r="2225" ht="18.75" customHeight="1">
      <x:c r="A2225" s="1" t="str">
        <x:v>https://blog.skyairline.com/equipaje-de-bodega/</x:v>
      </x:c>
      <x:c r="B2225" s="1" t="str">
        <x:v>medidas equipaje sky airline</x:v>
      </x:c>
      <x:c r="C2225" s="1" t="str">
        <x:v>usa</x:v>
      </x:c>
      <x:c r="D2225" s="1" t="str">
        <x:v>Marca</x:v>
      </x:c>
      <x:c r="E2225" s="35" t="n">
        <x:v>1</x:v>
      </x:c>
      <x:c r="F2225" s="36"/>
      <x:c r="G2225" s="36" t="str">
        <x:f>IF(ISNUMBER(F2225),E2225*F2225,"")</x:f>
      </x:c>
      <x:c r="H2225" s="37"/>
      <x:c r="I2225" s="37"/>
      <x:c r="J2225" s="1" t="n">
        <x:f>IF(ISNUMBER(F2225),E2225,0)</x:f>
        <x:v>0</x:v>
      </x:c>
      <x:c r="K2225" s="1"/>
      <x:c r="L2225" s="1" t="str">
        <x:v>https://blog.skyairline.com/que-is-el-dieciocho-fiestas-patrias</x:v>
      </x:c>
      <x:c r="M2225" s="1" t="n">
        <x:v>0</x:v>
      </x:c>
    </x:row>
    <x:row r="2226" ht="18.75" customHeight="1">
      <x:c r="A2226" s="1" t="str">
        <x:v>https://blog.skyairline.com/equipaje-de-bodega/</x:v>
      </x:c>
      <x:c r="B2226" s="1" t="str">
        <x:v>medidas equipaje sky chile</x:v>
      </x:c>
      <x:c r="C2226" s="1" t="str">
        <x:v>chl</x:v>
      </x:c>
      <x:c r="D2226" s="1" t="str">
        <x:v>Marca</x:v>
      </x:c>
      <x:c r="E2226" s="35" t="n">
        <x:v>1</x:v>
      </x:c>
      <x:c r="F2226" s="36"/>
      <x:c r="G2226" s="36" t="str">
        <x:f>IF(ISNUMBER(F2226),E2226*F2226,"")</x:f>
      </x:c>
      <x:c r="H2226" s="37"/>
      <x:c r="I2226" s="37"/>
      <x:c r="J2226" s="1" t="n">
        <x:f>IF(ISNUMBER(F2226),E2226,0)</x:f>
        <x:v>0</x:v>
      </x:c>
      <x:c r="K2226" s="1"/>
      <x:c r="L2226" s="1" t="str">
        <x:v>https://blog.skyairline.com/que-is-el-dieciocho-y-que-se-puede-hacer-ese-dia/</x:v>
      </x:c>
      <x:c r="M2226" s="1" t="n">
        <x:v>0</x:v>
      </x:c>
    </x:row>
    <x:row r="2227" ht="18.75" customHeight="1">
      <x:c r="A2227" s="1" t="str">
        <x:v>https://blog.skyairline.com/equipaje-de-bodega/</x:v>
      </x:c>
      <x:c r="B2227" s="1" t="str">
        <x:v>medidas maleta 23 kg sky</x:v>
      </x:c>
      <x:c r="C2227" s="1" t="str">
        <x:v>bra</x:v>
      </x:c>
      <x:c r="D2227" s="1" t="str">
        <x:v>Marca</x:v>
      </x:c>
      <x:c r="E2227" s="35" t="n">
        <x:v>1</x:v>
      </x:c>
      <x:c r="F2227" s="36"/>
      <x:c r="G2227" s="36" t="str">
        <x:f>IF(ISNUMBER(F2227),E2227*F2227,"")</x:f>
      </x:c>
      <x:c r="H2227" s="37"/>
      <x:c r="I2227" s="37"/>
      <x:c r="J2227" s="1" t="n">
        <x:f>IF(ISNUMBER(F2227),E2227,0)</x:f>
        <x:v>0</x:v>
      </x:c>
      <x:c r="K2227" s="1"/>
      <x:c r="L2227" s="1" t="str">
        <x:v>https://blog.skyairline.com/que-is-el-equipaje-documentado-y-cuando-es-realmente-necesario/</x:v>
      </x:c>
      <x:c r="M2227" s="1" t="n">
        <x:v>0</x:v>
      </x:c>
    </x:row>
    <x:row r="2228" ht="18.75" customHeight="1">
      <x:c r="A2228" s="1" t="str">
        <x:v>https://blog.skyairline.com/equipaje-de-bodega/</x:v>
      </x:c>
      <x:c r="B2228" s="1" t="str">
        <x:v>medidas maleta 23 kg sky</x:v>
      </x:c>
      <x:c r="C2228" s="1" t="str">
        <x:v>per</x:v>
      </x:c>
      <x:c r="D2228" s="1" t="str">
        <x:v>Marca</x:v>
      </x:c>
      <x:c r="E2228" s="35" t="n">
        <x:v>1</x:v>
      </x:c>
      <x:c r="F2228" s="36"/>
      <x:c r="G2228" s="36" t="str">
        <x:f>IF(ISNUMBER(F2228),E2228*F2228,"")</x:f>
      </x:c>
      <x:c r="H2228" s="37"/>
      <x:c r="I2228" s="37"/>
      <x:c r="J2228" s="1" t="n">
        <x:f>IF(ISNUMBER(F2228),E2228,0)</x:f>
        <x:v>0</x:v>
      </x:c>
      <x:c r="K2228" s="1"/>
      <x:c r="L2228" s="1" t="str">
        <x:v>https://blog.skyairline.com/que-is-el-equipaje-documentado/</x:v>
      </x:c>
      <x:c r="M2228" s="1" t="n">
        <x:v>0</x:v>
      </x:c>
    </x:row>
    <x:row r="2229" ht="18.75" customHeight="1">
      <x:c r="A2229" s="1" t="str">
        <x:v>https://blog.skyairline.com/equipaje-de-bodega/</x:v>
      </x:c>
      <x:c r="B2229" s="1" t="str">
        <x:v>medidas maleta de mano</x:v>
      </x:c>
      <x:c r="C2229" s="1" t="str">
        <x:v>chl</x:v>
      </x:c>
      <x:c r="D2229" s="1" t="str">
        <x:v>Sin marca</x:v>
      </x:c>
      <x:c r="E2229" s="35" t="n">
        <x:v>1</x:v>
      </x:c>
      <x:c r="F2229" s="36" t="n">
        <x:v>0.09</x:v>
      </x:c>
      <x:c r="G2229" s="36" t="n">
        <x:f>IF(ISNUMBER(F2229),E2229*F2229,"")</x:f>
        <x:v>0.09</x:v>
      </x:c>
      <x:c r="H2229" s="37" t="d">
        <x:v>2026-10-15T00:00:00.000Z</x:v>
      </x:c>
      <x:c r="I2229" s="37" t="d">
        <x:v>2026-09-13T06:30:48.999Z</x:v>
      </x:c>
      <x:c r="J2229" s="1" t="n">
        <x:f>IF(ISNUMBER(F2229),E2229,0)</x:f>
        <x:v>1</x:v>
      </x:c>
      <x:c r="K2229" s="1"/>
      <x:c r="L2229" s="1" t="str">
        <x:v>https://blog.skyairline.com/que-is-una-bitacora-y-como-hacer-la-tuya-para-proximo-viaje</x:v>
      </x:c>
      <x:c r="M2229" s="1" t="n">
        <x:v>0</x:v>
      </x:c>
    </x:row>
    <x:row r="2230" ht="18.75" customHeight="1">
      <x:c r="A2230" s="1" t="str">
        <x:v>https://blog.skyairline.com/equipaje-de-bodega/</x:v>
      </x:c>
      <x:c r="B2230" s="1" t="str">
        <x:v>medidas maleta de mano sky</x:v>
      </x:c>
      <x:c r="C2230" s="1" t="str">
        <x:v>deu</x:v>
      </x:c>
      <x:c r="D2230" s="1" t="str">
        <x:v>Marca</x:v>
      </x:c>
      <x:c r="E2230" s="35" t="n">
        <x:v>1</x:v>
      </x:c>
      <x:c r="F2230" s="36"/>
      <x:c r="G2230" s="36" t="str">
        <x:f>IF(ISNUMBER(F2230),E2230*F2230,"")</x:f>
      </x:c>
      <x:c r="H2230" s="37"/>
      <x:c r="I2230" s="37"/>
      <x:c r="J2230" s="1" t="n">
        <x:f>IF(ISNUMBER(F2230),E2230,0)</x:f>
        <x:v>0</x:v>
      </x:c>
      <x:c r="K2230" s="1"/>
      <x:c r="L2230" s="1" t="str">
        <x:v>https://blog.skyairline.com/que-is-una-bitacora/</x:v>
      </x:c>
      <x:c r="M2230" s="1" t="n">
        <x:v>0</x:v>
      </x:c>
    </x:row>
    <x:row r="2231" ht="18.75" customHeight="1">
      <x:c r="A2231" s="1" t="str">
        <x:v>https://blog.skyairline.com/equipaje-de-bodega/</x:v>
      </x:c>
      <x:c r="B2231" s="1" t="str">
        <x:v>medidas maletas sky</x:v>
      </x:c>
      <x:c r="C2231" s="1" t="str">
        <x:v>esp</x:v>
      </x:c>
      <x:c r="D2231" s="1" t="str">
        <x:v>Marca</x:v>
      </x:c>
      <x:c r="E2231" s="35" t="n">
        <x:v>1</x:v>
      </x:c>
      <x:c r="F2231" s="36"/>
      <x:c r="G2231" s="36" t="str">
        <x:f>IF(ISNUMBER(F2231),E2231*F2231,"")</x:f>
      </x:c>
      <x:c r="H2231" s="37"/>
      <x:c r="I2231" s="37"/>
      <x:c r="J2231" s="1" t="n">
        <x:f>IF(ISNUMBER(F2231),E2231,0)</x:f>
        <x:v>0</x:v>
      </x:c>
      <x:c r="K2231" s="1"/>
      <x:c r="L2231" s="1" t="str">
        <x:v>https://blog.skyairline.com/que-puedes-hacer-en-la-ciudad-peruana-de-jauja-</x:v>
      </x:c>
      <x:c r="M2231" s="1" t="n">
        <x:v>0</x:v>
      </x:c>
    </x:row>
    <x:row r="2232" ht="18.75" customHeight="1">
      <x:c r="A2232" s="1" t="str">
        <x:v>https://blog.skyairline.com/equipaje-de-bodega/</x:v>
      </x:c>
      <x:c r="B2232" s="1" t="str">
        <x:v>medidas maletas sky airline</x:v>
      </x:c>
      <x:c r="C2232" s="1" t="str">
        <x:v>chl</x:v>
      </x:c>
      <x:c r="D2232" s="1" t="str">
        <x:v>Marca</x:v>
      </x:c>
      <x:c r="E2232" s="35" t="n">
        <x:v>1</x:v>
      </x:c>
      <x:c r="F2232" s="36"/>
      <x:c r="G2232" s="36" t="str">
        <x:f>IF(ISNUMBER(F2232),E2232*F2232,"")</x:f>
      </x:c>
      <x:c r="H2232" s="37"/>
      <x:c r="I2232" s="37"/>
      <x:c r="J2232" s="1" t="n">
        <x:f>IF(ISNUMBER(F2232),E2232,0)</x:f>
        <x:v>0</x:v>
      </x:c>
      <x:c r="K2232" s="1"/>
      <x:c r="L2232" s="1" t="str">
        <x:v>https://blog.skyairline.com/que-sacer-en-sao-paulo/</x:v>
      </x:c>
      <x:c r="M2232" s="1" t="n">
        <x:v>0</x:v>
      </x:c>
    </x:row>
    <x:row r="2233" ht="18.75" customHeight="1">
      <x:c r="A2233" s="1" t="str">
        <x:v>https://blog.skyairline.com/equipaje-de-bodega/</x:v>
      </x:c>
      <x:c r="B2233" s="1" t="str">
        <x:v>medidas maletas sky airline</x:v>
      </x:c>
      <x:c r="C2233" s="1" t="str">
        <x:v>esp</x:v>
      </x:c>
      <x:c r="D2233" s="1" t="str">
        <x:v>Marca</x:v>
      </x:c>
      <x:c r="E2233" s="35" t="n">
        <x:v>1</x:v>
      </x:c>
      <x:c r="F2233" s="36"/>
      <x:c r="G2233" s="36" t="str">
        <x:f>IF(ISNUMBER(F2233),E2233*F2233,"")</x:f>
      </x:c>
      <x:c r="H2233" s="37"/>
      <x:c r="I2233" s="37"/>
      <x:c r="J2233" s="1" t="n">
        <x:f>IF(ISNUMBER(F2233),E2233,0)</x:f>
        <x:v>0</x:v>
      </x:c>
      <x:c r="K2233" s="1"/>
      <x:c r="L2233" s="1" t="str">
        <x:v>https://blog.skyairline.com/que-se-puede-hacer-durante-l-vuelo/</x:v>
      </x:c>
      <x:c r="M2233" s="1" t="n">
        <x:v>0</x:v>
      </x:c>
    </x:row>
    <x:row r="2234" ht="18.75" customHeight="1">
      <x:c r="A2234" s="1" t="str">
        <x:v>https://blog.skyairline.com/equipaje-de-bodega/</x:v>
      </x:c>
      <x:c r="B2234" s="1" t="str">
        <x:v>medidas mochila avion</x:v>
      </x:c>
      <x:c r="C2234" s="1" t="str">
        <x:v>chl</x:v>
      </x:c>
      <x:c r="D2234" s="1" t="str">
        <x:v>Sin marca</x:v>
      </x:c>
      <x:c r="E2234" s="35" t="n">
        <x:v>1</x:v>
      </x:c>
      <x:c r="F2234" s="36"/>
      <x:c r="G2234" s="36" t="str">
        <x:f>IF(ISNUMBER(F2234),E2234*F2234,"")</x:f>
      </x:c>
      <x:c r="H2234" s="37"/>
      <x:c r="I2234" s="37"/>
      <x:c r="J2234" s="1" t="n">
        <x:f>IF(ISNUMBER(F2234),E2234,0)</x:f>
        <x:v>0</x:v>
      </x:c>
      <x:c r="K2234" s="1"/>
      <x:c r="L2234" s="1" t="str">
        <x:v>https://blog.skyairline.com/que-se-puede-hacer-durante-vuelo/</x:v>
      </x:c>
      <x:c r="M2234" s="1" t="n">
        <x:v>0</x:v>
      </x:c>
    </x:row>
    <x:row r="2235" ht="18.75" customHeight="1">
      <x:c r="A2235" s="1" t="str">
        <x:v>https://blog.skyairline.com/equipaje-de-bodega/</x:v>
      </x:c>
      <x:c r="B2235" s="1" t="str">
        <x:v>medidas mochila avion sky</x:v>
      </x:c>
      <x:c r="C2235" s="1" t="str">
        <x:v>chl</x:v>
      </x:c>
      <x:c r="D2235" s="1" t="str">
        <x:v>Marca</x:v>
      </x:c>
      <x:c r="E2235" s="35" t="n">
        <x:v>1</x:v>
      </x:c>
      <x:c r="F2235" s="36" t="n">
        <x:v>0.18</x:v>
      </x:c>
      <x:c r="G2235" s="36" t="n">
        <x:f>IF(ISNUMBER(F2235),E2235*F2235,"")</x:f>
        <x:v>0.18</x:v>
      </x:c>
      <x:c r="H2235" s="37" t="d">
        <x:v>2026-10-15T00:00:00.000Z</x:v>
      </x:c>
      <x:c r="I2235" s="37" t="d">
        <x:v>2026-09-15T15:42:54.999Z</x:v>
      </x:c>
      <x:c r="J2235" s="1" t="n">
        <x:f>IF(ISNUMBER(F2235),E2235,0)</x:f>
        <x:v>1</x:v>
      </x:c>
      <x:c r="K2235" s="1"/>
      <x:c r="L2235" s="1" t="str">
        <x:v>https://blog.skyairline.com/que-tienen-en-comun-los-lugares-turisticos-al-norte-de-chile/</x:v>
      </x:c>
      <x:c r="M2235" s="1" t="n">
        <x:v>0</x:v>
      </x:c>
    </x:row>
    <x:row r="2236" ht="18.75" customHeight="1">
      <x:c r="A2236" s="1" t="str">
        <x:v>https://blog.skyairline.com/equipaje-de-bodega/</x:v>
      </x:c>
      <x:c r="B2236" s="1" t="str">
        <x:v>medidas mochila sky</x:v>
      </x:c>
      <x:c r="C2236" s="1" t="str">
        <x:v>ury</x:v>
      </x:c>
      <x:c r="D2236" s="1" t="str">
        <x:v>Marca</x:v>
      </x:c>
      <x:c r="E2236" s="35" t="n">
        <x:v>1</x:v>
      </x:c>
      <x:c r="F2236" s="36"/>
      <x:c r="G2236" s="36" t="str">
        <x:f>IF(ISNUMBER(F2236),E2236*F2236,"")</x:f>
      </x:c>
      <x:c r="H2236" s="37"/>
      <x:c r="I2236" s="37"/>
      <x:c r="J2236" s="1" t="n">
        <x:f>IF(ISNUMBER(F2236),E2236,0)</x:f>
        <x:v>0</x:v>
      </x:c>
      <x:c r="K2236" s="1"/>
      <x:c r="L2236" s="1" t="str">
        <x:v>https://blog.skyairline.com/que-visitar-en-antofagasta/</x:v>
      </x:c>
      <x:c r="M2236" s="1" t="n">
        <x:v>0</x:v>
      </x:c>
    </x:row>
    <x:row r="2237" ht="18.75" customHeight="1">
      <x:c r="A2237" s="1" t="str">
        <x:v>https://blog.skyairline.com/equipaje-de-bodega/</x:v>
      </x:c>
      <x:c r="B2237" s="1" t="str">
        <x:v>medidas mochilas avion</x:v>
      </x:c>
      <x:c r="C2237" s="1" t="str">
        <x:v>chl</x:v>
      </x:c>
      <x:c r="D2237" s="1" t="str">
        <x:v>Sin marca</x:v>
      </x:c>
      <x:c r="E2237" s="35" t="n">
        <x:v>1</x:v>
      </x:c>
      <x:c r="F2237" s="36"/>
      <x:c r="G2237" s="36" t="str">
        <x:f>IF(ISNUMBER(F2237),E2237*F2237,"")</x:f>
      </x:c>
      <x:c r="H2237" s="37"/>
      <x:c r="I2237" s="37"/>
      <x:c r="J2237" s="1" t="n">
        <x:f>IF(ISNUMBER(F2237),E2237,0)</x:f>
        <x:v>0</x:v>
      </x:c>
      <x:c r="K2237" s="1"/>
      <x:c r="L2237" s="1" t="str">
        <x:v>https://blog.skyairline.com/que-visitar-en-tarapoto/</x:v>
      </x:c>
      <x:c r="M2237" s="1" t="n">
        <x:v>0</x:v>
      </x:c>
    </x:row>
    <x:row r="2238" ht="18.75" customHeight="1">
      <x:c r="A2238" s="1" t="str">
        <x:v>https://blog.skyairline.com/equipaje-de-bodega/</x:v>
      </x:c>
      <x:c r="B2238" s="1" t="str">
        <x:v>medidas para maleta de 10 kilos</x:v>
      </x:c>
      <x:c r="C2238" s="1" t="str">
        <x:v>chl</x:v>
      </x:c>
      <x:c r="D2238" s="1" t="str">
        <x:v>Sin marca</x:v>
      </x:c>
      <x:c r="E2238" s="35" t="n">
        <x:v>1</x:v>
      </x:c>
      <x:c r="F2238" s="36"/>
      <x:c r="G2238" s="36" t="str">
        <x:f>IF(ISNUMBER(F2238),E2238*F2238,"")</x:f>
      </x:c>
      <x:c r="H2238" s="37"/>
      <x:c r="I2238" s="37"/>
      <x:c r="J2238" s="1" t="n">
        <x:f>IF(ISNUMBER(F2238),E2238,0)</x:f>
        <x:v>0</x:v>
      </x:c>
      <x:c r="K2238" s="1"/>
      <x:c r="L2238" s="1" t="str">
        <x:v>https://blog.skyairline.com/que-visitar-en-uruguay/</x:v>
      </x:c>
      <x:c r="M2238" s="1" t="n">
        <x:v>0</x:v>
      </x:c>
    </x:row>
    <x:row r="2239" ht="18.75" customHeight="1">
      <x:c r="A2239" s="1" t="str">
        <x:v>https://blog.skyairline.com/equipaje-de-bodega/</x:v>
      </x:c>
      <x:c r="B2239" s="1" t="str">
        <x:v>medidas sky</x:v>
      </x:c>
      <x:c r="C2239" s="1" t="str">
        <x:v>ury</x:v>
      </x:c>
      <x:c r="D2239" s="1" t="str">
        <x:v>Marca</x:v>
      </x:c>
      <x:c r="E2239" s="35" t="n">
        <x:v>1</x:v>
      </x:c>
      <x:c r="F2239" s="36"/>
      <x:c r="G2239" s="36" t="str">
        <x:f>IF(ISNUMBER(F2239),E2239*F2239,"")</x:f>
      </x:c>
      <x:c r="H2239" s="37"/>
      <x:c r="I2239" s="37"/>
      <x:c r="J2239" s="1" t="n">
        <x:f>IF(ISNUMBER(F2239),E2239,0)</x:f>
        <x:v>0</x:v>
      </x:c>
      <x:c r="K2239" s="1"/>
      <x:c r="L2239" s="1" t="str">
        <x:v>https://blog.skyairline.com/que-visitar-montevideo/</x:v>
      </x:c>
      <x:c r="M2239" s="1" t="n">
        <x:v>0</x:v>
      </x:c>
    </x:row>
    <x:row r="2240" ht="18.75" customHeight="1">
      <x:c r="A2240" s="1" t="str">
        <x:v>https://blog.skyairline.com/equipaje-de-bodega/</x:v>
      </x:c>
      <x:c r="B2240" s="1" t="str">
        <x:v>medidas sky bolso de mano</x:v>
      </x:c>
      <x:c r="C2240" s="1" t="str">
        <x:v>chl</x:v>
      </x:c>
      <x:c r="D2240" s="1" t="str">
        <x:v>Marca</x:v>
      </x:c>
      <x:c r="E2240" s="35" t="n">
        <x:v>1</x:v>
      </x:c>
      <x:c r="F2240" s="36"/>
      <x:c r="G2240" s="36" t="str">
        <x:f>IF(ISNUMBER(F2240),E2240*F2240,"")</x:f>
      </x:c>
      <x:c r="H2240" s="37"/>
      <x:c r="I2240" s="37"/>
      <x:c r="J2240" s="1" t="n">
        <x:f>IF(ISNUMBER(F2240),E2240,0)</x:f>
        <x:v>0</x:v>
      </x:c>
      <x:c r="K2240" s="1"/>
      <x:c r="L2240" s="1" t="str">
        <x:v>https://blog.skyairline.com/quince-recomendaciones-para-viajar-con-ninos-sin-contratiempos/</x:v>
      </x:c>
      <x:c r="M2240" s="1" t="n">
        <x:v>0</x:v>
      </x:c>
    </x:row>
    <x:row r="2241" ht="18.75" customHeight="1">
      <x:c r="A2241" s="1" t="str">
        <x:v>https://blog.skyairline.com/equipaje-de-bodega/</x:v>
      </x:c>
      <x:c r="B2241" s="1" t="str">
        <x:v>medidas sky bolso de mano</x:v>
      </x:c>
      <x:c r="C2241" s="1" t="str">
        <x:v>per</x:v>
      </x:c>
      <x:c r="D2241" s="1" t="str">
        <x:v>Marca</x:v>
      </x:c>
      <x:c r="E2241" s="35" t="n">
        <x:v>1</x:v>
      </x:c>
      <x:c r="F2241" s="36"/>
      <x:c r="G2241" s="36" t="str">
        <x:f>IF(ISNUMBER(F2241),E2241*F2241,"")</x:f>
      </x:c>
      <x:c r="H2241" s="37"/>
      <x:c r="I2241" s="37"/>
      <x:c r="J2241" s="1" t="n">
        <x:f>IF(ISNUMBER(F2241),E2241,0)</x:f>
        <x:v>0</x:v>
      </x:c>
      <x:c r="K2241" s="1"/>
      <x:c r="L2241" s="1" t="str">
        <x:v>https://blog.skyairline.com/radiografia-de-nuestros-pasajeros-chile/</x:v>
      </x:c>
      <x:c r="M2241" s="1" t="n">
        <x:v>0</x:v>
      </x:c>
    </x:row>
    <x:row r="2242" ht="18.75" customHeight="1">
      <x:c r="A2242" s="1" t="str">
        <x:v>https://blog.skyairline.com/equipaje-de-bodega/</x:v>
      </x:c>
      <x:c r="B2242" s="1" t="str">
        <x:v>medidas sky equipaje de mano</x:v>
      </x:c>
      <x:c r="C2242" s="1" t="str">
        <x:v>ury</x:v>
      </x:c>
      <x:c r="D2242" s="1" t="str">
        <x:v>Marca</x:v>
      </x:c>
      <x:c r="E2242" s="35" t="n">
        <x:v>1</x:v>
      </x:c>
      <x:c r="F2242" s="36"/>
      <x:c r="G2242" s="36" t="str">
        <x:f>IF(ISNUMBER(F2242),E2242*F2242,"")</x:f>
      </x:c>
      <x:c r="H2242" s="37"/>
      <x:c r="I2242" s="37"/>
      <x:c r="J2242" s="1" t="n">
        <x:f>IF(ISNUMBER(F2242),E2242,0)</x:f>
        <x:v>0</x:v>
      </x:c>
      <x:c r="K2242" s="1"/>
      <x:c r="L2242" s="1" t="str">
        <x:v>https://blog.skyairline.com/radiografia-del-pasajero-de-sky-airline/</x:v>
      </x:c>
      <x:c r="M2242" s="1" t="n">
        <x:v>0</x:v>
      </x:c>
    </x:row>
    <x:row r="2243" ht="18.75" customHeight="1">
      <x:c r="A2243" s="1" t="str">
        <x:v>https://blog.skyairline.com/equipaje-de-bodega/</x:v>
      </x:c>
      <x:c r="B2243" s="1" t="str">
        <x:v>mochila de mano sky medidas</x:v>
      </x:c>
      <x:c r="C2243" s="1" t="str">
        <x:v>chl</x:v>
      </x:c>
      <x:c r="D2243" s="1" t="str">
        <x:v>Marca</x:v>
      </x:c>
      <x:c r="E2243" s="35" t="n">
        <x:v>1</x:v>
      </x:c>
      <x:c r="F2243" s="36"/>
      <x:c r="G2243" s="36" t="str">
        <x:f>IF(ISNUMBER(F2243),E2243*F2243,"")</x:f>
      </x:c>
      <x:c r="H2243" s="37"/>
      <x:c r="I2243" s="37"/>
      <x:c r="J2243" s="1" t="n">
        <x:f>IF(ISNUMBER(F2243),E2243,0)</x:f>
        <x:v>0</x:v>
      </x:c>
      <x:c r="K2243" s="1"/>
      <x:c r="L2243" s="1" t="str">
        <x:v>https://blog.skyairline.com/recibimos-el-sello-de-reduccion-de-huella-de-carbono-organizacional/</x:v>
      </x:c>
      <x:c r="M2243" s="1" t="n">
        <x:v>0</x:v>
      </x:c>
    </x:row>
    <x:row r="2244" ht="18.75" customHeight="1">
      <x:c r="A2244" s="1" t="str">
        <x:v>https://blog.skyairline.com/equipaje-de-bodega/</x:v>
      </x:c>
      <x:c r="B2244" s="1" t="str">
        <x:v>mochila sky airlines</x:v>
      </x:c>
      <x:c r="C2244" s="1" t="str">
        <x:v>chl</x:v>
      </x:c>
      <x:c r="D2244" s="1" t="str">
        <x:v>Marca</x:v>
      </x:c>
      <x:c r="E2244" s="35" t="n">
        <x:v>1</x:v>
      </x:c>
      <x:c r="F2244" s="36"/>
      <x:c r="G2244" s="36" t="str">
        <x:f>IF(ISNUMBER(F2244),E2244*F2244,"")</x:f>
      </x:c>
      <x:c r="H2244" s="37" t="d">
        <x:v>2026-10-15T00:00:00.000Z</x:v>
      </x:c>
      <x:c r="I2244" s="37" t="d">
        <x:v>2026-09-14T10:59:28.000Z</x:v>
      </x:c>
      <x:c r="J2244" s="1" t="n">
        <x:f>IF(ISNUMBER(F2244),E2244,0)</x:f>
        <x:v>0</x:v>
      </x:c>
      <x:c r="K2244" s="1"/>
      <x:c r="L2244" s="1" t="str">
        <x:v>https://blog.skyairline.com/reciclaje/</x:v>
      </x:c>
      <x:c r="M2244" s="1" t="n">
        <x:v>0</x:v>
      </x:c>
    </x:row>
    <x:row r="2245" ht="18.75" customHeight="1">
      <x:c r="A2245" s="1" t="str">
        <x:v>https://blog.skyairline.com/equipaje-de-bodega/</x:v>
      </x:c>
      <x:c r="B2245" s="1" t="str">
        <x:v>mochila sky airlines</x:v>
      </x:c>
      <x:c r="C2245" s="1" t="str">
        <x:v>per</x:v>
      </x:c>
      <x:c r="D2245" s="1" t="str">
        <x:v>Marca</x:v>
      </x:c>
      <x:c r="E2245" s="35" t="n">
        <x:v>1</x:v>
      </x:c>
      <x:c r="F2245" s="36"/>
      <x:c r="G2245" s="36" t="str">
        <x:f>IF(ISNUMBER(F2245),E2245*F2245,"")</x:f>
      </x:c>
      <x:c r="H2245" s="37" t="d">
        <x:v>2026-10-15T00:00:00.000Z</x:v>
      </x:c>
      <x:c r="I2245" s="37" t="d">
        <x:v>2026-09-14T12:01:34.000Z</x:v>
      </x:c>
      <x:c r="J2245" s="1" t="n">
        <x:f>IF(ISNUMBER(F2245),E2245,0)</x:f>
        <x:v>0</x:v>
      </x:c>
      <x:c r="K2245" s="1"/>
      <x:c r="L2245" s="1" t="str">
        <x:v>https://blog.skyairline.com/record-guinned-viajes/</x:v>
      </x:c>
      <x:c r="M2245" s="1" t="n">
        <x:v>0</x:v>
      </x:c>
    </x:row>
    <x:row r="2246" ht="18.75" customHeight="1">
      <x:c r="A2246" s="1" t="str">
        <x:v>https://blog.skyairline.com/equipaje-de-bodega/</x:v>
      </x:c>
      <x:c r="B2246" s="1" t="str">
        <x:v>mochila sky medidas</x:v>
      </x:c>
      <x:c r="C2246" s="1" t="str">
        <x:v>chl</x:v>
      </x:c>
      <x:c r="D2246" s="1" t="str">
        <x:v>Marca</x:v>
      </x:c>
      <x:c r="E2246" s="35" t="n">
        <x:v>1</x:v>
      </x:c>
      <x:c r="F2246" s="36"/>
      <x:c r="G2246" s="36" t="str">
        <x:f>IF(ISNUMBER(F2246),E2246*F2246,"")</x:f>
      </x:c>
      <x:c r="H2246" s="37"/>
      <x:c r="I2246" s="37"/>
      <x:c r="J2246" s="1" t="n">
        <x:f>IF(ISNUMBER(F2246),E2246,0)</x:f>
        <x:v>0</x:v>
      </x:c>
      <x:c r="K2246" s="1"/>
      <x:c r="L2246" s="1" t="str">
        <x:v>https://blog.skyairline.com/record-guinness-viajes/</x:v>
      </x:c>
      <x:c r="M2246" s="1" t="n">
        <x:v>0</x:v>
      </x:c>
    </x:row>
    <x:row r="2247" ht="18.75" customHeight="1">
      <x:c r="A2247" s="1" t="str">
        <x:v>https://blog.skyairline.com/equipaje-de-bodega/</x:v>
      </x:c>
      <x:c r="B2247" s="1" t="str">
        <x:v>mochila sky medidas</x:v>
      </x:c>
      <x:c r="C2247" s="1" t="str">
        <x:v>ury</x:v>
      </x:c>
      <x:c r="D2247" s="1" t="str">
        <x:v>Marca</x:v>
      </x:c>
      <x:c r="E2247" s="35" t="n">
        <x:v>1</x:v>
      </x:c>
      <x:c r="F2247" s="36"/>
      <x:c r="G2247" s="36" t="str">
        <x:f>IF(ISNUMBER(F2247),E2247*F2247,"")</x:f>
      </x:c>
      <x:c r="H2247" s="37"/>
      <x:c r="I2247" s="37"/>
      <x:c r="J2247" s="1" t="n">
        <x:f>IF(ISNUMBER(F2247),E2247,0)</x:f>
        <x:v>0</x:v>
      </x:c>
      <x:c r="K2247" s="1"/>
      <x:c r="L2247" s="1" t="str">
        <x:v>https://blog.skyairline.com/recorrido-por-ocean-drive-conoce-la-calle-mas-famosa-de</x:v>
      </x:c>
      <x:c r="M2247" s="1" t="n">
        <x:v>0</x:v>
      </x:c>
    </x:row>
    <x:row r="2248" ht="18.75" customHeight="1">
      <x:c r="A2248" s="1" t="str">
        <x:v>https://blog.skyairline.com/equipaje-de-bodega/</x:v>
      </x:c>
      <x:c r="B2248" s="1" t="str">
        <x:v>objetos prohibidos en equipaje de mano sky</x:v>
      </x:c>
      <x:c r="C2248" s="1" t="str">
        <x:v>arg</x:v>
      </x:c>
      <x:c r="D2248" s="1" t="str">
        <x:v>Marca</x:v>
      </x:c>
      <x:c r="E2248" s="35" t="n">
        <x:v>1</x:v>
      </x:c>
      <x:c r="F2248" s="36"/>
      <x:c r="G2248" s="36" t="str">
        <x:f>IF(ISNUMBER(F2248),E2248*F2248,"")</x:f>
      </x:c>
      <x:c r="H2248" s="37"/>
      <x:c r="I2248" s="37"/>
      <x:c r="J2248" s="1" t="n">
        <x:f>IF(ISNUMBER(F2248),E2248,0)</x:f>
        <x:v>0</x:v>
      </x:c>
      <x:c r="K2248" s="1"/>
      <x:c r="L2248" s="1" t="str">
        <x:v>https://blog.skyairline.com/recorridos-virtuales/</x:v>
      </x:c>
      <x:c r="M2248" s="1" t="n">
        <x:v>0</x:v>
      </x:c>
    </x:row>
    <x:row r="2249" ht="18.75" customHeight="1">
      <x:c r="A2249" s="1" t="str">
        <x:v>https://blog.skyairline.com/equipaje-de-bodega/</x:v>
      </x:c>
      <x:c r="B2249" s="1" t="str">
        <x:v>peso de equipaje en avion</x:v>
      </x:c>
      <x:c r="C2249" s="1" t="str">
        <x:v>chl</x:v>
      </x:c>
      <x:c r="D2249" s="1" t="str">
        <x:v>Sin marca</x:v>
      </x:c>
      <x:c r="E2249" s="35" t="n">
        <x:v>1</x:v>
      </x:c>
      <x:c r="F2249" s="36"/>
      <x:c r="G2249" s="36" t="str">
        <x:f>IF(ISNUMBER(F2249),E2249*F2249,"")</x:f>
      </x:c>
      <x:c r="H2249" s="37"/>
      <x:c r="I2249" s="37"/>
      <x:c r="J2249" s="1" t="n">
        <x:f>IF(ISNUMBER(F2249),E2249,0)</x:f>
        <x:v>0</x:v>
      </x:c>
      <x:c r="K2249" s="1"/>
      <x:c r="L2249" s="1" t="str">
        <x:v>https://blog.skyairline.com/redescubre-la-selva-y-la-amazonia-del-peru-con-sky/</x:v>
      </x:c>
      <x:c r="M2249" s="1" t="n">
        <x:v>0</x:v>
      </x:c>
    </x:row>
    <x:row r="2250" ht="18.75" customHeight="1">
      <x:c r="A2250" s="1" t="str">
        <x:v>https://blog.skyairline.com/equipaje-de-bodega/</x:v>
      </x:c>
      <x:c r="B2250" s="1" t="str">
        <x:v>peso equipaje de mano</x:v>
      </x:c>
      <x:c r="C2250" s="1" t="str">
        <x:v>chl</x:v>
      </x:c>
      <x:c r="D2250" s="1" t="str">
        <x:v>Sin marca</x:v>
      </x:c>
      <x:c r="E2250" s="35" t="n">
        <x:v>1</x:v>
      </x:c>
      <x:c r="F2250" s="36"/>
      <x:c r="G2250" s="36" t="str">
        <x:f>IF(ISNUMBER(F2250),E2250*F2250,"")</x:f>
      </x:c>
      <x:c r="H2250" s="37" t="d">
        <x:v>2026-10-15T00:00:00.000Z</x:v>
      </x:c>
      <x:c r="I2250" s="37" t="d">
        <x:v>2026-09-14T22:35:21.000Z</x:v>
      </x:c>
      <x:c r="J2250" s="1" t="n">
        <x:f>IF(ISNUMBER(F2250),E2250,0)</x:f>
        <x:v>0</x:v>
      </x:c>
      <x:c r="K2250" s="1"/>
      <x:c r="L2250" s="1" t="str">
        <x:v>https://blog.skyairline.com/region-de-arica-4-lugares-escondidos-que-no-todo-tourista-conoce/</x:v>
      </x:c>
      <x:c r="M2250" s="1" t="n">
        <x:v>0</x:v>
      </x:c>
    </x:row>
    <x:row r="2251" ht="18.75" customHeight="1">
      <x:c r="A2251" s="1" t="str">
        <x:v>https://blog.skyairline.com/equipaje-de-bodega/</x:v>
      </x:c>
      <x:c r="B2251" s="1" t="str">
        <x:v>peso maleta de bodega</x:v>
      </x:c>
      <x:c r="C2251" s="1" t="str">
        <x:v>chl</x:v>
      </x:c>
      <x:c r="D2251" s="1" t="str">
        <x:v>Sin marca</x:v>
      </x:c>
      <x:c r="E2251" s="35" t="n">
        <x:v>1</x:v>
      </x:c>
      <x:c r="F2251" s="36"/>
      <x:c r="G2251" s="36" t="str">
        <x:f>IF(ISNUMBER(F2251),E2251*F2251,"")</x:f>
      </x:c>
      <x:c r="H2251" s="37"/>
      <x:c r="I2251" s="37"/>
      <x:c r="J2251" s="1" t="n">
        <x:f>IF(ISNUMBER(F2251),E2251,0)</x:f>
        <x:v>0</x:v>
      </x:c>
      <x:c r="K2251" s="1"/>
      <x:c r="L2251" s="1" t="str">
        <x:v>https://blog.skyairline.com/region-de-arica-4-lugares-escondidos-que-no-todo-turista-conocido/</x:v>
      </x:c>
      <x:c r="M2251" s="1" t="n">
        <x:v>0</x:v>
      </x:c>
    </x:row>
    <x:row r="2252" ht="18.75" customHeight="1">
      <x:c r="A2252" s="1" t="str">
        <x:v>https://blog.skyairline.com/equipaje-de-bodega/</x:v>
      </x:c>
      <x:c r="B2252" s="1" t="str">
        <x:v>peso maleta de cabina</x:v>
      </x:c>
      <x:c r="C2252" s="1" t="str">
        <x:v>chl</x:v>
      </x:c>
      <x:c r="D2252" s="1" t="str">
        <x:v>Sin marca</x:v>
      </x:c>
      <x:c r="E2252" s="35" t="n">
        <x:v>1</x:v>
      </x:c>
      <x:c r="F2252" s="36"/>
      <x:c r="G2252" s="36" t="str">
        <x:f>IF(ISNUMBER(F2252),E2252*F2252,"")</x:f>
      </x:c>
      <x:c r="H2252" s="37"/>
      <x:c r="I2252" s="37"/>
      <x:c r="J2252" s="1" t="n">
        <x:f>IF(ISNUMBER(F2252),E2252,0)</x:f>
        <x:v>0</x:v>
      </x:c>
      <x:c r="K2252" s="1"/>
      <x:c r="L2252" s="1" t="str">
        <x:v>https://blog.skyairline.com/region-de-arica-4-lugares-escondidos-que-notodo-turista-conoce/</x:v>
      </x:c>
      <x:c r="M2252" s="1" t="n">
        <x:v>0</x:v>
      </x:c>
    </x:row>
    <x:row r="2253" ht="18.75" customHeight="1">
      <x:c r="A2253" s="1" t="str">
        <x:v>https://blog.skyairline.com/equipaje-de-bodega/</x:v>
      </x:c>
      <x:c r="B2253" s="1" t="str">
        <x:v>puedo llevar cartera y mochila en el avion</x:v>
      </x:c>
      <x:c r="C2253" s="1" t="str">
        <x:v>chl</x:v>
      </x:c>
      <x:c r="D2253" s="1" t="str">
        <x:v>Sin marca</x:v>
      </x:c>
      <x:c r="E2253" s="35" t="n">
        <x:v>1</x:v>
      </x:c>
      <x:c r="F2253" s="36"/>
      <x:c r="G2253" s="36" t="str">
        <x:f>IF(ISNUMBER(F2253),E2253*F2253,"")</x:f>
      </x:c>
      <x:c r="H2253" s="37"/>
      <x:c r="I2253" s="37"/>
      <x:c r="J2253" s="1" t="n">
        <x:f>IF(ISNUMBER(F2253),E2253,0)</x:f>
        <x:v>0</x:v>
      </x:c>
      <x:c r="K2253" s="1"/>
      <x:c r="L2253" s="1" t="str">
        <x:v>https://blog.skyairline.com/reglas-sobre-liquidos-en-avion-que-debes-conocer/</x:v>
      </x:c>
      <x:c r="M2253" s="1" t="n">
        <x:v>0</x:v>
      </x:c>
    </x:row>
    <x:row r="2254" ht="18.75" customHeight="1">
      <x:c r="A2254" s="1" t="str">
        <x:v>https://blog.skyairline.com/equipaje-de-bodega/</x:v>
      </x:c>
      <x:c r="B2254" s="1" t="str">
        <x:v>que es equipaje de mano en sky</x:v>
      </x:c>
      <x:c r="C2254" s="1" t="str">
        <x:v>per</x:v>
      </x:c>
      <x:c r="D2254" s="1" t="str">
        <x:v>Marca</x:v>
      </x:c>
      <x:c r="E2254" s="35" t="n">
        <x:v>1</x:v>
      </x:c>
      <x:c r="F2254" s="36"/>
      <x:c r="G2254" s="36" t="str">
        <x:f>IF(ISNUMBER(F2254),E2254*F2254,"")</x:f>
      </x:c>
      <x:c r="H2254" s="37"/>
      <x:c r="I2254" s="37"/>
      <x:c r="J2254" s="1" t="n">
        <x:f>IF(ISNUMBER(F2254),E2254,0)</x:f>
        <x:v>0</x:v>
      </x:c>
      <x:c r="K2254" s="1"/>
      <x:c r="L2254" s="1" t="str">
        <x:v>https://blog.skyairline.com/relajarse-antes-de-viajar/</x:v>
      </x:c>
      <x:c r="M2254" s="1" t="n">
        <x:v>0</x:v>
      </x:c>
    </x:row>
    <x:row r="2255" ht="18.75" customHeight="1">
      <x:c r="A2255" s="1" t="str">
        <x:v>https://blog.skyairline.com/equipaje-de-bodega/</x:v>
      </x:c>
      <x:c r="B2255" s="1" t="str">
        <x:v>que no se puede llevar en el equipaje de bodega</x:v>
      </x:c>
      <x:c r="C2255" s="1" t="str">
        <x:v>per</x:v>
      </x:c>
      <x:c r="D2255" s="1" t="str">
        <x:v>Sin marca</x:v>
      </x:c>
      <x:c r="E2255" s="35" t="n">
        <x:v>1</x:v>
      </x:c>
      <x:c r="F2255" s="36"/>
      <x:c r="G2255" s="36" t="str">
        <x:f>IF(ISNUMBER(F2255),E2255*F2255,"")</x:f>
      </x:c>
      <x:c r="H2255" s="37" t="d">
        <x:v>2026-10-15T00:00:00.000Z</x:v>
      </x:c>
      <x:c r="I2255" s="37" t="d">
        <x:v>2026-09-12T21:43:17.000Z</x:v>
      </x:c>
      <x:c r="J2255" s="1" t="n">
        <x:f>IF(ISNUMBER(F2255),E2255,0)</x:f>
        <x:v>0</x:v>
      </x:c>
      <x:c r="K2255" s="1"/>
      <x:c r="L2255" s="1" t="str">
        <x:v>https://blog.skyairline.com/republica-dominicana-capital/</x:v>
      </x:c>
      <x:c r="M2255" s="1" t="n">
        <x:v>0</x:v>
      </x:c>
    </x:row>
    <x:row r="2256" ht="18.75" customHeight="1">
      <x:c r="A2256" s="1" t="str">
        <x:v>https://blog.skyairline.com/equipaje-de-bodega/</x:v>
      </x:c>
      <x:c r="B2256" s="1" t="str">
        <x:v>que puedo llevar en la maleta de 23 kilos</x:v>
      </x:c>
      <x:c r="C2256" s="1" t="str">
        <x:v>chl</x:v>
      </x:c>
      <x:c r="D2256" s="1" t="str">
        <x:v>Sin marca</x:v>
      </x:c>
      <x:c r="E2256" s="35" t="n">
        <x:v>1</x:v>
      </x:c>
      <x:c r="F2256" s="36"/>
      <x:c r="G2256" s="36" t="str">
        <x:f>IF(ISNUMBER(F2256),E2256*F2256,"")</x:f>
      </x:c>
      <x:c r="H2256" s="37"/>
      <x:c r="I2256" s="37"/>
      <x:c r="J2256" s="1" t="n">
        <x:f>IF(ISNUMBER(F2256),E2256,0)</x:f>
        <x:v>0</x:v>
      </x:c>
      <x:c r="K2256" s="1"/>
      <x:c r="L2256" s="1" t="str">
        <x:v>https://blog.skyairline.com/requisitos-de-viaje-en-pandemia/</x:v>
      </x:c>
      <x:c r="M2256" s="1" t="n">
        <x:v>0</x:v>
      </x:c>
    </x:row>
    <x:row r="2257" ht="18.75" customHeight="1">
      <x:c r="A2257" s="1" t="str">
        <x:v>https://blog.skyairline.com/equipaje-de-bodega/</x:v>
      </x:c>
      <x:c r="B2257" s="1" t="str">
        <x:v>que puedo llevar en la maleta de bodega</x:v>
      </x:c>
      <x:c r="C2257" s="1" t="str">
        <x:v>chl</x:v>
      </x:c>
      <x:c r="D2257" s="1" t="str">
        <x:v>Sin marca</x:v>
      </x:c>
      <x:c r="E2257" s="35" t="n">
        <x:v>1</x:v>
      </x:c>
      <x:c r="F2257" s="36"/>
      <x:c r="G2257" s="36" t="str">
        <x:f>IF(ISNUMBER(F2257),E2257*F2257,"")</x:f>
      </x:c>
      <x:c r="H2257" s="37"/>
      <x:c r="I2257" s="37"/>
      <x:c r="J2257" s="1" t="n">
        <x:f>IF(ISNUMBER(F2257),E2257,0)</x:f>
        <x:v>0</x:v>
      </x:c>
      <x:c r="K2257" s="1"/>
      <x:c r="L2257" s="1" t="str">
        <x:v>https://blog.skyairline.com/requisitos-for-entrar-a-chile/</x:v>
      </x:c>
      <x:c r="M2257" s="1" t="n">
        <x:v>0</x:v>
      </x:c>
    </x:row>
    <x:row r="2258" ht="18.75" customHeight="1">
      <x:c r="A2258" s="1" t="str">
        <x:v>https://blog.skyairline.com/equipaje-de-bodega/</x:v>
      </x:c>
      <x:c r="B2258" s="1" t="str">
        <x:v>que se permite en el equipaje de mano</x:v>
      </x:c>
      <x:c r="C2258" s="1" t="str">
        <x:v>chl</x:v>
      </x:c>
      <x:c r="D2258" s="1" t="str">
        <x:v>Sin marca</x:v>
      </x:c>
      <x:c r="E2258" s="35" t="n">
        <x:v>1</x:v>
      </x:c>
      <x:c r="F2258" s="36"/>
      <x:c r="G2258" s="36" t="str">
        <x:f>IF(ISNUMBER(F2258),E2258*F2258,"")</x:f>
      </x:c>
      <x:c r="H2258" s="37"/>
      <x:c r="I2258" s="37"/>
      <x:c r="J2258" s="1" t="n">
        <x:f>IF(ISNUMBER(F2258),E2258,0)</x:f>
        <x:v>0</x:v>
      </x:c>
      <x:c r="K2258" s="1"/>
      <x:c r="L2258" s="1" t="str">
        <x:v>https://blog.skyairline.com/requisitos-para-entrar-a-chile</x:v>
      </x:c>
      <x:c r="M2258" s="1" t="n">
        <x:v>0</x:v>
      </x:c>
    </x:row>
    <x:row r="2259" ht="18.75" customHeight="1">
      <x:c r="A2259" s="1" t="str">
        <x:v>https://blog.skyairline.com/equipaje-de-bodega/</x:v>
      </x:c>
      <x:c r="B2259" s="1" t="str">
        <x:v>sky</x:v>
      </x:c>
      <x:c r="C2259" s="1" t="str">
        <x:v>per</x:v>
      </x:c>
      <x:c r="D2259" s="1" t="str">
        <x:v>Marca</x:v>
      </x:c>
      <x:c r="E2259" s="35" t="n">
        <x:v>1</x:v>
      </x:c>
      <x:c r="F2259" s="36" t="n">
        <x:v>0.16</x:v>
      </x:c>
      <x:c r="G2259" s="36" t="n">
        <x:f>IF(ISNUMBER(F2259),E2259*F2259,"")</x:f>
        <x:v>0.16</x:v>
      </x:c>
      <x:c r="H2259" s="37" t="d">
        <x:v>2026-10-15T00:00:00.000Z</x:v>
      </x:c>
      <x:c r="I2259" s="37" t="d">
        <x:v>2026-09-15T03:38:50.000Z</x:v>
      </x:c>
      <x:c r="J2259" s="1" t="n">
        <x:f>IF(ISNUMBER(F2259),E2259,0)</x:f>
        <x:v>1</x:v>
      </x:c>
      <x:c r="K2259" s="1"/>
      <x:c r="L2259" s="1" t="str">
        <x:v>https://blog.skyairline.com/requisitos-para-entrar-chile/</x:v>
      </x:c>
      <x:c r="M2259" s="1" t="n">
        <x:v>0</x:v>
      </x:c>
    </x:row>
    <x:row r="2260" ht="18.75" customHeight="1">
      <x:c r="A2260" s="1" t="str">
        <x:v>https://blog.skyairline.com/equipaje-de-bodega/</x:v>
      </x:c>
      <x:c r="B2260" s="1" t="str">
        <x:v>sky airline carry on</x:v>
      </x:c>
      <x:c r="C2260" s="1" t="str">
        <x:v>ury</x:v>
      </x:c>
      <x:c r="D2260" s="1" t="str">
        <x:v>Marca</x:v>
      </x:c>
      <x:c r="E2260" s="35" t="n">
        <x:v>1</x:v>
      </x:c>
      <x:c r="F2260" s="36"/>
      <x:c r="G2260" s="36" t="str">
        <x:f>IF(ISNUMBER(F2260),E2260*F2260,"")</x:f>
      </x:c>
      <x:c r="H2260" s="37"/>
      <x:c r="I2260" s="37"/>
      <x:c r="J2260" s="1" t="n">
        <x:f>IF(ISNUMBER(F2260),E2260,0)</x:f>
        <x:v>0</x:v>
      </x:c>
      <x:c r="K2260" s="1"/>
      <x:c r="L2260" s="1" t="str">
        <x:v>https://blog.skyairline.com/requisitos-para-viajar-a-mexico-desde-chile</x:v>
      </x:c>
      <x:c r="M2260" s="1" t="n">
        <x:v>0</x:v>
      </x:c>
    </x:row>
    <x:row r="2261" ht="18.75" customHeight="1">
      <x:c r="A2261" s="1" t="str">
        <x:v>https://blog.skyairline.com/equipaje-de-bodega/</x:v>
      </x:c>
      <x:c r="B2261" s="1" t="str">
        <x:v>sky airline equipaje</x:v>
      </x:c>
      <x:c r="C2261" s="1" t="str">
        <x:v>col</x:v>
      </x:c>
      <x:c r="D2261" s="1" t="str">
        <x:v>Marca</x:v>
      </x:c>
      <x:c r="E2261" s="35" t="n">
        <x:v>1</x:v>
      </x:c>
      <x:c r="F2261" s="36"/>
      <x:c r="G2261" s="36" t="str">
        <x:f>IF(ISNUMBER(F2261),E2261*F2261,"")</x:f>
      </x:c>
      <x:c r="H2261" s="37"/>
      <x:c r="I2261" s="37"/>
      <x:c r="J2261" s="1" t="n">
        <x:f>IF(ISNUMBER(F2261),E2261,0)</x:f>
        <x:v>0</x:v>
      </x:c>
      <x:c r="K2261" s="1"/>
      <x:c r="L2261" s="1" t="str">
        <x:v>https://blog.skyairline.com/requisitos-para-viajar-a-mexico/</x:v>
      </x:c>
      <x:c r="M2261" s="1" t="n">
        <x:v>0</x:v>
      </x:c>
    </x:row>
    <x:row r="2262" ht="18.75" customHeight="1">
      <x:c r="A2262" s="1" t="str">
        <x:v>https://blog.skyairline.com/equipaje-de-bodega/</x:v>
      </x:c>
      <x:c r="B2262" s="1" t="str">
        <x:v>sky airline equipaje</x:v>
      </x:c>
      <x:c r="C2262" s="1" t="str">
        <x:v>esp</x:v>
      </x:c>
      <x:c r="D2262" s="1" t="str">
        <x:v>Marca</x:v>
      </x:c>
      <x:c r="E2262" s="35" t="n">
        <x:v>1</x:v>
      </x:c>
      <x:c r="F2262" s="36"/>
      <x:c r="G2262" s="36" t="str">
        <x:f>IF(ISNUMBER(F2262),E2262*F2262,"")</x:f>
      </x:c>
      <x:c r="H2262" s="37"/>
      <x:c r="I2262" s="37"/>
      <x:c r="J2262" s="1" t="n">
        <x:f>IF(ISNUMBER(F2262),E2262,0)</x:f>
        <x:v>0</x:v>
      </x:c>
      <x:c r="K2262" s="1"/>
      <x:c r="L2262" s="1" t="str">
        <x:v>https://blog.skyairline.com/reserva-de-auto/</x:v>
      </x:c>
      <x:c r="M2262" s="1" t="n">
        <x:v>0</x:v>
      </x:c>
    </x:row>
    <x:row r="2263" ht="18.75" customHeight="1">
      <x:c r="A2263" s="1" t="str">
        <x:v>https://blog.skyairline.com/equipaje-de-bodega/</x:v>
      </x:c>
      <x:c r="B2263" s="1" t="str">
        <x:v>sky airline equipaje</x:v>
      </x:c>
      <x:c r="C2263" s="1" t="str">
        <x:v>mex</x:v>
      </x:c>
      <x:c r="D2263" s="1" t="str">
        <x:v>Marca</x:v>
      </x:c>
      <x:c r="E2263" s="35" t="n">
        <x:v>1</x:v>
      </x:c>
      <x:c r="F2263" s="36"/>
      <x:c r="G2263" s="36" t="str">
        <x:f>IF(ISNUMBER(F2263),E2263*F2263,"")</x:f>
      </x:c>
      <x:c r="H2263" s="37"/>
      <x:c r="I2263" s="37"/>
      <x:c r="J2263" s="1" t="n">
        <x:f>IF(ISNUMBER(F2263),E2263,0)</x:f>
        <x:v>0</x:v>
      </x:c>
      <x:c r="K2263" s="1"/>
      <x:c r="L2263" s="1" t="str">
        <x:v>https://blog.skyairline.com/reservar-hotel/</x:v>
      </x:c>
      <x:c r="M2263" s="1" t="n">
        <x:v>0</x:v>
      </x:c>
    </x:row>
    <x:row r="2264" ht="18.75" customHeight="1">
      <x:c r="A2264" s="1" t="str">
        <x:v>https://blog.skyairline.com/equipaje-de-bodega/</x:v>
      </x:c>
      <x:c r="B2264" s="1" t="str">
        <x:v>sky airline equipaje de mano</x:v>
      </x:c>
      <x:c r="C2264" s="1" t="str">
        <x:v>arg</x:v>
      </x:c>
      <x:c r="D2264" s="1" t="str">
        <x:v>Marca</x:v>
      </x:c>
      <x:c r="E2264" s="35" t="n">
        <x:v>1</x:v>
      </x:c>
      <x:c r="F2264" s="36"/>
      <x:c r="G2264" s="36" t="str">
        <x:f>IF(ISNUMBER(F2264),E2264*F2264,"")</x:f>
      </x:c>
      <x:c r="H2264" s="37"/>
      <x:c r="I2264" s="37"/>
      <x:c r="J2264" s="1" t="n">
        <x:f>IF(ISNUMBER(F2264),E2264,0)</x:f>
        <x:v>0</x:v>
      </x:c>
      <x:c r="K2264" s="1"/>
      <x:c r="L2264" s="1" t="str">
        <x:v>https://blog.skyairline.com/reservar-una-casa/</x:v>
      </x:c>
      <x:c r="M2264" s="1" t="n">
        <x:v>0</x:v>
      </x:c>
    </x:row>
    <x:row r="2265" ht="18.75" customHeight="1">
      <x:c r="A2265" s="1" t="str">
        <x:v>https://blog.skyairline.com/equipaje-de-bodega/</x:v>
      </x:c>
      <x:c r="B2265" s="1" t="str">
        <x:v>sky airline equipaje de mano</x:v>
      </x:c>
      <x:c r="C2265" s="1" t="str">
        <x:v>esp</x:v>
      </x:c>
      <x:c r="D2265" s="1" t="str">
        <x:v>Marca</x:v>
      </x:c>
      <x:c r="E2265" s="35" t="n">
        <x:v>1</x:v>
      </x:c>
      <x:c r="F2265" s="36"/>
      <x:c r="G2265" s="36" t="str">
        <x:f>IF(ISNUMBER(F2265),E2265*F2265,"")</x:f>
      </x:c>
      <x:c r="H2265" s="37"/>
      <x:c r="I2265" s="37"/>
      <x:c r="J2265" s="1" t="n">
        <x:f>IF(ISNUMBER(F2265),E2265,0)</x:f>
        <x:v>0</x:v>
      </x:c>
      <x:c r="K2265" s="1"/>
      <x:c r="L2265" s="1" t="str">
        <x:v>https://blog.skyairline.com/restaurante-de-bogota/</x:v>
      </x:c>
      <x:c r="M2265" s="1" t="n">
        <x:v>0</x:v>
      </x:c>
    </x:row>
    <x:row r="2266" ht="18.75" customHeight="1">
      <x:c r="A2266" s="1" t="str">
        <x:v>https://blog.skyairline.com/equipaje-de-bodega/</x:v>
      </x:c>
      <x:c r="B2266" s="1" t="str">
        <x:v>sky airline equipaje de mano</x:v>
      </x:c>
      <x:c r="C2266" s="1" t="str">
        <x:v>gbr</x:v>
      </x:c>
      <x:c r="D2266" s="1" t="str">
        <x:v>Marca</x:v>
      </x:c>
      <x:c r="E2266" s="35" t="n">
        <x:v>1</x:v>
      </x:c>
      <x:c r="F2266" s="36"/>
      <x:c r="G2266" s="36" t="str">
        <x:f>IF(ISNUMBER(F2266),E2266*F2266,"")</x:f>
      </x:c>
      <x:c r="H2266" s="37"/>
      <x:c r="I2266" s="37"/>
      <x:c r="J2266" s="1" t="n">
        <x:f>IF(ISNUMBER(F2266),E2266,0)</x:f>
        <x:v>0</x:v>
      </x:c>
      <x:c r="K2266" s="1"/>
      <x:c r="L2266" s="1" t="str">
        <x:v>https://blog.skyairline.com/restaurantes-en-buenos-aires/</x:v>
      </x:c>
      <x:c r="M2266" s="1" t="n">
        <x:v>0</x:v>
      </x:c>
    </x:row>
    <x:row r="2267" ht="18.75" customHeight="1">
      <x:c r="A2267" s="1" t="str">
        <x:v>https://blog.skyairline.com/equipaje-de-bodega/</x:v>
      </x:c>
      <x:c r="B2267" s="1" t="str">
        <x:v>sky airline equipaje de mano</x:v>
      </x:c>
      <x:c r="C2267" s="1" t="str">
        <x:v>per</x:v>
      </x:c>
      <x:c r="D2267" s="1" t="str">
        <x:v>Marca</x:v>
      </x:c>
      <x:c r="E2267" s="35" t="n">
        <x:v>1</x:v>
      </x:c>
      <x:c r="F2267" s="36"/>
      <x:c r="G2267" s="36" t="str">
        <x:f>IF(ISNUMBER(F2267),E2267*F2267,"")</x:f>
      </x:c>
      <x:c r="H2267" s="37" t="d">
        <x:v>2026-10-15T00:00:00.000Z</x:v>
      </x:c>
      <x:c r="I2267" s="37" t="d">
        <x:v>2026-09-16T19:29:58.000Z</x:v>
      </x:c>
      <x:c r="J2267" s="1" t="n">
        <x:f>IF(ISNUMBER(F2267),E2267,0)</x:f>
        <x:v>0</x:v>
      </x:c>
      <x:c r="K2267" s="1"/>
      <x:c r="L2267" s="1" t="str">
        <x:v>https://blog.skyairline.com/restaurantes-en-cancun/</x:v>
      </x:c>
      <x:c r="M2267" s="1" t="n">
        <x:v>0</x:v>
      </x:c>
    </x:row>
    <x:row r="2268" ht="18.75" customHeight="1">
      <x:c r="A2268" s="1" t="str">
        <x:v>https://blog.skyairline.com/equipaje-de-bodega/</x:v>
      </x:c>
      <x:c r="B2268" s="1" t="str">
        <x:v>sky airline medidas equipaje</x:v>
      </x:c>
      <x:c r="C2268" s="1" t="str">
        <x:v>arg</x:v>
      </x:c>
      <x:c r="D2268" s="1" t="str">
        <x:v>Marca</x:v>
      </x:c>
      <x:c r="E2268" s="35" t="n">
        <x:v>1</x:v>
      </x:c>
      <x:c r="F2268" s="36"/>
      <x:c r="G2268" s="36" t="str">
        <x:f>IF(ISNUMBER(F2268),E2268*F2268,"")</x:f>
      </x:c>
      <x:c r="H2268" s="37"/>
      <x:c r="I2268" s="37"/>
      <x:c r="J2268" s="1" t="n">
        <x:f>IF(ISNUMBER(F2268),E2268,0)</x:f>
        <x:v>0</x:v>
      </x:c>
      <x:c r="K2268" s="1"/>
      <x:c r="L2268" s="1" t="str">
        <x:v>https://blog.skyairline.com/restaurantes-en-cusco/</x:v>
      </x:c>
      <x:c r="M2268" s="1" t="n">
        <x:v>0</x:v>
      </x:c>
    </x:row>
    <x:row r="2269" ht="18.75" customHeight="1">
      <x:c r="A2269" s="1" t="str">
        <x:v>https://blog.skyairline.com/equipaje-de-bodega/</x:v>
      </x:c>
      <x:c r="B2269" s="1" t="str">
        <x:v>sky airline medidas equipaje</x:v>
      </x:c>
      <x:c r="C2269" s="1" t="str">
        <x:v>col</x:v>
      </x:c>
      <x:c r="D2269" s="1" t="str">
        <x:v>Marca</x:v>
      </x:c>
      <x:c r="E2269" s="35" t="n">
        <x:v>1</x:v>
      </x:c>
      <x:c r="F2269" s="36"/>
      <x:c r="G2269" s="36" t="str">
        <x:f>IF(ISNUMBER(F2269),E2269*F2269,"")</x:f>
      </x:c>
      <x:c r="H2269" s="37"/>
      <x:c r="I2269" s="37"/>
      <x:c r="J2269" s="1" t="n">
        <x:f>IF(ISNUMBER(F2269),E2269,0)</x:f>
        <x:v>0</x:v>
      </x:c>
      <x:c r="K2269" s="1"/>
      <x:c r="L2269" s="1" t="str">
        <x:v>https://blog.skyairline.com/restaurantes-en-miami/</x:v>
      </x:c>
      <x:c r="M2269" s="1" t="n">
        <x:v>0</x:v>
      </x:c>
    </x:row>
    <x:row r="2270" ht="18.75" customHeight="1">
      <x:c r="A2270" s="1" t="str">
        <x:v>https://blog.skyairline.com/equipaje-de-bodega/</x:v>
      </x:c>
      <x:c r="B2270" s="1" t="str">
        <x:v>sky airline medidas equipaje</x:v>
      </x:c>
      <x:c r="C2270" s="1" t="str">
        <x:v>ecu</x:v>
      </x:c>
      <x:c r="D2270" s="1" t="str">
        <x:v>Marca</x:v>
      </x:c>
      <x:c r="E2270" s="35" t="n">
        <x:v>1</x:v>
      </x:c>
      <x:c r="F2270" s="36"/>
      <x:c r="G2270" s="36" t="str">
        <x:f>IF(ISNUMBER(F2270),E2270*F2270,"")</x:f>
      </x:c>
      <x:c r="H2270" s="37"/>
      <x:c r="I2270" s="37"/>
      <x:c r="J2270" s="1" t="n">
        <x:f>IF(ISNUMBER(F2270),E2270,0)</x:f>
        <x:v>0</x:v>
      </x:c>
      <x:c r="K2270" s="1"/>
      <x:c r="L2270" s="1" t="str">
        <x:v>https://blog.skyairline.com/restaurantes-en-santiago/</x:v>
      </x:c>
      <x:c r="M2270" s="1" t="n">
        <x:v>0</x:v>
      </x:c>
    </x:row>
    <x:row r="2271" ht="18.75" customHeight="1">
      <x:c r="A2271" s="1" t="str">
        <x:v>https://blog.skyairline.com/equipaje-de-bodega/</x:v>
      </x:c>
      <x:c r="B2271" s="1" t="str">
        <x:v>sky airline medidas equipaje</x:v>
      </x:c>
      <x:c r="C2271" s="1" t="str">
        <x:v>esp</x:v>
      </x:c>
      <x:c r="D2271" s="1" t="str">
        <x:v>Marca</x:v>
      </x:c>
      <x:c r="E2271" s="35" t="n">
        <x:v>1</x:v>
      </x:c>
      <x:c r="F2271" s="36"/>
      <x:c r="G2271" s="36" t="str">
        <x:f>IF(ISNUMBER(F2271),E2271*F2271,"")</x:f>
      </x:c>
      <x:c r="H2271" s="37"/>
      <x:c r="I2271" s="37"/>
      <x:c r="J2271" s="1" t="n">
        <x:f>IF(ISNUMBER(F2271),E2271,0)</x:f>
        <x:v>0</x:v>
      </x:c>
      <x:c r="K2271" s="1"/>
      <x:c r="L2271" s="1" t="str">
        <x:v>https://blog.skyairline.com/rio-de-janeiro-despues-del-carnaval/</x:v>
      </x:c>
      <x:c r="M2271" s="1" t="n">
        <x:v>0</x:v>
      </x:c>
    </x:row>
    <x:row r="2272" ht="18.75" customHeight="1">
      <x:c r="A2272" s="1" t="str">
        <x:v>https://blog.skyairline.com/equipaje-de-bodega/</x:v>
      </x:c>
      <x:c r="B2272" s="1" t="str">
        <x:v>sky airline medidas equipaje</x:v>
      </x:c>
      <x:c r="C2272" s="1" t="str">
        <x:v>per</x:v>
      </x:c>
      <x:c r="D2272" s="1" t="str">
        <x:v>Marca</x:v>
      </x:c>
      <x:c r="E2272" s="35" t="n">
        <x:v>1</x:v>
      </x:c>
      <x:c r="F2272" s="36"/>
      <x:c r="G2272" s="36" t="str">
        <x:f>IF(ISNUMBER(F2272),E2272*F2272,"")</x:f>
      </x:c>
      <x:c r="H2272" s="37"/>
      <x:c r="I2272" s="37"/>
      <x:c r="J2272" s="1" t="n">
        <x:f>IF(ISNUMBER(F2272),E2272,0)</x:f>
        <x:v>0</x:v>
      </x:c>
      <x:c r="K2272" s="1"/>
      <x:c r="L2272" s="1" t="str">
        <x:v>https://blog.skyairline.com/rio-de-janeiro/</x:v>
      </x:c>
      <x:c r="M2272" s="1" t="n">
        <x:v>0</x:v>
      </x:c>
    </x:row>
    <x:row r="2273" ht="18.75" customHeight="1">
      <x:c r="A2273" s="1" t="str">
        <x:v>https://blog.skyairline.com/equipaje-de-bodega/</x:v>
      </x:c>
      <x:c r="B2273" s="1" t="str">
        <x:v>sky airlines bolso de mano</x:v>
      </x:c>
      <x:c r="C2273" s="1" t="str">
        <x:v>cze</x:v>
      </x:c>
      <x:c r="D2273" s="1" t="str">
        <x:v>Marca</x:v>
      </x:c>
      <x:c r="E2273" s="35" t="n">
        <x:v>1</x:v>
      </x:c>
      <x:c r="F2273" s="36"/>
      <x:c r="G2273" s="36" t="str">
        <x:f>IF(ISNUMBER(F2273),E2273*F2273,"")</x:f>
      </x:c>
      <x:c r="H2273" s="37"/>
      <x:c r="I2273" s="37"/>
      <x:c r="J2273" s="1" t="n">
        <x:f>IF(ISNUMBER(F2273),E2273,0)</x:f>
        <x:v>0</x:v>
      </x:c>
      <x:c r="K2273" s="1"/>
      <x:c r="L2273" s="1" t="str">
        <x:v>https://blog.skyairline.com/rios-de-chile</x:v>
      </x:c>
      <x:c r="M2273" s="1" t="n">
        <x:v>0</x:v>
      </x:c>
    </x:row>
    <x:row r="2274" ht="18.75" customHeight="1">
      <x:c r="A2274" s="1" t="str">
        <x:v>https://blog.skyairline.com/equipaje-de-bodega/</x:v>
      </x:c>
      <x:c r="B2274" s="1" t="str">
        <x:v>sky airlines bolso de mano medidas</x:v>
      </x:c>
      <x:c r="C2274" s="1" t="str">
        <x:v>chl</x:v>
      </x:c>
      <x:c r="D2274" s="1" t="str">
        <x:v>Marca</x:v>
      </x:c>
      <x:c r="E2274" s="35" t="n">
        <x:v>1</x:v>
      </x:c>
      <x:c r="F2274" s="36"/>
      <x:c r="G2274" s="36" t="str">
        <x:f>IF(ISNUMBER(F2274),E2274*F2274,"")</x:f>
      </x:c>
      <x:c r="H2274" s="37"/>
      <x:c r="I2274" s="37"/>
      <x:c r="J2274" s="1" t="n">
        <x:f>IF(ISNUMBER(F2274),E2274,0)</x:f>
        <x:v>0</x:v>
      </x:c>
      <x:c r="K2274" s="1"/>
      <x:c r="L2274" s="1" t="str">
        <x:v>https://blog.skyairline.com/rosario-argentina-2/</x:v>
      </x:c>
      <x:c r="M2274" s="1" t="n">
        <x:v>0</x:v>
      </x:c>
    </x:row>
    <x:row r="2275" ht="18.75" customHeight="1">
      <x:c r="A2275" s="1" t="str">
        <x:v>https://blog.skyairline.com/equipaje-de-bodega/</x:v>
      </x:c>
      <x:c r="B2275" s="1" t="str">
        <x:v>sky airlines bolso de mano medidas</x:v>
      </x:c>
      <x:c r="C2275" s="1" t="str">
        <x:v>per</x:v>
      </x:c>
      <x:c r="D2275" s="1" t="str">
        <x:v>Marca</x:v>
      </x:c>
      <x:c r="E2275" s="35" t="n">
        <x:v>1</x:v>
      </x:c>
      <x:c r="F2275" s="36"/>
      <x:c r="G2275" s="36" t="str">
        <x:f>IF(ISNUMBER(F2275),E2275*F2275,"")</x:f>
      </x:c>
      <x:c r="H2275" s="37"/>
      <x:c r="I2275" s="37"/>
      <x:c r="J2275" s="1" t="n">
        <x:f>IF(ISNUMBER(F2275),E2275,0)</x:f>
        <x:v>0</x:v>
      </x:c>
      <x:c r="K2275" s="1"/>
      <x:c r="L2275" s="1" t="str">
        <x:v>https://blog.skyairline.com/ruta-de-los-7-lagos/</x:v>
      </x:c>
      <x:c r="M2275" s="1" t="n">
        <x:v>0</x:v>
      </x:c>
    </x:row>
    <x:row r="2276" ht="18.75" customHeight="1">
      <x:c r="A2276" s="1" t="str">
        <x:v>https://blog.skyairline.com/equipaje-de-bodega/</x:v>
      </x:c>
      <x:c r="B2276" s="1" t="str">
        <x:v>sky airlines equipaje</x:v>
      </x:c>
      <x:c r="C2276" s="1" t="str">
        <x:v>bra</x:v>
      </x:c>
      <x:c r="D2276" s="1" t="str">
        <x:v>Marca</x:v>
      </x:c>
      <x:c r="E2276" s="35" t="n">
        <x:v>1</x:v>
      </x:c>
      <x:c r="F2276" s="36"/>
      <x:c r="G2276" s="36" t="str">
        <x:f>IF(ISNUMBER(F2276),E2276*F2276,"")</x:f>
      </x:c>
      <x:c r="H2276" s="37"/>
      <x:c r="I2276" s="37"/>
      <x:c r="J2276" s="1" t="n">
        <x:f>IF(ISNUMBER(F2276),E2276,0)</x:f>
        <x:v>0</x:v>
      </x:c>
      <x:c r="K2276" s="1"/>
      <x:c r="L2276" s="1" t="str">
        <x:v>https://blog.skyairline.com/ruta-del-vino-en-invierno/</x:v>
      </x:c>
      <x:c r="M2276" s="1" t="n">
        <x:v>0</x:v>
      </x:c>
    </x:row>
    <x:row r="2277" ht="18.75" customHeight="1">
      <x:c r="A2277" s="1" t="str">
        <x:v>https://blog.skyairline.com/equipaje-de-bodega/</x:v>
      </x:c>
      <x:c r="B2277" s="1" t="str">
        <x:v>sky airlines equipaje</x:v>
      </x:c>
      <x:c r="C2277" s="1" t="str">
        <x:v>deu</x:v>
      </x:c>
      <x:c r="D2277" s="1" t="str">
        <x:v>Marca</x:v>
      </x:c>
      <x:c r="E2277" s="35" t="n">
        <x:v>1</x:v>
      </x:c>
      <x:c r="F2277" s="36"/>
      <x:c r="G2277" s="36" t="str">
        <x:f>IF(ISNUMBER(F2277),E2277*F2277,"")</x:f>
      </x:c>
      <x:c r="H2277" s="37"/>
      <x:c r="I2277" s="37"/>
      <x:c r="J2277" s="1" t="n">
        <x:f>IF(ISNUMBER(F2277),E2277,0)</x:f>
        <x:v>0</x:v>
      </x:c>
      <x:c r="K2277" s="1"/>
      <x:c r="L2277" s="1" t="str">
        <x:v>https://blog.skyairline.com/rutas-de-los-pioneros/</x:v>
      </x:c>
      <x:c r="M2277" s="1" t="n">
        <x:v>0</x:v>
      </x:c>
    </x:row>
    <x:row r="2278" ht="18.75" customHeight="1">
      <x:c r="A2278" s="1" t="str">
        <x:v>https://blog.skyairline.com/equipaje-de-bodega/</x:v>
      </x:c>
      <x:c r="B2278" s="1" t="str">
        <x:v>sky airlines equipaje</x:v>
      </x:c>
      <x:c r="C2278" s="1" t="str">
        <x:v>mex</x:v>
      </x:c>
      <x:c r="D2278" s="1" t="str">
        <x:v>Marca</x:v>
      </x:c>
      <x:c r="E2278" s="35" t="n">
        <x:v>1</x:v>
      </x:c>
      <x:c r="F2278" s="36"/>
      <x:c r="G2278" s="36" t="str">
        <x:f>IF(ISNUMBER(F2278),E2278*F2278,"")</x:f>
      </x:c>
      <x:c r="H2278" s="37"/>
      <x:c r="I2278" s="37"/>
      <x:c r="J2278" s="1" t="n">
        <x:f>IF(ISNUMBER(F2278),E2278,0)</x:f>
        <x:v>0</x:v>
      </x:c>
      <x:c r="K2278" s="1"/>
      <x:c r="L2278" s="1" t="str">
        <x:v>https://blog.skyairline.com/rutas-en-chile-los-mejores-recorridos-para-explorar-el-pais/</x:v>
      </x:c>
      <x:c r="M2278" s="1" t="n">
        <x:v>0</x:v>
      </x:c>
    </x:row>
    <x:row r="2279" ht="18.75" customHeight="1">
      <x:c r="A2279" s="1" t="str">
        <x:v>https://blog.skyairline.com/equipaje-de-bodega/</x:v>
      </x:c>
      <x:c r="B2279" s="1" t="str">
        <x:v>sky airlines equipaje permitido</x:v>
      </x:c>
      <x:c r="C2279" s="1" t="str">
        <x:v>chl</x:v>
      </x:c>
      <x:c r="D2279" s="1" t="str">
        <x:v>Marca</x:v>
      </x:c>
      <x:c r="E2279" s="35" t="n">
        <x:v>1</x:v>
      </x:c>
      <x:c r="F2279" s="36"/>
      <x:c r="G2279" s="36" t="str">
        <x:f>IF(ISNUMBER(F2279),E2279*F2279,"")</x:f>
      </x:c>
      <x:c r="H2279" s="37"/>
      <x:c r="I2279" s="37"/>
      <x:c r="J2279" s="1" t="n">
        <x:f>IF(ISNUMBER(F2279),E2279,0)</x:f>
        <x:v>0</x:v>
      </x:c>
      <x:c r="K2279" s="1"/>
      <x:c r="L2279" s="1" t="str">
        <x:v>https://blog.skyairline.com/safari-en-chile/</x:v>
      </x:c>
      <x:c r="M2279" s="1" t="n">
        <x:v>0</x:v>
      </x:c>
    </x:row>
    <x:row r="2280" ht="18.75" customHeight="1">
      <x:c r="A2280" s="1" t="str">
        <x:v>https://blog.skyairline.com/equipaje-de-bodega/</x:v>
      </x:c>
      <x:c r="B2280" s="1" t="str">
        <x:v>sky airlines equipaje precio</x:v>
      </x:c>
      <x:c r="C2280" s="1" t="str">
        <x:v>chl</x:v>
      </x:c>
      <x:c r="D2280" s="1" t="str">
        <x:v>Marca</x:v>
      </x:c>
      <x:c r="E2280" s="35" t="n">
        <x:v>1</x:v>
      </x:c>
      <x:c r="F2280" s="36" t="n">
        <x:v>1.18</x:v>
      </x:c>
      <x:c r="G2280" s="36" t="n">
        <x:f>IF(ISNUMBER(F2280),E2280*F2280,"")</x:f>
        <x:v>1.18</x:v>
      </x:c>
      <x:c r="H2280" s="37" t="d">
        <x:v>2026-10-15T00:00:00.000Z</x:v>
      </x:c>
      <x:c r="I2280" s="37" t="d">
        <x:v>2026-09-17T07:23:01.999Z</x:v>
      </x:c>
      <x:c r="J2280" s="1" t="n">
        <x:f>IF(ISNUMBER(F2280),E2280,0)</x:f>
        <x:v>1</x:v>
      </x:c>
      <x:c r="K2280" s="1"/>
      <x:c r="L2280" s="1" t="str">
        <x:v>https://blog.skyairline.com/salmones-de-chile-donde-te-puedes-comer-el-pescado-mas-fresco-del-pais/</x:v>
      </x:c>
      <x:c r="M2280" s="1" t="n">
        <x:v>0</x:v>
      </x:c>
    </x:row>
    <x:row r="2281" ht="18.75" customHeight="1">
      <x:c r="A2281" s="1" t="str">
        <x:v>https://blog.skyairline.com/equipaje-de-bodega/</x:v>
      </x:c>
      <x:c r="B2281" s="1" t="str">
        <x:v>sky airlines equipaje precio</x:v>
      </x:c>
      <x:c r="C2281" s="1" t="str">
        <x:v>per</x:v>
      </x:c>
      <x:c r="D2281" s="1" t="str">
        <x:v>Marca</x:v>
      </x:c>
      <x:c r="E2281" s="35" t="n">
        <x:v>1</x:v>
      </x:c>
      <x:c r="F2281" s="36" t="n">
        <x:v>0.01</x:v>
      </x:c>
      <x:c r="G2281" s="36" t="n">
        <x:f>IF(ISNUMBER(F2281),E2281*F2281,"")</x:f>
        <x:v>0.01</x:v>
      </x:c>
      <x:c r="H2281" s="37" t="d">
        <x:v>2026-10-15T00:00:00.000Z</x:v>
      </x:c>
      <x:c r="I2281" s="37" t="d">
        <x:v>2026-09-14T12:46:38.000Z</x:v>
      </x:c>
      <x:c r="J2281" s="1" t="n">
        <x:f>IF(ISNUMBER(F2281),E2281,0)</x:f>
        <x:v>1</x:v>
      </x:c>
      <x:c r="K2281" s="1"/>
      <x:c r="L2281" s="1" t="str">
        <x:v>https://blog.skyairline.com/salmones-de-donde-te-puedes-comer-el-pescado-mas-fresco-del-pais/</x:v>
      </x:c>
      <x:c r="M2281" s="1" t="n">
        <x:v>0</x:v>
      </x:c>
    </x:row>
    <x:row r="2282" ht="18.75" customHeight="1">
      <x:c r="A2282" s="1" t="str">
        <x:v>https://blog.skyairline.com/equipaje-de-bodega/</x:v>
      </x:c>
      <x:c r="B2282" s="1" t="str">
        <x:v>sky airlines equipaje precio chile</x:v>
      </x:c>
      <x:c r="C2282" s="1" t="str">
        <x:v>chl</x:v>
      </x:c>
      <x:c r="D2282" s="1" t="str">
        <x:v>Marca</x:v>
      </x:c>
      <x:c r="E2282" s="35" t="n">
        <x:v>1</x:v>
      </x:c>
      <x:c r="F2282" s="36" t="n">
        <x:v>0.19</x:v>
      </x:c>
      <x:c r="G2282" s="36" t="n">
        <x:f>IF(ISNUMBER(F2282),E2282*F2282,"")</x:f>
        <x:v>0.19</x:v>
      </x:c>
      <x:c r="H2282" s="37" t="d">
        <x:v>2026-10-15T00:00:00.000Z</x:v>
      </x:c>
      <x:c r="I2282" s="37" t="d">
        <x:v>2026-09-13T18:05:46.000Z</x:v>
      </x:c>
      <x:c r="J2282" s="1" t="n">
        <x:f>IF(ISNUMBER(F2282),E2282,0)</x:f>
        <x:v>1</x:v>
      </x:c>
      <x:c r="K2282" s="1"/>
      <x:c r="L2282" s="1" t="str">
        <x:v>https://blog.skyairline.com/salta/</x:v>
      </x:c>
      <x:c r="M2282" s="1" t="n">
        <x:v>0</x:v>
      </x:c>
    </x:row>
    <x:row r="2283" ht="18.75" customHeight="1">
      <x:c r="A2283" s="1" t="str">
        <x:v>https://blog.skyairline.com/equipaje-de-bodega/</x:v>
      </x:c>
      <x:c r="B2283" s="1" t="str">
        <x:v>sky airlines medidas equipaje</x:v>
      </x:c>
      <x:c r="C2283" s="1" t="str">
        <x:v>bol</x:v>
      </x:c>
      <x:c r="D2283" s="1" t="str">
        <x:v>Marca</x:v>
      </x:c>
      <x:c r="E2283" s="35" t="n">
        <x:v>1</x:v>
      </x:c>
      <x:c r="F2283" s="36"/>
      <x:c r="G2283" s="36" t="str">
        <x:f>IF(ISNUMBER(F2283),E2283*F2283,"")</x:f>
      </x:c>
      <x:c r="H2283" s="37"/>
      <x:c r="I2283" s="37"/>
      <x:c r="J2283" s="1" t="n">
        <x:f>IF(ISNUMBER(F2283),E2283,0)</x:f>
        <x:v>0</x:v>
      </x:c>
      <x:c r="K2283" s="1"/>
      <x:c r="L2283" s="1" t="str">
        <x:v>https://blog.skyairline.com/saltos-de-petrohue/</x:v>
      </x:c>
      <x:c r="M2283" s="1" t="n">
        <x:v>0</x:v>
      </x:c>
    </x:row>
    <x:row r="2284" ht="18.75" customHeight="1">
      <x:c r="A2284" s="1" t="str">
        <x:v>https://blog.skyairline.com/equipaje-de-bodega/</x:v>
      </x:c>
      <x:c r="B2284" s="1" t="str">
        <x:v>sky airlines medidas equipaje</x:v>
      </x:c>
      <x:c r="C2284" s="1" t="str">
        <x:v>ury</x:v>
      </x:c>
      <x:c r="D2284" s="1" t="str">
        <x:v>Marca</x:v>
      </x:c>
      <x:c r="E2284" s="35" t="n">
        <x:v>1</x:v>
      </x:c>
      <x:c r="F2284" s="36"/>
      <x:c r="G2284" s="36" t="str">
        <x:f>IF(ISNUMBER(F2284),E2284*F2284,"")</x:f>
      </x:c>
      <x:c r="H2284" s="37"/>
      <x:c r="I2284" s="37"/>
      <x:c r="J2284" s="1" t="n">
        <x:f>IF(ISNUMBER(F2284),E2284,0)</x:f>
        <x:v>0</x:v>
      </x:c>
      <x:c r="K2284" s="1"/>
      <x:c r="L2284" s="1" t="str">
        <x:v>https://blog.skyairline.com/saltos-del-petrohue/</x:v>
      </x:c>
      <x:c r="M2284" s="1" t="n">
        <x:v>0</x:v>
      </x:c>
    </x:row>
    <x:row r="2285" ht="18.75" customHeight="1">
      <x:c r="A2285" s="1" t="str">
        <x:v>https://blog.skyairline.com/equipaje-de-bodega/</x:v>
      </x:c>
      <x:c r="B2285" s="1" t="str">
        <x:v>sky articulo personal</x:v>
      </x:c>
      <x:c r="C2285" s="1" t="str">
        <x:v>per</x:v>
      </x:c>
      <x:c r="D2285" s="1" t="str">
        <x:v>Marca</x:v>
      </x:c>
      <x:c r="E2285" s="35" t="n">
        <x:v>1</x:v>
      </x:c>
      <x:c r="F2285" s="36"/>
      <x:c r="G2285" s="36" t="str">
        <x:f>IF(ISNUMBER(F2285),E2285*F2285,"")</x:f>
      </x:c>
      <x:c r="H2285" s="37"/>
      <x:c r="I2285" s="37"/>
      <x:c r="J2285" s="1" t="n">
        <x:f>IF(ISNUMBER(F2285),E2285,0)</x:f>
        <x:v>0</x:v>
      </x:c>
      <x:c r="K2285" s="1"/>
      <x:c r="L2285" s="1" t="str">
        <x:v>https://blog.skyairline.com/salvador-bahia-que-hacer-viaje-cultural-gastronomico/</x:v>
      </x:c>
      <x:c r="M2285" s="1" t="n">
        <x:v>0</x:v>
      </x:c>
    </x:row>
    <x:row r="2286" ht="18.75" customHeight="1">
      <x:c r="A2286" s="1" t="str">
        <x:v>https://blog.skyairline.com/equipaje-de-bodega/</x:v>
      </x:c>
      <x:c r="B2286" s="1" t="str">
        <x:v>sky bolso de mano</x:v>
      </x:c>
      <x:c r="C2286" s="1" t="str">
        <x:v>ury</x:v>
      </x:c>
      <x:c r="D2286" s="1" t="str">
        <x:v>Marca</x:v>
      </x:c>
      <x:c r="E2286" s="35" t="n">
        <x:v>1</x:v>
      </x:c>
      <x:c r="F2286" s="36"/>
      <x:c r="G2286" s="36" t="str">
        <x:f>IF(ISNUMBER(F2286),E2286*F2286,"")</x:f>
      </x:c>
      <x:c r="H2286" s="37"/>
      <x:c r="I2286" s="37"/>
      <x:c r="J2286" s="1" t="n">
        <x:f>IF(ISNUMBER(F2286),E2286,0)</x:f>
        <x:v>0</x:v>
      </x:c>
      <x:c r="K2286" s="1"/>
      <x:c r="L2286" s="1" t="str">
        <x:v>https://blog.skyairline.com/salvador-de-brasil/</x:v>
      </x:c>
      <x:c r="M2286" s="1" t="n">
        <x:v>0</x:v>
      </x:c>
    </x:row>
    <x:row r="2287" ht="18.75" customHeight="1">
      <x:c r="A2287" s="1" t="str">
        <x:v>https://blog.skyairline.com/equipaje-de-bodega/</x:v>
      </x:c>
      <x:c r="B2287" s="1" t="str">
        <x:v>sky carry on medidas</x:v>
      </x:c>
      <x:c r="C2287" s="1" t="str">
        <x:v>ury</x:v>
      </x:c>
      <x:c r="D2287" s="1" t="str">
        <x:v>Marca</x:v>
      </x:c>
      <x:c r="E2287" s="35" t="n">
        <x:v>1</x:v>
      </x:c>
      <x:c r="F2287" s="36"/>
      <x:c r="G2287" s="36" t="str">
        <x:f>IF(ISNUMBER(F2287),E2287*F2287,"")</x:f>
      </x:c>
      <x:c r="H2287" s="37"/>
      <x:c r="I2287" s="37"/>
      <x:c r="J2287" s="1" t="n">
        <x:f>IF(ISNUMBER(F2287),E2287,0)</x:f>
        <x:v>0</x:v>
      </x:c>
      <x:c r="K2287" s="1"/>
      <x:c r="L2287" s="1" t="str">
        <x:v>https://blog.skyairline.com/san-antonio-de-areco/</x:v>
      </x:c>
      <x:c r="M2287" s="1" t="n">
        <x:v>0</x:v>
      </x:c>
    </x:row>
    <x:row r="2288" ht="18.75" customHeight="1">
      <x:c r="A2288" s="1" t="str">
        <x:v>https://blog.skyairline.com/equipaje-de-bodega/</x:v>
      </x:c>
      <x:c r="B2288" s="1" t="str">
        <x:v>sky dimensiones equipaje</x:v>
      </x:c>
      <x:c r="C2288" s="1" t="str">
        <x:v>can</x:v>
      </x:c>
      <x:c r="D2288" s="1" t="str">
        <x:v>Marca</x:v>
      </x:c>
      <x:c r="E2288" s="35" t="n">
        <x:v>1</x:v>
      </x:c>
      <x:c r="F2288" s="36"/>
      <x:c r="G2288" s="36" t="str">
        <x:f>IF(ISNUMBER(F2288),E2288*F2288,"")</x:f>
      </x:c>
      <x:c r="H2288" s="37"/>
      <x:c r="I2288" s="37"/>
      <x:c r="J2288" s="1" t="n">
        <x:f>IF(ISNUMBER(F2288),E2288,0)</x:f>
        <x:v>0</x:v>
      </x:c>
      <x:c r="K2288" s="1"/>
      <x:c r="L2288" s="1" t="str">
        <x:v>https://blog.skyairline.com/san-carlos-bariloche/</x:v>
      </x:c>
      <x:c r="M2288" s="1" t="n">
        <x:v>0</x:v>
      </x:c>
    </x:row>
    <x:row r="2289" ht="18.75" customHeight="1">
      <x:c r="A2289" s="1" t="str">
        <x:v>https://blog.skyairline.com/equipaje-de-bodega/</x:v>
      </x:c>
      <x:c r="B2289" s="1" t="str">
        <x:v>sky dimensiones equipaje de mano</x:v>
      </x:c>
      <x:c r="C2289" s="1" t="str">
        <x:v>chl</x:v>
      </x:c>
      <x:c r="D2289" s="1" t="str">
        <x:v>Marca</x:v>
      </x:c>
      <x:c r="E2289" s="35" t="n">
        <x:v>1</x:v>
      </x:c>
      <x:c r="F2289" s="36"/>
      <x:c r="G2289" s="36" t="str">
        <x:f>IF(ISNUMBER(F2289),E2289*F2289,"")</x:f>
      </x:c>
      <x:c r="H2289" s="37"/>
      <x:c r="I2289" s="37"/>
      <x:c r="J2289" s="1" t="n">
        <x:f>IF(ISNUMBER(F2289),E2289,0)</x:f>
        <x:v>0</x:v>
      </x:c>
      <x:c r="K2289" s="1"/>
      <x:c r="L2289" s="1" t="str">
        <x:v>https://blog.skyairline.com/san-pedro-de-atacama-2/</x:v>
      </x:c>
      <x:c r="M2289" s="1" t="n">
        <x:v>0</x:v>
      </x:c>
    </x:row>
    <x:row r="2290" ht="18.75" customHeight="1">
      <x:c r="A2290" s="1" t="str">
        <x:v>https://blog.skyairline.com/equipaje-de-bodega/</x:v>
      </x:c>
      <x:c r="B2290" s="1" t="str">
        <x:v>sky dimensiones equipaje de mano</x:v>
      </x:c>
      <x:c r="C2290" s="1" t="str">
        <x:v>per</x:v>
      </x:c>
      <x:c r="D2290" s="1" t="str">
        <x:v>Marca</x:v>
      </x:c>
      <x:c r="E2290" s="35" t="n">
        <x:v>1</x:v>
      </x:c>
      <x:c r="F2290" s="36"/>
      <x:c r="G2290" s="36" t="str">
        <x:f>IF(ISNUMBER(F2290),E2290*F2290,"")</x:f>
      </x:c>
      <x:c r="H2290" s="37"/>
      <x:c r="I2290" s="37"/>
      <x:c r="J2290" s="1" t="n">
        <x:f>IF(ISNUMBER(F2290),E2290,0)</x:f>
        <x:v>0</x:v>
      </x:c>
      <x:c r="K2290" s="1"/>
      <x:c r="L2290" s="1" t="str">
        <x:v>https://blog.skyairline.com/san-pedro-de-atacama-3/</x:v>
      </x:c>
      <x:c r="M2290" s="1" t="n">
        <x:v>0</x:v>
      </x:c>
    </x:row>
    <x:row r="2291" ht="18.75" customHeight="1">
      <x:c r="A2291" s="1" t="str">
        <x:v>https://blog.skyairline.com/equipaje-de-bodega/</x:v>
      </x:c>
      <x:c r="B2291" s="1" t="str">
        <x:v>sky equipaje de bodega</x:v>
      </x:c>
      <x:c r="C2291" s="1" t="str">
        <x:v>usa</x:v>
      </x:c>
      <x:c r="D2291" s="1" t="str">
        <x:v>Marca</x:v>
      </x:c>
      <x:c r="E2291" s="35" t="n">
        <x:v>1</x:v>
      </x:c>
      <x:c r="F2291" s="36"/>
      <x:c r="G2291" s="36" t="str">
        <x:f>IF(ISNUMBER(F2291),E2291*F2291,"")</x:f>
      </x:c>
      <x:c r="H2291" s="37"/>
      <x:c r="I2291" s="37"/>
      <x:c r="J2291" s="1" t="n">
        <x:f>IF(ISNUMBER(F2291),E2291,0)</x:f>
        <x:v>0</x:v>
      </x:c>
      <x:c r="K2291" s="1"/>
      <x:c r="L2291" s="1" t="str">
        <x:v>https://blog.skyairline.com/santa-lucia-en-el-caribe/</x:v>
      </x:c>
      <x:c r="M2291" s="1" t="n">
        <x:v>0</x:v>
      </x:c>
    </x:row>
    <x:row r="2292" ht="18.75" customHeight="1">
      <x:c r="A2292" s="1" t="str">
        <x:v>https://blog.skyairline.com/equipaje-de-bodega/</x:v>
      </x:c>
      <x:c r="B2292" s="1" t="str">
        <x:v>sky equipaje de mano</x:v>
      </x:c>
      <x:c r="C2292" s="1" t="str">
        <x:v>arg</x:v>
      </x:c>
      <x:c r="D2292" s="1" t="str">
        <x:v>Marca</x:v>
      </x:c>
      <x:c r="E2292" s="35" t="n">
        <x:v>1</x:v>
      </x:c>
      <x:c r="F2292" s="36"/>
      <x:c r="G2292" s="36" t="str">
        <x:f>IF(ISNUMBER(F2292),E2292*F2292,"")</x:f>
      </x:c>
      <x:c r="H2292" s="37"/>
      <x:c r="I2292" s="37"/>
      <x:c r="J2292" s="1" t="n">
        <x:f>IF(ISNUMBER(F2292),E2292,0)</x:f>
        <x:v>0</x:v>
      </x:c>
      <x:c r="K2292" s="1"/>
      <x:c r="L2292" s="1" t="str">
        <x:v>https://blog.skyairline.com/santiago-arturo-merino-benitez-a-mendoza/</x:v>
      </x:c>
      <x:c r="M2292" s="1" t="n">
        <x:v>0</x:v>
      </x:c>
    </x:row>
    <x:row r="2293" ht="18.75" customHeight="1">
      <x:c r="A2293" s="1" t="str">
        <x:v>https://blog.skyairline.com/equipaje-de-bodega/</x:v>
      </x:c>
      <x:c r="B2293" s="1" t="str">
        <x:v>sky equipaje de mano medidas</x:v>
      </x:c>
      <x:c r="C2293" s="1" t="str">
        <x:v>ury</x:v>
      </x:c>
      <x:c r="D2293" s="1" t="str">
        <x:v>Marca</x:v>
      </x:c>
      <x:c r="E2293" s="35" t="n">
        <x:v>1</x:v>
      </x:c>
      <x:c r="F2293" s="36"/>
      <x:c r="G2293" s="36" t="str">
        <x:f>IF(ISNUMBER(F2293),E2293*F2293,"")</x:f>
      </x:c>
      <x:c r="H2293" s="37"/>
      <x:c r="I2293" s="37"/>
      <x:c r="J2293" s="1" t="n">
        <x:f>IF(ISNUMBER(F2293),E2293,0)</x:f>
        <x:v>0</x:v>
      </x:c>
      <x:c r="K2293" s="1"/>
      <x:c r="L2293" s="1" t="str">
        <x:v>https://blog.skyairline.com/santo-antonio-de-lisboa-florianopolis</x:v>
      </x:c>
      <x:c r="M2293" s="1" t="n">
        <x:v>0</x:v>
      </x:c>
    </x:row>
    <x:row r="2294" ht="18.75" customHeight="1">
      <x:c r="A2294" s="1" t="str">
        <x:v>https://blog.skyairline.com/equipaje-de-bodega/</x:v>
      </x:c>
      <x:c r="B2294" s="1" t="str">
        <x:v>sky equipaje medidas</x:v>
      </x:c>
      <x:c r="C2294" s="1" t="str">
        <x:v>arg</x:v>
      </x:c>
      <x:c r="D2294" s="1" t="str">
        <x:v>Marca</x:v>
      </x:c>
      <x:c r="E2294" s="35" t="n">
        <x:v>1</x:v>
      </x:c>
      <x:c r="F2294" s="36"/>
      <x:c r="G2294" s="36" t="str">
        <x:f>IF(ISNUMBER(F2294),E2294*F2294,"")</x:f>
      </x:c>
      <x:c r="H2294" s="37"/>
      <x:c r="I2294" s="37"/>
      <x:c r="J2294" s="1" t="n">
        <x:f>IF(ISNUMBER(F2294),E2294,0)</x:f>
        <x:v>0</x:v>
      </x:c>
      <x:c r="K2294" s="1"/>
      <x:c r="L2294" s="1" t="str">
        <x:v>https://blog.skyairline.com/santuario-de-la-naturaleza/</x:v>
      </x:c>
      <x:c r="M2294" s="1" t="n">
        <x:v>0</x:v>
      </x:c>
    </x:row>
    <x:row r="2295" ht="18.75" customHeight="1">
      <x:c r="A2295" s="1" t="str">
        <x:v>https://blog.skyairline.com/equipaje-de-bodega/</x:v>
      </x:c>
      <x:c r="B2295" s="1" t="str">
        <x:v>sky equipaje medidas</x:v>
      </x:c>
      <x:c r="C2295" s="1" t="str">
        <x:v>chl</x:v>
      </x:c>
      <x:c r="D2295" s="1" t="str">
        <x:v>Marca</x:v>
      </x:c>
      <x:c r="E2295" s="35" t="n">
        <x:v>1</x:v>
      </x:c>
      <x:c r="F2295" s="36"/>
      <x:c r="G2295" s="36" t="str">
        <x:f>IF(ISNUMBER(F2295),E2295*F2295,"")</x:f>
      </x:c>
      <x:c r="H2295" s="37" t="d">
        <x:v>2026-10-15T00:00:00.000Z</x:v>
      </x:c>
      <x:c r="I2295" s="37" t="d">
        <x:v>2026-09-17T14:18:33.000Z</x:v>
      </x:c>
      <x:c r="J2295" s="1" t="n">
        <x:f>IF(ISNUMBER(F2295),E2295,0)</x:f>
        <x:v>0</x:v>
      </x:c>
      <x:c r="K2295" s="1"/>
      <x:c r="L2295" s="1" t="str">
        <x:v>https://blog.skyairline.com/sargazo-del-carmen</x:v>
      </x:c>
      <x:c r="M2295" s="1" t="n">
        <x:v>0</x:v>
      </x:c>
    </x:row>
    <x:row r="2296" ht="18.75" customHeight="1">
      <x:c r="A2296" s="1" t="str">
        <x:v>https://blog.skyairline.com/equipaje-de-bodega/</x:v>
      </x:c>
      <x:c r="B2296" s="1" t="str">
        <x:v>sky maleta</x:v>
      </x:c>
      <x:c r="C2296" s="1" t="str">
        <x:v>per</x:v>
      </x:c>
      <x:c r="D2296" s="1" t="str">
        <x:v>Marca</x:v>
      </x:c>
      <x:c r="E2296" s="35" t="n">
        <x:v>1</x:v>
      </x:c>
      <x:c r="F2296" s="36"/>
      <x:c r="G2296" s="36" t="str">
        <x:f>IF(ISNUMBER(F2296),E2296*F2296,"")</x:f>
      </x:c>
      <x:c r="H2296" s="37"/>
      <x:c r="I2296" s="37"/>
      <x:c r="J2296" s="1" t="n">
        <x:f>IF(ISNUMBER(F2296),E2296,0)</x:f>
        <x:v>0</x:v>
      </x:c>
      <x:c r="K2296" s="1"/>
      <x:c r="L2296" s="1" t="str">
        <x:v>https://blog.skyairline.com/sargazo-en-playa-del-carmen-que-saber-antes-de-viajar</x:v>
      </x:c>
      <x:c r="M2296" s="1" t="n">
        <x:v>0</x:v>
      </x:c>
    </x:row>
    <x:row r="2297" ht="18.75" customHeight="1">
      <x:c r="A2297" s="1" t="str">
        <x:v>https://blog.skyairline.com/equipaje-de-bodega/</x:v>
      </x:c>
      <x:c r="B2297" s="1" t="str">
        <x:v>sky maleta cabina</x:v>
      </x:c>
      <x:c r="C2297" s="1" t="str">
        <x:v>per</x:v>
      </x:c>
      <x:c r="D2297" s="1" t="str">
        <x:v>Marca</x:v>
      </x:c>
      <x:c r="E2297" s="35" t="n">
        <x:v>1</x:v>
      </x:c>
      <x:c r="F2297" s="36"/>
      <x:c r="G2297" s="36" t="str">
        <x:f>IF(ISNUMBER(F2297),E2297*F2297,"")</x:f>
      </x:c>
      <x:c r="H2297" s="37"/>
      <x:c r="I2297" s="37"/>
      <x:c r="J2297" s="1" t="n">
        <x:f>IF(ISNUMBER(F2297),E2297,0)</x:f>
        <x:v>0</x:v>
      </x:c>
      <x:c r="K2297" s="1"/>
      <x:c r="L2297" s="1" t="str">
        <x:v>https://blog.skyairline.com/sargazo-en-playa-del-carmen-que-saber-antes-viajar/</x:v>
      </x:c>
      <x:c r="M2297" s="1" t="n">
        <x:v>0</x:v>
      </x:c>
    </x:row>
    <x:row r="2298" ht="18.75" customHeight="1">
      <x:c r="A2298" s="1" t="str">
        <x:v>https://blog.skyairline.com/equipaje-de-bodega/</x:v>
      </x:c>
      <x:c r="B2298" s="1" t="str">
        <x:v>sky maleta de bodega</x:v>
      </x:c>
      <x:c r="C2298" s="1" t="str">
        <x:v>chl</x:v>
      </x:c>
      <x:c r="D2298" s="1" t="str">
        <x:v>Marca</x:v>
      </x:c>
      <x:c r="E2298" s="35" t="n">
        <x:v>1</x:v>
      </x:c>
      <x:c r="F2298" s="36"/>
      <x:c r="G2298" s="36" t="str">
        <x:f>IF(ISNUMBER(F2298),E2298*F2298,"")</x:f>
      </x:c>
      <x:c r="H2298" s="37" t="d">
        <x:v>2026-10-15T00:00:00.000Z</x:v>
      </x:c>
      <x:c r="I2298" s="37" t="d">
        <x:v>2026-09-16T05:25:44.000Z</x:v>
      </x:c>
      <x:c r="J2298" s="1" t="n">
        <x:f>IF(ISNUMBER(F2298),E2298,0)</x:f>
        <x:v>0</x:v>
      </x:c>
      <x:c r="K2298" s="1"/>
      <x:c r="L2298" s="1" t="str">
        <x:v>https://blog.skyairline.com/sargazo-en-playa-del-carmen-que-saber-before-viajar/</x:v>
      </x:c>
      <x:c r="M2298" s="1" t="n">
        <x:v>0</x:v>
      </x:c>
    </x:row>
    <x:row r="2299" ht="18.75" customHeight="1">
      <x:c r="A2299" s="1" t="str">
        <x:v>https://blog.skyairline.com/equipaje-de-bodega/</x:v>
      </x:c>
      <x:c r="B2299" s="1" t="str">
        <x:v>sky maletas</x:v>
      </x:c>
      <x:c r="C2299" s="1" t="str">
        <x:v>bra</x:v>
      </x:c>
      <x:c r="D2299" s="1" t="str">
        <x:v>Marca</x:v>
      </x:c>
      <x:c r="E2299" s="35" t="n">
        <x:v>1</x:v>
      </x:c>
      <x:c r="F2299" s="36"/>
      <x:c r="G2299" s="36" t="str">
        <x:f>IF(ISNUMBER(F2299),E2299*F2299,"")</x:f>
      </x:c>
      <x:c r="H2299" s="37"/>
      <x:c r="I2299" s="37"/>
      <x:c r="J2299" s="1" t="n">
        <x:f>IF(ISNUMBER(F2299),E2299,0)</x:f>
        <x:v>0</x:v>
      </x:c>
      <x:c r="K2299" s="1"/>
      <x:c r="L2299" s="1" t="str">
        <x:v>https://blog.skyairline.com/sargazo-en-punta-cana-%C2%BFC%C3%B3mo-afecta-a-los-viajeros</x:v>
      </x:c>
      <x:c r="M2299" s="1" t="n">
        <x:v>0</x:v>
      </x:c>
    </x:row>
    <x:row r="2300" ht="18.75" customHeight="1">
      <x:c r="A2300" s="1" t="str">
        <x:v>https://blog.skyairline.com/equipaje-de-bodega/</x:v>
      </x:c>
      <x:c r="B2300" s="1" t="str">
        <x:v>sky medidas bolso de mano</x:v>
      </x:c>
      <x:c r="C2300" s="1" t="str">
        <x:v>arg</x:v>
      </x:c>
      <x:c r="D2300" s="1" t="str">
        <x:v>Marca</x:v>
      </x:c>
      <x:c r="E2300" s="35" t="n">
        <x:v>1</x:v>
      </x:c>
      <x:c r="F2300" s="36"/>
      <x:c r="G2300" s="36" t="str">
        <x:f>IF(ISNUMBER(F2300),E2300*F2300,"")</x:f>
      </x:c>
      <x:c r="H2300" s="37"/>
      <x:c r="I2300" s="37"/>
      <x:c r="J2300" s="1" t="n">
        <x:f>IF(ISNUMBER(F2300),E2300,0)</x:f>
        <x:v>0</x:v>
      </x:c>
      <x:c r="K2300" s="1"/>
      <x:c r="L2300" s="1" t="str">
        <x:v>https://blog.skyairline.com/sargazo-punta-cana-como-afecta-a-los-viajeros/</x:v>
      </x:c>
      <x:c r="M2300" s="1" t="n">
        <x:v>0</x:v>
      </x:c>
    </x:row>
    <x:row r="2301" ht="18.75" customHeight="1">
      <x:c r="A2301" s="1" t="str">
        <x:v>https://blog.skyairline.com/equipaje-de-bodega/</x:v>
      </x:c>
      <x:c r="B2301" s="1" t="str">
        <x:v>sky medidas bolso de mano</x:v>
      </x:c>
      <x:c r="C2301" s="1" t="str">
        <x:v>ecu</x:v>
      </x:c>
      <x:c r="D2301" s="1" t="str">
        <x:v>Marca</x:v>
      </x:c>
      <x:c r="E2301" s="35" t="n">
        <x:v>1</x:v>
      </x:c>
      <x:c r="F2301" s="36"/>
      <x:c r="G2301" s="36" t="str">
        <x:f>IF(ISNUMBER(F2301),E2301*F2301,"")</x:f>
      </x:c>
      <x:c r="H2301" s="37"/>
      <x:c r="I2301" s="37"/>
      <x:c r="J2301" s="1" t="n">
        <x:f>IF(ISNUMBER(F2301),E2301,0)</x:f>
        <x:v>0</x:v>
      </x:c>
      <x:c r="K2301" s="1"/>
      <x:c r="L2301" s="1" t="str">
        <x:v>https://blog.skyairline.com/se-pude-cambiar-los-pasajes-de-avion/</x:v>
      </x:c>
      <x:c r="M2301" s="1" t="n">
        <x:v>0</x:v>
      </x:c>
    </x:row>
    <x:row r="2302" ht="18.75" customHeight="1">
      <x:c r="A2302" s="1" t="str">
        <x:v>https://blog.skyairline.com/equipaje-de-bodega/</x:v>
      </x:c>
      <x:c r="B2302" s="1" t="str">
        <x:v>sky medidas de bolso de mano</x:v>
      </x:c>
      <x:c r="C2302" s="1" t="str">
        <x:v>arg</x:v>
      </x:c>
      <x:c r="D2302" s="1" t="str">
        <x:v>Marca</x:v>
      </x:c>
      <x:c r="E2302" s="35" t="n">
        <x:v>1</x:v>
      </x:c>
      <x:c r="F2302" s="36"/>
      <x:c r="G2302" s="36" t="str">
        <x:f>IF(ISNUMBER(F2302),E2302*F2302,"")</x:f>
      </x:c>
      <x:c r="H2302" s="37"/>
      <x:c r="I2302" s="37"/>
      <x:c r="J2302" s="1" t="n">
        <x:f>IF(ISNUMBER(F2302),E2302,0)</x:f>
        <x:v>0</x:v>
      </x:c>
      <x:c r="K2302" s="1"/>
      <x:c r="L2302" s="1" t="str">
        <x:v>https://blog.skyairline.com/se-puden-cambiar-los-pasajes-de-avion/</x:v>
      </x:c>
      <x:c r="M2302" s="1" t="n">
        <x:v>0</x:v>
      </x:c>
    </x:row>
    <x:row r="2303" ht="18.75" customHeight="1">
      <x:c r="A2303" s="1" t="str">
        <x:v>https://blog.skyairline.com/equipaje-de-bodega/</x:v>
      </x:c>
      <x:c r="B2303" s="1" t="str">
        <x:v>sky medidas de equipaje</x:v>
      </x:c>
      <x:c r="C2303" s="1" t="str">
        <x:v>arg</x:v>
      </x:c>
      <x:c r="D2303" s="1" t="str">
        <x:v>Marca</x:v>
      </x:c>
      <x:c r="E2303" s="35" t="n">
        <x:v>1</x:v>
      </x:c>
      <x:c r="F2303" s="36"/>
      <x:c r="G2303" s="36" t="str">
        <x:f>IF(ISNUMBER(F2303),E2303*F2303,"")</x:f>
      </x:c>
      <x:c r="H2303" s="37"/>
      <x:c r="I2303" s="37"/>
      <x:c r="J2303" s="1" t="n">
        <x:f>IF(ISNUMBER(F2303),E2303,0)</x:f>
        <x:v>0</x:v>
      </x:c>
      <x:c r="K2303" s="1"/>
      <x:c r="L2303" s="1" t="str">
        <x:v>https://blog.skyairline.com/se-puede-llegar-en-avion-su-pucon/</x:v>
      </x:c>
      <x:c r="M2303" s="1" t="n">
        <x:v>0</x:v>
      </x:c>
    </x:row>
    <x:row r="2304" ht="18.75" customHeight="1">
      <x:c r="A2304" s="1" t="str">
        <x:v>https://blog.skyairline.com/equipaje-de-bodega/</x:v>
      </x:c>
      <x:c r="B2304" s="1" t="str">
        <x:v>sky medidas de equipaje</x:v>
      </x:c>
      <x:c r="C2304" s="1" t="str">
        <x:v>chl</x:v>
      </x:c>
      <x:c r="D2304" s="1" t="str">
        <x:v>Marca</x:v>
      </x:c>
      <x:c r="E2304" s="35" t="n">
        <x:v>1</x:v>
      </x:c>
      <x:c r="F2304" s="36" t="n">
        <x:v>0.57</x:v>
      </x:c>
      <x:c r="G2304" s="36" t="n">
        <x:f>IF(ISNUMBER(F2304),E2304*F2304,"")</x:f>
        <x:v>0.57</x:v>
      </x:c>
      <x:c r="H2304" s="37" t="d">
        <x:v>2026-10-15T00:00:00.000Z</x:v>
      </x:c>
      <x:c r="I2304" s="37" t="d">
        <x:v>2026-09-14T10:10:10.000Z</x:v>
      </x:c>
      <x:c r="J2304" s="1" t="n">
        <x:f>IF(ISNUMBER(F2304),E2304,0)</x:f>
        <x:v>1</x:v>
      </x:c>
      <x:c r="K2304" s="1"/>
      <x:c r="L2304" s="1" t="str">
        <x:v>https://blog.skyairline.com/se-puede-puc-llegar-en-avion-a-pucon/</x:v>
      </x:c>
      <x:c r="M2304" s="1" t="n">
        <x:v>0</x:v>
      </x:c>
    </x:row>
    <x:row r="2305" ht="18.75" customHeight="1">
      <x:c r="A2305" s="1" t="str">
        <x:v>https://blog.skyairline.com/equipaje-de-bodega/</x:v>
      </x:c>
      <x:c r="B2305" s="1" t="str">
        <x:v>sky medidas de equipaje</x:v>
      </x:c>
      <x:c r="C2305" s="1" t="str">
        <x:v>col</x:v>
      </x:c>
      <x:c r="D2305" s="1" t="str">
        <x:v>Marca</x:v>
      </x:c>
      <x:c r="E2305" s="35" t="n">
        <x:v>1</x:v>
      </x:c>
      <x:c r="F2305" s="36"/>
      <x:c r="G2305" s="36" t="str">
        <x:f>IF(ISNUMBER(F2305),E2305*F2305,"")</x:f>
      </x:c>
      <x:c r="H2305" s="37"/>
      <x:c r="I2305" s="37"/>
      <x:c r="J2305" s="1" t="n">
        <x:f>IF(ISNUMBER(F2305),E2305,0)</x:f>
        <x:v>0</x:v>
      </x:c>
      <x:c r="K2305" s="1"/>
      <x:c r="L2305" s="1" t="str">
        <x:v>https://blog.skyairline.com/seguimiento-vuelos/</x:v>
      </x:c>
      <x:c r="M2305" s="1" t="n">
        <x:v>0</x:v>
      </x:c>
    </x:row>
    <x:row r="2306" ht="18.75" customHeight="1">
      <x:c r="A2306" s="1" t="str">
        <x:v>https://blog.skyairline.com/equipaje-de-bodega/</x:v>
      </x:c>
      <x:c r="B2306" s="1" t="str">
        <x:v>sky medidas de equipaje</x:v>
      </x:c>
      <x:c r="C2306" s="1" t="str">
        <x:v>ury</x:v>
      </x:c>
      <x:c r="D2306" s="1" t="str">
        <x:v>Marca</x:v>
      </x:c>
      <x:c r="E2306" s="35" t="n">
        <x:v>1</x:v>
      </x:c>
      <x:c r="F2306" s="36"/>
      <x:c r="G2306" s="36" t="str">
        <x:f>IF(ISNUMBER(F2306),E2306*F2306,"")</x:f>
      </x:c>
      <x:c r="H2306" s="37"/>
      <x:c r="I2306" s="37"/>
      <x:c r="J2306" s="1" t="n">
        <x:f>IF(ISNUMBER(F2306),E2306,0)</x:f>
        <x:v>0</x:v>
      </x:c>
      <x:c r="K2306" s="1"/>
      <x:c r="L2306" s="1" t="str">
        <x:v>https://blog.skyairline.com/seguimos-potenciando-nuestra-alianza-con-desafio-levantemos-chile/</x:v>
      </x:c>
      <x:c r="M2306" s="1" t="n">
        <x:v>0</x:v>
      </x:c>
    </x:row>
    <x:row r="2307" ht="18.75" customHeight="1">
      <x:c r="A2307" s="1" t="str">
        <x:v>https://blog.skyairline.com/equipaje-de-bodega/</x:v>
      </x:c>
      <x:c r="B2307" s="1" t="str">
        <x:v>sky medidas equipaje</x:v>
      </x:c>
      <x:c r="C2307" s="1" t="str">
        <x:v>esp</x:v>
      </x:c>
      <x:c r="D2307" s="1" t="str">
        <x:v>Marca</x:v>
      </x:c>
      <x:c r="E2307" s="35" t="n">
        <x:v>1</x:v>
      </x:c>
      <x:c r="F2307" s="36"/>
      <x:c r="G2307" s="36" t="str">
        <x:f>IF(ISNUMBER(F2307),E2307*F2307,"")</x:f>
      </x:c>
      <x:c r="H2307" s="37"/>
      <x:c r="I2307" s="37"/>
      <x:c r="J2307" s="1" t="n">
        <x:f>IF(ISNUMBER(F2307),E2307,0)</x:f>
        <x:v>0</x:v>
      </x:c>
      <x:c r="K2307" s="1"/>
      <x:c r="L2307" s="1" t="str">
        <x:v>https://blog.skyairline.com/segun-un-balance-de-sky-santiago-y-punta-cana-entre-los-destinos-internacionales-mas-visitados-desde-lima-en-el-2024/</x:v>
      </x:c>
      <x:c r="M2307" s="1" t="n">
        <x:v>0</x:v>
      </x:c>
    </x:row>
    <x:row r="2308" ht="18.75" customHeight="1">
      <x:c r="A2308" s="1" t="str">
        <x:v>https://blog.skyairline.com/equipaje-de-bodega/</x:v>
      </x:c>
      <x:c r="B2308" s="1" t="str">
        <x:v>sky medidas maletas</x:v>
      </x:c>
      <x:c r="C2308" s="1" t="str">
        <x:v>chl</x:v>
      </x:c>
      <x:c r="D2308" s="1" t="str">
        <x:v>Marca</x:v>
      </x:c>
      <x:c r="E2308" s="35" t="n">
        <x:v>1</x:v>
      </x:c>
      <x:c r="F2308" s="36"/>
      <x:c r="G2308" s="36" t="str">
        <x:f>IF(ISNUMBER(F2308),E2308*F2308,"")</x:f>
      </x:c>
      <x:c r="H2308" s="37" t="d">
        <x:v>2026-10-15T00:00:00.000Z</x:v>
      </x:c>
      <x:c r="I2308" s="37" t="d">
        <x:v>2026-09-13T02:35:41.000Z</x:v>
      </x:c>
      <x:c r="J2308" s="1" t="n">
        <x:f>IF(ISNUMBER(F2308),E2308,0)</x:f>
        <x:v>0</x:v>
      </x:c>
      <x:c r="K2308" s="1"/>
      <x:c r="L2308" s="1" t="str">
        <x:v>https://blog.skyairline.com/seguro-de-viaje-de-covid-19/</x:v>
      </x:c>
      <x:c r="M2308" s="1" t="n">
        <x:v>0</x:v>
      </x:c>
    </x:row>
    <x:row r="2309" ht="18.75" customHeight="1">
      <x:c r="A2309" s="1" t="str">
        <x:v>https://blog.skyairline.com/equipaje-de-bodega/</x:v>
      </x:c>
      <x:c r="B2309" s="1" t="str">
        <x:v>sky medidas mochila</x:v>
      </x:c>
      <x:c r="C2309" s="1" t="str">
        <x:v>chl</x:v>
      </x:c>
      <x:c r="D2309" s="1" t="str">
        <x:v>Marca</x:v>
      </x:c>
      <x:c r="E2309" s="35" t="n">
        <x:v>1</x:v>
      </x:c>
      <x:c r="F2309" s="36"/>
      <x:c r="G2309" s="36" t="str">
        <x:f>IF(ISNUMBER(F2309),E2309*F2309,"")</x:f>
      </x:c>
      <x:c r="H2309" s="37"/>
      <x:c r="I2309" s="37"/>
      <x:c r="J2309" s="1" t="n">
        <x:f>IF(ISNUMBER(F2309),E2309,0)</x:f>
        <x:v>0</x:v>
      </x:c>
      <x:c r="K2309" s="1"/>
      <x:c r="L2309" s="1" t="str">
        <x:v>https://blog.skyairline.com/selfies-y-fotos-durante-un-viaje/</x:v>
      </x:c>
      <x:c r="M2309" s="1" t="n">
        <x:v>0</x:v>
      </x:c>
    </x:row>
    <x:row r="2310" ht="18.75" customHeight="1">
      <x:c r="A2310" s="1" t="str">
        <x:v>https://blog.skyairline.com/equipaje-de-bodega/</x:v>
      </x:c>
      <x:c r="B2310" s="1" t="str">
        <x:v>sky mochila</x:v>
      </x:c>
      <x:c r="C2310" s="1" t="str">
        <x:v>per</x:v>
      </x:c>
      <x:c r="D2310" s="1" t="str">
        <x:v>Marca</x:v>
      </x:c>
      <x:c r="E2310" s="35" t="n">
        <x:v>1</x:v>
      </x:c>
      <x:c r="F2310" s="36"/>
      <x:c r="G2310" s="36" t="str">
        <x:f>IF(ISNUMBER(F2310),E2310*F2310,"")</x:f>
      </x:c>
      <x:c r="H2310" s="37"/>
      <x:c r="I2310" s="37"/>
      <x:c r="J2310" s="1" t="n">
        <x:f>IF(ISNUMBER(F2310),E2310,0)</x:f>
        <x:v>0</x:v>
      </x:c>
      <x:c r="K2310" s="1"/>
      <x:c r="L2310" s="1" t="str">
        <x:v>https://blog.skyairline.com/semana-santa-en-cancun/</x:v>
      </x:c>
      <x:c r="M2310" s="1" t="n">
        <x:v>0</x:v>
      </x:c>
    </x:row>
    <x:row r="2311" ht="18.75" customHeight="1">
      <x:c r="A2311" s="1" t="str">
        <x:v>https://blog.skyairline.com/equipaje-de-bodega/</x:v>
      </x:c>
      <x:c r="B2311" s="1" t="str">
        <x:v>sky mochila de mano</x:v>
      </x:c>
      <x:c r="C2311" s="1" t="str">
        <x:v>per</x:v>
      </x:c>
      <x:c r="D2311" s="1" t="str">
        <x:v>Marca</x:v>
      </x:c>
      <x:c r="E2311" s="35" t="n">
        <x:v>1</x:v>
      </x:c>
      <x:c r="F2311" s="36"/>
      <x:c r="G2311" s="36" t="str">
        <x:f>IF(ISNUMBER(F2311),E2311*F2311,"")</x:f>
      </x:c>
      <x:c r="H2311" s="37"/>
      <x:c r="I2311" s="37"/>
      <x:c r="J2311" s="1" t="n">
        <x:f>IF(ISNUMBER(F2311),E2311,0)</x:f>
        <x:v>0</x:v>
      </x:c>
      <x:c r="K2311" s="1"/>
      <x:c r="L2311" s="1" t="str">
        <x:v>https://blog.skyairline.com/semana-santa-en-punta-cana/</x:v>
      </x:c>
      <x:c r="M2311" s="1" t="n">
        <x:v>0</x:v>
      </x:c>
    </x:row>
    <x:row r="2312" ht="18.75" customHeight="1">
      <x:c r="A2312" s="1" t="str">
        <x:v>https://blog.skyairline.com/equipaje-de-bodega/</x:v>
      </x:c>
      <x:c r="B2312" s="1" t="str">
        <x:v>sky mochila de mano medidas</x:v>
      </x:c>
      <x:c r="C2312" s="1" t="str">
        <x:v>per</x:v>
      </x:c>
      <x:c r="D2312" s="1" t="str">
        <x:v>Marca</x:v>
      </x:c>
      <x:c r="E2312" s="35" t="n">
        <x:v>1</x:v>
      </x:c>
      <x:c r="F2312" s="36"/>
      <x:c r="G2312" s="36" t="str">
        <x:f>IF(ISNUMBER(F2312),E2312*F2312,"")</x:f>
      </x:c>
      <x:c r="H2312" s="37"/>
      <x:c r="I2312" s="37"/>
      <x:c r="J2312" s="1" t="n">
        <x:f>IF(ISNUMBER(F2312),E2312,0)</x:f>
        <x:v>0</x:v>
      </x:c>
      <x:c r="K2312" s="1"/>
      <x:c r="L2312" s="1" t="str">
        <x:v>https://blog.skyairline.com/senderismo-en-punta-cana/</x:v>
      </x:c>
      <x:c r="M2312" s="1" t="n">
        <x:v>0</x:v>
      </x:c>
    </x:row>
    <x:row r="2313" ht="18.75" customHeight="1">
      <x:c r="A2313" s="1" t="str">
        <x:v>https://blog.skyairline.com/equipaje-de-bodega/</x:v>
      </x:c>
      <x:c r="B2313" s="1" t="str">
        <x:v>sky peru medidas de equipaje</x:v>
      </x:c>
      <x:c r="C2313" s="1" t="str">
        <x:v>per</x:v>
      </x:c>
      <x:c r="D2313" s="1" t="str">
        <x:v>Marca</x:v>
      </x:c>
      <x:c r="E2313" s="35" t="n">
        <x:v>1</x:v>
      </x:c>
      <x:c r="F2313" s="36"/>
      <x:c r="G2313" s="36" t="str">
        <x:f>IF(ISNUMBER(F2313),E2313*F2313,"")</x:f>
      </x:c>
      <x:c r="H2313" s="37"/>
      <x:c r="I2313" s="37"/>
      <x:c r="J2313" s="1" t="n">
        <x:f>IF(ISNUMBER(F2313),E2313,0)</x:f>
        <x:v>0</x:v>
      </x:c>
      <x:c r="K2313" s="1"/>
      <x:c r="L2313" s="1" t="str">
        <x:v>https://blog.skyairline.com/senderismo/</x:v>
      </x:c>
      <x:c r="M2313" s="1" t="n">
        <x:v>0</x:v>
      </x:c>
    </x:row>
    <x:row r="2314" ht="18.75" customHeight="1">
      <x:c r="A2314" s="1" t="str">
        <x:v>https://blog.skyairline.com/equipaje-de-bodega/</x:v>
      </x:c>
      <x:c r="B2314" s="1" t="str">
        <x:v>sky que puedo llevar en equipaje de mano</x:v>
      </x:c>
      <x:c r="C2314" s="1" t="str">
        <x:v>per</x:v>
      </x:c>
      <x:c r="D2314" s="1" t="str">
        <x:v>Marca</x:v>
      </x:c>
      <x:c r="E2314" s="35" t="n">
        <x:v>1</x:v>
      </x:c>
      <x:c r="F2314" s="36"/>
      <x:c r="G2314" s="36" t="str">
        <x:f>IF(ISNUMBER(F2314),E2314*F2314,"")</x:f>
      </x:c>
      <x:c r="H2314" s="37" t="d">
        <x:v>2026-10-15T00:00:00.000Z</x:v>
      </x:c>
      <x:c r="I2314" s="37" t="d">
        <x:v>2026-09-16T05:49:58.000Z</x:v>
      </x:c>
      <x:c r="J2314" s="1" t="n">
        <x:f>IF(ISNUMBER(F2314),E2314,0)</x:f>
        <x:v>0</x:v>
      </x:c>
      <x:c r="K2314" s="1"/>
      <x:c r="L2314" s="1" t="str">
        <x:v>https://blog.skyairline.com/servicios-de-airline/</x:v>
      </x:c>
      <x:c r="M2314" s="1" t="n">
        <x:v>0</x:v>
      </x:c>
    </x:row>
    <x:row r="2315" ht="18.75" customHeight="1">
      <x:c r="A2315" s="1" t="str">
        <x:v>https://blog.skyairline.com/equipaje-de-bodega/</x:v>
      </x:c>
      <x:c r="B2315" s="1" t="str">
        <x:v>sky tamaño equipaje</x:v>
      </x:c>
      <x:c r="C2315" s="1" t="str">
        <x:v>per</x:v>
      </x:c>
      <x:c r="D2315" s="1" t="str">
        <x:v>Marca</x:v>
      </x:c>
      <x:c r="E2315" s="35" t="n">
        <x:v>1</x:v>
      </x:c>
      <x:c r="F2315" s="36"/>
      <x:c r="G2315" s="36" t="str">
        <x:f>IF(ISNUMBER(F2315),E2315*F2315,"")</x:f>
      </x:c>
      <x:c r="H2315" s="37"/>
      <x:c r="I2315" s="37"/>
      <x:c r="J2315" s="1" t="n">
        <x:f>IF(ISNUMBER(F2315),E2315,0)</x:f>
        <x:v>0</x:v>
      </x:c>
      <x:c r="K2315" s="1"/>
      <x:c r="L2315" s="1" t="str">
        <x:v>https://blog.skyairline.com/servicios-de-elinea/</x:v>
      </x:c>
      <x:c r="M2315" s="1" t="n">
        <x:v>0</x:v>
      </x:c>
    </x:row>
    <x:row r="2316" ht="18.75" customHeight="1">
      <x:c r="A2316" s="1" t="str">
        <x:v>https://blog.skyairline.com/equipaje-de-bodega/</x:v>
      </x:c>
      <x:c r="B2316" s="1" t="str">
        <x:v>sky tamaño equipaje</x:v>
      </x:c>
      <x:c r="C2316" s="1" t="str">
        <x:v>ury</x:v>
      </x:c>
      <x:c r="D2316" s="1" t="str">
        <x:v>Marca</x:v>
      </x:c>
      <x:c r="E2316" s="35" t="n">
        <x:v>1</x:v>
      </x:c>
      <x:c r="F2316" s="36"/>
      <x:c r="G2316" s="36" t="str">
        <x:f>IF(ISNUMBER(F2316),E2316*F2316,"")</x:f>
      </x:c>
      <x:c r="H2316" s="37"/>
      <x:c r="I2316" s="37"/>
      <x:c r="J2316" s="1" t="n">
        <x:f>IF(ISNUMBER(F2316),E2316,0)</x:f>
        <x:v>0</x:v>
      </x:c>
      <x:c r="K2316" s="1"/>
      <x:c r="L2316" s="1" t="str">
        <x:v>https://blog.skyairline.com/sigue-creciendo-la-flota-de-sky-dos-new-aviones-se-suman-a-sus-filas-2/</x:v>
      </x:c>
      <x:c r="M2316" s="1" t="n">
        <x:v>0</x:v>
      </x:c>
    </x:row>
    <x:row r="2317" ht="18.75" customHeight="1">
      <x:c r="A2317" s="1" t="str">
        <x:v>https://blog.skyairline.com/equipaje-de-bodega/</x:v>
      </x:c>
      <x:c r="B2317" s="1" t="str">
        <x:v>sky tamaño equipaje de mano</x:v>
      </x:c>
      <x:c r="C2317" s="1" t="str">
        <x:v>per</x:v>
      </x:c>
      <x:c r="D2317" s="1" t="str">
        <x:v>Marca</x:v>
      </x:c>
      <x:c r="E2317" s="35" t="n">
        <x:v>1</x:v>
      </x:c>
      <x:c r="F2317" s="36"/>
      <x:c r="G2317" s="36" t="str">
        <x:f>IF(ISNUMBER(F2317),E2317*F2317,"")</x:f>
      </x:c>
      <x:c r="H2317" s="37"/>
      <x:c r="I2317" s="37"/>
      <x:c r="J2317" s="1" t="n">
        <x:f>IF(ISNUMBER(F2317),E2317,0)</x:f>
        <x:v>0</x:v>
      </x:c>
      <x:c r="K2317" s="1"/>
      <x:c r="L2317" s="1" t="str">
        <x:v>https://blog.skyairline.com/sigue-creciendo-la-flota-de-sky-dos-nos-aviones-se-suman-a-sus-filas/</x:v>
      </x:c>
      <x:c r="M2317" s="1" t="n">
        <x:v>0</x:v>
      </x:c>
    </x:row>
    <x:row r="2318" ht="18.75" customHeight="1">
      <x:c r="A2318" s="1" t="str">
        <x:v>https://blog.skyairline.com/equipaje-de-bodega/</x:v>
      </x:c>
      <x:c r="B2318" s="1" t="str">
        <x:v>tamaño de bolso de mano sky</x:v>
      </x:c>
      <x:c r="C2318" s="1" t="str">
        <x:v>chl</x:v>
      </x:c>
      <x:c r="D2318" s="1" t="str">
        <x:v>Marca</x:v>
      </x:c>
      <x:c r="E2318" s="35" t="n">
        <x:v>1</x:v>
      </x:c>
      <x:c r="F2318" s="36"/>
      <x:c r="G2318" s="36" t="str">
        <x:f>IF(ISNUMBER(F2318),E2318*F2318,"")</x:f>
      </x:c>
      <x:c r="H2318" s="37"/>
      <x:c r="I2318" s="37"/>
      <x:c r="J2318" s="1" t="n">
        <x:f>IF(ISNUMBER(F2318),E2318,0)</x:f>
        <x:v>0</x:v>
      </x:c>
      <x:c r="K2318" s="1"/>
      <x:c r="L2318" s="1" t="str">
        <x:v>https://blog.skyairline.com/sigue-creciendo-la-flota-de-sky-dos-nuevos-aviones-se-suman-a-nas/</x:v>
      </x:c>
      <x:c r="M2318" s="1" t="n">
        <x:v>0</x:v>
      </x:c>
    </x:row>
    <x:row r="2319" ht="18.75" customHeight="1">
      <x:c r="A2319" s="1" t="str">
        <x:v>https://blog.skyairline.com/equipaje-de-bodega/</x:v>
      </x:c>
      <x:c r="B2319" s="1" t="str">
        <x:v>tamaño de bolso de mano sky</x:v>
      </x:c>
      <x:c r="C2319" s="1" t="str">
        <x:v>per</x:v>
      </x:c>
      <x:c r="D2319" s="1" t="str">
        <x:v>Marca</x:v>
      </x:c>
      <x:c r="E2319" s="35" t="n">
        <x:v>1</x:v>
      </x:c>
      <x:c r="F2319" s="36"/>
      <x:c r="G2319" s="36" t="str">
        <x:f>IF(ISNUMBER(F2319),E2319*F2319,"")</x:f>
      </x:c>
      <x:c r="H2319" s="37"/>
      <x:c r="I2319" s="37"/>
      <x:c r="J2319" s="1" t="n">
        <x:f>IF(ISNUMBER(F2319),E2319,0)</x:f>
        <x:v>0</x:v>
      </x:c>
      <x:c r="K2319" s="1"/>
      <x:c r="L2319" s="1" t="str">
        <x:v>https://blog.skyairline.com/sigue-creciendo-la-flota-de-sky-dos-nuevos-aviones-se-suman-asus-filas/</x:v>
      </x:c>
      <x:c r="M2319" s="1" t="n">
        <x:v>0</x:v>
      </x:c>
    </x:row>
    <x:row r="2320" ht="18.75" customHeight="1">
      <x:c r="A2320" s="1" t="str">
        <x:v>https://blog.skyairline.com/equipaje-de-bodega/</x:v>
      </x:c>
      <x:c r="B2320" s="1" t="str">
        <x:v>tamaño de equipaje de mano sky</x:v>
      </x:c>
      <x:c r="C2320" s="1" t="str">
        <x:v>deu</x:v>
      </x:c>
      <x:c r="D2320" s="1" t="str">
        <x:v>Marca</x:v>
      </x:c>
      <x:c r="E2320" s="35" t="n">
        <x:v>1</x:v>
      </x:c>
      <x:c r="F2320" s="36"/>
      <x:c r="G2320" s="36" t="str">
        <x:f>IF(ISNUMBER(F2320),E2320*F2320,"")</x:f>
      </x:c>
      <x:c r="H2320" s="37"/>
      <x:c r="I2320" s="37"/>
      <x:c r="J2320" s="1" t="n">
        <x:f>IF(ISNUMBER(F2320),E2320,0)</x:f>
        <x:v>0</x:v>
      </x:c>
      <x:c r="K2320" s="1"/>
      <x:c r="L2320" s="1" t="str">
        <x:v>https://blog.skyairline.com/sky-air-canada-firman-alianza/</x:v>
      </x:c>
      <x:c r="M2320" s="1" t="n">
        <x:v>0</x:v>
      </x:c>
    </x:row>
    <x:row r="2321" ht="18.75" customHeight="1">
      <x:c r="A2321" s="1" t="str">
        <x:v>https://blog.skyairline.com/equipaje-de-bodega/</x:v>
      </x:c>
      <x:c r="B2321" s="1" t="str">
        <x:v>tamaño equipaje de mano</x:v>
      </x:c>
      <x:c r="C2321" s="1" t="str">
        <x:v>chl</x:v>
      </x:c>
      <x:c r="D2321" s="1" t="str">
        <x:v>Sin marca</x:v>
      </x:c>
      <x:c r="E2321" s="35" t="n">
        <x:v>1</x:v>
      </x:c>
      <x:c r="F2321" s="36" t="n">
        <x:v>0.1</x:v>
      </x:c>
      <x:c r="G2321" s="36" t="n">
        <x:f>IF(ISNUMBER(F2321),E2321*F2321,"")</x:f>
        <x:v>0.1</x:v>
      </x:c>
      <x:c r="H2321" s="37" t="d">
        <x:v>2026-10-15T00:00:00.000Z</x:v>
      </x:c>
      <x:c r="I2321" s="37" t="d">
        <x:v>2026-09-17T04:02:05.999Z</x:v>
      </x:c>
      <x:c r="J2321" s="1" t="n">
        <x:f>IF(ISNUMBER(F2321),E2321,0)</x:f>
        <x:v>1</x:v>
      </x:c>
      <x:c r="K2321" s="1"/>
      <x:c r="L2321" s="1" t="str">
        <x:v>https://blog.skyairline.com/sky-air-france-klm-firman-acuerdo-interlineal-para-conectar-pasajeros-que-viajen-desde-y-hacia-europa-con-mas-de-30-destinos-en-chile-peru-y-la-region/</x:v>
      </x:c>
      <x:c r="M2321" s="1" t="n">
        <x:v>0</x:v>
      </x:c>
    </x:row>
    <x:row r="2322" ht="18.75" customHeight="1">
      <x:c r="A2322" s="1" t="str">
        <x:v>https://blog.skyairline.com/equipaje-de-bodega/</x:v>
      </x:c>
      <x:c r="B2322" s="1" t="str">
        <x:v>tamaño equipaje de mano sky</x:v>
      </x:c>
      <x:c r="C2322" s="1" t="str">
        <x:v>per</x:v>
      </x:c>
      <x:c r="D2322" s="1" t="str">
        <x:v>Marca</x:v>
      </x:c>
      <x:c r="E2322" s="35" t="n">
        <x:v>1</x:v>
      </x:c>
      <x:c r="F2322" s="36"/>
      <x:c r="G2322" s="36" t="str">
        <x:f>IF(ISNUMBER(F2322),E2322*F2322,"")</x:f>
      </x:c>
      <x:c r="H2322" s="37"/>
      <x:c r="I2322" s="37"/>
      <x:c r="J2322" s="1" t="n">
        <x:f>IF(ISNUMBER(F2322),E2322,0)</x:f>
        <x:v>0</x:v>
      </x:c>
      <x:c r="K2322" s="1"/>
      <x:c r="L2322" s="1" t="str">
        <x:v>https://blog.skyairline.com/sky-air-france-y-klm-firman-acuerdo-interlineal-con-conectar-pasajeros-que-viajen-desde-y-hacia-europa-con-mas-de-30-destinos-en-chile-peru-y-el-resto-de-la-region/</x:v>
      </x:c>
      <x:c r="M2322" s="1" t="n">
        <x:v>0</x:v>
      </x:c>
    </x:row>
    <x:row r="2323" ht="18.75" customHeight="1">
      <x:c r="A2323" s="1" t="str">
        <x:v>https://blog.skyairline.com/equipaje-de-bodega/</x:v>
      </x:c>
      <x:c r="B2323" s="1" t="str">
        <x:v>tamaño maleta sky</x:v>
      </x:c>
      <x:c r="C2323" s="1" t="str">
        <x:v>per</x:v>
      </x:c>
      <x:c r="D2323" s="1" t="str">
        <x:v>Marca</x:v>
      </x:c>
      <x:c r="E2323" s="35" t="n">
        <x:v>1</x:v>
      </x:c>
      <x:c r="F2323" s="36"/>
      <x:c r="G2323" s="36" t="str">
        <x:f>IF(ISNUMBER(F2323),E2323*F2323,"")</x:f>
      </x:c>
      <x:c r="H2323" s="37"/>
      <x:c r="I2323" s="37"/>
      <x:c r="J2323" s="1" t="n">
        <x:f>IF(ISNUMBER(F2323),E2323,0)</x:f>
        <x:v>0</x:v>
      </x:c>
      <x:c r="K2323" s="1"/>
      <x:c r="L2323" s="1" t="str">
        <x:v>https://blog.skyairline.com/sky-air-france-y-klm-firman-acuerdo-interlineal-for-conectar-pasajeros-que-viajen-desde-y-hacia-europa-con-mas-de-30-destinos-en-chile-peru-y-el-resto-de-la-region/</x:v>
      </x:c>
      <x:c r="M2323" s="1" t="n">
        <x:v>0</x:v>
      </x:c>
    </x:row>
    <x:row r="2324" ht="18.75" customHeight="1">
      <x:c r="A2324" s="1" t="str">
        <x:v>https://blog.skyairline.com/equipaje-de-bodega/</x:v>
      </x:c>
      <x:c r="B2324" s="1" t="str">
        <x:v>valija para avion medidas</x:v>
      </x:c>
      <x:c r="C2324" s="1" t="str">
        <x:v>chl</x:v>
      </x:c>
      <x:c r="D2324" s="1" t="str">
        <x:v>Sin marca</x:v>
      </x:c>
      <x:c r="E2324" s="35" t="n">
        <x:v>1</x:v>
      </x:c>
      <x:c r="F2324" s="36"/>
      <x:c r="G2324" s="36" t="str">
        <x:f>IF(ISNUMBER(F2324),E2324*F2324,"")</x:f>
      </x:c>
      <x:c r="H2324" s="37"/>
      <x:c r="I2324" s="37"/>
      <x:c r="J2324" s="1" t="n">
        <x:f>IF(ISNUMBER(F2324),E2324,0)</x:f>
        <x:v>0</x:v>
      </x:c>
      <x:c r="K2324" s="1"/>
      <x:c r="L2324" s="1" t="str">
        <x:v>https://blog.skyairline.com/sky-air-france-y-klm-firman-acuerdo-interlineal-para-conectar-pasajeros-que-viajen-desde-y-hacia-europa-con-mas-de-30-destinos-chile-peru-y-el-resto-de-la-region/</x:v>
      </x:c>
      <x:c r="M2324" s="1" t="n">
        <x:v>0</x:v>
      </x:c>
    </x:row>
    <x:row r="2325" ht="18.75" customHeight="1">
      <x:c r="A2325" s="1" t="str">
        <x:v>https://blog.skyairline.com/equipaje-de-bodega/</x:v>
      </x:c>
      <x:c r="B2325" s="1" t="str">
        <x:v>valor equipaje sky</x:v>
      </x:c>
      <x:c r="C2325" s="1" t="str">
        <x:v>chl</x:v>
      </x:c>
      <x:c r="D2325" s="1" t="str">
        <x:v>Marca</x:v>
      </x:c>
      <x:c r="E2325" s="35" t="n">
        <x:v>1</x:v>
      </x:c>
      <x:c r="F2325" s="36"/>
      <x:c r="G2325" s="36" t="str">
        <x:f>IF(ISNUMBER(F2325),E2325*F2325,"")</x:f>
      </x:c>
      <x:c r="H2325" s="37" t="d">
        <x:v>2026-10-15T00:00:00.000Z</x:v>
      </x:c>
      <x:c r="I2325" s="37" t="d">
        <x:v>2026-09-14T18:20:32.000Z</x:v>
      </x:c>
      <x:c r="J2325" s="1" t="n">
        <x:f>IF(ISNUMBER(F2325),E2325,0)</x:f>
        <x:v>0</x:v>
      </x:c>
      <x:c r="K2325" s="1"/>
      <x:c r="L2325" s="1" t="str">
        <x:v>https://blog.skyairline.com/sky-airline-3/</x:v>
      </x:c>
      <x:c r="M2325" s="1" t="n">
        <x:v>0</x:v>
      </x:c>
    </x:row>
    <x:row r="2326" ht="18.75" customHeight="1">
      <x:c r="A2326" s="1" t="str">
        <x:v>https://blog.skyairline.com/equipaje-de-cabina/</x:v>
      </x:c>
      <x:c r="B2326" s="1" t="str">
        <x:v>actual 2026</x:v>
      </x:c>
      <x:c r="C2326" s="1" t="str">
        <x:v>chl</x:v>
      </x:c>
      <x:c r="D2326" s="1" t="str">
        <x:v>Sin marca</x:v>
      </x:c>
      <x:c r="E2326" s="35" t="n">
        <x:v>1</x:v>
      </x:c>
      <x:c r="F2326" s="36"/>
      <x:c r="G2326" s="36" t="str">
        <x:f>IF(ISNUMBER(F2326),E2326*F2326,"")</x:f>
      </x:c>
      <x:c r="H2326" s="37"/>
      <x:c r="I2326" s="37"/>
      <x:c r="J2326" s="1" t="n">
        <x:f>IF(ISNUMBER(F2326),E2326,0)</x:f>
        <x:v>0</x:v>
      </x:c>
      <x:c r="K2326" s="1"/>
      <x:c r="L2326" s="1" t="str">
        <x:v>https://blog.skyairline.com/sky-airline-anuncia-la-llegada-de-four-nuevos-aviones-airbus-a320/</x:v>
      </x:c>
      <x:c r="M2326" s="1" t="n">
        <x:v>0</x:v>
      </x:c>
    </x:row>
    <x:row r="2327" ht="18.75" customHeight="1">
      <x:c r="A2327" s="1" t="str">
        <x:v>https://blog.skyairline.com/equipaje-de-cabina/</x:v>
      </x:c>
      <x:c r="B2327" s="1" t="str">
        <x:v>articulo personal sky airlines</x:v>
      </x:c>
      <x:c r="C2327" s="1" t="str">
        <x:v>chl</x:v>
      </x:c>
      <x:c r="D2327" s="1" t="str">
        <x:v>Marca</x:v>
      </x:c>
      <x:c r="E2327" s="35" t="n">
        <x:v>1</x:v>
      </x:c>
      <x:c r="F2327" s="36"/>
      <x:c r="G2327" s="36" t="str">
        <x:f>IF(ISNUMBER(F2327),E2327*F2327,"")</x:f>
      </x:c>
      <x:c r="H2327" s="37"/>
      <x:c r="I2327" s="37"/>
      <x:c r="J2327" s="1" t="n">
        <x:f>IF(ISNUMBER(F2327),E2327,0)</x:f>
        <x:v>0</x:v>
      </x:c>
      <x:c r="K2327" s="1"/>
      <x:c r="L2327" s="1" t="str">
        <x:v>https://blog.skyairline.com/sky-airline-celebra-su-5to-aniversario-de-operaciones-en-peru/</x:v>
      </x:c>
      <x:c r="M2327" s="1" t="n">
        <x:v>0</x:v>
      </x:c>
    </x:row>
    <x:row r="2328" ht="18.75" customHeight="1">
      <x:c r="A2328" s="1" t="str">
        <x:v>https://blog.skyairline.com/equipaje-de-cabina/</x:v>
      </x:c>
      <x:c r="B2328" s="1" t="str">
        <x:v>artículo personal</x:v>
      </x:c>
      <x:c r="C2328" s="1" t="str">
        <x:v>chl</x:v>
      </x:c>
      <x:c r="D2328" s="1" t="str">
        <x:v>Sin marca</x:v>
      </x:c>
      <x:c r="E2328" s="35" t="n">
        <x:v>1</x:v>
      </x:c>
      <x:c r="F2328" s="36"/>
      <x:c r="G2328" s="36" t="str">
        <x:f>IF(ISNUMBER(F2328),E2328*F2328,"")</x:f>
      </x:c>
      <x:c r="H2328" s="37"/>
      <x:c r="I2328" s="37"/>
      <x:c r="J2328" s="1" t="n">
        <x:f>IF(ISNUMBER(F2328),E2328,0)</x:f>
        <x:v>0</x:v>
      </x:c>
      <x:c r="K2328" s="1"/>
      <x:c r="L2328" s="1" t="str">
        <x:v>https://blog.skyairline.com/sky-airline-chile/terminal-sur-santiago/</x:v>
      </x:c>
      <x:c r="M2328" s="1" t="n">
        <x:v>0</x:v>
      </x:c>
    </x:row>
    <x:row r="2329" ht="18.75" customHeight="1">
      <x:c r="A2329" s="1" t="str">
        <x:v>https://blog.skyairline.com/equipaje-de-cabina/</x:v>
      </x:c>
      <x:c r="B2329" s="1" t="str">
        <x:v>bolsa de mano sky</x:v>
      </x:c>
      <x:c r="C2329" s="1" t="str">
        <x:v>chl</x:v>
      </x:c>
      <x:c r="D2329" s="1" t="str">
        <x:v>Marca</x:v>
      </x:c>
      <x:c r="E2329" s="35" t="n">
        <x:v>1</x:v>
      </x:c>
      <x:c r="F2329" s="36"/>
      <x:c r="G2329" s="36" t="str">
        <x:f>IF(ISNUMBER(F2329),E2329*F2329,"")</x:f>
      </x:c>
      <x:c r="H2329" s="37" t="d">
        <x:v>2026-10-15T00:00:00.000Z</x:v>
      </x:c>
      <x:c r="I2329" s="37" t="d">
        <x:v>2026-09-16T05:25:44.000Z</x:v>
      </x:c>
      <x:c r="J2329" s="1" t="n">
        <x:f>IF(ISNUMBER(F2329),E2329,0)</x:f>
        <x:v>0</x:v>
      </x:c>
      <x:c r="K2329" s="1"/>
      <x:c r="L2329" s="1" t="str">
        <x:v>https://blog.skyairline.com/sky-airline-consigue-nuevamente/</x:v>
      </x:c>
      <x:c r="M2329" s="1" t="n">
        <x:v>0</x:v>
      </x:c>
    </x:row>
    <x:row r="2330" ht="18.75" customHeight="1">
      <x:c r="A2330" s="1" t="str">
        <x:v>https://blog.skyairline.com/equipaje-de-cabina/</x:v>
      </x:c>
      <x:c r="B2330" s="1" t="str">
        <x:v>bolso de mano en sky</x:v>
      </x:c>
      <x:c r="C2330" s="1" t="str">
        <x:v>per</x:v>
      </x:c>
      <x:c r="D2330" s="1" t="str">
        <x:v>Marca</x:v>
      </x:c>
      <x:c r="E2330" s="35" t="n">
        <x:v>1</x:v>
      </x:c>
      <x:c r="F2330" s="36"/>
      <x:c r="G2330" s="36" t="str">
        <x:f>IF(ISNUMBER(F2330),E2330*F2330,"")</x:f>
      </x:c>
      <x:c r="H2330" s="37" t="d">
        <x:v>2026-10-15T00:00:00.000Z</x:v>
      </x:c>
      <x:c r="I2330" s="37" t="d">
        <x:v>2026-09-14T15:45:34.000Z</x:v>
      </x:c>
      <x:c r="J2330" s="1" t="n">
        <x:f>IF(ISNUMBER(F2330),E2330,0)</x:f>
        <x:v>0</x:v>
      </x:c>
      <x:c r="K2330" s="1"/>
      <x:c r="L2330" s="1" t="str">
        <x:v>https://blog.skyairline.com/sky-airline-cumple-10-anos-de-operacion-en-brasil-y-celebra-mas-de-2-millones-de-pasajeros-transportados/</x:v>
      </x:c>
      <x:c r="M2330" s="1" t="n">
        <x:v>0</x:v>
      </x:c>
    </x:row>
    <x:row r="2331" ht="18.75" customHeight="1">
      <x:c r="A2331" s="1" t="str">
        <x:v>https://blog.skyairline.com/equipaje-de-cabina/</x:v>
      </x:c>
      <x:c r="B2331" s="1" t="str">
        <x:v>bolso de mano en sky medidas</x:v>
      </x:c>
      <x:c r="C2331" s="1" t="str">
        <x:v>chl</x:v>
      </x:c>
      <x:c r="D2331" s="1" t="str">
        <x:v>Marca</x:v>
      </x:c>
      <x:c r="E2331" s="35" t="n">
        <x:v>1</x:v>
      </x:c>
      <x:c r="F2331" s="36"/>
      <x:c r="G2331" s="36" t="str">
        <x:f>IF(ISNUMBER(F2331),E2331*F2331,"")</x:f>
      </x:c>
      <x:c r="H2331" s="37"/>
      <x:c r="I2331" s="37"/>
      <x:c r="J2331" s="1" t="n">
        <x:f>IF(ISNUMBER(F2331),E2331,0)</x:f>
        <x:v>0</x:v>
      </x:c>
      <x:c r="K2331" s="1"/>
      <x:c r="L2331" s="1" t="str">
        <x:v>https://blog.skyairline.com/sky-airline-cumple-25-anos-di-trayectoria/</x:v>
      </x:c>
      <x:c r="M2331" s="1" t="n">
        <x:v>0</x:v>
      </x:c>
    </x:row>
    <x:row r="2332" ht="18.75" customHeight="1">
      <x:c r="A2332" s="1" t="str">
        <x:v>https://blog.skyairline.com/equipaje-de-cabina/</x:v>
      </x:c>
      <x:c r="B2332" s="1" t="str">
        <x:v>bolso de mano en sky peru</x:v>
      </x:c>
      <x:c r="C2332" s="1" t="str">
        <x:v>per</x:v>
      </x:c>
      <x:c r="D2332" s="1" t="str">
        <x:v>Marca</x:v>
      </x:c>
      <x:c r="E2332" s="35" t="n">
        <x:v>1</x:v>
      </x:c>
      <x:c r="F2332" s="36"/>
      <x:c r="G2332" s="36" t="str">
        <x:f>IF(ISNUMBER(F2332),E2332*F2332,"")</x:f>
      </x:c>
      <x:c r="H2332" s="37" t="d">
        <x:v>2026-10-15T00:00:00.000Z</x:v>
      </x:c>
      <x:c r="I2332" s="37" t="d">
        <x:v>2026-09-13T21:30:28.000Z</x:v>
      </x:c>
      <x:c r="J2332" s="1" t="n">
        <x:f>IF(ISNUMBER(F2332),E2332,0)</x:f>
        <x:v>0</x:v>
      </x:c>
      <x:c r="K2332" s="1"/>
      <x:c r="L2332" s="1" t="str">
        <x:v>https://blog.skyairline.com/sky-airline-cumple-7-anos-en-peru/</x:v>
      </x:c>
      <x:c r="M2332" s="1" t="n">
        <x:v>0</x:v>
      </x:c>
    </x:row>
    <x:row r="2333" ht="18.75" customHeight="1">
      <x:c r="A2333" s="1" t="str">
        <x:v>https://blog.skyairline.com/equipaje-de-cabina/</x:v>
      </x:c>
      <x:c r="B2333" s="1" t="str">
        <x:v>bolso de mano que se puede llevar</x:v>
      </x:c>
      <x:c r="C2333" s="1" t="str">
        <x:v>per</x:v>
      </x:c>
      <x:c r="D2333" s="1" t="str">
        <x:v>Sin marca</x:v>
      </x:c>
      <x:c r="E2333" s="35" t="n">
        <x:v>1</x:v>
      </x:c>
      <x:c r="F2333" s="36"/>
      <x:c r="G2333" s="36" t="str">
        <x:f>IF(ISNUMBER(F2333),E2333*F2333,"")</x:f>
      </x:c>
      <x:c r="H2333" s="37" t="d">
        <x:v>2026-10-15T00:00:00.000Z</x:v>
      </x:c>
      <x:c r="I2333" s="37" t="d">
        <x:v>2026-09-16T15:39:43.000Z</x:v>
      </x:c>
      <x:c r="J2333" s="1" t="n">
        <x:f>IF(ISNUMBER(F2333),E2333,0)</x:f>
        <x:v>0</x:v>
      </x:c>
      <x:c r="K2333" s="1"/>
      <x:c r="L2333" s="1" t="str">
        <x:v>https://blog.skyairline.com/sky-airline-cumple-anos-de-trayectoria/</x:v>
      </x:c>
      <x:c r="M2333" s="1" t="n">
        <x:v>0</x:v>
      </x:c>
    </x:row>
    <x:row r="2334" ht="18.75" customHeight="1">
      <x:c r="A2334" s="1" t="str">
        <x:v>https://blog.skyairline.com/equipaje-de-cabina/</x:v>
      </x:c>
      <x:c r="B2334" s="1" t="str">
        <x:v>bolso de mano sky</x:v>
      </x:c>
      <x:c r="C2334" s="1" t="str">
        <x:v>esp</x:v>
      </x:c>
      <x:c r="D2334" s="1" t="str">
        <x:v>Marca</x:v>
      </x:c>
      <x:c r="E2334" s="35" t="n">
        <x:v>1</x:v>
      </x:c>
      <x:c r="F2334" s="36"/>
      <x:c r="G2334" s="36" t="str">
        <x:f>IF(ISNUMBER(F2334),E2334*F2334,"")</x:f>
      </x:c>
      <x:c r="H2334" s="37"/>
      <x:c r="I2334" s="37"/>
      <x:c r="J2334" s="1" t="n">
        <x:f>IF(ISNUMBER(F2334),E2334,0)</x:f>
        <x:v>0</x:v>
      </x:c>
      <x:c r="K2334" s="1"/>
      <x:c r="L2334" s="1" t="str">
        <x:v>https://blog.skyairline.com/sky-airline-evito-la-emision-de-mas-de-315-mil-toneladas-de-co2-durante-el-2024-2/</x:v>
      </x:c>
      <x:c r="M2334" s="1" t="n">
        <x:v>0</x:v>
      </x:c>
    </x:row>
    <x:row r="2335" ht="18.75" customHeight="1">
      <x:c r="A2335" s="1" t="str">
        <x:v>https://blog.skyairline.com/equipaje-de-cabina/</x:v>
      </x:c>
      <x:c r="B2335" s="1" t="str">
        <x:v>bolso de mano sky</x:v>
      </x:c>
      <x:c r="C2335" s="1" t="str">
        <x:v>ury</x:v>
      </x:c>
      <x:c r="D2335" s="1" t="str">
        <x:v>Marca</x:v>
      </x:c>
      <x:c r="E2335" s="35" t="n">
        <x:v>1</x:v>
      </x:c>
      <x:c r="F2335" s="36"/>
      <x:c r="G2335" s="36" t="str">
        <x:f>IF(ISNUMBER(F2335),E2335*F2335,"")</x:f>
      </x:c>
      <x:c r="H2335" s="37"/>
      <x:c r="I2335" s="37"/>
      <x:c r="J2335" s="1" t="n">
        <x:f>IF(ISNUMBER(F2335),E2335,0)</x:f>
        <x:v>0</x:v>
      </x:c>
      <x:c r="K2335" s="1"/>
      <x:c r="L2335" s="1" t="str">
        <x:v>https://blog.skyairline.com/sky-airline-evito-la-emision-de-mas-de-315-mil-toneladas-de-co2-durante-el-2024/</x:v>
      </x:c>
      <x:c r="M2335" s="1" t="n">
        <x:v>0</x:v>
      </x:c>
    </x:row>
    <x:row r="2336" ht="18.75" customHeight="1">
      <x:c r="A2336" s="1" t="str">
        <x:v>https://blog.skyairline.com/equipaje-de-cabina/</x:v>
      </x:c>
      <x:c r="B2336" s="1" t="str">
        <x:v>bolso de mano sky airlines</x:v>
      </x:c>
      <x:c r="C2336" s="1" t="str">
        <x:v>bol</x:v>
      </x:c>
      <x:c r="D2336" s="1" t="str">
        <x:v>Marca</x:v>
      </x:c>
      <x:c r="E2336" s="35" t="n">
        <x:v>1</x:v>
      </x:c>
      <x:c r="F2336" s="36"/>
      <x:c r="G2336" s="36" t="str">
        <x:f>IF(ISNUMBER(F2336),E2336*F2336,"")</x:f>
      </x:c>
      <x:c r="H2336" s="37"/>
      <x:c r="I2336" s="37"/>
      <x:c r="J2336" s="1" t="n">
        <x:f>IF(ISNUMBER(F2336),E2336,0)</x:f>
        <x:v>0</x:v>
      </x:c>
      <x:c r="K2336" s="1"/>
      <x:c r="L2336" s="1" t="str">
        <x:v>https://blog.skyairline.com/sky-airline-guia-playa-los-yuyos</x:v>
      </x:c>
      <x:c r="M2336" s="1" t="n">
        <x:v>0</x:v>
      </x:c>
    </x:row>
    <x:row r="2337" ht="18.75" customHeight="1">
      <x:c r="A2337" s="1" t="str">
        <x:v>https://blog.skyairline.com/equipaje-de-cabina/</x:v>
      </x:c>
      <x:c r="B2337" s="1" t="str">
        <x:v>bolso de mano sky airlines</x:v>
      </x:c>
      <x:c r="C2337" s="1" t="str">
        <x:v>col</x:v>
      </x:c>
      <x:c r="D2337" s="1" t="str">
        <x:v>Marca</x:v>
      </x:c>
      <x:c r="E2337" s="35" t="n">
        <x:v>1</x:v>
      </x:c>
      <x:c r="F2337" s="36"/>
      <x:c r="G2337" s="36" t="str">
        <x:f>IF(ISNUMBER(F2337),E2337*F2337,"")</x:f>
      </x:c>
      <x:c r="H2337" s="37"/>
      <x:c r="I2337" s="37"/>
      <x:c r="J2337" s="1" t="n">
        <x:f>IF(ISNUMBER(F2337),E2337,0)</x:f>
        <x:v>0</x:v>
      </x:c>
      <x:c r="K2337" s="1"/>
      <x:c r="L2337" s="1" t="str">
        <x:v>https://blog.skyairline.com/sky-airline-ofrecio-descuentos-en-pasajes-para-antofagastinos/</x:v>
      </x:c>
      <x:c r="M2337" s="1" t="n">
        <x:v>0</x:v>
      </x:c>
    </x:row>
    <x:row r="2338" ht="18.75" customHeight="1">
      <x:c r="A2338" s="1" t="str">
        <x:v>https://blog.skyairline.com/equipaje-de-cabina/</x:v>
      </x:c>
      <x:c r="B2338" s="1" t="str">
        <x:v>bolso de mano sky airlines</x:v>
      </x:c>
      <x:c r="C2338" s="1" t="str">
        <x:v>esp</x:v>
      </x:c>
      <x:c r="D2338" s="1" t="str">
        <x:v>Marca</x:v>
      </x:c>
      <x:c r="E2338" s="35" t="n">
        <x:v>1</x:v>
      </x:c>
      <x:c r="F2338" s="36"/>
      <x:c r="G2338" s="36" t="str">
        <x:f>IF(ISNUMBER(F2338),E2338*F2338,"")</x:f>
      </x:c>
      <x:c r="H2338" s="37"/>
      <x:c r="I2338" s="37"/>
      <x:c r="J2338" s="1" t="n">
        <x:f>IF(ISNUMBER(F2338),E2338,0)</x:f>
        <x:v>0</x:v>
      </x:c>
      <x:c r="K2338" s="1"/>
      <x:c r="L2338" s="1" t="str">
        <x:v>https://blog.skyairline.com/sky-airline-operara-dos-nuevas-rutas-en-puerto-montt/</x:v>
      </x:c>
      <x:c r="M2338" s="1" t="n">
        <x:v>0</x:v>
      </x:c>
    </x:row>
    <x:row r="2339" ht="18.75" customHeight="1">
      <x:c r="A2339" s="1" t="str">
        <x:v>https://blog.skyairline.com/equipaje-de-cabina/</x:v>
      </x:c>
      <x:c r="B2339" s="1" t="str">
        <x:v>bolso de mano sky airlines</x:v>
      </x:c>
      <x:c r="C2339" s="1" t="str">
        <x:v>ury</x:v>
      </x:c>
      <x:c r="D2339" s="1" t="str">
        <x:v>Marca</x:v>
      </x:c>
      <x:c r="E2339" s="35" t="n">
        <x:v>1</x:v>
      </x:c>
      <x:c r="F2339" s="36"/>
      <x:c r="G2339" s="36" t="str">
        <x:f>IF(ISNUMBER(F2339),E2339*F2339,"")</x:f>
      </x:c>
      <x:c r="H2339" s="37"/>
      <x:c r="I2339" s="37"/>
      <x:c r="J2339" s="1" t="n">
        <x:f>IF(ISNUMBER(F2339),E2339,0)</x:f>
        <x:v>0</x:v>
      </x:c>
      <x:c r="K2339" s="1"/>
      <x:c r="L2339" s="1" t="str">
        <x:v>https://blog.skyairline.com/sky-airline-rompe-record-con-10-millones-de-pasajeros-transportados-en-sus-5-anos-y-medio-en-peru/</x:v>
      </x:c>
      <x:c r="M2339" s="1" t="n">
        <x:v>0</x:v>
      </x:c>
    </x:row>
    <x:row r="2340" ht="18.75" customHeight="1">
      <x:c r="A2340" s="1" t="str">
        <x:v>https://blog.skyairline.com/equipaje-de-cabina/</x:v>
      </x:c>
      <x:c r="B2340" s="1" t="str">
        <x:v>bolso de mano sky medidas</x:v>
      </x:c>
      <x:c r="C2340" s="1" t="str">
        <x:v>arg</x:v>
      </x:c>
      <x:c r="D2340" s="1" t="str">
        <x:v>Marca</x:v>
      </x:c>
      <x:c r="E2340" s="35" t="n">
        <x:v>1</x:v>
      </x:c>
      <x:c r="F2340" s="36"/>
      <x:c r="G2340" s="36" t="str">
        <x:f>IF(ISNUMBER(F2340),E2340*F2340,"")</x:f>
      </x:c>
      <x:c r="H2340" s="37"/>
      <x:c r="I2340" s="37"/>
      <x:c r="J2340" s="1" t="n">
        <x:f>IF(ISNUMBER(F2340),E2340,0)</x:f>
        <x:v>0</x:v>
      </x:c>
      <x:c r="K2340" s="1"/>
      <x:c r="L2340" s="1" t="str">
        <x:v>https://blog.skyairline.com/sky-airline-sella-alianza-con-embratur/</x:v>
      </x:c>
      <x:c r="M2340" s="1" t="n">
        <x:v>0</x:v>
      </x:c>
    </x:row>
    <x:row r="2341" ht="18.75" customHeight="1">
      <x:c r="A2341" s="1" t="str">
        <x:v>https://blog.skyairline.com/equipaje-de-cabina/</x:v>
      </x:c>
      <x:c r="B2341" s="1" t="str">
        <x:v>bolso de mano sky medidas</x:v>
      </x:c>
      <x:c r="C2341" s="1" t="str">
        <x:v>esp</x:v>
      </x:c>
      <x:c r="D2341" s="1" t="str">
        <x:v>Marca</x:v>
      </x:c>
      <x:c r="E2341" s="35" t="n">
        <x:v>1</x:v>
      </x:c>
      <x:c r="F2341" s="36"/>
      <x:c r="G2341" s="36" t="str">
        <x:f>IF(ISNUMBER(F2341),E2341*F2341,"")</x:f>
      </x:c>
      <x:c r="H2341" s="37"/>
      <x:c r="I2341" s="37"/>
      <x:c r="J2341" s="1" t="n">
        <x:f>IF(ISNUMBER(F2341),E2341,0)</x:f>
        <x:v>0</x:v>
      </x:c>
      <x:c r="K2341" s="1"/>
      <x:c r="L2341" s="1" t="str">
        <x:v>https://blog.skyairline.com/sky-airline/cerro-santa-lucia-en-santiago-visita-este-punto-historico-de</x:v>
      </x:c>
      <x:c r="M2341" s="1" t="n">
        <x:v>0</x:v>
      </x:c>
    </x:row>
    <x:row r="2342" ht="18.75" customHeight="1">
      <x:c r="A2342" s="1" t="str">
        <x:v>https://blog.skyairline.com/equipaje-de-cabina/</x:v>
      </x:c>
      <x:c r="B2342" s="1" t="str">
        <x:v>bolso de mano sky medidas y peso</x:v>
      </x:c>
      <x:c r="C2342" s="1" t="str">
        <x:v>chl</x:v>
      </x:c>
      <x:c r="D2342" s="1" t="str">
        <x:v>Marca</x:v>
      </x:c>
      <x:c r="E2342" s="35" t="n">
        <x:v>1</x:v>
      </x:c>
      <x:c r="F2342" s="36" t="n">
        <x:v>0.12</x:v>
      </x:c>
      <x:c r="G2342" s="36" t="n">
        <x:f>IF(ISNUMBER(F2342),E2342*F2342,"")</x:f>
        <x:v>0.12</x:v>
      </x:c>
      <x:c r="H2342" s="37" t="d">
        <x:v>2026-10-15T00:00:00.000Z</x:v>
      </x:c>
      <x:c r="I2342" s="37" t="d">
        <x:v>2026-09-13T08:49:03.000Z</x:v>
      </x:c>
      <x:c r="J2342" s="1" t="n">
        <x:f>IF(ISNUMBER(F2342),E2342,0)</x:f>
        <x:v>1</x:v>
      </x:c>
      <x:c r="K2342" s="1"/>
      <x:c r="L2342" s="1" t="str">
        <x:v>https://blog.skyairline.com/sky-airline/comidas-y-bebidas-tipicas-del-18-de-septiembre/</x:v>
      </x:c>
      <x:c r="M2342" s="1" t="n">
        <x:v>0</x:v>
      </x:c>
    </x:row>
    <x:row r="2343" ht="18.75" customHeight="1">
      <x:c r="A2343" s="1" t="str">
        <x:v>https://blog.skyairline.com/equipaje-de-cabina/</x:v>
      </x:c>
      <x:c r="B2343" s="1" t="str">
        <x:v>bolso de mano sky medidas y peso</x:v>
      </x:c>
      <x:c r="C2343" s="1" t="str">
        <x:v>per</x:v>
      </x:c>
      <x:c r="D2343" s="1" t="str">
        <x:v>Marca</x:v>
      </x:c>
      <x:c r="E2343" s="35" t="n">
        <x:v>1</x:v>
      </x:c>
      <x:c r="F2343" s="36"/>
      <x:c r="G2343" s="36" t="str">
        <x:f>IF(ISNUMBER(F2343),E2343*F2343,"")</x:f>
      </x:c>
      <x:c r="H2343" s="37" t="d">
        <x:v>2026-10-15T00:00:00.000Z</x:v>
      </x:c>
      <x:c r="I2343" s="37" t="d">
        <x:v>2026-09-13T20:35:47.000Z</x:v>
      </x:c>
      <x:c r="J2343" s="1" t="n">
        <x:f>IF(ISNUMBER(F2343),E2343,0)</x:f>
        <x:v>0</x:v>
      </x:c>
      <x:c r="K2343" s="1"/>
      <x:c r="L2343" s="1" t="str">
        <x:v>https://blog.skyairline.com/sky-airline/terminal-sur-santiago-de-chile/</x:v>
      </x:c>
      <x:c r="M2343" s="1" t="n">
        <x:v>0</x:v>
      </x:c>
    </x:row>
    <x:row r="2344" ht="18.75" customHeight="1">
      <x:c r="A2344" s="1" t="str">
        <x:v>https://blog.skyairline.com/equipaje-de-cabina/</x:v>
      </x:c>
      <x:c r="B2344" s="1" t="str">
        <x:v>bolso sky</x:v>
      </x:c>
      <x:c r="C2344" s="1" t="str">
        <x:v>per</x:v>
      </x:c>
      <x:c r="D2344" s="1" t="str">
        <x:v>Marca</x:v>
      </x:c>
      <x:c r="E2344" s="35" t="n">
        <x:v>1</x:v>
      </x:c>
      <x:c r="F2344" s="36"/>
      <x:c r="G2344" s="36" t="str">
        <x:f>IF(ISNUMBER(F2344),E2344*F2344,"")</x:f>
      </x:c>
      <x:c r="H2344" s="37"/>
      <x:c r="I2344" s="37"/>
      <x:c r="J2344" s="1" t="n">
        <x:f>IF(ISNUMBER(F2344),E2344,0)</x:f>
        <x:v>0</x:v>
      </x:c>
      <x:c r="K2344" s="1"/>
      <x:c r="L2344" s="1" t="str">
        <x:v>https://blog.skyairline.com/sky-airline/terminal-sur-santiago/</x:v>
      </x:c>
      <x:c r="M2344" s="1" t="n">
        <x:v>0</x:v>
      </x:c>
    </x:row>
    <x:row r="2345" ht="18.75" customHeight="1">
      <x:c r="A2345" s="1" t="str">
        <x:v>https://blog.skyairline.com/equipaje-de-cabina/</x:v>
      </x:c>
      <x:c r="B2345" s="1" t="str">
        <x:v>carry on sky</x:v>
      </x:c>
      <x:c r="C2345" s="1" t="str">
        <x:v>ury</x:v>
      </x:c>
      <x:c r="D2345" s="1" t="str">
        <x:v>Marca</x:v>
      </x:c>
      <x:c r="E2345" s="35" t="n">
        <x:v>1</x:v>
      </x:c>
      <x:c r="F2345" s="36"/>
      <x:c r="G2345" s="36" t="str">
        <x:f>IF(ISNUMBER(F2345),E2345*F2345,"")</x:f>
      </x:c>
      <x:c r="H2345" s="37"/>
      <x:c r="I2345" s="37"/>
      <x:c r="J2345" s="1" t="n">
        <x:f>IF(ISNUMBER(F2345),E2345,0)</x:f>
        <x:v>0</x:v>
      </x:c>
      <x:c r="K2345" s="1"/>
      <x:c r="L2345" s="1" t="str">
        <x:v>https://blog.skyairline.com/sky-aumenta-la-presencia-de-mujeres-piloto-superando-el-promedio-mundial-2</x:v>
      </x:c>
      <x:c r="M2345" s="1" t="n">
        <x:v>0</x:v>
      </x:c>
    </x:row>
    <x:row r="2346" ht="18.75" customHeight="1">
      <x:c r="A2346" s="1" t="str">
        <x:v>https://blog.skyairline.com/equipaje-de-cabina/</x:v>
      </x:c>
      <x:c r="B2346" s="1" t="str">
        <x:v>carry on sky airlines</x:v>
      </x:c>
      <x:c r="C2346" s="1" t="str">
        <x:v>ecu</x:v>
      </x:c>
      <x:c r="D2346" s="1" t="str">
        <x:v>Marca</x:v>
      </x:c>
      <x:c r="E2346" s="35" t="n">
        <x:v>1</x:v>
      </x:c>
      <x:c r="F2346" s="36"/>
      <x:c r="G2346" s="36" t="str">
        <x:f>IF(ISNUMBER(F2346),E2346*F2346,"")</x:f>
      </x:c>
      <x:c r="H2346" s="37"/>
      <x:c r="I2346" s="37"/>
      <x:c r="J2346" s="1" t="n">
        <x:f>IF(ISNUMBER(F2346),E2346,0)</x:f>
        <x:v>0</x:v>
      </x:c>
      <x:c r="K2346" s="1"/>
      <x:c r="L2346" s="1" t="str">
        <x:v>https://blog.skyairline.com/sky-aumenta-la-presencia-de-mujeres-piloto-superando-el-promedio-mundial/</x:v>
      </x:c>
      <x:c r="M2346" s="1" t="n">
        <x:v>0</x:v>
      </x:c>
    </x:row>
    <x:row r="2347" ht="18.75" customHeight="1">
      <x:c r="A2347" s="1" t="str">
        <x:v>https://blog.skyairline.com/equipaje-de-cabina/</x:v>
      </x:c>
      <x:c r="B2347" s="1" t="str">
        <x:v>carry on sky airlines</x:v>
      </x:c>
      <x:c r="C2347" s="1" t="str">
        <x:v>per</x:v>
      </x:c>
      <x:c r="D2347" s="1" t="str">
        <x:v>Marca</x:v>
      </x:c>
      <x:c r="E2347" s="35" t="n">
        <x:v>1</x:v>
      </x:c>
      <x:c r="F2347" s="36"/>
      <x:c r="G2347" s="36" t="str">
        <x:f>IF(ISNUMBER(F2347),E2347*F2347,"")</x:f>
      </x:c>
      <x:c r="H2347" s="37"/>
      <x:c r="I2347" s="37"/>
      <x:c r="J2347" s="1" t="n">
        <x:f>IF(ISNUMBER(F2347),E2347,0)</x:f>
        <x:v>0</x:v>
      </x:c>
      <x:c r="K2347" s="1"/>
      <x:c r="L2347" s="1" t="str">
        <x:v>https://blog.skyairline.com/sky-aumentara-vuelos-entre-lima-y-miami-desde-septiembre/</x:v>
      </x:c>
      <x:c r="M2347" s="1" t="n">
        <x:v>0</x:v>
      </x:c>
    </x:row>
    <x:row r="2348" ht="18.75" customHeight="1">
      <x:c r="A2348" s="1" t="str">
        <x:v>https://blog.skyairline.com/equipaje-de-cabina/</x:v>
      </x:c>
      <x:c r="B2348" s="1" t="str">
        <x:v>carry on sky medidas</x:v>
      </x:c>
      <x:c r="C2348" s="1" t="str">
        <x:v>ury</x:v>
      </x:c>
      <x:c r="D2348" s="1" t="str">
        <x:v>Marca</x:v>
      </x:c>
      <x:c r="E2348" s="35" t="n">
        <x:v>1</x:v>
      </x:c>
      <x:c r="F2348" s="36"/>
      <x:c r="G2348" s="36" t="str">
        <x:f>IF(ISNUMBER(F2348),E2348*F2348,"")</x:f>
      </x:c>
      <x:c r="H2348" s="37"/>
      <x:c r="I2348" s="37"/>
      <x:c r="J2348" s="1" t="n">
        <x:f>IF(ISNUMBER(F2348),E2348,0)</x:f>
        <x:v>0</x:v>
      </x:c>
      <x:c r="K2348" s="1"/>
      <x:c r="L2348" s="1" t="str">
        <x:v>https://blog.skyairline.com/sky-blog-que-es-el-skiplagging-y-por-que-genera-debato-1/</x:v>
      </x:c>
      <x:c r="M2348" s="1" t="n">
        <x:v>0</x:v>
      </x:c>
    </x:row>
    <x:row r="2349" ht="18.75" customHeight="1">
      <x:c r="A2349" s="1" t="str">
        <x:v>https://blog.skyairline.com/equipaje-de-cabina/</x:v>
      </x:c>
      <x:c r="B2349" s="1" t="str">
        <x:v>cual es el equipaje de cabina en sky</x:v>
      </x:c>
      <x:c r="C2349" s="1" t="str">
        <x:v>per</x:v>
      </x:c>
      <x:c r="D2349" s="1" t="str">
        <x:v>Marca</x:v>
      </x:c>
      <x:c r="E2349" s="35" t="n">
        <x:v>1</x:v>
      </x:c>
      <x:c r="F2349" s="36"/>
      <x:c r="G2349" s="36" t="str">
        <x:f>IF(ISNUMBER(F2349),E2349*F2349,"")</x:f>
      </x:c>
      <x:c r="H2349" s="37"/>
      <x:c r="I2349" s="37"/>
      <x:c r="J2349" s="1" t="n">
        <x:f>IF(ISNUMBER(F2349),E2349,0)</x:f>
        <x:v>0</x:v>
      </x:c>
      <x:c r="K2349" s="1"/>
      <x:c r="L2349" s="1" t="str">
        <x:v>https://blog.skyairline.com/sky-celebra-24-anos-en-la-aviacion-y-6-en-peru-consolidando-su-presencia-en-la-region/</x:v>
      </x:c>
      <x:c r="M2349" s="1" t="n">
        <x:v>0</x:v>
      </x:c>
    </x:row>
    <x:row r="2350" ht="18.75" customHeight="1">
      <x:c r="A2350" s="1" t="str">
        <x:v>https://blog.skyairline.com/equipaje-de-cabina/</x:v>
      </x:c>
      <x:c r="B2350" s="1" t="str">
        <x:v>cuanto debe pesar la maleta de cabina</x:v>
      </x:c>
      <x:c r="C2350" s="1" t="str">
        <x:v>chl</x:v>
      </x:c>
      <x:c r="D2350" s="1" t="str">
        <x:v>Sin marca</x:v>
      </x:c>
      <x:c r="E2350" s="35" t="n">
        <x:v>1</x:v>
      </x:c>
      <x:c r="F2350" s="36"/>
      <x:c r="G2350" s="36" t="str">
        <x:f>IF(ISNUMBER(F2350),E2350*F2350,"")</x:f>
      </x:c>
      <x:c r="H2350" s="37"/>
      <x:c r="I2350" s="37"/>
      <x:c r="J2350" s="1" t="n">
        <x:f>IF(ISNUMBER(F2350),E2350,0)</x:f>
        <x:v>0</x:v>
      </x:c>
      <x:c r="K2350" s="1"/>
      <x:c r="L2350" s="1" t="str">
        <x:v>https://blog.skyairline.com/sky-celebra-aniversario-volando-en-tarapoto/</x:v>
      </x:c>
      <x:c r="M2350" s="1" t="n">
        <x:v>0</x:v>
      </x:c>
    </x:row>
    <x:row r="2351" ht="18.75" customHeight="1">
      <x:c r="A2351" s="1" t="str">
        <x:v>https://blog.skyairline.com/equipaje-de-cabina/</x:v>
      </x:c>
      <x:c r="B2351" s="1" t="str">
        <x:v>de chile a lima</x:v>
      </x:c>
      <x:c r="C2351" s="1" t="str">
        <x:v>chl</x:v>
      </x:c>
      <x:c r="D2351" s="1" t="str">
        <x:v>Sin marca</x:v>
      </x:c>
      <x:c r="E2351" s="35" t="n">
        <x:v>1</x:v>
      </x:c>
      <x:c r="F2351" s="36"/>
      <x:c r="G2351" s="36" t="str">
        <x:f>IF(ISNUMBER(F2351),E2351*F2351,"")</x:f>
      </x:c>
      <x:c r="H2351" s="37"/>
      <x:c r="I2351" s="37"/>
      <x:c r="J2351" s="1" t="n">
        <x:f>IF(ISNUMBER(F2351),E2351,0)</x:f>
        <x:v>0</x:v>
      </x:c>
      <x:c r="K2351" s="1"/>
      <x:c r="L2351" s="1" t="str">
        <x:v>https://blog.skyairline.com/sky-celebro-el-aniversario-de-arequipa-transportando-a-mas-de-6700-viajeros/</x:v>
      </x:c>
      <x:c r="M2351" s="1" t="n">
        <x:v>0</x:v>
      </x:c>
    </x:row>
    <x:row r="2352" ht="18.75" customHeight="1">
      <x:c r="A2352" s="1" t="str">
        <x:v>https://blog.skyairline.com/equipaje-de-cabina/</x:v>
      </x:c>
      <x:c r="B2352" s="1" t="str">
        <x:v>de santiago a buenos aires</x:v>
      </x:c>
      <x:c r="C2352" s="1" t="str">
        <x:v>chl</x:v>
      </x:c>
      <x:c r="D2352" s="1" t="str">
        <x:v>Sin marca</x:v>
      </x:c>
      <x:c r="E2352" s="35" t="n">
        <x:v>1</x:v>
      </x:c>
      <x:c r="F2352" s="36"/>
      <x:c r="G2352" s="36" t="str">
        <x:f>IF(ISNUMBER(F2352),E2352*F2352,"")</x:f>
      </x:c>
      <x:c r="H2352" s="37"/>
      <x:c r="I2352" s="37"/>
      <x:c r="J2352" s="1" t="n">
        <x:f>IF(ISNUMBER(F2352),E2352,0)</x:f>
        <x:v>0</x:v>
      </x:c>
      <x:c r="K2352" s="1"/>
      <x:c r="L2352" s="1" t="str">
        <x:v>https://blog.skyairline.com/sky-chile/</x:v>
      </x:c>
      <x:c r="M2352" s="1" t="n">
        <x:v>0</x:v>
      </x:c>
    </x:row>
    <x:row r="2353" ht="18.75" customHeight="1">
      <x:c r="A2353" s="1" t="str">
        <x:v>https://blog.skyairline.com/equipaje-de-cabina/</x:v>
      </x:c>
      <x:c r="B2353" s="1" t="str">
        <x:v>dime las medidas</x:v>
      </x:c>
      <x:c r="C2353" s="1" t="str">
        <x:v>chl</x:v>
      </x:c>
      <x:c r="D2353" s="1" t="str">
        <x:v>Sin marca</x:v>
      </x:c>
      <x:c r="E2353" s="35" t="n">
        <x:v>1</x:v>
      </x:c>
      <x:c r="F2353" s="36"/>
      <x:c r="G2353" s="36" t="str">
        <x:f>IF(ISNUMBER(F2353),E2353*F2353,"")</x:f>
      </x:c>
      <x:c r="H2353" s="37"/>
      <x:c r="I2353" s="37"/>
      <x:c r="J2353" s="1" t="n">
        <x:f>IF(ISNUMBER(F2353),E2353,0)</x:f>
        <x:v>0</x:v>
      </x:c>
      <x:c r="K2353" s="1"/>
      <x:c r="L2353" s="1" t="str">
        <x:v>https://blog.skyairline.com/sky-chiloe/</x:v>
      </x:c>
      <x:c r="M2353" s="1" t="n">
        <x:v>0</x:v>
      </x:c>
    </x:row>
    <x:row r="2354" ht="18.75" customHeight="1">
      <x:c r="A2354" s="1" t="str">
        <x:v>https://blog.skyairline.com/equipaje-de-cabina/</x:v>
      </x:c>
      <x:c r="B2354" s="1" t="str">
        <x:v>dimensiones mochila sky</x:v>
      </x:c>
      <x:c r="C2354" s="1" t="str">
        <x:v>chl</x:v>
      </x:c>
      <x:c r="D2354" s="1" t="str">
        <x:v>Marca</x:v>
      </x:c>
      <x:c r="E2354" s="35" t="n">
        <x:v>1</x:v>
      </x:c>
      <x:c r="F2354" s="36"/>
      <x:c r="G2354" s="36" t="str">
        <x:f>IF(ISNUMBER(F2354),E2354*F2354,"")</x:f>
      </x:c>
      <x:c r="H2354" s="37"/>
      <x:c r="I2354" s="37"/>
      <x:c r="J2354" s="1" t="n">
        <x:f>IF(ISNUMBER(F2354),E2354,0)</x:f>
        <x:v>0</x:v>
      </x:c>
      <x:c r="K2354" s="1"/>
      <x:c r="L2354" s="1" t="str">
        <x:v>https://blog.skyairline.com/sky-cierra-el-primer-semestre-con-un-crecimiento-de-30-en-comparacion-al-ultimo-ano-sin-pandemia/</x:v>
      </x:c>
      <x:c r="M2354" s="1" t="n">
        <x:v>0</x:v>
      </x:c>
    </x:row>
    <x:row r="2355" ht="18.75" customHeight="1">
      <x:c r="A2355" s="1" t="str">
        <x:v>https://blog.skyairline.com/equipaje-de-cabina/</x:v>
      </x:c>
      <x:c r="B2355" s="1" t="str">
        <x:v>empresa sky</x:v>
      </x:c>
      <x:c r="C2355" s="1" t="str">
        <x:v>per</x:v>
      </x:c>
      <x:c r="D2355" s="1" t="str">
        <x:v>Marca</x:v>
      </x:c>
      <x:c r="E2355" s="35" t="n">
        <x:v>1</x:v>
      </x:c>
      <x:c r="F2355" s="36" t="n">
        <x:v>1.23</x:v>
      </x:c>
      <x:c r="G2355" s="36" t="n">
        <x:f>IF(ISNUMBER(F2355),E2355*F2355,"")</x:f>
        <x:v>1.23</x:v>
      </x:c>
      <x:c r="H2355" s="37" t="d">
        <x:v>2026-10-15T00:00:00.000Z</x:v>
      </x:c>
      <x:c r="I2355" s="37" t="d">
        <x:v>2026-09-13T17:59:47.999Z</x:v>
      </x:c>
      <x:c r="J2355" s="1" t="n">
        <x:f>IF(ISNUMBER(F2355),E2355,0)</x:f>
        <x:v>1</x:v>
      </x:c>
      <x:c r="K2355" s="1"/>
      <x:c r="L2355" s="1" t="str">
        <x:v>https://blog.skyairline.com/sky-edudown/</x:v>
      </x:c>
      <x:c r="M2355" s="1" t="n">
        <x:v>0</x:v>
      </x:c>
    </x:row>
    <x:row r="2356" ht="18.75" customHeight="1">
      <x:c r="A2356" s="1" t="str">
        <x:v>https://blog.skyairline.com/equipaje-de-cabina/</x:v>
      </x:c>
      <x:c r="B2356" s="1" t="str">
        <x:v>en la aerolínea sky</x:v>
      </x:c>
      <x:c r="C2356" s="1" t="str">
        <x:v>per</x:v>
      </x:c>
      <x:c r="D2356" s="1" t="str">
        <x:v>Marca</x:v>
      </x:c>
      <x:c r="E2356" s="35" t="n">
        <x:v>1</x:v>
      </x:c>
      <x:c r="F2356" s="36"/>
      <x:c r="G2356" s="36" t="str">
        <x:f>IF(ISNUMBER(F2356),E2356*F2356,"")</x:f>
      </x:c>
      <x:c r="H2356" s="37"/>
      <x:c r="I2356" s="37"/>
      <x:c r="J2356" s="1" t="n">
        <x:f>IF(ISNUMBER(F2356),E2356,0)</x:f>
        <x:v>0</x:v>
      </x:c>
      <x:c r="K2356" s="1"/>
      <x:c r="L2356" s="1" t="str">
        <x:v>https://blog.skyairline.com/sky-es-la-nueva-linea-aerea-oficial-de-la-seleccion-chilena-y-peruana-de-futbol</x:v>
      </x:c>
      <x:c r="M2356" s="1" t="n">
        <x:v>0</x:v>
      </x:c>
    </x:row>
    <x:row r="2357" ht="18.75" customHeight="1">
      <x:c r="A2357" s="1" t="str">
        <x:v>https://blog.skyairline.com/equipaje-de-cabina/</x:v>
      </x:c>
      <x:c r="B2357" s="1" t="str">
        <x:v>en qué te basas?</x:v>
      </x:c>
      <x:c r="C2357" s="1" t="str">
        <x:v>chl</x:v>
      </x:c>
      <x:c r="D2357" s="1" t="str">
        <x:v>Sin marca</x:v>
      </x:c>
      <x:c r="E2357" s="35" t="n">
        <x:v>1</x:v>
      </x:c>
      <x:c r="F2357" s="36"/>
      <x:c r="G2357" s="36" t="str">
        <x:f>IF(ISNUMBER(F2357),E2357*F2357,"")</x:f>
      </x:c>
      <x:c r="H2357" s="37"/>
      <x:c r="I2357" s="37"/>
      <x:c r="J2357" s="1" t="n">
        <x:f>IF(ISNUMBER(F2357),E2357,0)</x:f>
        <x:v>0</x:v>
      </x:c>
      <x:c r="K2357" s="1"/>
      <x:c r="L2357" s="1" t="str">
        <x:v>https://blog.skyairline.com/sky-es-nuevamente-auspiciador-de-un-festival-de-vina-2024-marcado-por-la-solidaridad/</x:v>
      </x:c>
      <x:c r="M2357" s="1" t="n">
        <x:v>0</x:v>
      </x:c>
    </x:row>
    <x:row r="2358" ht="18.75" customHeight="1">
      <x:c r="A2358" s="1" t="str">
        <x:v>https://blog.skyairline.com/equipaje-de-cabina/</x:v>
      </x:c>
      <x:c r="B2358" s="1" t="str">
        <x:v>equipaje cabina sky</x:v>
      </x:c>
      <x:c r="C2358" s="1" t="str">
        <x:v>col</x:v>
      </x:c>
      <x:c r="D2358" s="1" t="str">
        <x:v>Marca</x:v>
      </x:c>
      <x:c r="E2358" s="35" t="n">
        <x:v>1</x:v>
      </x:c>
      <x:c r="F2358" s="36"/>
      <x:c r="G2358" s="36" t="str">
        <x:f>IF(ISNUMBER(F2358),E2358*F2358,"")</x:f>
      </x:c>
      <x:c r="H2358" s="37"/>
      <x:c r="I2358" s="37"/>
      <x:c r="J2358" s="1" t="n">
        <x:f>IF(ISNUMBER(F2358),E2358,0)</x:f>
        <x:v>0</x:v>
      </x:c>
      <x:c r="K2358" s="1"/>
      <x:c r="L2358" s="1" t="str">
        <x:v>https://blog.skyairline.com/sky-es-reconocida-como-la-flota-mas-nueva-de-sudamerica-por-tercer-ano-consecutivo/</x:v>
      </x:c>
      <x:c r="M2358" s="1" t="n">
        <x:v>0</x:v>
      </x:c>
    </x:row>
    <x:row r="2359" ht="18.75" customHeight="1">
      <x:c r="A2359" s="1" t="str">
        <x:v>https://blog.skyairline.com/equipaje-de-cabina/</x:v>
      </x:c>
      <x:c r="B2359" s="1" t="str">
        <x:v>equipaje de cabina sky</x:v>
      </x:c>
      <x:c r="C2359" s="1" t="str">
        <x:v>col</x:v>
      </x:c>
      <x:c r="D2359" s="1" t="str">
        <x:v>Marca</x:v>
      </x:c>
      <x:c r="E2359" s="35" t="n">
        <x:v>1</x:v>
      </x:c>
      <x:c r="F2359" s="36"/>
      <x:c r="G2359" s="36" t="str">
        <x:f>IF(ISNUMBER(F2359),E2359*F2359,"")</x:f>
      </x:c>
      <x:c r="H2359" s="37"/>
      <x:c r="I2359" s="37"/>
      <x:c r="J2359" s="1" t="n">
        <x:f>IF(ISNUMBER(F2359),E2359,0)</x:f>
        <x:v>0</x:v>
      </x:c>
      <x:c r="K2359" s="1"/>
      <x:c r="L2359" s="1" t="str">
        <x:v>https://blog.skyairline.com/sky-es-reconocida-por-tercera-vez-como-la-mejor-low-cost-de-sudamerica-en-importante-ranking-de-aviacion-mundial/</x:v>
      </x:c>
      <x:c r="M2359" s="1" t="n">
        <x:v>0</x:v>
      </x:c>
    </x:row>
    <x:row r="2360" ht="18.75" customHeight="1">
      <x:c r="A2360" s="1" t="str">
        <x:v>https://blog.skyairline.com/equipaje-de-cabina/</x:v>
      </x:c>
      <x:c r="B2360" s="1" t="str">
        <x:v>equipaje de cabina sky</x:v>
      </x:c>
      <x:c r="C2360" s="1" t="str">
        <x:v>ury</x:v>
      </x:c>
      <x:c r="D2360" s="1" t="str">
        <x:v>Marca</x:v>
      </x:c>
      <x:c r="E2360" s="35" t="n">
        <x:v>1</x:v>
      </x:c>
      <x:c r="F2360" s="36"/>
      <x:c r="G2360" s="36" t="str">
        <x:f>IF(ISNUMBER(F2360),E2360*F2360,"")</x:f>
      </x:c>
      <x:c r="H2360" s="37"/>
      <x:c r="I2360" s="37"/>
      <x:c r="J2360" s="1" t="n">
        <x:f>IF(ISNUMBER(F2360),E2360,0)</x:f>
        <x:v>0</x:v>
      </x:c>
      <x:c r="K2360" s="1"/>
      <x:c r="L2360" s="1" t="str">
        <x:v>https://blog.skyairline.com/sky-es-reconocida-por-tercera-vez-en-el-ano-como-la-aerolinea-mas-puntual-de-latinoamerica/</x:v>
      </x:c>
      <x:c r="M2360" s="1" t="n">
        <x:v>0</x:v>
      </x:c>
    </x:row>
    <x:row r="2361" ht="18.75" customHeight="1">
      <x:c r="A2361" s="1" t="str">
        <x:v>https://blog.skyairline.com/equipaje-de-cabina/</x:v>
      </x:c>
      <x:c r="B2361" s="1" t="str">
        <x:v>equipaje de cabina sky</x:v>
      </x:c>
      <x:c r="C2361" s="1" t="str">
        <x:v>usa</x:v>
      </x:c>
      <x:c r="D2361" s="1" t="str">
        <x:v>Marca</x:v>
      </x:c>
      <x:c r="E2361" s="35" t="n">
        <x:v>1</x:v>
      </x:c>
      <x:c r="F2361" s="36"/>
      <x:c r="G2361" s="36" t="str">
        <x:f>IF(ISNUMBER(F2361),E2361*F2361,"")</x:f>
      </x:c>
      <x:c r="H2361" s="37"/>
      <x:c r="I2361" s="37"/>
      <x:c r="J2361" s="1" t="n">
        <x:f>IF(ISNUMBER(F2361),E2361,0)</x:f>
        <x:v>0</x:v>
      </x:c>
      <x:c r="K2361" s="1"/>
      <x:c r="L2361" s="1" t="str">
        <x:v>https://blog.skyairline.com/sky-expande-su-venta-a-10-mercados-internacionales/</x:v>
      </x:c>
      <x:c r="M2361" s="1" t="n">
        <x:v>0</x:v>
      </x:c>
    </x:row>
    <x:row r="2362" ht="18.75" customHeight="1">
      <x:c r="A2362" s="1" t="str">
        <x:v>https://blog.skyairline.com/equipaje-de-cabina/</x:v>
      </x:c>
      <x:c r="B2362" s="1" t="str">
        <x:v>equipaje de cabina sky medidas</x:v>
      </x:c>
      <x:c r="C2362" s="1" t="str">
        <x:v>per</x:v>
      </x:c>
      <x:c r="D2362" s="1" t="str">
        <x:v>Marca</x:v>
      </x:c>
      <x:c r="E2362" s="35" t="n">
        <x:v>1</x:v>
      </x:c>
      <x:c r="F2362" s="36"/>
      <x:c r="G2362" s="36" t="str">
        <x:f>IF(ISNUMBER(F2362),E2362*F2362,"")</x:f>
      </x:c>
      <x:c r="H2362" s="37"/>
      <x:c r="I2362" s="37"/>
      <x:c r="J2362" s="1" t="n">
        <x:f>IF(ISNUMBER(F2362),E2362,0)</x:f>
        <x:v>0</x:v>
      </x:c>
      <x:c r="K2362" s="1"/>
      <x:c r="L2362" s="1" t="str">
        <x:v>https://blog.skyairline.com/sky-expande-su-venta-o-10-mercados-internacionales/</x:v>
      </x:c>
      <x:c r="M2362" s="1" t="n">
        <x:v>0</x:v>
      </x:c>
    </x:row>
    <x:row r="2363" ht="18.75" customHeight="1">
      <x:c r="A2363" s="1" t="str">
        <x:v>https://blog.skyairline.com/equipaje-de-cabina/</x:v>
      </x:c>
      <x:c r="B2363" s="1" t="str">
        <x:v>equipaje de mano de sky airlines</x:v>
      </x:c>
      <x:c r="C2363" s="1" t="str">
        <x:v>ury</x:v>
      </x:c>
      <x:c r="D2363" s="1" t="str">
        <x:v>Marca</x:v>
      </x:c>
      <x:c r="E2363" s="35" t="n">
        <x:v>1</x:v>
      </x:c>
      <x:c r="F2363" s="36"/>
      <x:c r="G2363" s="36" t="str">
        <x:f>IF(ISNUMBER(F2363),E2363*F2363,"")</x:f>
      </x:c>
      <x:c r="H2363" s="37"/>
      <x:c r="I2363" s="37"/>
      <x:c r="J2363" s="1" t="n">
        <x:f>IF(ISNUMBER(F2363),E2363,0)</x:f>
        <x:v>0</x:v>
      </x:c>
      <x:c r="K2363" s="1"/>
      <x:c r="L2363" s="1" t="str">
        <x:v>https://blog.skyairline.com/sky-firma-acuerdo-interlineal-con-tap-conectar-pasajeros-europa-con-las-capitales-de-chile-y-peru-via-brasil/</x:v>
      </x:c>
      <x:c r="M2363" s="1" t="n">
        <x:v>0</x:v>
      </x:c>
    </x:row>
    <x:row r="2364" ht="18.75" customHeight="1">
      <x:c r="A2364" s="1" t="str">
        <x:v>https://blog.skyairline.com/equipaje-de-cabina/</x:v>
      </x:c>
      <x:c r="B2364" s="1" t="str">
        <x:v>equipaje de mano en sky</x:v>
      </x:c>
      <x:c r="C2364" s="1" t="str">
        <x:v>per</x:v>
      </x:c>
      <x:c r="D2364" s="1" t="str">
        <x:v>Marca</x:v>
      </x:c>
      <x:c r="E2364" s="35" t="n">
        <x:v>1</x:v>
      </x:c>
      <x:c r="F2364" s="36"/>
      <x:c r="G2364" s="36" t="str">
        <x:f>IF(ISNUMBER(F2364),E2364*F2364,"")</x:f>
      </x:c>
      <x:c r="H2364" s="37"/>
      <x:c r="I2364" s="37"/>
      <x:c r="J2364" s="1" t="n">
        <x:f>IF(ISNUMBER(F2364),E2364,0)</x:f>
        <x:v>0</x:v>
      </x:c>
      <x:c r="K2364" s="1"/>
      <x:c r="L2364" s="1" t="str">
        <x:v>https://blog.skyairline.com/sky-firma-acuerdo-interlineal-con-tap-para-conectar-pasajeros-de-europa-con-las-capitales-de-chile-y-peru-via-brasil/</x:v>
      </x:c>
      <x:c r="M2364" s="1" t="n">
        <x:v>0</x:v>
      </x:c>
    </x:row>
    <x:row r="2365" ht="18.75" customHeight="1">
      <x:c r="A2365" s="1" t="str">
        <x:v>https://blog.skyairline.com/equipaje-de-cabina/</x:v>
      </x:c>
      <x:c r="B2365" s="1" t="str">
        <x:v>equipaje de mano en sky</x:v>
      </x:c>
      <x:c r="C2365" s="1" t="str">
        <x:v>ury</x:v>
      </x:c>
      <x:c r="D2365" s="1" t="str">
        <x:v>Marca</x:v>
      </x:c>
      <x:c r="E2365" s="35" t="n">
        <x:v>1</x:v>
      </x:c>
      <x:c r="F2365" s="36"/>
      <x:c r="G2365" s="36" t="str">
        <x:f>IF(ISNUMBER(F2365),E2365*F2365,"")</x:f>
      </x:c>
      <x:c r="H2365" s="37"/>
      <x:c r="I2365" s="37"/>
      <x:c r="J2365" s="1" t="n">
        <x:f>IF(ISNUMBER(F2365),E2365,0)</x:f>
        <x:v>0</x:v>
      </x:c>
      <x:c r="K2365" s="1"/>
      <x:c r="L2365" s="1" t="str">
        <x:v>https://blog.skyairline.com/sky-fortalece-la-conectividad-entre-lima-y-cajamarca/</x:v>
      </x:c>
      <x:c r="M2365" s="1" t="n">
        <x:v>0</x:v>
      </x:c>
    </x:row>
    <x:row r="2366" ht="18.75" customHeight="1">
      <x:c r="A2366" s="1" t="str">
        <x:v>https://blog.skyairline.com/equipaje-de-cabina/</x:v>
      </x:c>
      <x:c r="B2366" s="1" t="str">
        <x:v>equipaje de mano sky</x:v>
      </x:c>
      <x:c r="C2366" s="1" t="str">
        <x:v>ecu</x:v>
      </x:c>
      <x:c r="D2366" s="1" t="str">
        <x:v>Marca</x:v>
      </x:c>
      <x:c r="E2366" s="35" t="n">
        <x:v>1</x:v>
      </x:c>
      <x:c r="F2366" s="36"/>
      <x:c r="G2366" s="36" t="str">
        <x:f>IF(ISNUMBER(F2366),E2366*F2366,"")</x:f>
      </x:c>
      <x:c r="H2366" s="37"/>
      <x:c r="I2366" s="37"/>
      <x:c r="J2366" s="1" t="n">
        <x:f>IF(ISNUMBER(F2366),E2366,0)</x:f>
        <x:v>0</x:v>
      </x:c>
      <x:c r="K2366" s="1"/>
      <x:c r="L2366" s="1" t="str">
        <x:v>https://blog.skyairline.com/sky-fortalece-sa-red-internacional-des-peru-con-nuevas-rutas-a-chile-y-brasil/</x:v>
      </x:c>
      <x:c r="M2366" s="1" t="n">
        <x:v>0</x:v>
      </x:c>
    </x:row>
    <x:row r="2367" ht="18.75" customHeight="1">
      <x:c r="A2367" s="1" t="str">
        <x:v>https://blog.skyairline.com/equipaje-de-cabina/</x:v>
      </x:c>
      <x:c r="B2367" s="1" t="str">
        <x:v>equipaje de mano sky airlines</x:v>
      </x:c>
      <x:c r="C2367" s="1" t="str">
        <x:v>arg</x:v>
      </x:c>
      <x:c r="D2367" s="1" t="str">
        <x:v>Marca</x:v>
      </x:c>
      <x:c r="E2367" s="35" t="n">
        <x:v>1</x:v>
      </x:c>
      <x:c r="F2367" s="36"/>
      <x:c r="G2367" s="36" t="str">
        <x:f>IF(ISNUMBER(F2367),E2367*F2367,"")</x:f>
      </x:c>
      <x:c r="H2367" s="37"/>
      <x:c r="I2367" s="37"/>
      <x:c r="J2367" s="1" t="n">
        <x:f>IF(ISNUMBER(F2367),E2367,0)</x:f>
        <x:v>0</x:v>
      </x:c>
      <x:c r="K2367" s="1"/>
      <x:c r="L2367" s="1" t="str">
        <x:v>https://blog.skyairline.com/sky-fortalece-su-propuesta-de-valor-para-pasajeros-con-economy-premier/</x:v>
      </x:c>
      <x:c r="M2367" s="1" t="n">
        <x:v>0</x:v>
      </x:c>
    </x:row>
    <x:row r="2368" ht="18.75" customHeight="1">
      <x:c r="A2368" s="1" t="str">
        <x:v>https://blog.skyairline.com/equipaje-de-cabina/</x:v>
      </x:c>
      <x:c r="B2368" s="1" t="str">
        <x:v>equipaje de mano sky airlines</x:v>
      </x:c>
      <x:c r="C2368" s="1" t="str">
        <x:v>bol</x:v>
      </x:c>
      <x:c r="D2368" s="1" t="str">
        <x:v>Marca</x:v>
      </x:c>
      <x:c r="E2368" s="35" t="n">
        <x:v>1</x:v>
      </x:c>
      <x:c r="F2368" s="36"/>
      <x:c r="G2368" s="36" t="str">
        <x:f>IF(ISNUMBER(F2368),E2368*F2368,"")</x:f>
      </x:c>
      <x:c r="H2368" s="37"/>
      <x:c r="I2368" s="37"/>
      <x:c r="J2368" s="1" t="n">
        <x:f>IF(ISNUMBER(F2368),E2368,0)</x:f>
        <x:v>0</x:v>
      </x:c>
      <x:c r="K2368" s="1"/>
      <x:c r="L2368" s="1" t="str">
        <x:v>https://blog.skyairline.com/sky-fortalece-su-propuesta-de-value-para-sus-pasajeros-con-economy-premier/</x:v>
      </x:c>
      <x:c r="M2368" s="1" t="n">
        <x:v>0</x:v>
      </x:c>
    </x:row>
    <x:row r="2369" ht="18.75" customHeight="1">
      <x:c r="A2369" s="1" t="str">
        <x:v>https://blog.skyairline.com/equipaje-de-cabina/</x:v>
      </x:c>
      <x:c r="B2369" s="1" t="str">
        <x:v>equipaje de mano sky airlines</x:v>
      </x:c>
      <x:c r="C2369" s="1" t="str">
        <x:v>col</x:v>
      </x:c>
      <x:c r="D2369" s="1" t="str">
        <x:v>Marca</x:v>
      </x:c>
      <x:c r="E2369" s="35" t="n">
        <x:v>1</x:v>
      </x:c>
      <x:c r="F2369" s="36"/>
      <x:c r="G2369" s="36" t="str">
        <x:f>IF(ISNUMBER(F2369),E2369*F2369,"")</x:f>
      </x:c>
      <x:c r="H2369" s="37"/>
      <x:c r="I2369" s="37"/>
      <x:c r="J2369" s="1" t="n">
        <x:f>IF(ISNUMBER(F2369),E2369,0)</x:f>
        <x:v>0</x:v>
      </x:c>
      <x:c r="K2369" s="1"/>
      <x:c r="L2369" s="1" t="str">
        <x:v>https://blog.skyairline.com/sky-fortalece-su-propuesta-def-valor-para-sus-pasajeros-con-economy-premier/</x:v>
      </x:c>
      <x:c r="M2369" s="1" t="n">
        <x:v>0</x:v>
      </x:c>
    </x:row>
    <x:row r="2370" ht="18.75" customHeight="1">
      <x:c r="A2370" s="1" t="str">
        <x:v>https://blog.skyairline.com/equipaje-de-cabina/</x:v>
      </x:c>
      <x:c r="B2370" s="1" t="str">
        <x:v>equipaje de mano sky airlines</x:v>
      </x:c>
      <x:c r="C2370" s="1" t="str">
        <x:v>mex</x:v>
      </x:c>
      <x:c r="D2370" s="1" t="str">
        <x:v>Marca</x:v>
      </x:c>
      <x:c r="E2370" s="35" t="n">
        <x:v>1</x:v>
      </x:c>
      <x:c r="F2370" s="36"/>
      <x:c r="G2370" s="36" t="str">
        <x:f>IF(ISNUMBER(F2370),E2370*F2370,"")</x:f>
      </x:c>
      <x:c r="H2370" s="37"/>
      <x:c r="I2370" s="37"/>
      <x:c r="J2370" s="1" t="n">
        <x:f>IF(ISNUMBER(F2370),E2370,0)</x:f>
        <x:v>0</x:v>
      </x:c>
      <x:c r="K2370" s="1"/>
      <x:c r="L2370" s="1" t="str">
        <x:v>https://blog.skyairline.com/sky-fortalece-su-propuesta-value-para-sus-pasajeros-con-economy-premier/</x:v>
      </x:c>
      <x:c r="M2370" s="1" t="n">
        <x:v>0</x:v>
      </x:c>
    </x:row>
    <x:row r="2371" ht="18.75" customHeight="1">
      <x:c r="A2371" s="1" t="str">
        <x:v>https://blog.skyairline.com/equipaje-de-cabina/</x:v>
      </x:c>
      <x:c r="B2371" s="1" t="str">
        <x:v>equipaje de mano y de cabina es lo mismo</x:v>
      </x:c>
      <x:c r="C2371" s="1" t="str">
        <x:v>chl</x:v>
      </x:c>
      <x:c r="D2371" s="1" t="str">
        <x:v>Sin marca</x:v>
      </x:c>
      <x:c r="E2371" s="35" t="n">
        <x:v>1</x:v>
      </x:c>
      <x:c r="F2371" s="36"/>
      <x:c r="G2371" s="36" t="str">
        <x:f>IF(ISNUMBER(F2371),E2371*F2371,"")</x:f>
      </x:c>
      <x:c r="H2371" s="37"/>
      <x:c r="I2371" s="37"/>
      <x:c r="J2371" s="1" t="n">
        <x:f>IF(ISNUMBER(F2371),E2371,0)</x:f>
        <x:v>0</x:v>
      </x:c>
      <x:c r="K2371" s="1"/>
      <x:c r="L2371" s="1" t="str">
        <x:v>https://blog.skyairline.com/sky-fue-la-aerolinea-mas-puntual-de-latinoamerica-y-se-ubico-en-top-5-a-nivel-mundial/</x:v>
      </x:c>
      <x:c r="M2371" s="1" t="n">
        <x:v>0</x:v>
      </x:c>
    </x:row>
    <x:row r="2372" ht="18.75" customHeight="1">
      <x:c r="A2372" s="1" t="str">
        <x:v>https://blog.skyairline.com/equipaje-de-cabina/</x:v>
      </x:c>
      <x:c r="B2372" s="1" t="str">
        <x:v>equipaje de sky</x:v>
      </x:c>
      <x:c r="C2372" s="1" t="str">
        <x:v>per</x:v>
      </x:c>
      <x:c r="D2372" s="1" t="str">
        <x:v>Marca</x:v>
      </x:c>
      <x:c r="E2372" s="35" t="n">
        <x:v>1</x:v>
      </x:c>
      <x:c r="F2372" s="36"/>
      <x:c r="G2372" s="36" t="str">
        <x:f>IF(ISNUMBER(F2372),E2372*F2372,"")</x:f>
      </x:c>
      <x:c r="H2372" s="37"/>
      <x:c r="I2372" s="37"/>
      <x:c r="J2372" s="1" t="n">
        <x:f>IF(ISNUMBER(F2372),E2372,0)</x:f>
        <x:v>0</x:v>
      </x:c>
      <x:c r="K2372" s="1"/>
      <x:c r="L2372" s="1" t="str">
        <x:v>https://blog.skyairline.com/sky-fue-la-m%C3%A1s-puntual-de-latinoam%C3%A9rica-en-marzo-de-2026</x:v>
      </x:c>
      <x:c r="M2372" s="1" t="n">
        <x:v>0</x:v>
      </x:c>
    </x:row>
    <x:row r="2373" ht="18.75" customHeight="1">
      <x:c r="A2373" s="1" t="str">
        <x:v>https://blog.skyairline.com/equipaje-de-cabina/</x:v>
      </x:c>
      <x:c r="B2373" s="1" t="str">
        <x:v>equipaje en cabina</x:v>
      </x:c>
      <x:c r="C2373" s="1" t="str">
        <x:v>per</x:v>
      </x:c>
      <x:c r="D2373" s="1" t="str">
        <x:v>Sin marca</x:v>
      </x:c>
      <x:c r="E2373" s="35" t="n">
        <x:v>1</x:v>
      </x:c>
      <x:c r="F2373" s="36"/>
      <x:c r="G2373" s="36" t="str">
        <x:f>IF(ISNUMBER(F2373),E2373*F2373,"")</x:f>
      </x:c>
      <x:c r="H2373" s="37"/>
      <x:c r="I2373" s="37"/>
      <x:c r="J2373" s="1" t="n">
        <x:f>IF(ISNUMBER(F2373),E2373,0)</x:f>
        <x:v>0</x:v>
      </x:c>
      <x:c r="K2373" s="1"/>
      <x:c r="L2373" s="1" t="str">
        <x:v>https://blog.skyairline.com/sky-fue-la-mas-puntual-de-latinoamerica-marzo-2026/</x:v>
      </x:c>
      <x:c r="M2373" s="1" t="n">
        <x:v>0</x:v>
      </x:c>
    </x:row>
    <x:row r="2374" ht="18.75" customHeight="1">
      <x:c r="A2374" s="1" t="str">
        <x:v>https://blog.skyairline.com/equipaje-de-cabina/</x:v>
      </x:c>
      <x:c r="B2374" s="1" t="str">
        <x:v>equipaje en cabina sky</x:v>
      </x:c>
      <x:c r="C2374" s="1" t="str">
        <x:v>arg</x:v>
      </x:c>
      <x:c r="D2374" s="1" t="str">
        <x:v>Marca</x:v>
      </x:c>
      <x:c r="E2374" s="35" t="n">
        <x:v>1</x:v>
      </x:c>
      <x:c r="F2374" s="36"/>
      <x:c r="G2374" s="36" t="str">
        <x:f>IF(ISNUMBER(F2374),E2374*F2374,"")</x:f>
      </x:c>
      <x:c r="H2374" s="37"/>
      <x:c r="I2374" s="37"/>
      <x:c r="J2374" s="1" t="n">
        <x:f>IF(ISNUMBER(F2374),E2374,0)</x:f>
        <x:v>0</x:v>
      </x:c>
      <x:c r="K2374" s="1"/>
      <x:c r="L2374" s="1" t="str">
        <x:v>https://blog.skyairline.com/sky-fue-la-mas-puntual-de-latinoamerica-y-se-ubicou-en-el-top-5-a-nivel-mundial/</x:v>
      </x:c>
      <x:c r="M2374" s="1" t="n">
        <x:v>0</x:v>
      </x:c>
    </x:row>
    <x:row r="2375" ht="18.75" customHeight="1">
      <x:c r="A2375" s="1" t="str">
        <x:v>https://blog.skyairline.com/equipaje-de-cabina/</x:v>
      </x:c>
      <x:c r="B2375" s="1" t="str">
        <x:v>equipaje en cabina sky</x:v>
      </x:c>
      <x:c r="C2375" s="1" t="str">
        <x:v>esp</x:v>
      </x:c>
      <x:c r="D2375" s="1" t="str">
        <x:v>Marca</x:v>
      </x:c>
      <x:c r="E2375" s="35" t="n">
        <x:v>1</x:v>
      </x:c>
      <x:c r="F2375" s="36"/>
      <x:c r="G2375" s="36" t="str">
        <x:f>IF(ISNUMBER(F2375),E2375*F2375,"")</x:f>
      </x:c>
      <x:c r="H2375" s="37"/>
      <x:c r="I2375" s="37"/>
      <x:c r="J2375" s="1" t="n">
        <x:f>IF(ISNUMBER(F2375),E2375,0)</x:f>
        <x:v>0</x:v>
      </x:c>
      <x:c r="K2375" s="1"/>
      <x:c r="L2375" s="1" t="str">
        <x:v>https://blog.skyairline.com/sky-impulsa-el-turismo-cultural-y-destaca-destinos-para-reconectar-con-el-legado-del-peru/</x:v>
      </x:c>
      <x:c r="M2375" s="1" t="n">
        <x:v>0</x:v>
      </x:c>
    </x:row>
    <x:row r="2376" ht="18.75" customHeight="1">
      <x:c r="A2376" s="1" t="str">
        <x:v>https://blog.skyairline.com/equipaje-de-cabina/</x:v>
      </x:c>
      <x:c r="B2376" s="1" t="str">
        <x:v>equipaje en cabina sky</x:v>
      </x:c>
      <x:c r="C2376" s="1" t="str">
        <x:v>ury</x:v>
      </x:c>
      <x:c r="D2376" s="1" t="str">
        <x:v>Marca</x:v>
      </x:c>
      <x:c r="E2376" s="35" t="n">
        <x:v>1</x:v>
      </x:c>
      <x:c r="F2376" s="36"/>
      <x:c r="G2376" s="36" t="str">
        <x:f>IF(ISNUMBER(F2376),E2376*F2376,"")</x:f>
      </x:c>
      <x:c r="H2376" s="37"/>
      <x:c r="I2376" s="37"/>
      <x:c r="J2376" s="1" t="n">
        <x:f>IF(ISNUMBER(F2376),E2376,0)</x:f>
        <x:v>0</x:v>
      </x:c>
      <x:c r="K2376" s="1"/>
      <x:c r="L2376" s="1" t="str">
        <x:v>https://blog.skyairline.com/sky-impulsa-la-llegada-de-turistas-internacionales-al-peru-junto-a-promperu/</x:v>
      </x:c>
      <x:c r="M2376" s="1" t="n">
        <x:v>0</x:v>
      </x:c>
    </x:row>
    <x:row r="2377" ht="18.75" customHeight="1">
      <x:c r="A2377" s="1" t="str">
        <x:v>https://blog.skyairline.com/equipaje-de-cabina/</x:v>
      </x:c>
      <x:c r="B2377" s="1" t="str">
        <x:v>equipaje en cabina sky</x:v>
      </x:c>
      <x:c r="C2377" s="1" t="str">
        <x:v>usa</x:v>
      </x:c>
      <x:c r="D2377" s="1" t="str">
        <x:v>Marca</x:v>
      </x:c>
      <x:c r="E2377" s="35" t="n">
        <x:v>1</x:v>
      </x:c>
      <x:c r="F2377" s="36"/>
      <x:c r="G2377" s="36" t="str">
        <x:f>IF(ISNUMBER(F2377),E2377*F2377,"")</x:f>
      </x:c>
      <x:c r="H2377" s="37"/>
      <x:c r="I2377" s="37"/>
      <x:c r="J2377" s="1" t="n">
        <x:f>IF(ISNUMBER(F2377),E2377,0)</x:f>
        <x:v>0</x:v>
      </x:c>
      <x:c r="K2377" s="1"/>
      <x:c r="L2377" s="1" t="str">
        <x:v>https://blog.skyairline.com/sky-inaugura-su-nueva-ruta-entre-lima-y-sao-paulo/</x:v>
      </x:c>
      <x:c r="M2377" s="1" t="n">
        <x:v>0</x:v>
      </x:c>
    </x:row>
    <x:row r="2378" ht="18.75" customHeight="1">
      <x:c r="A2378" s="1" t="str">
        <x:v>https://blog.skyairline.com/equipaje-de-cabina/</x:v>
      </x:c>
      <x:c r="B2378" s="1" t="str">
        <x:v>equipaje en cabina sky medidas</x:v>
      </x:c>
      <x:c r="C2378" s="1" t="str">
        <x:v>arg</x:v>
      </x:c>
      <x:c r="D2378" s="1" t="str">
        <x:v>Marca</x:v>
      </x:c>
      <x:c r="E2378" s="35" t="n">
        <x:v>1</x:v>
      </x:c>
      <x:c r="F2378" s="36"/>
      <x:c r="G2378" s="36" t="str">
        <x:f>IF(ISNUMBER(F2378),E2378*F2378,"")</x:f>
      </x:c>
      <x:c r="H2378" s="37"/>
      <x:c r="I2378" s="37"/>
      <x:c r="J2378" s="1" t="n">
        <x:f>IF(ISNUMBER(F2378),E2378,0)</x:f>
        <x:v>0</x:v>
      </x:c>
      <x:c r="K2378" s="1"/>
      <x:c r="L2378" s="1" t="str">
        <x:v>https://blog.skyairline.com/sky-inaugura-su-primera-ruta-a-estados-unidos-lima-miami/</x:v>
      </x:c>
      <x:c r="M2378" s="1" t="n">
        <x:v>0</x:v>
      </x:c>
    </x:row>
    <x:row r="2379" ht="18.75" customHeight="1">
      <x:c r="A2379" s="1" t="str">
        <x:v>https://blog.skyairline.com/equipaje-de-cabina/</x:v>
      </x:c>
      <x:c r="B2379" s="1" t="str">
        <x:v>equipaje en cabina sky medidas</x:v>
      </x:c>
      <x:c r="C2379" s="1" t="str">
        <x:v>col</x:v>
      </x:c>
      <x:c r="D2379" s="1" t="str">
        <x:v>Marca</x:v>
      </x:c>
      <x:c r="E2379" s="35" t="n">
        <x:v>1</x:v>
      </x:c>
      <x:c r="F2379" s="36"/>
      <x:c r="G2379" s="36" t="str">
        <x:f>IF(ISNUMBER(F2379),E2379*F2379,"")</x:f>
      </x:c>
      <x:c r="H2379" s="37"/>
      <x:c r="I2379" s="37"/>
      <x:c r="J2379" s="1" t="n">
        <x:f>IF(ISNUMBER(F2379),E2379,0)</x:f>
        <x:v>0</x:v>
      </x:c>
      <x:c r="K2379" s="1"/>
      <x:c r="L2379" s="1" t="str">
        <x:v>https://blog.skyairline.com/sky-inauguro-nueva-ruta-entre-lima-y-montevideo/</x:v>
      </x:c>
      <x:c r="M2379" s="1" t="n">
        <x:v>0</x:v>
      </x:c>
    </x:row>
    <x:row r="2380" ht="18.75" customHeight="1">
      <x:c r="A2380" s="1" t="str">
        <x:v>https://blog.skyairline.com/equipaje-de-cabina/</x:v>
      </x:c>
      <x:c r="B2380" s="1" t="str">
        <x:v>equipaje en cabina sky medidas</x:v>
      </x:c>
      <x:c r="C2380" s="1" t="str">
        <x:v>ita</x:v>
      </x:c>
      <x:c r="D2380" s="1" t="str">
        <x:v>Marca</x:v>
      </x:c>
      <x:c r="E2380" s="35" t="n">
        <x:v>1</x:v>
      </x:c>
      <x:c r="F2380" s="36"/>
      <x:c r="G2380" s="36" t="str">
        <x:f>IF(ISNUMBER(F2380),E2380*F2380,"")</x:f>
      </x:c>
      <x:c r="H2380" s="37"/>
      <x:c r="I2380" s="37"/>
      <x:c r="J2380" s="1" t="n">
        <x:f>IF(ISNUMBER(F2380),E2380,0)</x:f>
        <x:v>0</x:v>
      </x:c>
      <x:c r="K2380" s="1"/>
      <x:c r="L2380" s="1" t="str">
        <x:v>https://blog.skyairline.com/sky-inauguro-nueva-ruta-entre-montevideo/</x:v>
      </x:c>
      <x:c r="M2380" s="1" t="n">
        <x:v>0</x:v>
      </x:c>
    </x:row>
    <x:row r="2381" ht="18.75" customHeight="1">
      <x:c r="A2381" s="1" t="str">
        <x:v>https://blog.skyairline.com/equipaje-de-cabina/</x:v>
      </x:c>
      <x:c r="B2381" s="1" t="str">
        <x:v>equipaje mano sky</x:v>
      </x:c>
      <x:c r="C2381" s="1" t="str">
        <x:v>chl</x:v>
      </x:c>
      <x:c r="D2381" s="1" t="str">
        <x:v>Marca</x:v>
      </x:c>
      <x:c r="E2381" s="35" t="n">
        <x:v>1</x:v>
      </x:c>
      <x:c r="F2381" s="36"/>
      <x:c r="G2381" s="36" t="str">
        <x:f>IF(ISNUMBER(F2381),E2381*F2381,"")</x:f>
      </x:c>
      <x:c r="H2381" s="37" t="d">
        <x:v>2026-10-15T00:00:00.000Z</x:v>
      </x:c>
      <x:c r="I2381" s="37" t="d">
        <x:v>2026-09-16T07:05:11.000Z</x:v>
      </x:c>
      <x:c r="J2381" s="1" t="n">
        <x:f>IF(ISNUMBER(F2381),E2381,0)</x:f>
        <x:v>0</x:v>
      </x:c>
      <x:c r="K2381" s="1"/>
      <x:c r="L2381" s="1" t="str">
        <x:v>https://blog.skyairline.com/sky-incorpora-en-toda-su-flota-una-guia-de-informacion-en-braille-para-pasajeros-con-discapacidad-visual-2/</x:v>
      </x:c>
      <x:c r="M2381" s="1" t="n">
        <x:v>0</x:v>
      </x:c>
    </x:row>
    <x:row r="2382" ht="18.75" customHeight="1">
      <x:c r="A2382" s="1" t="str">
        <x:v>https://blog.skyairline.com/equipaje-de-cabina/</x:v>
      </x:c>
      <x:c r="B2382" s="1" t="str">
        <x:v>equipaje mano sky</x:v>
      </x:c>
      <x:c r="C2382" s="1" t="str">
        <x:v>esp</x:v>
      </x:c>
      <x:c r="D2382" s="1" t="str">
        <x:v>Marca</x:v>
      </x:c>
      <x:c r="E2382" s="35" t="n">
        <x:v>1</x:v>
      </x:c>
      <x:c r="F2382" s="36"/>
      <x:c r="G2382" s="36" t="str">
        <x:f>IF(ISNUMBER(F2382),E2382*F2382,"")</x:f>
      </x:c>
      <x:c r="H2382" s="37"/>
      <x:c r="I2382" s="37"/>
      <x:c r="J2382" s="1" t="n">
        <x:f>IF(ISNUMBER(F2382),E2382,0)</x:f>
        <x:v>0</x:v>
      </x:c>
      <x:c r="K2382" s="1"/>
      <x:c r="L2382" s="1" t="str">
        <x:v>https://blog.skyairline.com/sky-inicia-vuelos-a-chiclayo-y-apuesta-por-el-norte-peruano</x:v>
      </x:c>
      <x:c r="M2382" s="1" t="n">
        <x:v>0</x:v>
      </x:c>
    </x:row>
    <x:row r="2383" ht="18.75" customHeight="1">
      <x:c r="A2383" s="1" t="str">
        <x:v>https://blog.skyairline.com/equipaje-de-cabina/</x:v>
      </x:c>
      <x:c r="B2383" s="1" t="str">
        <x:v>equipaje sky airlines</x:v>
      </x:c>
      <x:c r="C2383" s="1" t="str">
        <x:v>arg</x:v>
      </x:c>
      <x:c r="D2383" s="1" t="str">
        <x:v>Marca</x:v>
      </x:c>
      <x:c r="E2383" s="35" t="n">
        <x:v>1</x:v>
      </x:c>
      <x:c r="F2383" s="36"/>
      <x:c r="G2383" s="36" t="str">
        <x:f>IF(ISNUMBER(F2383),E2383*F2383,"")</x:f>
      </x:c>
      <x:c r="H2383" s="37"/>
      <x:c r="I2383" s="37"/>
      <x:c r="J2383" s="1" t="n">
        <x:f>IF(ISNUMBER(F2383),E2383,0)</x:f>
        <x:v>0</x:v>
      </x:c>
      <x:c r="K2383" s="1"/>
      <x:c r="L2383" s="1" t="str">
        <x:v>https://blog.skyairline.com/sky-inicia-vuelos-entre-lima-y-punta-cana-con-20-mil-tickets-vendidos/</x:v>
      </x:c>
      <x:c r="M2383" s="1" t="n">
        <x:v>0</x:v>
      </x:c>
    </x:row>
    <x:row r="2384" ht="18.75" customHeight="1">
      <x:c r="A2384" s="1" t="str">
        <x:v>https://blog.skyairline.com/equipaje-de-cabina/</x:v>
      </x:c>
      <x:c r="B2384" s="1" t="str">
        <x:v>equipaje sky airlines</x:v>
      </x:c>
      <x:c r="C2384" s="1" t="str">
        <x:v>per</x:v>
      </x:c>
      <x:c r="D2384" s="1" t="str">
        <x:v>Marca</x:v>
      </x:c>
      <x:c r="E2384" s="35" t="n">
        <x:v>1</x:v>
      </x:c>
      <x:c r="F2384" s="36"/>
      <x:c r="G2384" s="36" t="str">
        <x:f>IF(ISNUMBER(F2384),E2384*F2384,"")</x:f>
      </x:c>
      <x:c r="H2384" s="37" t="d">
        <x:v>2026-10-15T00:00:00.000Z</x:v>
      </x:c>
      <x:c r="I2384" s="37" t="d">
        <x:v>2026-09-16T16:09:30.000Z</x:v>
      </x:c>
      <x:c r="J2384" s="1" t="n">
        <x:f>IF(ISNUMBER(F2384),E2384,0)</x:f>
        <x:v>0</x:v>
      </x:c>
      <x:c r="K2384" s="1"/>
      <x:c r="L2384" s="1" t="str">
        <x:v>https://blog.skyairline.com/sky-inicio-vuelos-directos-arequipa-cusco</x:v>
      </x:c>
      <x:c r="M2384" s="1" t="n">
        <x:v>0</x:v>
      </x:c>
    </x:row>
    <x:row r="2385" ht="18.75" customHeight="1">
      <x:c r="A2385" s="1" t="str">
        <x:v>https://blog.skyairline.com/equipaje-de-cabina/</x:v>
      </x:c>
      <x:c r="B2385" s="1" t="str">
        <x:v>equipaje sky airlines</x:v>
      </x:c>
      <x:c r="C2385" s="1" t="str">
        <x:v>ury</x:v>
      </x:c>
      <x:c r="D2385" s="1" t="str">
        <x:v>Marca</x:v>
      </x:c>
      <x:c r="E2385" s="35" t="n">
        <x:v>1</x:v>
      </x:c>
      <x:c r="F2385" s="36"/>
      <x:c r="G2385" s="36" t="str">
        <x:f>IF(ISNUMBER(F2385),E2385*F2385,"")</x:f>
      </x:c>
      <x:c r="H2385" s="37"/>
      <x:c r="I2385" s="37"/>
      <x:c r="J2385" s="1" t="n">
        <x:f>IF(ISNUMBER(F2385),E2385,0)</x:f>
        <x:v>0</x:v>
      </x:c>
      <x:c r="K2385" s="1"/>
      <x:c r="L2385" s="1" t="str">
        <x:v>https://blog.skyairline.com/sky-insider/terminal-sur-santiago/</x:v>
      </x:c>
      <x:c r="M2385" s="1" t="n">
        <x:v>0</x:v>
      </x:c>
    </x:row>
    <x:row r="2386" ht="18.75" customHeight="1">
      <x:c r="A2386" s="1" t="str">
        <x:v>https://blog.skyairline.com/equipaje-de-cabina/</x:v>
      </x:c>
      <x:c r="B2386" s="1" t="str">
        <x:v>equipaje sky medidas</x:v>
      </x:c>
      <x:c r="C2386" s="1" t="str">
        <x:v>per</x:v>
      </x:c>
      <x:c r="D2386" s="1" t="str">
        <x:v>Marca</x:v>
      </x:c>
      <x:c r="E2386" s="35" t="n">
        <x:v>1</x:v>
      </x:c>
      <x:c r="F2386" s="36"/>
      <x:c r="G2386" s="36" t="str">
        <x:f>IF(ISNUMBER(F2386),E2386*F2386,"")</x:f>
      </x:c>
      <x:c r="H2386" s="37" t="d">
        <x:v>2026-10-15T00:00:00.000Z</x:v>
      </x:c>
      <x:c r="I2386" s="37" t="d">
        <x:v>2026-09-17T03:56:27.000Z</x:v>
      </x:c>
      <x:c r="J2386" s="1" t="n">
        <x:f>IF(ISNUMBER(F2386),E2386,0)</x:f>
        <x:v>0</x:v>
      </x:c>
      <x:c r="K2386" s="1"/>
      <x:c r="L2386" s="1" t="str">
        <x:v>https://blog.skyairline.com/sky-lanza-nueva-ruta-internacional-lima-buenos-aires-con-descuentos-de-hasta-un-30/</x:v>
      </x:c>
      <x:c r="M2386" s="1" t="n">
        <x:v>0</x:v>
      </x:c>
    </x:row>
    <x:row r="2387" ht="18.75" customHeight="1">
      <x:c r="A2387" s="1" t="str">
        <x:v>https://blog.skyairline.com/equipaje-de-cabina/</x:v>
      </x:c>
      <x:c r="B2387" s="1" t="str">
        <x:v>equipaje sky medidas</x:v>
      </x:c>
      <x:c r="C2387" s="1" t="str">
        <x:v>ury</x:v>
      </x:c>
      <x:c r="D2387" s="1" t="str">
        <x:v>Marca</x:v>
      </x:c>
      <x:c r="E2387" s="35" t="n">
        <x:v>1</x:v>
      </x:c>
      <x:c r="F2387" s="36"/>
      <x:c r="G2387" s="36" t="str">
        <x:f>IF(ISNUMBER(F2387),E2387*F2387,"")</x:f>
      </x:c>
      <x:c r="H2387" s="37"/>
      <x:c r="I2387" s="37"/>
      <x:c r="J2387" s="1" t="n">
        <x:f>IF(ISNUMBER(F2387),E2387,0)</x:f>
        <x:v>0</x:v>
      </x:c>
      <x:c r="K2387" s="1"/>
      <x:c r="L2387" s="1" t="str">
        <x:v>https://blog.skyairline.com/sky-lanza-nuevas-tecnologias-de-autoatencion-en-aeropuerto-de-Santiago/</x:v>
      </x:c>
      <x:c r="M2387" s="1" t="n">
        <x:v>0</x:v>
      </x:c>
    </x:row>
    <x:row r="2388" ht="18.75" customHeight="1">
      <x:c r="A2388" s="1" t="str">
        <x:v>https://blog.skyairline.com/equipaje-de-cabina/</x:v>
      </x:c>
      <x:c r="B2388" s="1" t="str">
        <x:v>maleta cabina sky</x:v>
      </x:c>
      <x:c r="C2388" s="1" t="str">
        <x:v>esp</x:v>
      </x:c>
      <x:c r="D2388" s="1" t="str">
        <x:v>Marca</x:v>
      </x:c>
      <x:c r="E2388" s="35" t="n">
        <x:v>1</x:v>
      </x:c>
      <x:c r="F2388" s="36"/>
      <x:c r="G2388" s="36" t="str">
        <x:f>IF(ISNUMBER(F2388),E2388*F2388,"")</x:f>
      </x:c>
      <x:c r="H2388" s="37"/>
      <x:c r="I2388" s="37"/>
      <x:c r="J2388" s="1" t="n">
        <x:f>IF(ISNUMBER(F2388),E2388,0)</x:f>
        <x:v>0</x:v>
      </x:c>
      <x:c r="K2388" s="1"/>
      <x:c r="L2388" s="1" t="str">
        <x:v>https://blog.skyairline.com/sky-lanza-nuevas-tecnologias-de-autoatencion-en-santiago</x:v>
      </x:c>
      <x:c r="M2388" s="1" t="n">
        <x:v>0</x:v>
      </x:c>
    </x:row>
    <x:row r="2389" ht="18.75" customHeight="1">
      <x:c r="A2389" s="1" t="str">
        <x:v>https://blog.skyairline.com/equipaje-de-cabina/</x:v>
      </x:c>
      <x:c r="B2389" s="1" t="str">
        <x:v>maleta cabina sky</x:v>
      </x:c>
      <x:c r="C2389" s="1" t="str">
        <x:v>per</x:v>
      </x:c>
      <x:c r="D2389" s="1" t="str">
        <x:v>Marca</x:v>
      </x:c>
      <x:c r="E2389" s="35" t="n">
        <x:v>1</x:v>
      </x:c>
      <x:c r="F2389" s="36"/>
      <x:c r="G2389" s="36" t="str">
        <x:f>IF(ISNUMBER(F2389),E2389*F2389,"")</x:f>
      </x:c>
      <x:c r="H2389" s="37"/>
      <x:c r="I2389" s="37"/>
      <x:c r="J2389" s="1" t="n">
        <x:f>IF(ISNUMBER(F2389),E2389,0)</x:f>
        <x:v>0</x:v>
      </x:c>
      <x:c r="K2389" s="1"/>
      <x:c r="L2389" s="1" t="str">
        <x:v>https://blog.skyairline.com/sky-lanza-nuevo-programa-de-sky-plus/</x:v>
      </x:c>
      <x:c r="M2389" s="1" t="n">
        <x:v>0</x:v>
      </x:c>
    </x:row>
    <x:row r="2390" ht="18.75" customHeight="1">
      <x:c r="A2390" s="1" t="str">
        <x:v>https://blog.skyairline.com/equipaje-de-cabina/</x:v>
      </x:c>
      <x:c r="B2390" s="1" t="str">
        <x:v>maleta de cabina medidas sky</x:v>
      </x:c>
      <x:c r="C2390" s="1" t="str">
        <x:v>esp</x:v>
      </x:c>
      <x:c r="D2390" s="1" t="str">
        <x:v>Marca</x:v>
      </x:c>
      <x:c r="E2390" s="35" t="n">
        <x:v>1</x:v>
      </x:c>
      <x:c r="F2390" s="36"/>
      <x:c r="G2390" s="36" t="str">
        <x:f>IF(ISNUMBER(F2390),E2390*F2390,"")</x:f>
      </x:c>
      <x:c r="H2390" s="37"/>
      <x:c r="I2390" s="37"/>
      <x:c r="J2390" s="1" t="n">
        <x:f>IF(ISNUMBER(F2390),E2390,0)</x:f>
        <x:v>0</x:v>
      </x:c>
      <x:c r="K2390" s="1"/>
      <x:c r="L2390" s="1" t="str">
        <x:v>https://blog.skyairline.com/sky-life/es/mejores-playas-cerca-de-santiago-guia-para-tu-escapada-de-fin-de-semana</x:v>
      </x:c>
      <x:c r="M2390" s="1" t="n">
        <x:v>0</x:v>
      </x:c>
    </x:row>
    <x:row r="2391" ht="18.75" customHeight="1">
      <x:c r="A2391" s="1" t="str">
        <x:v>https://blog.skyairline.com/equipaje-de-cabina/</x:v>
      </x:c>
      <x:c r="B2391" s="1" t="str">
        <x:v>maleta de mano sky</x:v>
      </x:c>
      <x:c r="C2391" s="1" t="str">
        <x:v>bra</x:v>
      </x:c>
      <x:c r="D2391" s="1" t="str">
        <x:v>Marca</x:v>
      </x:c>
      <x:c r="E2391" s="35" t="n">
        <x:v>1</x:v>
      </x:c>
      <x:c r="F2391" s="36"/>
      <x:c r="G2391" s="36" t="str">
        <x:f>IF(ISNUMBER(F2391),E2391*F2391,"")</x:f>
      </x:c>
      <x:c r="H2391" s="37"/>
      <x:c r="I2391" s="37"/>
      <x:c r="J2391" s="1" t="n">
        <x:f>IF(ISNUMBER(F2391),E2391,0)</x:f>
        <x:v>0</x:v>
      </x:c>
      <x:c r="K2391" s="1"/>
      <x:c r="L2391" s="1" t="str">
        <x:v>https://blog.skyairline.com/sky-life/terminal-sur-de-santiago-todo-lo-que-necesitas-saber-del-mayor</x:v>
      </x:c>
      <x:c r="M2391" s="1" t="n">
        <x:v>0</x:v>
      </x:c>
    </x:row>
    <x:row r="2392" ht="18.75" customHeight="1">
      <x:c r="A2392" s="1" t="str">
        <x:v>https://blog.skyairline.com/equipaje-de-cabina/</x:v>
      </x:c>
      <x:c r="B2392" s="1" t="str">
        <x:v>maleta de mano sky</x:v>
      </x:c>
      <x:c r="C2392" s="1" t="str">
        <x:v>per</x:v>
      </x:c>
      <x:c r="D2392" s="1" t="str">
        <x:v>Marca</x:v>
      </x:c>
      <x:c r="E2392" s="35" t="n">
        <x:v>1</x:v>
      </x:c>
      <x:c r="F2392" s="36" t="n">
        <x:v>0.01</x:v>
      </x:c>
      <x:c r="G2392" s="36" t="n">
        <x:f>IF(ISNUMBER(F2392),E2392*F2392,"")</x:f>
        <x:v>0.01</x:v>
      </x:c>
      <x:c r="H2392" s="37" t="d">
        <x:v>2026-10-15T00:00:00.000Z</x:v>
      </x:c>
      <x:c r="I2392" s="37" t="d">
        <x:v>2026-09-14T05:43:23.000Z</x:v>
      </x:c>
      <x:c r="J2392" s="1" t="n">
        <x:f>IF(ISNUMBER(F2392),E2392,0)</x:f>
        <x:v>1</x:v>
      </x:c>
      <x:c r="K2392" s="1"/>
      <x:c r="L2392" s="1" t="str">
        <x:v>https://blog.skyairline.com/sky-lleva-la-prevencion-del-cancer-de-mama-a-mas-regiones-del-peru/</x:v>
      </x:c>
      <x:c r="M2392" s="1" t="n">
        <x:v>0</x:v>
      </x:c>
    </x:row>
    <x:row r="2393" ht="18.75" customHeight="1">
      <x:c r="A2393" s="1" t="str">
        <x:v>https://blog.skyairline.com/equipaje-de-cabina/</x:v>
      </x:c>
      <x:c r="B2393" s="1" t="str">
        <x:v>maleta de mano sky medidas</x:v>
      </x:c>
      <x:c r="C2393" s="1" t="str">
        <x:v>per</x:v>
      </x:c>
      <x:c r="D2393" s="1" t="str">
        <x:v>Marca</x:v>
      </x:c>
      <x:c r="E2393" s="35" t="n">
        <x:v>1</x:v>
      </x:c>
      <x:c r="F2393" s="36"/>
      <x:c r="G2393" s="36" t="str">
        <x:f>IF(ISNUMBER(F2393),E2393*F2393,"")</x:f>
      </x:c>
      <x:c r="H2393" s="37" t="d">
        <x:v>2026-10-15T00:00:00.000Z</x:v>
      </x:c>
      <x:c r="I2393" s="37" t="d">
        <x:v>2026-09-16T11:46:31.999Z</x:v>
      </x:c>
      <x:c r="J2393" s="1" t="n">
        <x:f>IF(ISNUMBER(F2393),E2393,0)</x:f>
        <x:v>0</x:v>
      </x:c>
      <x:c r="K2393" s="1"/>
      <x:c r="L2393" s="1" t="str">
        <x:v>https://blog.skyairline.com/sky-operara-en-puerto-natales/</x:v>
      </x:c>
      <x:c r="M2393" s="1" t="n">
        <x:v>0</x:v>
      </x:c>
    </x:row>
    <x:row r="2394" ht="18.75" customHeight="1">
      <x:c r="A2394" s="1" t="str">
        <x:v>https://blog.skyairline.com/equipaje-de-cabina/</x:v>
      </x:c>
      <x:c r="B2394" s="1" t="str">
        <x:v>maletas sky</x:v>
      </x:c>
      <x:c r="C2394" s="1" t="str">
        <x:v>chl</x:v>
      </x:c>
      <x:c r="D2394" s="1" t="str">
        <x:v>Marca</x:v>
      </x:c>
      <x:c r="E2394" s="35" t="n">
        <x:v>1</x:v>
      </x:c>
      <x:c r="F2394" s="36" t="n">
        <x:v>1.46</x:v>
      </x:c>
      <x:c r="G2394" s="36" t="n">
        <x:f>IF(ISNUMBER(F2394),E2394*F2394,"")</x:f>
        <x:v>1.46</x:v>
      </x:c>
      <x:c r="H2394" s="37" t="d">
        <x:v>2026-10-15T00:00:00.000Z</x:v>
      </x:c>
      <x:c r="I2394" s="37" t="d">
        <x:v>2026-09-15T14:59:52.000Z</x:v>
      </x:c>
      <x:c r="J2394" s="1" t="n">
        <x:f>IF(ISNUMBER(F2394),E2394,0)</x:f>
        <x:v>1</x:v>
      </x:c>
      <x:c r="K2394" s="1"/>
      <x:c r="L2394" s="1" t="str">
        <x:v>https://blog.skyairline.com/sky-operara-vuelos-diarios-entre-lima-y-chiclayo-desde-julio/</x:v>
      </x:c>
      <x:c r="M2394" s="1" t="n">
        <x:v>0</x:v>
      </x:c>
    </x:row>
    <x:row r="2395" ht="18.75" customHeight="1">
      <x:c r="A2395" s="1" t="str">
        <x:v>https://blog.skyairline.com/equipaje-de-cabina/</x:v>
      </x:c>
      <x:c r="B2395" s="1" t="str">
        <x:v>medida bolso de mano sky</x:v>
      </x:c>
      <x:c r="C2395" s="1" t="str">
        <x:v>chl</x:v>
      </x:c>
      <x:c r="D2395" s="1" t="str">
        <x:v>Marca</x:v>
      </x:c>
      <x:c r="E2395" s="35" t="n">
        <x:v>1</x:v>
      </x:c>
      <x:c r="F2395" s="36"/>
      <x:c r="G2395" s="36" t="str">
        <x:f>IF(ISNUMBER(F2395),E2395*F2395,"")</x:f>
      </x:c>
      <x:c r="H2395" s="37"/>
      <x:c r="I2395" s="37"/>
      <x:c r="J2395" s="1" t="n">
        <x:f>IF(ISNUMBER(F2395),E2395,0)</x:f>
        <x:v>0</x:v>
      </x:c>
      <x:c r="K2395" s="1"/>
      <x:c r="L2395" s="1" t="str">
        <x:v>https://blog.skyairline.com/sky-operara-vuelos-diarios-entre-lima-y-julio/</x:v>
      </x:c>
      <x:c r="M2395" s="1" t="n">
        <x:v>0</x:v>
      </x:c>
    </x:row>
    <x:row r="2396" ht="18.75" customHeight="1">
      <x:c r="A2396" s="1" t="str">
        <x:v>https://blog.skyairline.com/equipaje-de-cabina/</x:v>
      </x:c>
      <x:c r="B2396" s="1" t="str">
        <x:v>medida de equipaje de mano sky</x:v>
      </x:c>
      <x:c r="C2396" s="1" t="str">
        <x:v>ury</x:v>
      </x:c>
      <x:c r="D2396" s="1" t="str">
        <x:v>Marca</x:v>
      </x:c>
      <x:c r="E2396" s="35" t="n">
        <x:v>1</x:v>
      </x:c>
      <x:c r="F2396" s="36"/>
      <x:c r="G2396" s="36" t="str">
        <x:f>IF(ISNUMBER(F2396),E2396*F2396,"")</x:f>
      </x:c>
      <x:c r="H2396" s="37"/>
      <x:c r="I2396" s="37"/>
      <x:c r="J2396" s="1" t="n">
        <x:f>IF(ISNUMBER(F2396),E2396,0)</x:f>
        <x:v>0</x:v>
      </x:c>
      <x:c r="K2396" s="1"/>
      <x:c r="L2396" s="1" t="str">
        <x:v>https://blog.skyairline.com/sky-operara-vuelos-diarios-vuelos-lima-chiclayo-desde-julio/</x:v>
      </x:c>
      <x:c r="M2396" s="1" t="n">
        <x:v>0</x:v>
      </x:c>
    </x:row>
    <x:row r="2397" ht="18.75" customHeight="1">
      <x:c r="A2397" s="1" t="str">
        <x:v>https://blog.skyairline.com/equipaje-de-cabina/</x:v>
      </x:c>
      <x:c r="B2397" s="1" t="str">
        <x:v>medida de mochila sky</x:v>
      </x:c>
      <x:c r="C2397" s="1" t="str">
        <x:v>per</x:v>
      </x:c>
      <x:c r="D2397" s="1" t="str">
        <x:v>Marca</x:v>
      </x:c>
      <x:c r="E2397" s="35" t="n">
        <x:v>1</x:v>
      </x:c>
      <x:c r="F2397" s="36"/>
      <x:c r="G2397" s="36" t="str">
        <x:f>IF(ISNUMBER(F2397),E2397*F2397,"")</x:f>
      </x:c>
      <x:c r="H2397" s="37"/>
      <x:c r="I2397" s="37"/>
      <x:c r="J2397" s="1" t="n">
        <x:f>IF(ISNUMBER(F2397),E2397,0)</x:f>
        <x:v>0</x:v>
      </x:c>
      <x:c r="K2397" s="1"/>
      <x:c r="L2397" s="1" t="str">
        <x:v>https://blog.skyairline.com/sky-participo-de-la-cop27-exponiendo-sus-avances-en-materia-medioambiental/</x:v>
      </x:c>
      <x:c r="M2397" s="1" t="n">
        <x:v>0</x:v>
      </x:c>
    </x:row>
    <x:row r="2398" ht="18.75" customHeight="1">
      <x:c r="A2398" s="1" t="str">
        <x:v>https://blog.skyairline.com/equipaje-de-cabina/</x:v>
      </x:c>
      <x:c r="B2398" s="1" t="str">
        <x:v>medida equipaje de mano sky</x:v>
      </x:c>
      <x:c r="C2398" s="1" t="str">
        <x:v>per</x:v>
      </x:c>
      <x:c r="D2398" s="1" t="str">
        <x:v>Marca</x:v>
      </x:c>
      <x:c r="E2398" s="35" t="n">
        <x:v>1</x:v>
      </x:c>
      <x:c r="F2398" s="36"/>
      <x:c r="G2398" s="36" t="str">
        <x:f>IF(ISNUMBER(F2398),E2398*F2398,"")</x:f>
      </x:c>
      <x:c r="H2398" s="37"/>
      <x:c r="I2398" s="37"/>
      <x:c r="J2398" s="1" t="n">
        <x:f>IF(ISNUMBER(F2398),E2398,0)</x:f>
        <x:v>0</x:v>
      </x:c>
      <x:c r="K2398" s="1"/>
      <x:c r="L2398" s="1" t="str">
        <x:v>https://blog.skyairline.com/sky-peru-y-banco-ripley-launchan-alianza-de-descuentos-para-hasta-1-2-millones-de-clientes/</x:v>
      </x:c>
      <x:c r="M2398" s="1" t="n">
        <x:v>0</x:v>
      </x:c>
    </x:row>
    <x:row r="2399" ht="18.75" customHeight="1">
      <x:c r="A2399" s="1" t="str">
        <x:v>https://blog.skyairline.com/equipaje-de-cabina/</x:v>
      </x:c>
      <x:c r="B2399" s="1" t="str">
        <x:v>medida maleta de cabina sky</x:v>
      </x:c>
      <x:c r="C2399" s="1" t="str">
        <x:v>bra</x:v>
      </x:c>
      <x:c r="D2399" s="1" t="str">
        <x:v>Marca</x:v>
      </x:c>
      <x:c r="E2399" s="35" t="n">
        <x:v>1</x:v>
      </x:c>
      <x:c r="F2399" s="36"/>
      <x:c r="G2399" s="36" t="str">
        <x:f>IF(ISNUMBER(F2399),E2399*F2399,"")</x:f>
      </x:c>
      <x:c r="H2399" s="37"/>
      <x:c r="I2399" s="37"/>
      <x:c r="J2399" s="1" t="n">
        <x:f>IF(ISNUMBER(F2399),E2399,0)</x:f>
        <x:v>0</x:v>
      </x:c>
      <x:c r="K2399" s="1"/>
      <x:c r="L2399" s="1" t="str">
        <x:v>https://blog.skyairline.com/sky-plus-cierra-el-ano-2025-con-mas-de-15-millones-suscriptores/</x:v>
      </x:c>
      <x:c r="M2399" s="1" t="n">
        <x:v>0</x:v>
      </x:c>
    </x:row>
    <x:row r="2400" ht="18.75" customHeight="1">
      <x:c r="A2400" s="1" t="str">
        <x:v>https://blog.skyairline.com/equipaje-de-cabina/</x:v>
      </x:c>
      <x:c r="B2400" s="1" t="str">
        <x:v>medida maleta de cabina sky</x:v>
      </x:c>
      <x:c r="C2400" s="1" t="str">
        <x:v>chl</x:v>
      </x:c>
      <x:c r="D2400" s="1" t="str">
        <x:v>Marca</x:v>
      </x:c>
      <x:c r="E2400" s="35" t="n">
        <x:v>1</x:v>
      </x:c>
      <x:c r="F2400" s="36"/>
      <x:c r="G2400" s="36" t="str">
        <x:f>IF(ISNUMBER(F2400),E2400*F2400,"")</x:f>
      </x:c>
      <x:c r="H2400" s="37"/>
      <x:c r="I2400" s="37"/>
      <x:c r="J2400" s="1" t="n">
        <x:f>IF(ISNUMBER(F2400),E2400,0)</x:f>
        <x:v>0</x:v>
      </x:c>
      <x:c r="K2400" s="1"/>
      <x:c r="L2400" s="1" t="str">
        <x:v>https://blog.skyairline.com/sky-realiza-su-primer-vuelo-a-estados-unidos/</x:v>
      </x:c>
      <x:c r="M2400" s="1" t="n">
        <x:v>0</x:v>
      </x:c>
    </x:row>
    <x:row r="2401" ht="18.75" customHeight="1">
      <x:c r="A2401" s="1" t="str">
        <x:v>https://blog.skyairline.com/equipaje-de-cabina/</x:v>
      </x:c>
      <x:c r="B2401" s="1" t="str">
        <x:v>medidas articulo personal sky</x:v>
      </x:c>
      <x:c r="C2401" s="1" t="str">
        <x:v>ecu</x:v>
      </x:c>
      <x:c r="D2401" s="1" t="str">
        <x:v>Marca</x:v>
      </x:c>
      <x:c r="E2401" s="35" t="n">
        <x:v>1</x:v>
      </x:c>
      <x:c r="F2401" s="36"/>
      <x:c r="G2401" s="36" t="str">
        <x:f>IF(ISNUMBER(F2401),E2401*F2401,"")</x:f>
      </x:c>
      <x:c r="H2401" s="37"/>
      <x:c r="I2401" s="37"/>
      <x:c r="J2401" s="1" t="n">
        <x:f>IF(ISNUMBER(F2401),E2401,0)</x:f>
        <x:v>0</x:v>
      </x:c>
      <x:c r="K2401" s="1"/>
      <x:c r="L2401" s="1" t="str">
        <x:v>https://blog.skyairline.com/sky-recibe-el-2024-con-nuevas-rutas-en-sudamerica/</x:v>
      </x:c>
      <x:c r="M2401" s="1" t="n">
        <x:v>0</x:v>
      </x:c>
    </x:row>
    <x:row r="2402" ht="18.75" customHeight="1">
      <x:c r="A2402" s="1" t="str">
        <x:v>https://blog.skyairline.com/equipaje-de-cabina/</x:v>
      </x:c>
      <x:c r="B2402" s="1" t="str">
        <x:v>medidas artículo personal</x:v>
      </x:c>
      <x:c r="C2402" s="1" t="str">
        <x:v>chl</x:v>
      </x:c>
      <x:c r="D2402" s="1" t="str">
        <x:v>Sin marca</x:v>
      </x:c>
      <x:c r="E2402" s="35" t="n">
        <x:v>1</x:v>
      </x:c>
      <x:c r="F2402" s="36"/>
      <x:c r="G2402" s="36" t="str">
        <x:f>IF(ISNUMBER(F2402),E2402*F2402,"")</x:f>
      </x:c>
      <x:c r="H2402" s="37"/>
      <x:c r="I2402" s="37"/>
      <x:c r="J2402" s="1" t="n">
        <x:f>IF(ISNUMBER(F2402),E2402,0)</x:f>
        <x:v>0</x:v>
      </x:c>
      <x:c r="K2402" s="1"/>
      <x:c r="L2402" s="1" t="str">
        <x:v>https://blog.skyairline.com/sky-recibe-el-avion-mas-efficiente-ecologico-y-con-mayor-capacidad-para-trasladar-pasajeros/</x:v>
      </x:c>
      <x:c r="M2402" s="1" t="n">
        <x:v>0</x:v>
      </x:c>
    </x:row>
    <x:row r="2403" ht="18.75" customHeight="1">
      <x:c r="A2403" s="1" t="str">
        <x:v>https://blog.skyairline.com/equipaje-de-cabina/</x:v>
      </x:c>
      <x:c r="B2403" s="1" t="str">
        <x:v>medidas bolso mano sky</x:v>
      </x:c>
      <x:c r="C2403" s="1" t="str">
        <x:v>chl</x:v>
      </x:c>
      <x:c r="D2403" s="1" t="str">
        <x:v>Marca</x:v>
      </x:c>
      <x:c r="E2403" s="35" t="n">
        <x:v>1</x:v>
      </x:c>
      <x:c r="F2403" s="36"/>
      <x:c r="G2403" s="36" t="str">
        <x:f>IF(ISNUMBER(F2403),E2403*F2403,"")</x:f>
      </x:c>
      <x:c r="H2403" s="37"/>
      <x:c r="I2403" s="37"/>
      <x:c r="J2403" s="1" t="n">
        <x:f>IF(ISNUMBER(F2403),E2403,0)</x:f>
        <x:v>0</x:v>
      </x:c>
      <x:c r="K2403" s="1"/>
      <x:c r="L2403" s="1" t="str">
        <x:v>https://blog.skyairline.com/sky-recibe-le-avion-mas-eficiente-ecologico-y-con-mayor-capacidad-para-trasladar-pasajeros/</x:v>
      </x:c>
      <x:c r="M2403" s="1" t="n">
        <x:v>0</x:v>
      </x:c>
    </x:row>
    <x:row r="2404" ht="18.75" customHeight="1">
      <x:c r="A2404" s="1" t="str">
        <x:v>https://blog.skyairline.com/equipaje-de-cabina/</x:v>
      </x:c>
      <x:c r="B2404" s="1" t="str">
        <x:v>medidas bolso mano sky</x:v>
      </x:c>
      <x:c r="C2404" s="1" t="str">
        <x:v>per</x:v>
      </x:c>
      <x:c r="D2404" s="1" t="str">
        <x:v>Marca</x:v>
      </x:c>
      <x:c r="E2404" s="35" t="n">
        <x:v>1</x:v>
      </x:c>
      <x:c r="F2404" s="36"/>
      <x:c r="G2404" s="36" t="str">
        <x:f>IF(ISNUMBER(F2404),E2404*F2404,"")</x:f>
      </x:c>
      <x:c r="H2404" s="37"/>
      <x:c r="I2404" s="37"/>
      <x:c r="J2404" s="1" t="n">
        <x:f>IF(ISNUMBER(F2404),E2404,0)</x:f>
        <x:v>0</x:v>
      </x:c>
      <x:c r="K2404" s="1"/>
      <x:c r="L2404" s="1" t="str">
        <x:v>https://blog.skyairline.com/sky-recibe-reconocimiento-por-brindar-la-mejor-experiencia-y-servicio-en-aeropuerto-de-lima/</x:v>
      </x:c>
      <x:c r="M2404" s="1" t="n">
        <x:v>0</x:v>
      </x:c>
    </x:row>
    <x:row r="2405" ht="18.75" customHeight="1">
      <x:c r="A2405" s="1" t="str">
        <x:v>https://blog.skyairline.com/equipaje-de-cabina/</x:v>
      </x:c>
      <x:c r="B2405" s="1" t="str">
        <x:v>medidas carry on sky airlines</x:v>
      </x:c>
      <x:c r="C2405" s="1" t="str">
        <x:v>arg</x:v>
      </x:c>
      <x:c r="D2405" s="1" t="str">
        <x:v>Marca</x:v>
      </x:c>
      <x:c r="E2405" s="35" t="n">
        <x:v>1</x:v>
      </x:c>
      <x:c r="F2405" s="36"/>
      <x:c r="G2405" s="36" t="str">
        <x:f>IF(ISNUMBER(F2405),E2405*F2405,"")</x:f>
      </x:c>
      <x:c r="H2405" s="37"/>
      <x:c r="I2405" s="37"/>
      <x:c r="J2405" s="1" t="n">
        <x:f>IF(ISNUMBER(F2405),E2405,0)</x:f>
        <x:v>0</x:v>
      </x:c>
      <x:c r="K2405" s="1"/>
      <x:c r="L2405" s="1" t="str">
        <x:v>https://blog.skyairline.com/sky-refuerza-su-presencia-en-brasil-con-nuevos-vuelos-directos-entre-santiago-y-salvador-de-bahia/</x:v>
      </x:c>
      <x:c r="M2405" s="1" t="n">
        <x:v>0</x:v>
      </x:c>
    </x:row>
    <x:row r="2406" ht="18.75" customHeight="1">
      <x:c r="A2406" s="1" t="str">
        <x:v>https://blog.skyairline.com/equipaje-de-cabina/</x:v>
      </x:c>
      <x:c r="B2406" s="1" t="str">
        <x:v>medidas carry on sky airlines</x:v>
      </x:c>
      <x:c r="C2406" s="1" t="str">
        <x:v>ury</x:v>
      </x:c>
      <x:c r="D2406" s="1" t="str">
        <x:v>Marca</x:v>
      </x:c>
      <x:c r="E2406" s="35" t="n">
        <x:v>1</x:v>
      </x:c>
      <x:c r="F2406" s="36"/>
      <x:c r="G2406" s="36" t="str">
        <x:f>IF(ISNUMBER(F2406),E2406*F2406,"")</x:f>
      </x:c>
      <x:c r="H2406" s="37"/>
      <x:c r="I2406" s="37"/>
      <x:c r="J2406" s="1" t="n">
        <x:f>IF(ISNUMBER(F2406),E2406,0)</x:f>
        <x:v>0</x:v>
      </x:c>
      <x:c r="K2406" s="1"/>
      <x:c r="L2406" s="1" t="str">
        <x:v>https://blog.skyairline.com/sky-refuerza-sus-protocolos-de-seguridad-frente-a-temporada-alta-y-variante-omicron/</x:v>
      </x:c>
      <x:c r="M2406" s="1" t="n">
        <x:v>0</x:v>
      </x:c>
    </x:row>
    <x:row r="2407" ht="18.75" customHeight="1">
      <x:c r="A2407" s="1" t="str">
        <x:v>https://blog.skyairline.com/equipaje-de-cabina/</x:v>
      </x:c>
      <x:c r="B2407" s="1" t="str">
        <x:v>medidas de articulo personal sky</x:v>
      </x:c>
      <x:c r="C2407" s="1" t="str">
        <x:v>per</x:v>
      </x:c>
      <x:c r="D2407" s="1" t="str">
        <x:v>Marca</x:v>
      </x:c>
      <x:c r="E2407" s="35" t="n">
        <x:v>1</x:v>
      </x:c>
      <x:c r="F2407" s="36"/>
      <x:c r="G2407" s="36" t="str">
        <x:f>IF(ISNUMBER(F2407),E2407*F2407,"")</x:f>
      </x:c>
      <x:c r="H2407" s="37"/>
      <x:c r="I2407" s="37"/>
      <x:c r="J2407" s="1" t="n">
        <x:f>IF(ISNUMBER(F2407),E2407,0)</x:f>
        <x:v>0</x:v>
      </x:c>
      <x:c r="K2407" s="1"/>
      <x:c r="L2407" s="1" t="str">
        <x:v>https://blog.skyairline.com/sky-renueva-alianza-con-desafio-levantemos-chile/</x:v>
      </x:c>
      <x:c r="M2407" s="1" t="n">
        <x:v>0</x:v>
      </x:c>
    </x:row>
    <x:row r="2408" ht="18.75" customHeight="1">
      <x:c r="A2408" s="1" t="str">
        <x:v>https://blog.skyairline.com/equipaje-de-cabina/</x:v>
      </x:c>
      <x:c r="B2408" s="1" t="str">
        <x:v>medidas de bolso de mano sky</x:v>
      </x:c>
      <x:c r="C2408" s="1" t="str">
        <x:v>ury</x:v>
      </x:c>
      <x:c r="D2408" s="1" t="str">
        <x:v>Marca</x:v>
      </x:c>
      <x:c r="E2408" s="35" t="n">
        <x:v>1</x:v>
      </x:c>
      <x:c r="F2408" s="36"/>
      <x:c r="G2408" s="36" t="str">
        <x:f>IF(ISNUMBER(F2408),E2408*F2408,"")</x:f>
      </x:c>
      <x:c r="H2408" s="37"/>
      <x:c r="I2408" s="37"/>
      <x:c r="J2408" s="1" t="n">
        <x:f>IF(ISNUMBER(F2408),E2408,0)</x:f>
        <x:v>0</x:v>
      </x:c>
      <x:c r="K2408" s="1"/>
      <x:c r="L2408" s="1" t="str">
        <x:v>https://blog.skyairline.com/sky-revoluciona-la-aviacion-con-innovacion-y-confort-a-bordo</x:v>
      </x:c>
      <x:c r="M2408" s="1" t="n">
        <x:v>0</x:v>
      </x:c>
    </x:row>
    <x:row r="2409" ht="18.75" customHeight="1">
      <x:c r="A2409" s="1" t="str">
        <x:v>https://blog.skyairline.com/equipaje-de-cabina/</x:v>
      </x:c>
      <x:c r="B2409" s="1" t="str">
        <x:v>medidas de carry on sky</x:v>
      </x:c>
      <x:c r="C2409" s="1" t="str">
        <x:v>ury</x:v>
      </x:c>
      <x:c r="D2409" s="1" t="str">
        <x:v>Marca</x:v>
      </x:c>
      <x:c r="E2409" s="35" t="n">
        <x:v>1</x:v>
      </x:c>
      <x:c r="F2409" s="36"/>
      <x:c r="G2409" s="36" t="str">
        <x:f>IF(ISNUMBER(F2409),E2409*F2409,"")</x:f>
      </x:c>
      <x:c r="H2409" s="37"/>
      <x:c r="I2409" s="37"/>
      <x:c r="J2409" s="1" t="n">
        <x:f>IF(ISNUMBER(F2409),E2409,0)</x:f>
        <x:v>0</x:v>
      </x:c>
      <x:c r="K2409" s="1"/>
      <x:c r="L2409" s="1" t="str">
        <x:v>https://blog.skyairline.com/sky-revoluciona-la-aviacion-con-innovacion-y-confort-a-bordo/</x:v>
      </x:c>
      <x:c r="M2409" s="1" t="n">
        <x:v>0</x:v>
      </x:c>
    </x:row>
    <x:row r="2410" ht="18.75" customHeight="1">
      <x:c r="A2410" s="1" t="str">
        <x:v>https://blog.skyairline.com/equipaje-de-cabina/</x:v>
      </x:c>
      <x:c r="B2410" s="1" t="str">
        <x:v>medidas de equipaje de cabina sky</x:v>
      </x:c>
      <x:c r="C2410" s="1" t="str">
        <x:v>chl</x:v>
      </x:c>
      <x:c r="D2410" s="1" t="str">
        <x:v>Marca</x:v>
      </x:c>
      <x:c r="E2410" s="35" t="n">
        <x:v>1</x:v>
      </x:c>
      <x:c r="F2410" s="36"/>
      <x:c r="G2410" s="36" t="str">
        <x:f>IF(ISNUMBER(F2410),E2410*F2410,"")</x:f>
      </x:c>
      <x:c r="H2410" s="37"/>
      <x:c r="I2410" s="37"/>
      <x:c r="J2410" s="1" t="n">
        <x:f>IF(ISNUMBER(F2410),E2410,0)</x:f>
        <x:v>0</x:v>
      </x:c>
      <x:c r="K2410" s="1"/>
      <x:c r="L2410" s="1" t="str">
        <x:v>https://blog.skyairline.com/sky-revoluciona-la-aviacion-con-nuevos-innovacion-confort-a-bordo/</x:v>
      </x:c>
      <x:c r="M2410" s="1" t="n">
        <x:v>0</x:v>
      </x:c>
    </x:row>
    <x:row r="2411" ht="18.75" customHeight="1">
      <x:c r="A2411" s="1" t="str">
        <x:v>https://blog.skyairline.com/equipaje-de-cabina/</x:v>
      </x:c>
      <x:c r="B2411" s="1" t="str">
        <x:v>medidas de equipaje sky</x:v>
      </x:c>
      <x:c r="C2411" s="1" t="str">
        <x:v>ury</x:v>
      </x:c>
      <x:c r="D2411" s="1" t="str">
        <x:v>Marca</x:v>
      </x:c>
      <x:c r="E2411" s="35" t="n">
        <x:v>1</x:v>
      </x:c>
      <x:c r="F2411" s="36"/>
      <x:c r="G2411" s="36" t="str">
        <x:f>IF(ISNUMBER(F2411),E2411*F2411,"")</x:f>
      </x:c>
      <x:c r="H2411" s="37"/>
      <x:c r="I2411" s="37"/>
      <x:c r="J2411" s="1" t="n">
        <x:f>IF(ISNUMBER(F2411),E2411,0)</x:f>
        <x:v>0</x:v>
      </x:c>
      <x:c r="K2411" s="1"/>
      <x:c r="L2411" s="1" t="str">
        <x:v>https://blog.skyairline.com/sky-revoluciona-la-aviacion-con-nuevos-uniformes-confort-a-bordo/</x:v>
      </x:c>
      <x:c r="M2411" s="1" t="n">
        <x:v>0</x:v>
      </x:c>
    </x:row>
    <x:row r="2412" ht="18.75" customHeight="1">
      <x:c r="A2412" s="1" t="str">
        <x:v>https://blog.skyairline.com/equipaje-de-cabina/</x:v>
      </x:c>
      <x:c r="B2412" s="1" t="str">
        <x:v>medidas de mochila de mano sky</x:v>
      </x:c>
      <x:c r="C2412" s="1" t="str">
        <x:v>per</x:v>
      </x:c>
      <x:c r="D2412" s="1" t="str">
        <x:v>Marca</x:v>
      </x:c>
      <x:c r="E2412" s="35" t="n">
        <x:v>1</x:v>
      </x:c>
      <x:c r="F2412" s="36"/>
      <x:c r="G2412" s="36" t="str">
        <x:f>IF(ISNUMBER(F2412),E2412*F2412,"")</x:f>
      </x:c>
      <x:c r="H2412" s="37"/>
      <x:c r="I2412" s="37"/>
      <x:c r="J2412" s="1" t="n">
        <x:f>IF(ISNUMBER(F2412),E2412,0)</x:f>
        <x:v>0</x:v>
      </x:c>
      <x:c r="K2412" s="1"/>
      <x:c r="L2412" s="1" t="str">
        <x:v>https://blog.skyairline.com/sky-revoluciona-la-aviacion-con-nuevos-uniformes-innovacion-confort-a-bordo-2/</x:v>
      </x:c>
      <x:c r="M2412" s="1" t="n">
        <x:v>0</x:v>
      </x:c>
    </x:row>
    <x:row r="2413" ht="18.75" customHeight="1">
      <x:c r="A2413" s="1" t="str">
        <x:v>https://blog.skyairline.com/equipaje-de-cabina/</x:v>
      </x:c>
      <x:c r="B2413" s="1" t="str">
        <x:v>medidas de mochila sky</x:v>
      </x:c>
      <x:c r="C2413" s="1" t="str">
        <x:v>per</x:v>
      </x:c>
      <x:c r="D2413" s="1" t="str">
        <x:v>Marca</x:v>
      </x:c>
      <x:c r="E2413" s="35" t="n">
        <x:v>1</x:v>
      </x:c>
      <x:c r="F2413" s="36"/>
      <x:c r="G2413" s="36" t="str">
        <x:f>IF(ISNUMBER(F2413),E2413*F2413,"")</x:f>
      </x:c>
      <x:c r="H2413" s="37"/>
      <x:c r="I2413" s="37"/>
      <x:c r="J2413" s="1" t="n">
        <x:f>IF(ISNUMBER(F2413),E2413,0)</x:f>
        <x:v>0</x:v>
      </x:c>
      <x:c r="K2413" s="1"/>
      <x:c r="L2413" s="1" t="str">
        <x:v>https://blog.skyairline.com/sky-revoluciona-la-aviacion-con-nuevos-uniformes-innovacion-confort-a-bordo/</x:v>
      </x:c>
      <x:c r="M2413" s="1" t="n">
        <x:v>0</x:v>
      </x:c>
    </x:row>
    <x:row r="2414" ht="18.75" customHeight="1">
      <x:c r="A2414" s="1" t="str">
        <x:v>https://blog.skyairline.com/equipaje-de-cabina/</x:v>
      </x:c>
      <x:c r="B2414" s="1" t="str">
        <x:v>medidas de sky bolso de mano</x:v>
      </x:c>
      <x:c r="C2414" s="1" t="str">
        <x:v>chl</x:v>
      </x:c>
      <x:c r="D2414" s="1" t="str">
        <x:v>Marca</x:v>
      </x:c>
      <x:c r="E2414" s="35" t="n">
        <x:v>1</x:v>
      </x:c>
      <x:c r="F2414" s="36"/>
      <x:c r="G2414" s="36" t="str">
        <x:f>IF(ISNUMBER(F2414),E2414*F2414,"")</x:f>
      </x:c>
      <x:c r="H2414" s="37"/>
      <x:c r="I2414" s="37"/>
      <x:c r="J2414" s="1" t="n">
        <x:f>IF(ISNUMBER(F2414),E2414,0)</x:f>
        <x:v>0</x:v>
      </x:c>
      <x:c r="K2414" s="1"/>
      <x:c r="L2414" s="1" t="str">
        <x:v>https://blog.skyairline.com/sky-revoluciona-la-aviation-con-nuevos-uniformes-innovacion-y-confort-a-bordo-2/</x:v>
      </x:c>
      <x:c r="M2414" s="1" t="n">
        <x:v>0</x:v>
      </x:c>
    </x:row>
    <x:row r="2415" ht="18.75" customHeight="1">
      <x:c r="A2415" s="1" t="str">
        <x:v>https://blog.skyairline.com/equipaje-de-cabina/</x:v>
      </x:c>
      <x:c r="B2415" s="1" t="str">
        <x:v>medidas equipaje de cabina</x:v>
      </x:c>
      <x:c r="C2415" s="1" t="str">
        <x:v>chl</x:v>
      </x:c>
      <x:c r="D2415" s="1" t="str">
        <x:v>Sin marca</x:v>
      </x:c>
      <x:c r="E2415" s="35" t="n">
        <x:v>1</x:v>
      </x:c>
      <x:c r="F2415" s="36" t="n">
        <x:v>0.1</x:v>
      </x:c>
      <x:c r="G2415" s="36" t="n">
        <x:f>IF(ISNUMBER(F2415),E2415*F2415,"")</x:f>
        <x:v>0.1</x:v>
      </x:c>
      <x:c r="H2415" s="37" t="d">
        <x:v>2026-10-15T00:00:00.000Z</x:v>
      </x:c>
      <x:c r="I2415" s="37" t="d">
        <x:v>2026-09-14T19:16:47.000Z</x:v>
      </x:c>
      <x:c r="J2415" s="1" t="n">
        <x:f>IF(ISNUMBER(F2415),E2415,0)</x:f>
        <x:v>1</x:v>
      </x:c>
      <x:c r="K2415" s="1"/>
      <x:c r="L2415" s="1" t="str">
        <x:v>https://blog.skyairline.com/sky-se-adelanta-a-este-cyber-monday-con-descuentos-desde-5-990-en-su-campana-sky-sale/</x:v>
      </x:c>
      <x:c r="M2415" s="1" t="n">
        <x:v>0</x:v>
      </x:c>
    </x:row>
    <x:row r="2416" ht="18.75" customHeight="1">
      <x:c r="A2416" s="1" t="str">
        <x:v>https://blog.skyairline.com/equipaje-de-cabina/</x:v>
      </x:c>
      <x:c r="B2416" s="1" t="str">
        <x:v>medidas equipaje de cabina sky</x:v>
      </x:c>
      <x:c r="C2416" s="1" t="str">
        <x:v>arg</x:v>
      </x:c>
      <x:c r="D2416" s="1" t="str">
        <x:v>Marca</x:v>
      </x:c>
      <x:c r="E2416" s="35" t="n">
        <x:v>1</x:v>
      </x:c>
      <x:c r="F2416" s="36"/>
      <x:c r="G2416" s="36" t="str">
        <x:f>IF(ISNUMBER(F2416),E2416*F2416,"")</x:f>
      </x:c>
      <x:c r="H2416" s="37"/>
      <x:c r="I2416" s="37"/>
      <x:c r="J2416" s="1" t="n">
        <x:f>IF(ISNUMBER(F2416),E2416,0)</x:f>
        <x:v>0</x:v>
      </x:c>
      <x:c r="K2416" s="1"/>
      <x:c r="L2416" s="1" t="str">
        <x:v>https://blog.skyairline.com/sky-se-posiciona-como-la-aerolinea-low-cost-mas-puntual-del-continente/</x:v>
      </x:c>
      <x:c r="M2416" s="1" t="n">
        <x:v>0</x:v>
      </x:c>
    </x:row>
    <x:row r="2417" ht="18.75" customHeight="1">
      <x:c r="A2417" s="1" t="str">
        <x:v>https://blog.skyairline.com/equipaje-de-cabina/</x:v>
      </x:c>
      <x:c r="B2417" s="1" t="str">
        <x:v>medidas equipaje de mano sky</x:v>
      </x:c>
      <x:c r="C2417" s="1" t="str">
        <x:v>ury</x:v>
      </x:c>
      <x:c r="D2417" s="1" t="str">
        <x:v>Marca</x:v>
      </x:c>
      <x:c r="E2417" s="35" t="n">
        <x:v>1</x:v>
      </x:c>
      <x:c r="F2417" s="36"/>
      <x:c r="G2417" s="36" t="str">
        <x:f>IF(ISNUMBER(F2417),E2417*F2417,"")</x:f>
      </x:c>
      <x:c r="H2417" s="37"/>
      <x:c r="I2417" s="37"/>
      <x:c r="J2417" s="1" t="n">
        <x:f>IF(ISNUMBER(F2417),E2417,0)</x:f>
        <x:v>0</x:v>
      </x:c>
      <x:c r="K2417" s="1"/>
      <x:c r="L2417" s="1" t="str">
        <x:v>https://blog.skyairline.com/sky-se-posiciona-como-la-aerolinea-mas-puntual-de-america-por-cuarta-vez-en-el-ano/</x:v>
      </x:c>
      <x:c r="M2417" s="1" t="n">
        <x:v>0</x:v>
      </x:c>
    </x:row>
    <x:row r="2418" ht="18.75" customHeight="1">
      <x:c r="A2418" s="1" t="str">
        <x:v>https://blog.skyairline.com/equipaje-de-cabina/</x:v>
      </x:c>
      <x:c r="B2418" s="1" t="str">
        <x:v>medidas equipaje sky</x:v>
      </x:c>
      <x:c r="C2418" s="1" t="str">
        <x:v>arg</x:v>
      </x:c>
      <x:c r="D2418" s="1" t="str">
        <x:v>Marca</x:v>
      </x:c>
      <x:c r="E2418" s="35" t="n">
        <x:v>1</x:v>
      </x:c>
      <x:c r="F2418" s="36"/>
      <x:c r="G2418" s="36" t="str">
        <x:f>IF(ISNUMBER(F2418),E2418*F2418,"")</x:f>
      </x:c>
      <x:c r="H2418" s="37"/>
      <x:c r="I2418" s="37"/>
      <x:c r="J2418" s="1" t="n">
        <x:f>IF(ISNUMBER(F2418),E2418,0)</x:f>
        <x:v>0</x:v>
      </x:c>
      <x:c r="K2418" s="1"/>
      <x:c r="L2418" s="1" t="str">
        <x:v>https://blog.skyairline.com/sky-se-posiciona-como-la-aerolinea-mas-puntual-del-continente/</x:v>
      </x:c>
      <x:c r="M2418" s="1" t="n">
        <x:v>0</x:v>
      </x:c>
    </x:row>
    <x:row r="2419" ht="18.75" customHeight="1">
      <x:c r="A2419" s="1" t="str">
        <x:v>https://blog.skyairline.com/equipaje-de-cabina/</x:v>
      </x:c>
      <x:c r="B2419" s="1" t="str">
        <x:v>medidas equipaje sky airline</x:v>
      </x:c>
      <x:c r="C2419" s="1" t="str">
        <x:v>ury</x:v>
      </x:c>
      <x:c r="D2419" s="1" t="str">
        <x:v>Marca</x:v>
      </x:c>
      <x:c r="E2419" s="35" t="n">
        <x:v>1</x:v>
      </x:c>
      <x:c r="F2419" s="36"/>
      <x:c r="G2419" s="36" t="str">
        <x:f>IF(ISNUMBER(F2419),E2419*F2419,"")</x:f>
      </x:c>
      <x:c r="H2419" s="37"/>
      <x:c r="I2419" s="37"/>
      <x:c r="J2419" s="1" t="n">
        <x:f>IF(ISNUMBER(F2419),E2419,0)</x:f>
        <x:v>0</x:v>
      </x:c>
      <x:c r="K2419" s="1"/>
      <x:c r="L2419" s="1" t="str">
        <x:v>https://blog.skyairline.com/sky-se-suma-a-universitario-de-deportes-como-patrocinador-noticia/</x:v>
      </x:c>
      <x:c r="M2419" s="1" t="n">
        <x:v>0</x:v>
      </x:c>
    </x:row>
    <x:row r="2420" ht="18.75" customHeight="1">
      <x:c r="A2420" s="1" t="str">
        <x:v>https://blog.skyairline.com/equipaje-de-cabina/</x:v>
      </x:c>
      <x:c r="B2420" s="1" t="str">
        <x:v>medidas maleta de mano sky</x:v>
      </x:c>
      <x:c r="C2420" s="1" t="str">
        <x:v>per</x:v>
      </x:c>
      <x:c r="D2420" s="1" t="str">
        <x:v>Marca</x:v>
      </x:c>
      <x:c r="E2420" s="35" t="n">
        <x:v>1</x:v>
      </x:c>
      <x:c r="F2420" s="36"/>
      <x:c r="G2420" s="36" t="str">
        <x:f>IF(ISNUMBER(F2420),E2420*F2420,"")</x:f>
      </x:c>
      <x:c r="H2420" s="37" t="d">
        <x:v>2026-10-15T00:00:00.000Z</x:v>
      </x:c>
      <x:c r="I2420" s="37" t="d">
        <x:v>2026-09-14T17:17:31.999Z</x:v>
      </x:c>
      <x:c r="J2420" s="1" t="n">
        <x:f>IF(ISNUMBER(F2420),E2420,0)</x:f>
        <x:v>0</x:v>
      </x:c>
      <x:c r="K2420" s="1"/>
      <x:c r="L2420" s="1" t="str">
        <x:v>https://blog.skyairline.com/sky-se-suma-a-universitario-de-deportes-como-patrocinador-y-aeroficial-para-el-2026/</x:v>
      </x:c>
      <x:c r="M2420" s="1" t="n">
        <x:v>0</x:v>
      </x:c>
    </x:row>
    <x:row r="2421" ht="18.75" customHeight="1">
      <x:c r="A2421" s="1" t="str">
        <x:v>https://blog.skyairline.com/equipaje-de-cabina/</x:v>
      </x:c>
      <x:c r="B2421" s="1" t="str">
        <x:v>medidas maletas sky</x:v>
      </x:c>
      <x:c r="C2421" s="1" t="str">
        <x:v>per</x:v>
      </x:c>
      <x:c r="D2421" s="1" t="str">
        <x:v>Marca</x:v>
      </x:c>
      <x:c r="E2421" s="35" t="n">
        <x:v>1</x:v>
      </x:c>
      <x:c r="F2421" s="36"/>
      <x:c r="G2421" s="36" t="str">
        <x:f>IF(ISNUMBER(F2421),E2421*F2421,"")</x:f>
      </x:c>
      <x:c r="H2421" s="37"/>
      <x:c r="I2421" s="37"/>
      <x:c r="J2421" s="1" t="n">
        <x:f>IF(ISNUMBER(F2421),E2421,0)</x:f>
        <x:v>0</x:v>
      </x:c>
      <x:c r="K2421" s="1"/>
      <x:c r="L2421" s="1" t="str">
        <x:v>https://blog.skyairline.com/sky-se-suma-a-universitario-de-deportes-como-patrocinador-y-aerol%C3%ADnea-oficial-para-el-2026/</x:v>
      </x:c>
      <x:c r="M2421" s="1" t="n">
        <x:v>0</x:v>
      </x:c>
    </x:row>
    <x:row r="2422" ht="18.75" customHeight="1">
      <x:c r="A2422" s="1" t="str">
        <x:v>https://blog.skyairline.com/equipaje-de-cabina/</x:v>
      </x:c>
      <x:c r="B2422" s="1" t="str">
        <x:v>medidas maletas sky airline</x:v>
      </x:c>
      <x:c r="C2422" s="1" t="str">
        <x:v>chl</x:v>
      </x:c>
      <x:c r="D2422" s="1" t="str">
        <x:v>Marca</x:v>
      </x:c>
      <x:c r="E2422" s="35" t="n">
        <x:v>1</x:v>
      </x:c>
      <x:c r="F2422" s="36"/>
      <x:c r="G2422" s="36" t="str">
        <x:f>IF(ISNUMBER(F2422),E2422*F2422,"")</x:f>
      </x:c>
      <x:c r="H2422" s="37"/>
      <x:c r="I2422" s="37"/>
      <x:c r="J2422" s="1" t="n">
        <x:f>IF(ISNUMBER(F2422),E2422,0)</x:f>
        <x:v>0</x:v>
      </x:c>
      <x:c r="K2422" s="1"/>
      <x:c r="L2422" s="1" t="str">
        <x:v>https://blog.skyairline.com/sky-se-suma-a-universitario-de-deportes-como-patrocinador-y-aerolife-oficial-para-el-2026/</x:v>
      </x:c>
      <x:c r="M2422" s="1" t="n">
        <x:v>0</x:v>
      </x:c>
    </x:row>
    <x:row r="2423" ht="18.75" customHeight="1">
      <x:c r="A2423" s="1" t="str">
        <x:v>https://blog.skyairline.com/equipaje-de-cabina/</x:v>
      </x:c>
      <x:c r="B2423" s="1" t="str">
        <x:v>medidas mochila sky airlines</x:v>
      </x:c>
      <x:c r="C2423" s="1" t="str">
        <x:v>chl</x:v>
      </x:c>
      <x:c r="D2423" s="1" t="str">
        <x:v>Marca</x:v>
      </x:c>
      <x:c r="E2423" s="35" t="n">
        <x:v>1</x:v>
      </x:c>
      <x:c r="F2423" s="36"/>
      <x:c r="G2423" s="36" t="str">
        <x:f>IF(ISNUMBER(F2423),E2423*F2423,"")</x:f>
      </x:c>
      <x:c r="H2423" s="37"/>
      <x:c r="I2423" s="37"/>
      <x:c r="J2423" s="1" t="n">
        <x:f>IF(ISNUMBER(F2423),E2423,0)</x:f>
        <x:v>0</x:v>
      </x:c>
      <x:c r="K2423" s="1"/>
      <x:c r="L2423" s="1" t="str">
        <x:v>https://blog.skyairline.com/sky-se-suma-a-universitario-de-deportes-como-patrocinador-y-aerolinea-oficial-for-the-2026/</x:v>
      </x:c>
      <x:c r="M2423" s="1" t="n">
        <x:v>0</x:v>
      </x:c>
    </x:row>
    <x:row r="2424" ht="18.75" customHeight="1">
      <x:c r="A2424" s="1" t="str">
        <x:v>https://blog.skyairline.com/equipaje-de-cabina/</x:v>
      </x:c>
      <x:c r="B2424" s="1" t="str">
        <x:v>medidas sky</x:v>
      </x:c>
      <x:c r="C2424" s="1" t="str">
        <x:v>per</x:v>
      </x:c>
      <x:c r="D2424" s="1" t="str">
        <x:v>Marca</x:v>
      </x:c>
      <x:c r="E2424" s="35" t="n">
        <x:v>1</x:v>
      </x:c>
      <x:c r="F2424" s="36"/>
      <x:c r="G2424" s="36" t="str">
        <x:f>IF(ISNUMBER(F2424),E2424*F2424,"")</x:f>
      </x:c>
      <x:c r="H2424" s="37" t="d">
        <x:v>2026-10-15T00:00:00.000Z</x:v>
      </x:c>
      <x:c r="I2424" s="37" t="d">
        <x:v>2026-10-15T03:58:55.000Z</x:v>
      </x:c>
      <x:c r="J2424" s="1" t="n">
        <x:f>IF(ISNUMBER(F2424),E2424,0)</x:f>
        <x:v>0</x:v>
      </x:c>
      <x:c r="K2424" s="1"/>
      <x:c r="L2424" s="1" t="str">
        <x:v>https://blog.skyairline.com/sky-se-suma-a-universitario-de-deportes-como-patrocinador-y-aerolinea-oficial-para-el-2026</x:v>
      </x:c>
      <x:c r="M2424" s="1" t="n">
        <x:v>0</x:v>
      </x:c>
    </x:row>
    <x:row r="2425" ht="18.75" customHeight="1">
      <x:c r="A2425" s="1" t="str">
        <x:v>https://blog.skyairline.com/equipaje-de-cabina/</x:v>
      </x:c>
      <x:c r="B2425" s="1" t="str">
        <x:v>medidas sky equipaje de mano</x:v>
      </x:c>
      <x:c r="C2425" s="1" t="str">
        <x:v>bra</x:v>
      </x:c>
      <x:c r="D2425" s="1" t="str">
        <x:v>Marca</x:v>
      </x:c>
      <x:c r="E2425" s="35" t="n">
        <x:v>1</x:v>
      </x:c>
      <x:c r="F2425" s="36"/>
      <x:c r="G2425" s="36" t="str">
        <x:f>IF(ISNUMBER(F2425),E2425*F2425,"")</x:f>
      </x:c>
      <x:c r="H2425" s="37"/>
      <x:c r="I2425" s="37"/>
      <x:c r="J2425" s="1" t="n">
        <x:f>IF(ISNUMBER(F2425),E2425,0)</x:f>
        <x:v>0</x:v>
      </x:c>
      <x:c r="K2425" s="1"/>
      <x:c r="L2425" s="1" t="str">
        <x:v>https://blog.skyairline.com/sky-se-suma-a-universitario-de-deportes-como-patrocinador-y-aerolinea-oficial-para-the-2026/</x:v>
      </x:c>
      <x:c r="M2425" s="1" t="n">
        <x:v>0</x:v>
      </x:c>
    </x:row>
    <x:row r="2426" ht="18.75" customHeight="1">
      <x:c r="A2426" s="1" t="str">
        <x:v>https://blog.skyairline.com/equipaje-de-cabina/</x:v>
      </x:c>
      <x:c r="B2426" s="1" t="str">
        <x:v>medidas sky equipaje de mano</x:v>
      </x:c>
      <x:c r="C2426" s="1" t="str">
        <x:v>ury</x:v>
      </x:c>
      <x:c r="D2426" s="1" t="str">
        <x:v>Marca</x:v>
      </x:c>
      <x:c r="E2426" s="35" t="n">
        <x:v>1</x:v>
      </x:c>
      <x:c r="F2426" s="36"/>
      <x:c r="G2426" s="36" t="str">
        <x:f>IF(ISNUMBER(F2426),E2426*F2426,"")</x:f>
      </x:c>
      <x:c r="H2426" s="37"/>
      <x:c r="I2426" s="37"/>
      <x:c r="J2426" s="1" t="n">
        <x:f>IF(ISNUMBER(F2426),E2426,0)</x:f>
        <x:v>0</x:v>
      </x:c>
      <x:c r="K2426" s="1"/>
      <x:c r="L2426" s="1" t="str">
        <x:v>https://blog.skyairline.com/sky-se-suma-a-universitario-de-deportes-como-patrocinador-y-officlal-para-el-2026/</x:v>
      </x:c>
      <x:c r="M2426" s="1" t="n">
        <x:v>0</x:v>
      </x:c>
    </x:row>
    <x:row r="2427" ht="18.75" customHeight="1">
      <x:c r="A2427" s="1" t="str">
        <x:v>https://blog.skyairline.com/equipaje-de-cabina/</x:v>
      </x:c>
      <x:c r="B2427" s="1" t="str">
        <x:v>medidas sky mochila</x:v>
      </x:c>
      <x:c r="C2427" s="1" t="str">
        <x:v>per</x:v>
      </x:c>
      <x:c r="D2427" s="1" t="str">
        <x:v>Marca</x:v>
      </x:c>
      <x:c r="E2427" s="35" t="n">
        <x:v>1</x:v>
      </x:c>
      <x:c r="F2427" s="36"/>
      <x:c r="G2427" s="36" t="str">
        <x:f>IF(ISNUMBER(F2427),E2427*F2427,"")</x:f>
      </x:c>
      <x:c r="H2427" s="37" t="d">
        <x:v>2026-10-15T00:00:00.000Z</x:v>
      </x:c>
      <x:c r="I2427" s="37" t="d">
        <x:v>2026-09-16T23:00:44.000Z</x:v>
      </x:c>
      <x:c r="J2427" s="1" t="n">
        <x:f>IF(ISNUMBER(F2427),E2427,0)</x:f>
        <x:v>0</x:v>
      </x:c>
      <x:c r="K2427" s="1"/>
      <x:c r="L2427" s="1" t="str">
        <x:v>https://blog.skyairline.com/sky-se-suma-a-universitario-de-deportes-como-patrocinador-y-oficial-para-el-2026/</x:v>
      </x:c>
      <x:c r="M2427" s="1" t="n">
        <x:v>0</x:v>
      </x:c>
    </x:row>
    <x:row r="2428" ht="18.75" customHeight="1">
      <x:c r="A2428" s="1" t="str">
        <x:v>https://blog.skyairline.com/equipaje-de-cabina/</x:v>
      </x:c>
      <x:c r="B2428" s="1" t="str">
        <x:v>mochila cabina</x:v>
      </x:c>
      <x:c r="C2428" s="1" t="str">
        <x:v>esp</x:v>
      </x:c>
      <x:c r="D2428" s="1" t="str">
        <x:v>Sin marca</x:v>
      </x:c>
      <x:c r="E2428" s="35" t="n">
        <x:v>1</x:v>
      </x:c>
      <x:c r="F2428" s="36"/>
      <x:c r="G2428" s="36" t="str">
        <x:f>IF(ISNUMBER(F2428),E2428*F2428,"")</x:f>
      </x:c>
      <x:c r="H2428" s="37"/>
      <x:c r="I2428" s="37"/>
      <x:c r="J2428" s="1" t="n">
        <x:f>IF(ISNUMBER(F2428),E2428,0)</x:f>
        <x:v>0</x:v>
      </x:c>
      <x:c r="K2428" s="1"/>
      <x:c r="L2428" s="1" t="str">
        <x:v>https://blog.skyairline.com/sky-se-une-a-care-peru-para-facilitar-el-traslado-aereo-ante-desastres-naturales/</x:v>
      </x:c>
      <x:c r="M2428" s="1" t="n">
        <x:v>0</x:v>
      </x:c>
    </x:row>
    <x:row r="2429" ht="18.75" customHeight="1">
      <x:c r="A2429" s="1" t="str">
        <x:v>https://blog.skyairline.com/equipaje-de-cabina/</x:v>
      </x:c>
      <x:c r="B2429" s="1" t="str">
        <x:v>mochila de mano sky</x:v>
      </x:c>
      <x:c r="C2429" s="1" t="str">
        <x:v>chl</x:v>
      </x:c>
      <x:c r="D2429" s="1" t="str">
        <x:v>Marca</x:v>
      </x:c>
      <x:c r="E2429" s="35" t="n">
        <x:v>1</x:v>
      </x:c>
      <x:c r="F2429" s="36" t="n">
        <x:v>0.12</x:v>
      </x:c>
      <x:c r="G2429" s="36" t="n">
        <x:f>IF(ISNUMBER(F2429),E2429*F2429,"")</x:f>
        <x:v>0.12</x:v>
      </x:c>
      <x:c r="H2429" s="37" t="d">
        <x:v>2026-10-15T00:00:00.000Z</x:v>
      </x:c>
      <x:c r="I2429" s="37" t="d">
        <x:v>2026-09-14T22:56:53.000Z</x:v>
      </x:c>
      <x:c r="J2429" s="1" t="n">
        <x:f>IF(ISNUMBER(F2429),E2429,0)</x:f>
        <x:v>1</x:v>
      </x:c>
      <x:c r="K2429" s="1"/>
      <x:c r="L2429" s="1" t="str">
        <x:v>https://blog.skyairline.com/sky-se-une-a-desafio-levantemos-chile-para-apoyar-a-familias-afectadas-por-las-lluvias-en-el-norte/</x:v>
      </x:c>
      <x:c r="M2429" s="1" t="n">
        <x:v>0</x:v>
      </x:c>
    </x:row>
    <x:row r="2430" ht="18.75" customHeight="1">
      <x:c r="A2430" s="1" t="str">
        <x:v>https://blog.skyairline.com/equipaje-de-cabina/</x:v>
      </x:c>
      <x:c r="B2430" s="1" t="str">
        <x:v>mochila de mano sky medidas</x:v>
      </x:c>
      <x:c r="C2430" s="1" t="str">
        <x:v>deu</x:v>
      </x:c>
      <x:c r="D2430" s="1" t="str">
        <x:v>Marca</x:v>
      </x:c>
      <x:c r="E2430" s="35" t="n">
        <x:v>1</x:v>
      </x:c>
      <x:c r="F2430" s="36"/>
      <x:c r="G2430" s="36" t="str">
        <x:f>IF(ISNUMBER(F2430),E2430*F2430,"")</x:f>
      </x:c>
      <x:c r="H2430" s="37"/>
      <x:c r="I2430" s="37"/>
      <x:c r="J2430" s="1" t="n">
        <x:f>IF(ISNUMBER(F2430),E2430,0)</x:f>
        <x:v>0</x:v>
      </x:c>
      <x:c r="K2430" s="1"/>
      <x:c r="L2430" s="1" t="str">
        <x:v>https://blog.skyairline.com/sky-sorteara-2-entradas-para-ver-al-conejo-malo-en-su-concierto-en-miami-y-en-exclusiva/</x:v>
      </x:c>
      <x:c r="M2430" s="1" t="n">
        <x:v>0</x:v>
      </x:c>
    </x:row>
    <x:row r="2431" ht="18.75" customHeight="1">
      <x:c r="A2431" s="1" t="str">
        <x:v>https://blog.skyairline.com/equipaje-de-cabina/</x:v>
      </x:c>
      <x:c r="B2431" s="1" t="str">
        <x:v>mochila sky airlines</x:v>
      </x:c>
      <x:c r="C2431" s="1" t="str">
        <x:v>ury</x:v>
      </x:c>
      <x:c r="D2431" s="1" t="str">
        <x:v>Marca</x:v>
      </x:c>
      <x:c r="E2431" s="35" t="n">
        <x:v>1</x:v>
      </x:c>
      <x:c r="F2431" s="36"/>
      <x:c r="G2431" s="36" t="str">
        <x:f>IF(ISNUMBER(F2431),E2431*F2431,"")</x:f>
      </x:c>
      <x:c r="H2431" s="37"/>
      <x:c r="I2431" s="37"/>
      <x:c r="J2431" s="1" t="n">
        <x:f>IF(ISNUMBER(F2431),E2431,0)</x:f>
        <x:v>0</x:v>
      </x:c>
      <x:c r="K2431" s="1"/>
      <x:c r="L2431" s="1" t="str">
        <x:v>https://blog.skyairline.com/sky-suma-a-cajamarca-talara-a-su-red-de-destinos/</x:v>
      </x:c>
      <x:c r="M2431" s="1" t="n">
        <x:v>0</x:v>
      </x:c>
    </x:row>
    <x:row r="2432" ht="18.75" customHeight="1">
      <x:c r="A2432" s="1" t="str">
        <x:v>https://blog.skyairline.com/equipaje-de-cabina/</x:v>
      </x:c>
      <x:c r="B2432" s="1" t="str">
        <x:v>para sky</x:v>
      </x:c>
      <x:c r="C2432" s="1" t="str">
        <x:v>per</x:v>
      </x:c>
      <x:c r="D2432" s="1" t="str">
        <x:v>Marca</x:v>
      </x:c>
      <x:c r="E2432" s="35" t="n">
        <x:v>1</x:v>
      </x:c>
      <x:c r="F2432" s="36"/>
      <x:c r="G2432" s="36" t="str">
        <x:f>IF(ISNUMBER(F2432),E2432*F2432,"")</x:f>
      </x:c>
      <x:c r="H2432" s="37" t="d">
        <x:v>2026-10-15T00:00:00.000Z</x:v>
      </x:c>
      <x:c r="I2432" s="37" t="d">
        <x:v>2026-09-17T20:24:03.000Z</x:v>
      </x:c>
      <x:c r="J2432" s="1" t="n">
        <x:f>IF(ISNUMBER(F2432),E2432,0)</x:f>
        <x:v>0</x:v>
      </x:c>
      <x:c r="K2432" s="1"/>
      <x:c r="L2432" s="1" t="str">
        <x:v>https://blog.skyairline.com/sky-suma-a-cajamarca-y-talara-a-a-su-red-de-destinos</x:v>
      </x:c>
      <x:c r="M2432" s="1" t="n">
        <x:v>0</x:v>
      </x:c>
    </x:row>
    <x:row r="2433" ht="18.75" customHeight="1">
      <x:c r="A2433" s="1" t="str">
        <x:v>https://blog.skyairline.com/equipaje-de-cabina/</x:v>
      </x:c>
      <x:c r="B2433" s="1" t="str">
        <x:v>para vuelos nacionales</x:v>
      </x:c>
      <x:c r="C2433" s="1" t="str">
        <x:v>chl</x:v>
      </x:c>
      <x:c r="D2433" s="1" t="str">
        <x:v>Sin marca</x:v>
      </x:c>
      <x:c r="E2433" s="35" t="n">
        <x:v>1</x:v>
      </x:c>
      <x:c r="F2433" s="36"/>
      <x:c r="G2433" s="36" t="str">
        <x:f>IF(ISNUMBER(F2433),E2433*F2433,"")</x:f>
      </x:c>
      <x:c r="H2433" s="37" t="d">
        <x:v>2026-10-15T00:00:00.000Z</x:v>
      </x:c>
      <x:c r="I2433" s="37" t="d">
        <x:v>2026-09-14T00:45:03.000Z</x:v>
      </x:c>
      <x:c r="J2433" s="1" t="n">
        <x:f>IF(ISNUMBER(F2433),E2433,0)</x:f>
        <x:v>0</x:v>
      </x:c>
      <x:c r="K2433" s="1"/>
      <x:c r="L2433" s="1" t="str">
        <x:v>https://blog.skyairline.com/sky-suma-a-cajamarca-y-talara-a-csu-red-de-destinos</x:v>
      </x:c>
      <x:c r="M2433" s="1" t="n">
        <x:v>0</x:v>
      </x:c>
    </x:row>
    <x:row r="2434" ht="18.75" customHeight="1">
      <x:c r="A2434" s="1" t="str">
        <x:v>https://blog.skyairline.com/equipaje-de-cabina/</x:v>
      </x:c>
      <x:c r="B2434" s="1" t="str">
        <x:v>peso bolso de mano sky</x:v>
      </x:c>
      <x:c r="C2434" s="1" t="str">
        <x:v>chl</x:v>
      </x:c>
      <x:c r="D2434" s="1" t="str">
        <x:v>Marca</x:v>
      </x:c>
      <x:c r="E2434" s="35" t="n">
        <x:v>1</x:v>
      </x:c>
      <x:c r="F2434" s="36"/>
      <x:c r="G2434" s="36" t="str">
        <x:f>IF(ISNUMBER(F2434),E2434*F2434,"")</x:f>
      </x:c>
      <x:c r="H2434" s="37" t="d">
        <x:v>2026-10-15T00:00:00.000Z</x:v>
      </x:c>
      <x:c r="I2434" s="37" t="d">
        <x:v>2026-09-16T04:01:05.000Z</x:v>
      </x:c>
      <x:c r="J2434" s="1" t="n">
        <x:f>IF(ISNUMBER(F2434),E2434,0)</x:f>
        <x:v>0</x:v>
      </x:c>
      <x:c r="K2434" s="1"/>
      <x:c r="L2434" s="1" t="str">
        <x:v>https://blog.skyairline.com/sky-suma-a-cajamarca-y-talara-a-su-red-destinos</x:v>
      </x:c>
      <x:c r="M2434" s="1" t="n">
        <x:v>0</x:v>
      </x:c>
    </x:row>
    <x:row r="2435" ht="18.75" customHeight="1">
      <x:c r="A2435" s="1" t="str">
        <x:v>https://blog.skyairline.com/equipaje-de-cabina/</x:v>
      </x:c>
      <x:c r="B2435" s="1" t="str">
        <x:v>peso bolso de mano sky</x:v>
      </x:c>
      <x:c r="C2435" s="1" t="str">
        <x:v>ury</x:v>
      </x:c>
      <x:c r="D2435" s="1" t="str">
        <x:v>Marca</x:v>
      </x:c>
      <x:c r="E2435" s="35" t="n">
        <x:v>1</x:v>
      </x:c>
      <x:c r="F2435" s="36"/>
      <x:c r="G2435" s="36" t="str">
        <x:f>IF(ISNUMBER(F2435),E2435*F2435,"")</x:f>
      </x:c>
      <x:c r="H2435" s="37"/>
      <x:c r="I2435" s="37"/>
      <x:c r="J2435" s="1" t="n">
        <x:f>IF(ISNUMBER(F2435),E2435,0)</x:f>
        <x:v>0</x:v>
      </x:c>
      <x:c r="K2435" s="1"/>
      <x:c r="L2435" s="1" t="str">
        <x:v>https://blog.skyairline.com/sky-suma-cajamarca-talara-a-su-red-de-destinos/</x:v>
      </x:c>
      <x:c r="M2435" s="1" t="n">
        <x:v>0</x:v>
      </x:c>
    </x:row>
    <x:row r="2436" ht="18.75" customHeight="1">
      <x:c r="A2436" s="1" t="str">
        <x:v>https://blog.skyairline.com/equipaje-de-cabina/</x:v>
      </x:c>
      <x:c r="B2436" s="1" t="str">
        <x:v>plus</x:v>
      </x:c>
      <x:c r="C2436" s="1" t="str">
        <x:v>arg</x:v>
      </x:c>
      <x:c r="D2436" s="1" t="str">
        <x:v>Sin marca</x:v>
      </x:c>
      <x:c r="E2436" s="35" t="n">
        <x:v>1</x:v>
      </x:c>
      <x:c r="F2436" s="36"/>
      <x:c r="G2436" s="36" t="str">
        <x:f>IF(ISNUMBER(F2436),E2436*F2436,"")</x:f>
      </x:c>
      <x:c r="H2436" s="37"/>
      <x:c r="I2436" s="37"/>
      <x:c r="J2436" s="1" t="n">
        <x:f>IF(ISNUMBER(F2436),E2436,0)</x:f>
        <x:v>0</x:v>
      </x:c>
      <x:c r="K2436" s="1"/>
      <x:c r="L2436" s="1" t="str">
        <x:v>https://blog.skyairline.com/sky-suma-cajamarca-y-talara-a-sin-destinos/</x:v>
      </x:c>
      <x:c r="M2436" s="1" t="n">
        <x:v>0</x:v>
      </x:c>
    </x:row>
    <x:row r="2437" ht="18.75" customHeight="1">
      <x:c r="A2437" s="1" t="str">
        <x:v>https://blog.skyairline.com/equipaje-de-cabina/</x:v>
      </x:c>
      <x:c r="B2437" s="1" t="str">
        <x:v>por sky</x:v>
      </x:c>
      <x:c r="C2437" s="1" t="str">
        <x:v>chl</x:v>
      </x:c>
      <x:c r="D2437" s="1" t="str">
        <x:v>Marca</x:v>
      </x:c>
      <x:c r="E2437" s="35" t="n">
        <x:v>1</x:v>
      </x:c>
      <x:c r="F2437" s="36"/>
      <x:c r="G2437" s="36" t="str">
        <x:f>IF(ISNUMBER(F2437),E2437*F2437,"")</x:f>
      </x:c>
      <x:c r="H2437" s="37"/>
      <x:c r="I2437" s="37"/>
      <x:c r="J2437" s="1" t="n">
        <x:f>IF(ISNUMBER(F2437),E2437,0)</x:f>
        <x:v>0</x:v>
      </x:c>
      <x:c r="K2437" s="1"/>
      <x:c r="L2437" s="1" t="str">
        <x:v>https://blog.skyairline.com/sky-suma-cajamarca-y-talara-a-su-red-de-destinos/</x:v>
      </x:c>
      <x:c r="M2437" s="1" t="n">
        <x:v>0</x:v>
      </x:c>
    </x:row>
    <x:row r="2438" ht="18.75" customHeight="1">
      <x:c r="A2438" s="1" t="str">
        <x:v>https://blog.skyairline.com/equipaje-de-cabina/</x:v>
      </x:c>
      <x:c r="B2438" s="1" t="str">
        <x:v>por sky</x:v>
      </x:c>
      <x:c r="C2438" s="1" t="str">
        <x:v>ury</x:v>
      </x:c>
      <x:c r="D2438" s="1" t="str">
        <x:v>Marca</x:v>
      </x:c>
      <x:c r="E2438" s="35" t="n">
        <x:v>1</x:v>
      </x:c>
      <x:c r="F2438" s="36"/>
      <x:c r="G2438" s="36" t="str">
        <x:f>IF(ISNUMBER(F2438),E2438*F2438,"")</x:f>
      </x:c>
      <x:c r="H2438" s="37"/>
      <x:c r="I2438" s="37"/>
      <x:c r="J2438" s="1" t="n">
        <x:f>IF(ISNUMBER(F2438),E2438,0)</x:f>
        <x:v>0</x:v>
      </x:c>
      <x:c r="K2438" s="1"/>
      <x:c r="L2438" s="1" t="str">
        <x:v>https://blog.skyairline.com/sky-suma-nueva-conexion-de-buenos-aires-a-miami/</x:v>
      </x:c>
      <x:c r="M2438" s="1" t="n">
        <x:v>0</x:v>
      </x:c>
    </x:row>
    <x:row r="2439" ht="18.75" customHeight="1">
      <x:c r="A2439" s="1" t="str">
        <x:v>https://blog.skyairline.com/equipaje-de-cabina/</x:v>
      </x:c>
      <x:c r="B2439" s="1" t="str">
        <x:v>que equipaje de mano se puede llevar en avion</x:v>
      </x:c>
      <x:c r="C2439" s="1" t="str">
        <x:v>chl</x:v>
      </x:c>
      <x:c r="D2439" s="1" t="str">
        <x:v>Sin marca</x:v>
      </x:c>
      <x:c r="E2439" s="35" t="n">
        <x:v>1</x:v>
      </x:c>
      <x:c r="F2439" s="36" t="n">
        <x:v>0.11</x:v>
      </x:c>
      <x:c r="G2439" s="36" t="n">
        <x:f>IF(ISNUMBER(F2439),E2439*F2439,"")</x:f>
        <x:v>0.11</x:v>
      </x:c>
      <x:c r="H2439" s="37" t="d">
        <x:v>2026-10-15T00:00:00.000Z</x:v>
      </x:c>
      <x:c r="I2439" s="37" t="d">
        <x:v>2026-09-15T08:25:38.000Z</x:v>
      </x:c>
      <x:c r="J2439" s="1" t="n">
        <x:f>IF(ISNUMBER(F2439),E2439,0)</x:f>
        <x:v>1</x:v>
      </x:c>
      <x:c r="K2439" s="1"/>
      <x:c r="L2439" s="1" t="str">
        <x:v>https://blog.skyairline.com/sky-supera-los-12-millones-de-pasajeros-transportados-hacia-y-desde-iquitos/</x:v>
      </x:c>
      <x:c r="M2439" s="1" t="n">
        <x:v>0</x:v>
      </x:c>
    </x:row>
    <x:row r="2440" ht="18.75" customHeight="1">
      <x:c r="A2440" s="1" t="str">
        <x:v>https://blog.skyairline.com/equipaje-de-cabina/</x:v>
      </x:c>
      <x:c r="B2440" s="1" t="str">
        <x:v>que es bolso de mano en sky</x:v>
      </x:c>
      <x:c r="C2440" s="1" t="str">
        <x:v>chl</x:v>
      </x:c>
      <x:c r="D2440" s="1" t="str">
        <x:v>Marca</x:v>
      </x:c>
      <x:c r="E2440" s="35" t="n">
        <x:v>1</x:v>
      </x:c>
      <x:c r="F2440" s="36"/>
      <x:c r="G2440" s="36" t="str">
        <x:f>IF(ISNUMBER(F2440),E2440*F2440,"")</x:f>
      </x:c>
      <x:c r="H2440" s="37"/>
      <x:c r="I2440" s="37"/>
      <x:c r="J2440" s="1" t="n">
        <x:f>IF(ISNUMBER(F2440),E2440,0)</x:f>
        <x:v>0</x:v>
      </x:c>
      <x:c r="K2440" s="1"/>
      <x:c r="L2440" s="1" t="str">
        <x:v>https://blog.skyairline.com/sky-transporto-a-mas-de-24-millones-de-pasajeros-durante-el-primer-trimestre-de-2024/</x:v>
      </x:c>
      <x:c r="M2440" s="1" t="n">
        <x:v>0</x:v>
      </x:c>
    </x:row>
    <x:row r="2441" ht="18.75" customHeight="1">
      <x:c r="A2441" s="1" t="str">
        <x:v>https://blog.skyairline.com/equipaje-de-cabina/</x:v>
      </x:c>
      <x:c r="B2441" s="1" t="str">
        <x:v>que es bolso de mano en sky</x:v>
      </x:c>
      <x:c r="C2441" s="1" t="str">
        <x:v>per</x:v>
      </x:c>
      <x:c r="D2441" s="1" t="str">
        <x:v>Marca</x:v>
      </x:c>
      <x:c r="E2441" s="35" t="n">
        <x:v>1</x:v>
      </x:c>
      <x:c r="F2441" s="36"/>
      <x:c r="G2441" s="36" t="str">
        <x:f>IF(ISNUMBER(F2441),E2441*F2441,"")</x:f>
      </x:c>
      <x:c r="H2441" s="37"/>
      <x:c r="I2441" s="37"/>
      <x:c r="J2441" s="1" t="n">
        <x:f>IF(ISNUMBER(F2441),E2441,0)</x:f>
        <x:v>0</x:v>
      </x:c>
      <x:c r="K2441" s="1"/>
      <x:c r="L2441" s="1" t="str">
        <x:v>https://blog.skyairline.com/sky-transporto-a-mas-de-375-mil-viajeros-en-la-region-durante-las-fiestas-de-fin-de-ano/</x:v>
      </x:c>
      <x:c r="M2441" s="1" t="n">
        <x:v>0</x:v>
      </x:c>
    </x:row>
    <x:row r="2442" ht="18.75" customHeight="1">
      <x:c r="A2442" s="1" t="str">
        <x:v>https://blog.skyairline.com/equipaje-de-cabina/</x:v>
      </x:c>
      <x:c r="B2442" s="1" t="str">
        <x:v>que es equipaje de mano en sky</x:v>
      </x:c>
      <x:c r="C2442" s="1" t="str">
        <x:v>chl</x:v>
      </x:c>
      <x:c r="D2442" s="1" t="str">
        <x:v>Marca</x:v>
      </x:c>
      <x:c r="E2442" s="35" t="n">
        <x:v>1</x:v>
      </x:c>
      <x:c r="F2442" s="36"/>
      <x:c r="G2442" s="36" t="str">
        <x:f>IF(ISNUMBER(F2442),E2442*F2442,"")</x:f>
      </x:c>
      <x:c r="H2442" s="37"/>
      <x:c r="I2442" s="37"/>
      <x:c r="J2442" s="1" t="n">
        <x:f>IF(ISNUMBER(F2442),E2442,0)</x:f>
        <x:v>0</x:v>
      </x:c>
      <x:c r="K2442" s="1"/>
      <x:c r="L2442" s="1" t="str">
        <x:v>https://blog.skyairline.com/sky-transporto-mas-de-15-millones-de-pasajeros-desde-sus-inicios-de-operaciones-en-peru/</x:v>
      </x:c>
      <x:c r="M2442" s="1" t="n">
        <x:v>0</x:v>
      </x:c>
    </x:row>
    <x:row r="2443" ht="18.75" customHeight="1">
      <x:c r="A2443" s="1" t="str">
        <x:v>https://blog.skyairline.com/equipaje-de-cabina/</x:v>
      </x:c>
      <x:c r="B2443" s="1" t="str">
        <x:v>que no se puede llevar en el equipaje de mano sky</x:v>
      </x:c>
      <x:c r="C2443" s="1" t="str">
        <x:v>per</x:v>
      </x:c>
      <x:c r="D2443" s="1" t="str">
        <x:v>Marca</x:v>
      </x:c>
      <x:c r="E2443" s="35" t="n">
        <x:v>1</x:v>
      </x:c>
      <x:c r="F2443" s="36"/>
      <x:c r="G2443" s="36" t="str">
        <x:f>IF(ISNUMBER(F2443),E2443*F2443,"")</x:f>
      </x:c>
      <x:c r="H2443" s="37"/>
      <x:c r="I2443" s="37"/>
      <x:c r="J2443" s="1" t="n">
        <x:f>IF(ISNUMBER(F2443),E2443,0)</x:f>
        <x:v>0</x:v>
      </x:c>
      <x:c r="K2443" s="1"/>
      <x:c r="L2443" s="1" t="str">
        <x:v>https://blog.skyairline.com/sky-traslado-a-mas-de-825-mil-pasajeros-en-el-primer-trimestre-de-2024/</x:v>
      </x:c>
      <x:c r="M2443" s="1" t="n">
        <x:v>0</x:v>
      </x:c>
    </x:row>
    <x:row r="2444" ht="18.75" customHeight="1">
      <x:c r="A2444" s="1" t="str">
        <x:v>https://blog.skyairline.com/equipaje-de-cabina/</x:v>
      </x:c>
      <x:c r="B2444" s="1" t="str">
        <x:v>que puedo llevar en bolso de mano avion</x:v>
      </x:c>
      <x:c r="C2444" s="1" t="str">
        <x:v>chl</x:v>
      </x:c>
      <x:c r="D2444" s="1" t="str">
        <x:v>Sin marca</x:v>
      </x:c>
      <x:c r="E2444" s="35" t="n">
        <x:v>1</x:v>
      </x:c>
      <x:c r="F2444" s="36"/>
      <x:c r="G2444" s="36" t="str">
        <x:f>IF(ISNUMBER(F2444),E2444*F2444,"")</x:f>
      </x:c>
      <x:c r="H2444" s="37"/>
      <x:c r="I2444" s="37"/>
      <x:c r="J2444" s="1" t="n">
        <x:f>IF(ISNUMBER(F2444),E2444,0)</x:f>
        <x:v>0</x:v>
      </x:c>
      <x:c r="K2444" s="1"/>
      <x:c r="L2444" s="1" t="str">
        <x:v>https://blog.skyairline.com/sky-une-fuerzas-con-la-fundacion-vivir-mas-feliz-para-apoyar-la-construccion-de-un-centro-oncopediatrico-en-la-araucania/</x:v>
      </x:c>
      <x:c r="M2444" s="1" t="n">
        <x:v>0</x:v>
      </x:c>
    </x:row>
    <x:row r="2445" ht="18.75" customHeight="1">
      <x:c r="A2445" s="1" t="str">
        <x:v>https://blog.skyairline.com/equipaje-de-cabina/</x:v>
      </x:c>
      <x:c r="B2445" s="1" t="str">
        <x:v>que se puede llevar en equipaje de cabina</x:v>
      </x:c>
      <x:c r="C2445" s="1" t="str">
        <x:v>chl</x:v>
      </x:c>
      <x:c r="D2445" s="1" t="str">
        <x:v>Sin marca</x:v>
      </x:c>
      <x:c r="E2445" s="35" t="n">
        <x:v>1</x:v>
      </x:c>
      <x:c r="F2445" s="36"/>
      <x:c r="G2445" s="36" t="str">
        <x:f>IF(ISNUMBER(F2445),E2445*F2445,"")</x:f>
      </x:c>
      <x:c r="H2445" s="37"/>
      <x:c r="I2445" s="37"/>
      <x:c r="J2445" s="1" t="n">
        <x:f>IF(ISNUMBER(F2445),E2445,0)</x:f>
        <x:v>0</x:v>
      </x:c>
      <x:c r="K2445" s="1"/>
      <x:c r="L2445" s="1" t="str">
        <x:v>https://blog.skyairline.com/sky-unica-entre-las-mejores-empresas-para-practicas-en-chile-y-peru/</x:v>
      </x:c>
      <x:c r="M2445" s="1" t="n">
        <x:v>0</x:v>
      </x:c>
    </x:row>
    <x:row r="2446" ht="18.75" customHeight="1">
      <x:c r="A2446" s="1" t="str">
        <x:v>https://blog.skyairline.com/equipaje-de-cabina/</x:v>
      </x:c>
      <x:c r="B2446" s="1" t="str">
        <x:v>que se puede llevar en la maleta de cabina</x:v>
      </x:c>
      <x:c r="C2446" s="1" t="str">
        <x:v>chl</x:v>
      </x:c>
      <x:c r="D2446" s="1" t="str">
        <x:v>Sin marca</x:v>
      </x:c>
      <x:c r="E2446" s="35" t="n">
        <x:v>1</x:v>
      </x:c>
      <x:c r="F2446" s="36" t="n">
        <x:v>0.29</x:v>
      </x:c>
      <x:c r="G2446" s="36" t="n">
        <x:f>IF(ISNUMBER(F2446),E2446*F2446,"")</x:f>
        <x:v>0.29</x:v>
      </x:c>
      <x:c r="H2446" s="37" t="d">
        <x:v>2026-10-15T00:00:00.000Z</x:v>
      </x:c>
      <x:c r="I2446" s="37" t="d">
        <x:v>2026-09-13T18:15:10.000Z</x:v>
      </x:c>
      <x:c r="J2446" s="1" t="n">
        <x:f>IF(ISNUMBER(F2446),E2446,0)</x:f>
        <x:v>1</x:v>
      </x:c>
      <x:c r="K2446" s="1"/>
      <x:c r="L2446" s="1" t="str">
        <x:v>https://blog.skyairline.com/sky-y-air-europa-concretan-acuerdo-de-codigo-compartido</x:v>
      </x:c>
      <x:c r="M2446" s="1" t="n">
        <x:v>0</x:v>
      </x:c>
    </x:row>
    <x:row r="2447" ht="18.75" customHeight="1">
      <x:c r="A2447" s="1" t="str">
        <x:v>https://blog.skyairline.com/equipaje-de-cabina/</x:v>
      </x:c>
      <x:c r="B2447" s="1" t="str">
        <x:v>que se puede llevar en la mochila del avion</x:v>
      </x:c>
      <x:c r="C2447" s="1" t="str">
        <x:v>chl</x:v>
      </x:c>
      <x:c r="D2447" s="1" t="str">
        <x:v>Sin marca</x:v>
      </x:c>
      <x:c r="E2447" s="35" t="n">
        <x:v>1</x:v>
      </x:c>
      <x:c r="F2447" s="36"/>
      <x:c r="G2447" s="36" t="str">
        <x:f>IF(ISNUMBER(F2447),E2447*F2447,"")</x:f>
      </x:c>
      <x:c r="H2447" s="37"/>
      <x:c r="I2447" s="37"/>
      <x:c r="J2447" s="1" t="n">
        <x:f>IF(ISNUMBER(F2447),E2447,0)</x:f>
        <x:v>0</x:v>
      </x:c>
      <x:c r="K2447" s="1"/>
      <x:c r="L2447" s="1" t="str">
        <x:v>https://blog.skyairline.com/sky-y-air-europa-firman-acuerdo-interlineal-para-conectar-pasajeros-entre-europa-y-mas-de-30-destinos-en-latinoamerica/</x:v>
      </x:c>
      <x:c r="M2447" s="1" t="n">
        <x:v>0</x:v>
      </x:c>
    </x:row>
    <x:row r="2448" ht="18.75" customHeight="1">
      <x:c r="A2448" s="1" t="str">
        <x:v>https://blog.skyairline.com/equipaje-de-cabina/</x:v>
      </x:c>
      <x:c r="B2448" s="1" t="str">
        <x:v>que significa bolso de mano en sky</x:v>
      </x:c>
      <x:c r="C2448" s="1" t="str">
        <x:v>per</x:v>
      </x:c>
      <x:c r="D2448" s="1" t="str">
        <x:v>Marca</x:v>
      </x:c>
      <x:c r="E2448" s="35" t="n">
        <x:v>1</x:v>
      </x:c>
      <x:c r="F2448" s="36"/>
      <x:c r="G2448" s="36" t="str">
        <x:f>IF(ISNUMBER(F2448),E2448*F2448,"")</x:f>
      </x:c>
      <x:c r="H2448" s="37"/>
      <x:c r="I2448" s="37"/>
      <x:c r="J2448" s="1" t="n">
        <x:f>IF(ISNUMBER(F2448),E2448,0)</x:f>
        <x:v>0</x:v>
      </x:c>
      <x:c r="K2448" s="1"/>
      <x:c r="L2448" s="1" t="str">
        <x:v>https://blog.skyairline.com/sky-y-air-europa-firman-acuerdo-interlineal-procesos-pasajeros/</x:v>
      </x:c>
      <x:c r="M2448" s="1" t="n">
        <x:v>0</x:v>
      </x:c>
    </x:row>
    <x:row r="2449" ht="18.75" customHeight="1">
      <x:c r="A2449" s="1" t="str">
        <x:v>https://blog.skyairline.com/equipaje-de-cabina/</x:v>
      </x:c>
      <x:c r="B2449" s="1" t="str">
        <x:v>que significa carry on en vuelos</x:v>
      </x:c>
      <x:c r="C2449" s="1" t="str">
        <x:v>chl</x:v>
      </x:c>
      <x:c r="D2449" s="1" t="str">
        <x:v>Sin marca</x:v>
      </x:c>
      <x:c r="E2449" s="35" t="n">
        <x:v>1</x:v>
      </x:c>
      <x:c r="F2449" s="36"/>
      <x:c r="G2449" s="36" t="str">
        <x:f>IF(ISNUMBER(F2449),E2449*F2449,"")</x:f>
      </x:c>
      <x:c r="H2449" s="37" t="d">
        <x:v>2026-10-15T00:00:00.000Z</x:v>
      </x:c>
      <x:c r="I2449" s="37" t="d">
        <x:v>2026-09-12T18:23:21.000Z</x:v>
      </x:c>
      <x:c r="J2449" s="1" t="n">
        <x:f>IF(ISNUMBER(F2449),E2449,0)</x:f>
        <x:v>0</x:v>
      </x:c>
      <x:c r="K2449" s="1"/>
      <x:c r="L2449" s="1" t="str">
        <x:v>https://blog.skyairline.com/sky-y-air-europa-firman-conectar-pasajeros-entre-europa-y-mas-de-30-destinos-en-latinoamerica/</x:v>
      </x:c>
      <x:c r="M2449" s="1" t="n">
        <x:v>0</x:v>
      </x:c>
    </x:row>
    <x:row r="2450" ht="18.75" customHeight="1">
      <x:c r="A2450" s="1" t="str">
        <x:v>https://blog.skyairline.com/equipaje-de-cabina/</x:v>
      </x:c>
      <x:c r="B2450" s="1" t="str">
        <x:v>que significa equipaje de cabina</x:v>
      </x:c>
      <x:c r="C2450" s="1" t="str">
        <x:v>per</x:v>
      </x:c>
      <x:c r="D2450" s="1" t="str">
        <x:v>Sin marca</x:v>
      </x:c>
      <x:c r="E2450" s="35" t="n">
        <x:v>1</x:v>
      </x:c>
      <x:c r="F2450" s="36"/>
      <x:c r="G2450" s="36" t="str">
        <x:f>IF(ISNUMBER(F2450),E2450*F2450,"")</x:f>
      </x:c>
      <x:c r="H2450" s="37"/>
      <x:c r="I2450" s="37"/>
      <x:c r="J2450" s="1" t="n">
        <x:f>IF(ISNUMBER(F2450),E2450,0)</x:f>
        <x:v>0</x:v>
      </x:c>
      <x:c r="K2450" s="1"/>
      <x:c r="L2450" s="1" t="str">
        <x:v>https://blog.skyairline.com/sky-y-air-europa-lanzan-acuerdo-de-c%C3%B3digo-compartido/</x:v>
      </x:c>
      <x:c r="M2450" s="1" t="n">
        <x:v>0</x:v>
      </x:c>
    </x:row>
    <x:row r="2451" ht="18.75" customHeight="1">
      <x:c r="A2451" s="1" t="str">
        <x:v>https://blog.skyairline.com/equipaje-de-cabina/</x:v>
      </x:c>
      <x:c r="B2451" s="1" t="str">
        <x:v>si</x:v>
      </x:c>
      <x:c r="C2451" s="1" t="str">
        <x:v>per</x:v>
      </x:c>
      <x:c r="D2451" s="1" t="str">
        <x:v>Sin marca</x:v>
      </x:c>
      <x:c r="E2451" s="35" t="n">
        <x:v>1</x:v>
      </x:c>
      <x:c r="F2451" s="36"/>
      <x:c r="G2451" s="36" t="str">
        <x:f>IF(ISNUMBER(F2451),E2451*F2451,"")</x:f>
      </x:c>
      <x:c r="H2451" s="37"/>
      <x:c r="I2451" s="37"/>
      <x:c r="J2451" s="1" t="n">
        <x:f>IF(ISNUMBER(F2451),E2451,0)</x:f>
        <x:v>0</x:v>
      </x:c>
      <x:c r="K2451" s="1"/>
      <x:c r="L2451" s="1" t="str">
        <x:v>https://blog.skyairline.com/sky-y-air-europa-lanzan-acuerdo-de-codigo-compartido</x:v>
      </x:c>
      <x:c r="M2451" s="1" t="n">
        <x:v>0</x:v>
      </x:c>
    </x:row>
    <x:row r="2452" ht="18.75" customHeight="1">
      <x:c r="A2452" s="1" t="str">
        <x:v>https://blog.skyairline.com/equipaje-de-cabina/</x:v>
      </x:c>
      <x:c r="B2452" s="1" t="str">
        <x:v>sky airline baggage policy</x:v>
      </x:c>
      <x:c r="C2452" s="1" t="str">
        <x:v>per</x:v>
      </x:c>
      <x:c r="D2452" s="1" t="str">
        <x:v>Marca</x:v>
      </x:c>
      <x:c r="E2452" s="35" t="n">
        <x:v>1</x:v>
      </x:c>
      <x:c r="F2452" s="36"/>
      <x:c r="G2452" s="36" t="str">
        <x:f>IF(ISNUMBER(F2452),E2452*F2452,"")</x:f>
      </x:c>
      <x:c r="H2452" s="37"/>
      <x:c r="I2452" s="37"/>
      <x:c r="J2452" s="1" t="n">
        <x:f>IF(ISNUMBER(F2452),E2452,0)</x:f>
        <x:v>0</x:v>
      </x:c>
      <x:c r="K2452" s="1"/>
      <x:c r="L2452" s="1" t="str">
        <x:v>https://blog.skyairline.com/sky-y-ami-chile-firmaron-una-alianza-para-fomentar-la-mitilicultura-en-el-pais/</x:v>
      </x:c>
      <x:c r="M2452" s="1" t="n">
        <x:v>0</x:v>
      </x:c>
    </x:row>
    <x:row r="2453" ht="18.75" customHeight="1">
      <x:c r="A2453" s="1" t="str">
        <x:v>https://blog.skyairline.com/equipaje-de-cabina/</x:v>
      </x:c>
      <x:c r="B2453" s="1" t="str">
        <x:v>sky airline bolso de mano</x:v>
      </x:c>
      <x:c r="C2453" s="1" t="str">
        <x:v>arg</x:v>
      </x:c>
      <x:c r="D2453" s="1" t="str">
        <x:v>Marca</x:v>
      </x:c>
      <x:c r="E2453" s="35" t="n">
        <x:v>1</x:v>
      </x:c>
      <x:c r="F2453" s="36"/>
      <x:c r="G2453" s="36" t="str">
        <x:f>IF(ISNUMBER(F2453),E2453*F2453,"")</x:f>
      </x:c>
      <x:c r="H2453" s="37"/>
      <x:c r="I2453" s="37"/>
      <x:c r="J2453" s="1" t="n">
        <x:f>IF(ISNUMBER(F2453),E2453,0)</x:f>
        <x:v>0</x:v>
      </x:c>
      <x:c r="K2453" s="1"/>
      <x:c r="L2453" s="1" t="str">
        <x:v>https://blog.skyairline.com/sky-y-clinica-alemana-de-santiago-sellan-alianza-para-potenciar-operativos-medicos-en-regiones-de-chile/</x:v>
      </x:c>
      <x:c r="M2453" s="1" t="n">
        <x:v>0</x:v>
      </x:c>
    </x:row>
    <x:row r="2454" ht="18.75" customHeight="1">
      <x:c r="A2454" s="1" t="str">
        <x:v>https://blog.skyairline.com/equipaje-de-cabina/</x:v>
      </x:c>
      <x:c r="B2454" s="1" t="str">
        <x:v>sky airline carry on</x:v>
      </x:c>
      <x:c r="C2454" s="1" t="str">
        <x:v>arg</x:v>
      </x:c>
      <x:c r="D2454" s="1" t="str">
        <x:v>Marca</x:v>
      </x:c>
      <x:c r="E2454" s="35" t="n">
        <x:v>1</x:v>
      </x:c>
      <x:c r="F2454" s="36"/>
      <x:c r="G2454" s="36" t="str">
        <x:f>IF(ISNUMBER(F2454),E2454*F2454,"")</x:f>
      </x:c>
      <x:c r="H2454" s="37"/>
      <x:c r="I2454" s="37"/>
      <x:c r="J2454" s="1" t="n">
        <x:f>IF(ISNUMBER(F2454),E2454,0)</x:f>
        <x:v>0</x:v>
      </x:c>
      <x:c r="K2454" s="1"/>
      <x:c r="L2454" s="1" t="str">
        <x:v>https://blog.skyairline.com/sky-y-coopeuch-firman-alianza-for-que-clientes-accedan-a-los-beneficios-de-sky-plus/</x:v>
      </x:c>
      <x:c r="M2454" s="1" t="n">
        <x:v>0</x:v>
      </x:c>
    </x:row>
    <x:row r="2455" ht="18.75" customHeight="1">
      <x:c r="A2455" s="1" t="str">
        <x:v>https://blog.skyairline.com/equipaje-de-cabina/</x:v>
      </x:c>
      <x:c r="B2455" s="1" t="str">
        <x:v>sky airline carry on</x:v>
      </x:c>
      <x:c r="C2455" s="1" t="str">
        <x:v>mex</x:v>
      </x:c>
      <x:c r="D2455" s="1" t="str">
        <x:v>Marca</x:v>
      </x:c>
      <x:c r="E2455" s="35" t="n">
        <x:v>1</x:v>
      </x:c>
      <x:c r="F2455" s="36"/>
      <x:c r="G2455" s="36" t="str">
        <x:f>IF(ISNUMBER(F2455),E2455*F2455,"")</x:f>
      </x:c>
      <x:c r="H2455" s="37"/>
      <x:c r="I2455" s="37"/>
      <x:c r="J2455" s="1" t="n">
        <x:f>IF(ISNUMBER(F2455),E2455,0)</x:f>
        <x:v>0</x:v>
      </x:c>
      <x:c r="K2455" s="1"/>
      <x:c r="L2455" s="1" t="str">
        <x:v>https://blog.skyairline.com/sky-y-correos-de-chile-cumplieron-el-sueno-de-volar-a-ninos-y-ninas-de-la-fundacion-nuestros-hijos/</x:v>
      </x:c>
      <x:c r="M2455" s="1" t="n">
        <x:v>0</x:v>
      </x:c>
    </x:row>
    <x:row r="2456" ht="18.75" customHeight="1">
      <x:c r="A2456" s="1" t="str">
        <x:v>https://blog.skyairline.com/equipaje-de-cabina/</x:v>
      </x:c>
      <x:c r="B2456" s="1" t="str">
        <x:v>sky airline equipaje</x:v>
      </x:c>
      <x:c r="C2456" s="1" t="str">
        <x:v>per</x:v>
      </x:c>
      <x:c r="D2456" s="1" t="str">
        <x:v>Marca</x:v>
      </x:c>
      <x:c r="E2456" s="35" t="n">
        <x:v>1</x:v>
      </x:c>
      <x:c r="F2456" s="36"/>
      <x:c r="G2456" s="36" t="str">
        <x:f>IF(ISNUMBER(F2456),E2456*F2456,"")</x:f>
      </x:c>
      <x:c r="H2456" s="37" t="d">
        <x:v>2026-10-15T00:00:00.000Z</x:v>
      </x:c>
      <x:c r="I2456" s="37" t="d">
        <x:v>2026-09-15T13:29:42.000Z</x:v>
      </x:c>
      <x:c r="J2456" s="1" t="n">
        <x:f>IF(ISNUMBER(F2456),E2456,0)</x:f>
        <x:v>0</x:v>
      </x:c>
      <x:c r="K2456" s="1"/>
      <x:c r="L2456" s="1" t="str">
        <x:v>https://blog.skyairline.com/sky-y-emprende-tu-mente-lanzan-el-primer-avion-de-las-pymes/</x:v>
      </x:c>
      <x:c r="M2456" s="1" t="n">
        <x:v>0</x:v>
      </x:c>
    </x:row>
    <x:row r="2457" ht="18.75" customHeight="1">
      <x:c r="A2457" s="1" t="str">
        <x:v>https://blog.skyairline.com/equipaje-de-cabina/</x:v>
      </x:c>
      <x:c r="B2457" s="1" t="str">
        <x:v>sky airline handgepäck</x:v>
      </x:c>
      <x:c r="C2457" s="1" t="str">
        <x:v>deu</x:v>
      </x:c>
      <x:c r="D2457" s="1" t="str">
        <x:v>Marca</x:v>
      </x:c>
      <x:c r="E2457" s="35" t="n">
        <x:v>1</x:v>
      </x:c>
      <x:c r="F2457" s="36"/>
      <x:c r="G2457" s="36" t="str">
        <x:f>IF(ISNUMBER(F2457),E2457*F2457,"")</x:f>
      </x:c>
      <x:c r="H2457" s="37"/>
      <x:c r="I2457" s="37"/>
      <x:c r="J2457" s="1" t="n">
        <x:f>IF(ISNUMBER(F2457),E2457,0)</x:f>
        <x:v>0</x:v>
      </x:c>
      <x:c r="K2457" s="1"/>
      <x:c r="L2457" s="1" t="str">
        <x:v>https://blog.skyairline.com/sky-y-la-liga-contra-el-cancer-unen-fuerzas-para-prevenir-el-cancer-de-mama-en-regiones-de-peru/</x:v>
      </x:c>
      <x:c r="M2457" s="1" t="n">
        <x:v>0</x:v>
      </x:c>
    </x:row>
    <x:row r="2458" ht="18.75" customHeight="1">
      <x:c r="A2458" s="1" t="str">
        <x:v>https://blog.skyairline.com/equipaje-de-cabina/</x:v>
      </x:c>
      <x:c r="B2458" s="1" t="str">
        <x:v>sky airline personal item size</x:v>
      </x:c>
      <x:c r="C2458" s="1" t="str">
        <x:v>arg</x:v>
      </x:c>
      <x:c r="D2458" s="1" t="str">
        <x:v>Marca</x:v>
      </x:c>
      <x:c r="E2458" s="35" t="n">
        <x:v>1</x:v>
      </x:c>
      <x:c r="F2458" s="36"/>
      <x:c r="G2458" s="36" t="str">
        <x:f>IF(ISNUMBER(F2458),E2458*F2458,"")</x:f>
      </x:c>
      <x:c r="H2458" s="37"/>
      <x:c r="I2458" s="37"/>
      <x:c r="J2458" s="1" t="n">
        <x:f>IF(ISNUMBER(F2458),E2458,0)</x:f>
        <x:v>0</x:v>
      </x:c>
      <x:c r="K2458" s="1"/>
      <x:c r="L2458" s="1" t="str">
        <x:v>https://blog.skyairline.com/sky-y-la-liga-contra-el-cancer-unen-fuerzas-peru/</x:v>
      </x:c>
      <x:c r="M2458" s="1" t="n">
        <x:v>0</x:v>
      </x:c>
    </x:row>
    <x:row r="2459" ht="18.75" customHeight="1">
      <x:c r="A2459" s="1" t="str">
        <x:v>https://blog.skyairline.com/equipaje-de-cabina/</x:v>
      </x:c>
      <x:c r="B2459" s="1" t="str">
        <x:v>sky airline personal item size</x:v>
      </x:c>
      <x:c r="C2459" s="1" t="str">
        <x:v>per</x:v>
      </x:c>
      <x:c r="D2459" s="1" t="str">
        <x:v>Marca</x:v>
      </x:c>
      <x:c r="E2459" s="35" t="n">
        <x:v>1</x:v>
      </x:c>
      <x:c r="F2459" s="36"/>
      <x:c r="G2459" s="36" t="str">
        <x:f>IF(ISNUMBER(F2459),E2459*F2459,"")</x:f>
      </x:c>
      <x:c r="H2459" s="37"/>
      <x:c r="I2459" s="37"/>
      <x:c r="J2459" s="1" t="n">
        <x:f>IF(ISNUMBER(F2459),E2459,0)</x:f>
        <x:v>0</x:v>
      </x:c>
      <x:c r="K2459" s="1"/>
      <x:c r="L2459" s="1" t="str">
        <x:v>https://blog.skyairline.com/sky-y-la-ucsc-en-proyecto-para-producir-combustible-sostenible-de-aviacion/</x:v>
      </x:c>
      <x:c r="M2459" s="1" t="n">
        <x:v>0</x:v>
      </x:c>
    </x:row>
    <x:row r="2460" ht="18.75" customHeight="1">
      <x:c r="A2460" s="1" t="str">
        <x:v>https://blog.skyairline.com/equipaje-de-cabina/</x:v>
      </x:c>
      <x:c r="B2460" s="1" t="str">
        <x:v>sky airlines argentina</x:v>
      </x:c>
      <x:c r="C2460" s="1" t="str">
        <x:v>arg</x:v>
      </x:c>
      <x:c r="D2460" s="1" t="str">
        <x:v>Marca</x:v>
      </x:c>
      <x:c r="E2460" s="35" t="n">
        <x:v>1</x:v>
      </x:c>
      <x:c r="F2460" s="36"/>
      <x:c r="G2460" s="36" t="str">
        <x:f>IF(ISNUMBER(F2460),E2460*F2460,"")</x:f>
      </x:c>
      <x:c r="H2460" s="37"/>
      <x:c r="I2460" s="37"/>
      <x:c r="J2460" s="1" t="n">
        <x:f>IF(ISNUMBER(F2460),E2460,0)</x:f>
        <x:v>0</x:v>
      </x:c>
      <x:c r="K2460" s="1"/>
      <x:c r="L2460" s="1" t="str">
        <x:v>https://blog.skyairline.com/sky-y-las-torres-patagonia-por-la-reconstruccion-de-senderos/</x:v>
      </x:c>
      <x:c r="M2460" s="1" t="n">
        <x:v>0</x:v>
      </x:c>
    </x:row>
    <x:row r="2461" ht="18.75" customHeight="1">
      <x:c r="A2461" s="1" t="str">
        <x:v>https://blog.skyairline.com/equipaje-de-cabina/</x:v>
      </x:c>
      <x:c r="B2461" s="1" t="str">
        <x:v>sky airlines bagagem</x:v>
      </x:c>
      <x:c r="C2461" s="1" t="str">
        <x:v>chl</x:v>
      </x:c>
      <x:c r="D2461" s="1" t="str">
        <x:v>Marca</x:v>
      </x:c>
      <x:c r="E2461" s="35" t="n">
        <x:v>1</x:v>
      </x:c>
      <x:c r="F2461" s="36"/>
      <x:c r="G2461" s="36" t="str">
        <x:f>IF(ISNUMBER(F2461),E2461*F2461,"")</x:f>
      </x:c>
      <x:c r="H2461" s="37"/>
      <x:c r="I2461" s="37"/>
      <x:c r="J2461" s="1" t="n">
        <x:f>IF(ISNUMBER(F2461),E2461,0)</x:f>
        <x:v>0</x:v>
      </x:c>
      <x:c r="K2461" s="1"/>
      <x:c r="L2461" s="1" t="str">
        <x:v>https://blog.skyairline.com/sky-y-promperu-se-unen-para-impulsar-el-turismo-peruano/</x:v>
      </x:c>
      <x:c r="M2461" s="1" t="n">
        <x:v>0</x:v>
      </x:c>
    </x:row>
    <x:row r="2462" ht="18.75" customHeight="1">
      <x:c r="A2462" s="1" t="str">
        <x:v>https://blog.skyairline.com/equipaje-de-cabina/</x:v>
      </x:c>
      <x:c r="B2462" s="1" t="str">
        <x:v>sky airlines bagagem de mão</x:v>
      </x:c>
      <x:c r="C2462" s="1" t="str">
        <x:v>arg</x:v>
      </x:c>
      <x:c r="D2462" s="1" t="str">
        <x:v>Marca</x:v>
      </x:c>
      <x:c r="E2462" s="35" t="n">
        <x:v>1</x:v>
      </x:c>
      <x:c r="F2462" s="36"/>
      <x:c r="G2462" s="36" t="str">
        <x:f>IF(ISNUMBER(F2462),E2462*F2462,"")</x:f>
      </x:c>
      <x:c r="H2462" s="37"/>
      <x:c r="I2462" s="37"/>
      <x:c r="J2462" s="1" t="n">
        <x:f>IF(ISNUMBER(F2462),E2462,0)</x:f>
        <x:v>0</x:v>
      </x:c>
      <x:c r="K2462" s="1"/>
      <x:c r="L2462" s="1" t="str">
        <x:v>https://blog.skyairline.com/sky/</x:v>
      </x:c>
      <x:c r="M2462" s="1" t="n">
        <x:v>0</x:v>
      </x:c>
    </x:row>
    <x:row r="2463" ht="18.75" customHeight="1">
      <x:c r="A2463" s="1" t="str">
        <x:v>https://blog.skyairline.com/equipaje-de-cabina/</x:v>
      </x:c>
      <x:c r="B2463" s="1" t="str">
        <x:v>sky airlines bagagem de mão</x:v>
      </x:c>
      <x:c r="C2463" s="1" t="str">
        <x:v>chl</x:v>
      </x:c>
      <x:c r="D2463" s="1" t="str">
        <x:v>Marca</x:v>
      </x:c>
      <x:c r="E2463" s="35" t="n">
        <x:v>1</x:v>
      </x:c>
      <x:c r="F2463" s="36"/>
      <x:c r="G2463" s="36" t="str">
        <x:f>IF(ISNUMBER(F2463),E2463*F2463,"")</x:f>
      </x:c>
      <x:c r="H2463" s="37"/>
      <x:c r="I2463" s="37"/>
      <x:c r="J2463" s="1" t="n">
        <x:f>IF(ISNUMBER(F2463),E2463,0)</x:f>
        <x:v>0</x:v>
      </x:c>
      <x:c r="K2463" s="1"/>
      <x:c r="L2463" s="1" t="str">
        <x:v>https://blog.skyairline.com/skyairline.com/es</x:v>
      </x:c>
      <x:c r="M2463" s="1" t="n">
        <x:v>0</x:v>
      </x:c>
    </x:row>
    <x:row r="2464" ht="18.75" customHeight="1">
      <x:c r="A2464" s="1" t="str">
        <x:v>https://blog.skyairline.com/equipaje-de-cabina/</x:v>
      </x:c>
      <x:c r="B2464" s="1" t="str">
        <x:v>sky airlines baggage policy</x:v>
      </x:c>
      <x:c r="C2464" s="1" t="str">
        <x:v>per</x:v>
      </x:c>
      <x:c r="D2464" s="1" t="str">
        <x:v>Marca</x:v>
      </x:c>
      <x:c r="E2464" s="35" t="n">
        <x:v>1</x:v>
      </x:c>
      <x:c r="F2464" s="36"/>
      <x:c r="G2464" s="36" t="str">
        <x:f>IF(ISNUMBER(F2464),E2464*F2464,"")</x:f>
      </x:c>
      <x:c r="H2464" s="37"/>
      <x:c r="I2464" s="37"/>
      <x:c r="J2464" s="1" t="n">
        <x:f>IF(ISNUMBER(F2464),E2464,0)</x:f>
        <x:v>0</x:v>
      </x:c>
      <x:c r="K2464" s="1"/>
      <x:c r="L2464" s="1" t="str">
        <x:v>https://blog.skyairline.com/skyairline/</x:v>
      </x:c>
      <x:c r="M2464" s="1" t="n">
        <x:v>0</x:v>
      </x:c>
    </x:row>
    <x:row r="2465" ht="18.75" customHeight="1">
      <x:c r="A2465" s="1" t="str">
        <x:v>https://blog.skyairline.com/equipaje-de-cabina/</x:v>
      </x:c>
      <x:c r="B2465" s="1" t="str">
        <x:v>sky airlines bolso de mano</x:v>
      </x:c>
      <x:c r="C2465" s="1" t="str">
        <x:v>arg</x:v>
      </x:c>
      <x:c r="D2465" s="1" t="str">
        <x:v>Marca</x:v>
      </x:c>
      <x:c r="E2465" s="35" t="n">
        <x:v>1</x:v>
      </x:c>
      <x:c r="F2465" s="36"/>
      <x:c r="G2465" s="36" t="str">
        <x:f>IF(ISNUMBER(F2465),E2465*F2465,"")</x:f>
      </x:c>
      <x:c r="H2465" s="37"/>
      <x:c r="I2465" s="37"/>
      <x:c r="J2465" s="1" t="n">
        <x:f>IF(ISNUMBER(F2465),E2465,0)</x:f>
        <x:v>0</x:v>
      </x:c>
      <x:c r="K2465" s="1"/>
      <x:c r="L2465" s="1" t="str">
        <x:v>https://blog.skyairline.com/skyplus</x:v>
      </x:c>
      <x:c r="M2465" s="1" t="n">
        <x:v>0</x:v>
      </x:c>
    </x:row>
    <x:row r="2466" ht="18.75" customHeight="1">
      <x:c r="A2466" s="1" t="str">
        <x:v>https://blog.skyairline.com/equipaje-de-cabina/</x:v>
      </x:c>
      <x:c r="B2466" s="1" t="str">
        <x:v>sky airlines carry on</x:v>
      </x:c>
      <x:c r="C2466" s="1" t="str">
        <x:v>arg</x:v>
      </x:c>
      <x:c r="D2466" s="1" t="str">
        <x:v>Marca</x:v>
      </x:c>
      <x:c r="E2466" s="35" t="n">
        <x:v>1</x:v>
      </x:c>
      <x:c r="F2466" s="36"/>
      <x:c r="G2466" s="36" t="str">
        <x:f>IF(ISNUMBER(F2466),E2466*F2466,"")</x:f>
      </x:c>
      <x:c r="H2466" s="37"/>
      <x:c r="I2466" s="37"/>
      <x:c r="J2466" s="1" t="n">
        <x:f>IF(ISNUMBER(F2466),E2466,0)</x:f>
        <x:v>0</x:v>
      </x:c>
      <x:c r="K2466" s="1"/>
      <x:c r="L2466" s="1" t="str">
        <x:v>https://blog.skyairline.com/slow-travel/</x:v>
      </x:c>
      <x:c r="M2466" s="1" t="n">
        <x:v>0</x:v>
      </x:c>
    </x:row>
    <x:row r="2467" ht="18.75" customHeight="1">
      <x:c r="A2467" s="1" t="str">
        <x:v>https://blog.skyairline.com/equipaje-de-cabina/</x:v>
      </x:c>
      <x:c r="B2467" s="1" t="str">
        <x:v>sky airlines carry on size</x:v>
      </x:c>
      <x:c r="C2467" s="1" t="str">
        <x:v>chl</x:v>
      </x:c>
      <x:c r="D2467" s="1" t="str">
        <x:v>Marca</x:v>
      </x:c>
      <x:c r="E2467" s="35" t="n">
        <x:v>1</x:v>
      </x:c>
      <x:c r="F2467" s="36"/>
      <x:c r="G2467" s="36" t="str">
        <x:f>IF(ISNUMBER(F2467),E2467*F2467,"")</x:f>
      </x:c>
      <x:c r="H2467" s="37"/>
      <x:c r="I2467" s="37"/>
      <x:c r="J2467" s="1" t="n">
        <x:f>IF(ISNUMBER(F2467),E2467,0)</x:f>
        <x:v>0</x:v>
      </x:c>
      <x:c r="K2467" s="1"/>
      <x:c r="L2467" s="1" t="str">
        <x:v>https://blog.skyairline.com/socializar-durante-un-viaje/</x:v>
      </x:c>
      <x:c r="M2467" s="1" t="n">
        <x:v>0</x:v>
      </x:c>
    </x:row>
    <x:row r="2468" ht="18.75" customHeight="1">
      <x:c r="A2468" s="1" t="str">
        <x:v>https://blog.skyairline.com/equipaje-de-cabina/</x:v>
      </x:c>
      <x:c r="B2468" s="1" t="str">
        <x:v>sky airlines equipaje</x:v>
      </x:c>
      <x:c r="C2468" s="1" t="str">
        <x:v>arg</x:v>
      </x:c>
      <x:c r="D2468" s="1" t="str">
        <x:v>Marca</x:v>
      </x:c>
      <x:c r="E2468" s="35" t="n">
        <x:v>1</x:v>
      </x:c>
      <x:c r="F2468" s="36"/>
      <x:c r="G2468" s="36" t="str">
        <x:f>IF(ISNUMBER(F2468),E2468*F2468,"")</x:f>
      </x:c>
      <x:c r="H2468" s="37"/>
      <x:c r="I2468" s="37"/>
      <x:c r="J2468" s="1" t="n">
        <x:f>IF(ISNUMBER(F2468),E2468,0)</x:f>
        <x:v>0</x:v>
      </x:c>
      <x:c r="K2468" s="1"/>
      <x:c r="L2468" s="1" t="str">
        <x:v>https://blog.skyairline.com/south-beach/</x:v>
      </x:c>
      <x:c r="M2468" s="1" t="n">
        <x:v>0</x:v>
      </x:c>
    </x:row>
    <x:row r="2469" ht="18.75" customHeight="1">
      <x:c r="A2469" s="1" t="str">
        <x:v>https://blog.skyairline.com/equipaje-de-cabina/</x:v>
      </x:c>
      <x:c r="B2469" s="1" t="str">
        <x:v>sky airlines equipaje</x:v>
      </x:c>
      <x:c r="C2469" s="1" t="str">
        <x:v>deu</x:v>
      </x:c>
      <x:c r="D2469" s="1" t="str">
        <x:v>Marca</x:v>
      </x:c>
      <x:c r="E2469" s="35" t="n">
        <x:v>1</x:v>
      </x:c>
      <x:c r="F2469" s="36"/>
      <x:c r="G2469" s="36" t="str">
        <x:f>IF(ISNUMBER(F2469),E2469*F2469,"")</x:f>
      </x:c>
      <x:c r="H2469" s="37"/>
      <x:c r="I2469" s="37"/>
      <x:c r="J2469" s="1" t="n">
        <x:f>IF(ISNUMBER(F2469),E2469,0)</x:f>
        <x:v>0</x:v>
      </x:c>
      <x:c r="K2469" s="1"/>
      <x:c r="L2469" s="1" t="str">
        <x:v>https://blog.skyairline.com/tacna-2/</x:v>
      </x:c>
      <x:c r="M2469" s="1" t="n">
        <x:v>0</x:v>
      </x:c>
    </x:row>
    <x:row r="2470" ht="18.75" customHeight="1">
      <x:c r="A2470" s="1" t="str">
        <x:v>https://blog.skyairline.com/equipaje-de-cabina/</x:v>
      </x:c>
      <x:c r="B2470" s="1" t="str">
        <x:v>sky airlines equipaje de mano</x:v>
      </x:c>
      <x:c r="C2470" s="1" t="str">
        <x:v>arg</x:v>
      </x:c>
      <x:c r="D2470" s="1" t="str">
        <x:v>Marca</x:v>
      </x:c>
      <x:c r="E2470" s="35" t="n">
        <x:v>1</x:v>
      </x:c>
      <x:c r="F2470" s="36"/>
      <x:c r="G2470" s="36" t="str">
        <x:f>IF(ISNUMBER(F2470),E2470*F2470,"")</x:f>
      </x:c>
      <x:c r="H2470" s="37"/>
      <x:c r="I2470" s="37"/>
      <x:c r="J2470" s="1" t="n">
        <x:f>IF(ISNUMBER(F2470),E2470,0)</x:f>
        <x:v>0</x:v>
      </x:c>
      <x:c r="K2470" s="1"/>
      <x:c r="L2470" s="1" t="str">
        <x:v>https://blog.skyairline.com/tacna-lima/</x:v>
      </x:c>
      <x:c r="M2470" s="1" t="n">
        <x:v>0</x:v>
      </x:c>
    </x:row>
    <x:row r="2471" ht="18.75" customHeight="1">
      <x:c r="A2471" s="1" t="str">
        <x:v>https://blog.skyairline.com/equipaje-de-cabina/</x:v>
      </x:c>
      <x:c r="B2471" s="1" t="str">
        <x:v>sky airlines equipaje de mano</x:v>
      </x:c>
      <x:c r="C2471" s="1" t="str">
        <x:v>bol</x:v>
      </x:c>
      <x:c r="D2471" s="1" t="str">
        <x:v>Marca</x:v>
      </x:c>
      <x:c r="E2471" s="35" t="n">
        <x:v>1</x:v>
      </x:c>
      <x:c r="F2471" s="36"/>
      <x:c r="G2471" s="36" t="str">
        <x:f>IF(ISNUMBER(F2471),E2471*F2471,"")</x:f>
      </x:c>
      <x:c r="H2471" s="37"/>
      <x:c r="I2471" s="37"/>
      <x:c r="J2471" s="1" t="n">
        <x:f>IF(ISNUMBER(F2471),E2471,0)</x:f>
        <x:v>0</x:v>
      </x:c>
      <x:c r="K2471" s="1"/>
      <x:c r="L2471" s="1" t="str">
        <x:v>https://blog.skyairline.com/tacna/</x:v>
      </x:c>
      <x:c r="M2471" s="1" t="n">
        <x:v>0</x:v>
      </x:c>
    </x:row>
    <x:row r="2472" ht="18.75" customHeight="1">
      <x:c r="A2472" s="1" t="str">
        <x:v>https://blog.skyairline.com/equipaje-de-cabina/</x:v>
      </x:c>
      <x:c r="B2472" s="1" t="str">
        <x:v>sky airlines equipaje de mano</x:v>
      </x:c>
      <x:c r="C2472" s="1" t="str">
        <x:v>col</x:v>
      </x:c>
      <x:c r="D2472" s="1" t="str">
        <x:v>Marca</x:v>
      </x:c>
      <x:c r="E2472" s="35" t="n">
        <x:v>1</x:v>
      </x:c>
      <x:c r="F2472" s="36"/>
      <x:c r="G2472" s="36" t="str">
        <x:f>IF(ISNUMBER(F2472),E2472*F2472,"")</x:f>
      </x:c>
      <x:c r="H2472" s="37"/>
      <x:c r="I2472" s="37"/>
      <x:c r="J2472" s="1" t="n">
        <x:f>IF(ISNUMBER(F2472),E2472,0)</x:f>
        <x:v>0</x:v>
      </x:c>
      <x:c r="K2472" s="1"/>
      <x:c r="L2472" s="1" t="str">
        <x:v>https://blog.skyairline.com/tacuarembo/</x:v>
      </x:c>
      <x:c r="M2472" s="1" t="n">
        <x:v>0</x:v>
      </x:c>
    </x:row>
    <x:row r="2473" ht="18.75" customHeight="1">
      <x:c r="A2473" s="1" t="str">
        <x:v>https://blog.skyairline.com/equipaje-de-cabina/</x:v>
      </x:c>
      <x:c r="B2473" s="1" t="str">
        <x:v>sky airlines equipaje de mano</x:v>
      </x:c>
      <x:c r="C2473" s="1" t="str">
        <x:v>dom</x:v>
      </x:c>
      <x:c r="D2473" s="1" t="str">
        <x:v>Marca</x:v>
      </x:c>
      <x:c r="E2473" s="35" t="n">
        <x:v>1</x:v>
      </x:c>
      <x:c r="F2473" s="36"/>
      <x:c r="G2473" s="36" t="str">
        <x:f>IF(ISNUMBER(F2473),E2473*F2473,"")</x:f>
      </x:c>
      <x:c r="H2473" s="37"/>
      <x:c r="I2473" s="37"/>
      <x:c r="J2473" s="1" t="n">
        <x:f>IF(ISNUMBER(F2473),E2473,0)</x:f>
        <x:v>0</x:v>
      </x:c>
      <x:c r="K2473" s="1"/>
      <x:c r="L2473" s="1" t="str">
        <x:v>https://blog.skyairline.com/tag/antofagasta/</x:v>
      </x:c>
      <x:c r="M2473" s="1" t="n">
        <x:v>0</x:v>
      </x:c>
    </x:row>
    <x:row r="2474" ht="18.75" customHeight="1">
      <x:c r="A2474" s="1" t="str">
        <x:v>https://blog.skyairline.com/equipaje-de-cabina/</x:v>
      </x:c>
      <x:c r="B2474" s="1" t="str">
        <x:v>sky airlines equipaje de mano</x:v>
      </x:c>
      <x:c r="C2474" s="1" t="str">
        <x:v>esp</x:v>
      </x:c>
      <x:c r="D2474" s="1" t="str">
        <x:v>Marca</x:v>
      </x:c>
      <x:c r="E2474" s="35" t="n">
        <x:v>1</x:v>
      </x:c>
      <x:c r="F2474" s="36"/>
      <x:c r="G2474" s="36" t="str">
        <x:f>IF(ISNUMBER(F2474),E2474*F2474,"")</x:f>
      </x:c>
      <x:c r="H2474" s="37"/>
      <x:c r="I2474" s="37"/>
      <x:c r="J2474" s="1" t="n">
        <x:f>IF(ISNUMBER(F2474),E2474,0)</x:f>
        <x:v>0</x:v>
      </x:c>
      <x:c r="K2474" s="1"/>
      <x:c r="L2474" s="1" t="str">
        <x:v>https://blog.skyairline.com/tag/arica/</x:v>
      </x:c>
      <x:c r="M2474" s="1" t="n">
        <x:v>0</x:v>
      </x:c>
    </x:row>
    <x:row r="2475" ht="18.75" customHeight="1">
      <x:c r="A2475" s="1" t="str">
        <x:v>https://blog.skyairline.com/equipaje-de-cabina/</x:v>
      </x:c>
      <x:c r="B2475" s="1" t="str">
        <x:v>sky airlines equipaje de mano</x:v>
      </x:c>
      <x:c r="C2475" s="1" t="str">
        <x:v>per</x:v>
      </x:c>
      <x:c r="D2475" s="1" t="str">
        <x:v>Marca</x:v>
      </x:c>
      <x:c r="E2475" s="35" t="n">
        <x:v>1</x:v>
      </x:c>
      <x:c r="F2475" s="36"/>
      <x:c r="G2475" s="36" t="str">
        <x:f>IF(ISNUMBER(F2475),E2475*F2475,"")</x:f>
      </x:c>
      <x:c r="H2475" s="37"/>
      <x:c r="I2475" s="37"/>
      <x:c r="J2475" s="1" t="n">
        <x:f>IF(ISNUMBER(F2475),E2475,0)</x:f>
        <x:v>0</x:v>
      </x:c>
      <x:c r="K2475" s="1"/>
      <x:c r="L2475" s="1" t="str">
        <x:v>https://blog.skyairline.com/tag/artigas/</x:v>
      </x:c>
      <x:c r="M2475" s="1" t="n">
        <x:v>0</x:v>
      </x:c>
    </x:row>
    <x:row r="2476" ht="18.75" customHeight="1">
      <x:c r="A2476" s="1" t="str">
        <x:v>https://blog.skyairline.com/equipaje-de-cabina/</x:v>
      </x:c>
      <x:c r="B2476" s="1" t="str">
        <x:v>sky airlines equipaje de mano</x:v>
      </x:c>
      <x:c r="C2476" s="1" t="str">
        <x:v>ury</x:v>
      </x:c>
      <x:c r="D2476" s="1" t="str">
        <x:v>Marca</x:v>
      </x:c>
      <x:c r="E2476" s="35" t="n">
        <x:v>1</x:v>
      </x:c>
      <x:c r="F2476" s="36"/>
      <x:c r="G2476" s="36" t="str">
        <x:f>IF(ISNUMBER(F2476),E2476*F2476,"")</x:f>
      </x:c>
      <x:c r="H2476" s="37"/>
      <x:c r="I2476" s="37"/>
      <x:c r="J2476" s="1" t="n">
        <x:f>IF(ISNUMBER(F2476),E2476,0)</x:f>
        <x:v>0</x:v>
      </x:c>
      <x:c r="K2476" s="1"/>
      <x:c r="L2476" s="1" t="str">
        <x:v>https://blog.skyairline.com/tag/bogota/</x:v>
      </x:c>
      <x:c r="M2476" s="1" t="n">
        <x:v>0</x:v>
      </x:c>
    </x:row>
    <x:row r="2477" ht="18.75" customHeight="1">
      <x:c r="A2477" s="1" t="str">
        <x:v>https://blog.skyairline.com/equipaje-de-cabina/</x:v>
      </x:c>
      <x:c r="B2477" s="1" t="str">
        <x:v>sky airlines equipaje permitido</x:v>
      </x:c>
      <x:c r="C2477" s="1" t="str">
        <x:v>chl</x:v>
      </x:c>
      <x:c r="D2477" s="1" t="str">
        <x:v>Marca</x:v>
      </x:c>
      <x:c r="E2477" s="35" t="n">
        <x:v>1</x:v>
      </x:c>
      <x:c r="F2477" s="36"/>
      <x:c r="G2477" s="36" t="str">
        <x:f>IF(ISNUMBER(F2477),E2477*F2477,"")</x:f>
      </x:c>
      <x:c r="H2477" s="37"/>
      <x:c r="I2477" s="37"/>
      <x:c r="J2477" s="1" t="n">
        <x:f>IF(ISNUMBER(F2477),E2477,0)</x:f>
        <x:v>0</x:v>
      </x:c>
      <x:c r="K2477" s="1"/>
      <x:c r="L2477" s="1" t="str">
        <x:v>https://blog.skyairline.com/tag/cabo-polinio/</x:v>
      </x:c>
      <x:c r="M2477" s="1" t="n">
        <x:v>0</x:v>
      </x:c>
    </x:row>
    <x:row r="2478" ht="18.75" customHeight="1">
      <x:c r="A2478" s="1" t="str">
        <x:v>https://blog.skyairline.com/equipaje-de-cabina/</x:v>
      </x:c>
      <x:c r="B2478" s="1" t="str">
        <x:v>sky airlines equipaje precio</x:v>
      </x:c>
      <x:c r="C2478" s="1" t="str">
        <x:v>arg</x:v>
      </x:c>
      <x:c r="D2478" s="1" t="str">
        <x:v>Marca</x:v>
      </x:c>
      <x:c r="E2478" s="35" t="n">
        <x:v>1</x:v>
      </x:c>
      <x:c r="F2478" s="36"/>
      <x:c r="G2478" s="36" t="str">
        <x:f>IF(ISNUMBER(F2478),E2478*F2478,"")</x:f>
      </x:c>
      <x:c r="H2478" s="37"/>
      <x:c r="I2478" s="37"/>
      <x:c r="J2478" s="1" t="n">
        <x:f>IF(ISNUMBER(F2478),E2478,0)</x:f>
        <x:v>0</x:v>
      </x:c>
      <x:c r="K2478" s="1"/>
      <x:c r="L2478" s="1" t="str">
        <x:v>https://blog.skyairline.com/tag/concepcion/</x:v>
      </x:c>
      <x:c r="M2478" s="1" t="n">
        <x:v>0</x:v>
      </x:c>
    </x:row>
    <x:row r="2479" ht="18.75" customHeight="1">
      <x:c r="A2479" s="1" t="str">
        <x:v>https://blog.skyairline.com/equipaje-de-cabina/</x:v>
      </x:c>
      <x:c r="B2479" s="1" t="str">
        <x:v>sky airlines equipaje precio</x:v>
      </x:c>
      <x:c r="C2479" s="1" t="str">
        <x:v>chl</x:v>
      </x:c>
      <x:c r="D2479" s="1" t="str">
        <x:v>Marca</x:v>
      </x:c>
      <x:c r="E2479" s="35" t="n">
        <x:v>1</x:v>
      </x:c>
      <x:c r="F2479" s="36" t="n">
        <x:v>1.18</x:v>
      </x:c>
      <x:c r="G2479" s="36" t="n">
        <x:f>IF(ISNUMBER(F2479),E2479*F2479,"")</x:f>
        <x:v>1.18</x:v>
      </x:c>
      <x:c r="H2479" s="37" t="d">
        <x:v>2026-10-15T00:00:00.000Z</x:v>
      </x:c>
      <x:c r="I2479" s="37" t="d">
        <x:v>2026-09-17T07:23:01.999Z</x:v>
      </x:c>
      <x:c r="J2479" s="1" t="n">
        <x:f>IF(ISNUMBER(F2479),E2479,0)</x:f>
        <x:v>1</x:v>
      </x:c>
      <x:c r="K2479" s="1"/>
      <x:c r="L2479" s="1" t="str">
        <x:v>https://blog.skyairline.com/tag/copiapo/</x:v>
      </x:c>
      <x:c r="M2479" s="1" t="n">
        <x:v>0</x:v>
      </x:c>
    </x:row>
    <x:row r="2480" ht="18.75" customHeight="1">
      <x:c r="A2480" s="1" t="str">
        <x:v>https://blog.skyairline.com/equipaje-de-cabina/</x:v>
      </x:c>
      <x:c r="B2480" s="1" t="str">
        <x:v>sky airlines equipaje precio</x:v>
      </x:c>
      <x:c r="C2480" s="1" t="str">
        <x:v>usa</x:v>
      </x:c>
      <x:c r="D2480" s="1" t="str">
        <x:v>Marca</x:v>
      </x:c>
      <x:c r="E2480" s="35" t="n">
        <x:v>1</x:v>
      </x:c>
      <x:c r="F2480" s="36"/>
      <x:c r="G2480" s="36" t="str">
        <x:f>IF(ISNUMBER(F2480),E2480*F2480,"")</x:f>
      </x:c>
      <x:c r="H2480" s="37"/>
      <x:c r="I2480" s="37"/>
      <x:c r="J2480" s="1" t="n">
        <x:f>IF(ISNUMBER(F2480),E2480,0)</x:f>
        <x:v>0</x:v>
      </x:c>
      <x:c r="K2480" s="1"/>
      <x:c r="L2480" s="1" t="str">
        <x:v>https://blog.skyairline.com/tag/cyber/</x:v>
      </x:c>
      <x:c r="M2480" s="1" t="n">
        <x:v>0</x:v>
      </x:c>
    </x:row>
    <x:row r="2481" ht="18.75" customHeight="1">
      <x:c r="A2481" s="1" t="str">
        <x:v>https://blog.skyairline.com/equipaje-de-cabina/</x:v>
      </x:c>
      <x:c r="B2481" s="1" t="str">
        <x:v>sky airlines medidas equipaje de mano</x:v>
      </x:c>
      <x:c r="C2481" s="1" t="str">
        <x:v>chl</x:v>
      </x:c>
      <x:c r="D2481" s="1" t="str">
        <x:v>Marca</x:v>
      </x:c>
      <x:c r="E2481" s="35" t="n">
        <x:v>1</x:v>
      </x:c>
      <x:c r="F2481" s="36"/>
      <x:c r="G2481" s="36" t="str">
        <x:f>IF(ISNUMBER(F2481),E2481*F2481,"")</x:f>
      </x:c>
      <x:c r="H2481" s="37"/>
      <x:c r="I2481" s="37"/>
      <x:c r="J2481" s="1" t="n">
        <x:f>IF(ISNUMBER(F2481),E2481,0)</x:f>
        <x:v>0</x:v>
      </x:c>
      <x:c r="K2481" s="1"/>
      <x:c r="L2481" s="1" t="str">
        <x:v>https://blog.skyairline.com/tag/destinos/</x:v>
      </x:c>
      <x:c r="M2481" s="1" t="n">
        <x:v>0</x:v>
      </x:c>
    </x:row>
    <x:row r="2482" ht="18.75" customHeight="1">
      <x:c r="A2482" s="1" t="str">
        <x:v>https://blog.skyairline.com/equipaje-de-cabina/</x:v>
      </x:c>
      <x:c r="B2482" s="1" t="str">
        <x:v>sky airlines que puedo llevar en equipaje de mano</x:v>
      </x:c>
      <x:c r="C2482" s="1" t="str">
        <x:v>esp</x:v>
      </x:c>
      <x:c r="D2482" s="1" t="str">
        <x:v>Marca</x:v>
      </x:c>
      <x:c r="E2482" s="35" t="n">
        <x:v>1</x:v>
      </x:c>
      <x:c r="F2482" s="36"/>
      <x:c r="G2482" s="36" t="str">
        <x:f>IF(ISNUMBER(F2482),E2482*F2482,"")</x:f>
      </x:c>
      <x:c r="H2482" s="37"/>
      <x:c r="I2482" s="37"/>
      <x:c r="J2482" s="1" t="n">
        <x:f>IF(ISNUMBER(F2482),E2482,0)</x:f>
        <x:v>0</x:v>
      </x:c>
      <x:c r="K2482" s="1"/>
      <x:c r="L2482" s="1" t="str">
        <x:v>https://blog.skyairline.com/tag/internacional/</x:v>
      </x:c>
      <x:c r="M2482" s="1" t="n">
        <x:v>0</x:v>
      </x:c>
    </x:row>
    <x:row r="2483" ht="18.75" customHeight="1">
      <x:c r="A2483" s="1" t="str">
        <x:v>https://blog.skyairline.com/equipaje-de-cabina/</x:v>
      </x:c>
      <x:c r="B2483" s="1" t="str">
        <x:v>sky airlines que puedo llevar en equipaje de mano</x:v>
      </x:c>
      <x:c r="C2483" s="1" t="str">
        <x:v>per</x:v>
      </x:c>
      <x:c r="D2483" s="1" t="str">
        <x:v>Marca</x:v>
      </x:c>
      <x:c r="E2483" s="35" t="n">
        <x:v>1</x:v>
      </x:c>
      <x:c r="F2483" s="36"/>
      <x:c r="G2483" s="36" t="str">
        <x:f>IF(ISNUMBER(F2483),E2483*F2483,"")</x:f>
      </x:c>
      <x:c r="H2483" s="37"/>
      <x:c r="I2483" s="37"/>
      <x:c r="J2483" s="1" t="n">
        <x:f>IF(ISNUMBER(F2483),E2483,0)</x:f>
        <x:v>0</x:v>
      </x:c>
      <x:c r="K2483" s="1"/>
      <x:c r="L2483" s="1" t="str">
        <x:v>https://blog.skyairline.com/tag/nueva-helvecia/</x:v>
      </x:c>
      <x:c r="M2483" s="1" t="n">
        <x:v>0</x:v>
      </x:c>
    </x:row>
    <x:row r="2484" ht="18.75" customHeight="1">
      <x:c r="A2484" s="1" t="str">
        <x:v>https://blog.skyairline.com/equipaje-de-cabina/</x:v>
      </x:c>
      <x:c r="B2484" s="1" t="str">
        <x:v>sky articulo personal</x:v>
      </x:c>
      <x:c r="C2484" s="1" t="str">
        <x:v>ury</x:v>
      </x:c>
      <x:c r="D2484" s="1" t="str">
        <x:v>Marca</x:v>
      </x:c>
      <x:c r="E2484" s="35" t="n">
        <x:v>1</x:v>
      </x:c>
      <x:c r="F2484" s="36"/>
      <x:c r="G2484" s="36" t="str">
        <x:f>IF(ISNUMBER(F2484),E2484*F2484,"")</x:f>
      </x:c>
      <x:c r="H2484" s="37"/>
      <x:c r="I2484" s="37"/>
      <x:c r="J2484" s="1" t="n">
        <x:f>IF(ISNUMBER(F2484),E2484,0)</x:f>
        <x:v>0</x:v>
      </x:c>
      <x:c r="K2484" s="1"/>
      <x:c r="L2484" s="1" t="str">
        <x:v>https://blog.skyairline.com/tag/osorno/</x:v>
      </x:c>
      <x:c r="M2484" s="1" t="n">
        <x:v>0</x:v>
      </x:c>
    </x:row>
    <x:row r="2485" ht="18.75" customHeight="1">
      <x:c r="A2485" s="1" t="str">
        <x:v>https://blog.skyairline.com/equipaje-de-cabina/</x:v>
      </x:c>
      <x:c r="B2485" s="1" t="str">
        <x:v>sky articulo personal medidas</x:v>
      </x:c>
      <x:c r="C2485" s="1" t="str">
        <x:v>ury</x:v>
      </x:c>
      <x:c r="D2485" s="1" t="str">
        <x:v>Marca</x:v>
      </x:c>
      <x:c r="E2485" s="35" t="n">
        <x:v>1</x:v>
      </x:c>
      <x:c r="F2485" s="36"/>
      <x:c r="G2485" s="36" t="str">
        <x:f>IF(ISNUMBER(F2485),E2485*F2485,"")</x:f>
      </x:c>
      <x:c r="H2485" s="37"/>
      <x:c r="I2485" s="37"/>
      <x:c r="J2485" s="1" t="n">
        <x:f>IF(ISNUMBER(F2485),E2485,0)</x:f>
        <x:v>0</x:v>
      </x:c>
      <x:c r="K2485" s="1"/>
      <x:c r="L2485" s="1" t="str">
        <x:v>https://blog.skyairline.com/tag/puerto-natales/</x:v>
      </x:c>
      <x:c r="M2485" s="1" t="n">
        <x:v>0</x:v>
      </x:c>
    </x:row>
    <x:row r="2486" ht="18.75" customHeight="1">
      <x:c r="A2486" s="1" t="str">
        <x:v>https://blog.skyairline.com/equipaje-de-cabina/</x:v>
      </x:c>
      <x:c r="B2486" s="1" t="str">
        <x:v>sky bolso de mano</x:v>
      </x:c>
      <x:c r="C2486" s="1" t="str">
        <x:v>bra</x:v>
      </x:c>
      <x:c r="D2486" s="1" t="str">
        <x:v>Marca</x:v>
      </x:c>
      <x:c r="E2486" s="35" t="n">
        <x:v>1</x:v>
      </x:c>
      <x:c r="F2486" s="36"/>
      <x:c r="G2486" s="36" t="str">
        <x:f>IF(ISNUMBER(F2486),E2486*F2486,"")</x:f>
      </x:c>
      <x:c r="H2486" s="37"/>
      <x:c r="I2486" s="37"/>
      <x:c r="J2486" s="1" t="n">
        <x:f>IF(ISNUMBER(F2486),E2486,0)</x:f>
        <x:v>0</x:v>
      </x:c>
      <x:c r="K2486" s="1"/>
      <x:c r="L2486" s="1" t="str">
        <x:v>https://blog.skyairline.com/tag/punta-arenas/</x:v>
      </x:c>
      <x:c r="M2486" s="1" t="n">
        <x:v>0</x:v>
      </x:c>
    </x:row>
    <x:row r="2487" ht="18.75" customHeight="1">
      <x:c r="A2487" s="1" t="str">
        <x:v>https://blog.skyairline.com/equipaje-de-cabina/</x:v>
      </x:c>
      <x:c r="B2487" s="1" t="str">
        <x:v>sky dimensiones equipaje de mano</x:v>
      </x:c>
      <x:c r="C2487" s="1" t="str">
        <x:v>per</x:v>
      </x:c>
      <x:c r="D2487" s="1" t="str">
        <x:v>Marca</x:v>
      </x:c>
      <x:c r="E2487" s="35" t="n">
        <x:v>1</x:v>
      </x:c>
      <x:c r="F2487" s="36"/>
      <x:c r="G2487" s="36" t="str">
        <x:f>IF(ISNUMBER(F2487),E2487*F2487,"")</x:f>
      </x:c>
      <x:c r="H2487" s="37"/>
      <x:c r="I2487" s="37"/>
      <x:c r="J2487" s="1" t="n">
        <x:f>IF(ISNUMBER(F2487),E2487,0)</x:f>
        <x:v>0</x:v>
      </x:c>
      <x:c r="K2487" s="1"/>
      <x:c r="L2487" s="1" t="str">
        <x:v>https://blog.skyairline.com/tag/temuco/</x:v>
      </x:c>
      <x:c r="M2487" s="1" t="n">
        <x:v>0</x:v>
      </x:c>
    </x:row>
    <x:row r="2488" ht="18.75" customHeight="1">
      <x:c r="A2488" s="1" t="str">
        <x:v>https://blog.skyairline.com/equipaje-de-cabina/</x:v>
      </x:c>
      <x:c r="B2488" s="1" t="str">
        <x:v>sky dimensiones equipaje de mano</x:v>
      </x:c>
      <x:c r="C2488" s="1" t="str">
        <x:v>usa</x:v>
      </x:c>
      <x:c r="D2488" s="1" t="str">
        <x:v>Marca</x:v>
      </x:c>
      <x:c r="E2488" s="35" t="n">
        <x:v>1</x:v>
      </x:c>
      <x:c r="F2488" s="36"/>
      <x:c r="G2488" s="36" t="str">
        <x:f>IF(ISNUMBER(F2488),E2488*F2488,"")</x:f>
      </x:c>
      <x:c r="H2488" s="37"/>
      <x:c r="I2488" s="37"/>
      <x:c r="J2488" s="1" t="n">
        <x:f>IF(ISNUMBER(F2488),E2488,0)</x:f>
        <x:v>0</x:v>
      </x:c>
      <x:c r="K2488" s="1"/>
      <x:c r="L2488" s="1" t="str">
        <x:v>https://blog.skyairline.com/tag/turismo-en-uruguay/</x:v>
      </x:c>
      <x:c r="M2488" s="1" t="n">
        <x:v>0</x:v>
      </x:c>
    </x:row>
    <x:row r="2489" ht="18.75" customHeight="1">
      <x:c r="A2489" s="1" t="str">
        <x:v>https://blog.skyairline.com/equipaje-de-cabina/</x:v>
      </x:c>
      <x:c r="B2489" s="1" t="str">
        <x:v>sky equipaje</x:v>
      </x:c>
      <x:c r="C2489" s="1" t="str">
        <x:v>chl</x:v>
      </x:c>
      <x:c r="D2489" s="1" t="str">
        <x:v>Marca</x:v>
      </x:c>
      <x:c r="E2489" s="35" t="n">
        <x:v>1</x:v>
      </x:c>
      <x:c r="F2489" s="36" t="n">
        <x:v>1.49</x:v>
      </x:c>
      <x:c r="G2489" s="36" t="n">
        <x:f>IF(ISNUMBER(F2489),E2489*F2489,"")</x:f>
        <x:v>1.49</x:v>
      </x:c>
      <x:c r="H2489" s="37" t="d">
        <x:v>2026-10-15T00:00:00.000Z</x:v>
      </x:c>
      <x:c r="I2489" s="37" t="d">
        <x:v>2026-09-14T05:55:45.000Z</x:v>
      </x:c>
      <x:c r="J2489" s="1" t="n">
        <x:f>IF(ISNUMBER(F2489),E2489,0)</x:f>
        <x:v>1</x:v>
      </x:c>
      <x:c r="K2489" s="1"/>
      <x:c r="L2489" s="1" t="str">
        <x:v>https://blog.skyairline.com/tag/vacaciones/</x:v>
      </x:c>
      <x:c r="M2489" s="1" t="n">
        <x:v>0</x:v>
      </x:c>
    </x:row>
    <x:row r="2490" ht="18.75" customHeight="1">
      <x:c r="A2490" s="1" t="str">
        <x:v>https://blog.skyairline.com/equipaje-de-cabina/</x:v>
      </x:c>
      <x:c r="B2490" s="1" t="str">
        <x:v>sky equipaje de cabina</x:v>
      </x:c>
      <x:c r="C2490" s="1" t="str">
        <x:v>arg</x:v>
      </x:c>
      <x:c r="D2490" s="1" t="str">
        <x:v>Marca</x:v>
      </x:c>
      <x:c r="E2490" s="35" t="n">
        <x:v>1</x:v>
      </x:c>
      <x:c r="F2490" s="36"/>
      <x:c r="G2490" s="36" t="str">
        <x:f>IF(ISNUMBER(F2490),E2490*F2490,"")</x:f>
      </x:c>
      <x:c r="H2490" s="37"/>
      <x:c r="I2490" s="37"/>
      <x:c r="J2490" s="1" t="n">
        <x:f>IF(ISNUMBER(F2490),E2490,0)</x:f>
        <x:v>0</x:v>
      </x:c>
      <x:c r="K2490" s="1"/>
      <x:c r="L2490" s="1" t="str">
        <x:v>https://blog.skyairline.com/tag/valdivia/</x:v>
      </x:c>
      <x:c r="M2490" s="1" t="n">
        <x:v>0</x:v>
      </x:c>
    </x:row>
    <x:row r="2491" ht="18.75" customHeight="1">
      <x:c r="A2491" s="1" t="str">
        <x:v>https://blog.skyairline.com/equipaje-de-cabina/</x:v>
      </x:c>
      <x:c r="B2491" s="1" t="str">
        <x:v>sky equipaje de cabina</x:v>
      </x:c>
      <x:c r="C2491" s="1" t="str">
        <x:v>ury</x:v>
      </x:c>
      <x:c r="D2491" s="1" t="str">
        <x:v>Marca</x:v>
      </x:c>
      <x:c r="E2491" s="35" t="n">
        <x:v>1</x:v>
      </x:c>
      <x:c r="F2491" s="36"/>
      <x:c r="G2491" s="36" t="str">
        <x:f>IF(ISNUMBER(F2491),E2491*F2491,"")</x:f>
      </x:c>
      <x:c r="H2491" s="37"/>
      <x:c r="I2491" s="37"/>
      <x:c r="J2491" s="1" t="n">
        <x:f>IF(ISNUMBER(F2491),E2491,0)</x:f>
        <x:v>0</x:v>
      </x:c>
      <x:c r="K2491" s="1"/>
      <x:c r="L2491" s="1" t="str">
        <x:v>https://blog.skyairline.com/tampa-que-hacer/</x:v>
      </x:c>
      <x:c r="M2491" s="1" t="n">
        <x:v>0</x:v>
      </x:c>
    </x:row>
    <x:row r="2492" ht="18.75" customHeight="1">
      <x:c r="A2492" s="1" t="str">
        <x:v>https://blog.skyairline.com/equipaje-de-cabina/</x:v>
      </x:c>
      <x:c r="B2492" s="1" t="str">
        <x:v>sky equipaje de mano</x:v>
      </x:c>
      <x:c r="C2492" s="1" t="str">
        <x:v>bra</x:v>
      </x:c>
      <x:c r="D2492" s="1" t="str">
        <x:v>Marca</x:v>
      </x:c>
      <x:c r="E2492" s="35" t="n">
        <x:v>1</x:v>
      </x:c>
      <x:c r="F2492" s="36"/>
      <x:c r="G2492" s="36" t="str">
        <x:f>IF(ISNUMBER(F2492),E2492*F2492,"")</x:f>
      </x:c>
      <x:c r="H2492" s="37"/>
      <x:c r="I2492" s="37"/>
      <x:c r="J2492" s="1" t="n">
        <x:f>IF(ISNUMBER(F2492),E2492,0)</x:f>
        <x:v>0</x:v>
      </x:c>
      <x:c r="K2492" s="1"/>
      <x:c r="L2492" s="1" t="str">
        <x:v>https://blog.skyairline.com/tango-porteno/</x:v>
      </x:c>
      <x:c r="M2492" s="1" t="n">
        <x:v>0</x:v>
      </x:c>
    </x:row>
    <x:row r="2493" ht="18.75" customHeight="1">
      <x:c r="A2493" s="1" t="str">
        <x:v>https://blog.skyairline.com/equipaje-de-cabina/</x:v>
      </x:c>
      <x:c r="B2493" s="1" t="str">
        <x:v>sky equipaje de mano</x:v>
      </x:c>
      <x:c r="C2493" s="1" t="str">
        <x:v>dom</x:v>
      </x:c>
      <x:c r="D2493" s="1" t="str">
        <x:v>Marca</x:v>
      </x:c>
      <x:c r="E2493" s="35" t="n">
        <x:v>1</x:v>
      </x:c>
      <x:c r="F2493" s="36"/>
      <x:c r="G2493" s="36" t="str">
        <x:f>IF(ISNUMBER(F2493),E2493*F2493,"")</x:f>
      </x:c>
      <x:c r="H2493" s="37"/>
      <x:c r="I2493" s="37"/>
      <x:c r="J2493" s="1" t="n">
        <x:f>IF(ISNUMBER(F2493),E2493,0)</x:f>
        <x:v>0</x:v>
      </x:c>
      <x:c r="K2493" s="1"/>
      <x:c r="L2493" s="1" t="str">
        <x:v>https://blog.skyairline.com/tango/</x:v>
      </x:c>
      <x:c r="M2493" s="1" t="n">
        <x:v>0</x:v>
      </x:c>
    </x:row>
    <x:row r="2494" ht="18.75" customHeight="1">
      <x:c r="A2494" s="1" t="str">
        <x:v>https://blog.skyairline.com/equipaje-de-cabina/</x:v>
      </x:c>
      <x:c r="B2494" s="1" t="str">
        <x:v>sky equipaje de mano</x:v>
      </x:c>
      <x:c r="C2494" s="1" t="str">
        <x:v>ecu</x:v>
      </x:c>
      <x:c r="D2494" s="1" t="str">
        <x:v>Marca</x:v>
      </x:c>
      <x:c r="E2494" s="35" t="n">
        <x:v>1</x:v>
      </x:c>
      <x:c r="F2494" s="36"/>
      <x:c r="G2494" s="36" t="str">
        <x:f>IF(ISNUMBER(F2494),E2494*F2494,"")</x:f>
      </x:c>
      <x:c r="H2494" s="37"/>
      <x:c r="I2494" s="37"/>
      <x:c r="J2494" s="1" t="n">
        <x:f>IF(ISNUMBER(F2494),E2494,0)</x:f>
        <x:v>0</x:v>
      </x:c>
      <x:c r="K2494" s="1"/>
      <x:c r="L2494" s="1" t="str">
        <x:v>https://blog.skyairline.com/tarapoto/</x:v>
      </x:c>
      <x:c r="M2494" s="1" t="n">
        <x:v>0</x:v>
      </x:c>
    </x:row>
    <x:row r="2495" ht="18.75" customHeight="1">
      <x:c r="A2495" s="1" t="str">
        <x:v>https://blog.skyairline.com/equipaje-de-cabina/</x:v>
      </x:c>
      <x:c r="B2495" s="1" t="str">
        <x:v>sky equipaje de mano</x:v>
      </x:c>
      <x:c r="C2495" s="1" t="str">
        <x:v>esp</x:v>
      </x:c>
      <x:c r="D2495" s="1" t="str">
        <x:v>Marca</x:v>
      </x:c>
      <x:c r="E2495" s="35" t="n">
        <x:v>1</x:v>
      </x:c>
      <x:c r="F2495" s="36"/>
      <x:c r="G2495" s="36" t="str">
        <x:f>IF(ISNUMBER(F2495),E2495*F2495,"")</x:f>
      </x:c>
      <x:c r="H2495" s="37"/>
      <x:c r="I2495" s="37"/>
      <x:c r="J2495" s="1" t="n">
        <x:f>IF(ISNUMBER(F2495),E2495,0)</x:f>
        <x:v>0</x:v>
      </x:c>
      <x:c r="K2495" s="1"/>
      <x:c r="L2495" s="1" t="str">
        <x:v>https://blog.skyairline.com/teatro-colon/</x:v>
      </x:c>
      <x:c r="M2495" s="1" t="n">
        <x:v>0</x:v>
      </x:c>
    </x:row>
    <x:row r="2496" ht="18.75" customHeight="1">
      <x:c r="A2496" s="1" t="str">
        <x:v>https://blog.skyairline.com/equipaje-de-cabina/</x:v>
      </x:c>
      <x:c r="B2496" s="1" t="str">
        <x:v>sky equipaje de mano</x:v>
      </x:c>
      <x:c r="C2496" s="1" t="str">
        <x:v>usa</x:v>
      </x:c>
      <x:c r="D2496" s="1" t="str">
        <x:v>Marca</x:v>
      </x:c>
      <x:c r="E2496" s="35" t="n">
        <x:v>1</x:v>
      </x:c>
      <x:c r="F2496" s="36"/>
      <x:c r="G2496" s="36" t="str">
        <x:f>IF(ISNUMBER(F2496),E2496*F2496,"")</x:f>
      </x:c>
      <x:c r="H2496" s="37"/>
      <x:c r="I2496" s="37"/>
      <x:c r="J2496" s="1" t="n">
        <x:f>IF(ISNUMBER(F2496),E2496,0)</x:f>
        <x:v>0</x:v>
      </x:c>
      <x:c r="K2496" s="1"/>
      <x:c r="L2496" s="1" t="str">
        <x:v>https://blog.skyairline.com/temperatura-lima/</x:v>
      </x:c>
      <x:c r="M2496" s="1" t="n">
        <x:v>0</x:v>
      </x:c>
    </x:row>
    <x:row r="2497" ht="18.75" customHeight="1">
      <x:c r="A2497" s="1" t="str">
        <x:v>https://blog.skyairline.com/equipaje-de-cabina/</x:v>
      </x:c>
      <x:c r="B2497" s="1" t="str">
        <x:v>sky equipaje de mano medidas</x:v>
      </x:c>
      <x:c r="C2497" s="1" t="str">
        <x:v>arg</x:v>
      </x:c>
      <x:c r="D2497" s="1" t="str">
        <x:v>Marca</x:v>
      </x:c>
      <x:c r="E2497" s="35" t="n">
        <x:v>1</x:v>
      </x:c>
      <x:c r="F2497" s="36"/>
      <x:c r="G2497" s="36" t="str">
        <x:f>IF(ISNUMBER(F2497),E2497*F2497,"")</x:f>
      </x:c>
      <x:c r="H2497" s="37"/>
      <x:c r="I2497" s="37"/>
      <x:c r="J2497" s="1" t="n">
        <x:f>IF(ISNUMBER(F2497),E2497,0)</x:f>
        <x:v>0</x:v>
      </x:c>
      <x:c r="K2497" s="1"/>
      <x:c r="L2497" s="1" t="str">
        <x:v>https://blog.skyairline.com/temporada-alta-para-viajar/</x:v>
      </x:c>
      <x:c r="M2497" s="1" t="n">
        <x:v>0</x:v>
      </x:c>
    </x:row>
    <x:row r="2498" ht="18.75" customHeight="1">
      <x:c r="A2498" s="1" t="str">
        <x:v>https://blog.skyairline.com/equipaje-de-cabina/</x:v>
      </x:c>
      <x:c r="B2498" s="1" t="str">
        <x:v>sky equipaje medidas</x:v>
      </x:c>
      <x:c r="C2498" s="1" t="str">
        <x:v>per</x:v>
      </x:c>
      <x:c r="D2498" s="1" t="str">
        <x:v>Marca</x:v>
      </x:c>
      <x:c r="E2498" s="35" t="n">
        <x:v>1</x:v>
      </x:c>
      <x:c r="F2498" s="36"/>
      <x:c r="G2498" s="36" t="str">
        <x:f>IF(ISNUMBER(F2498),E2498*F2498,"")</x:f>
      </x:c>
      <x:c r="H2498" s="37" t="d">
        <x:v>2026-10-15T00:00:00.000Z</x:v>
      </x:c>
      <x:c r="I2498" s="37" t="d">
        <x:v>2026-09-16T17:24:00.000Z</x:v>
      </x:c>
      <x:c r="J2498" s="1" t="n">
        <x:f>IF(ISNUMBER(F2498),E2498,0)</x:f>
        <x:v>0</x:v>
      </x:c>
      <x:c r="K2498" s="1"/>
      <x:c r="L2498" s="1" t="str">
        <x:v>https://blog.skyairline.com/temporada-alta/</x:v>
      </x:c>
      <x:c r="M2498" s="1" t="n">
        <x:v>0</x:v>
      </x:c>
    </x:row>
    <x:row r="2499" ht="18.75" customHeight="1">
      <x:c r="A2499" s="1" t="str">
        <x:v>https://blog.skyairline.com/equipaje-de-cabina/</x:v>
      </x:c>
      <x:c r="B2499" s="1" t="str">
        <x:v>sky maleta</x:v>
      </x:c>
      <x:c r="C2499" s="1" t="str">
        <x:v>chl</x:v>
      </x:c>
      <x:c r="D2499" s="1" t="str">
        <x:v>Marca</x:v>
      </x:c>
      <x:c r="E2499" s="35" t="n">
        <x:v>1</x:v>
      </x:c>
      <x:c r="F2499" s="36"/>
      <x:c r="G2499" s="36" t="str">
        <x:f>IF(ISNUMBER(F2499),E2499*F2499,"")</x:f>
      </x:c>
      <x:c r="H2499" s="37" t="d">
        <x:v>2026-10-15T00:00:00.000Z</x:v>
      </x:c>
      <x:c r="I2499" s="37" t="d">
        <x:v>2026-09-12T16:25:02.999Z</x:v>
      </x:c>
      <x:c r="J2499" s="1" t="n">
        <x:f>IF(ISNUMBER(F2499),E2499,0)</x:f>
        <x:v>0</x:v>
      </x:c>
      <x:c r="K2499" s="1"/>
      <x:c r="L2499" s="1" t="str">
        <x:v>https://blog.skyairline.com/temporada-de-huracanes-en-punta-cana</x:v>
      </x:c>
      <x:c r="M2499" s="1" t="n">
        <x:v>0</x:v>
      </x:c>
    </x:row>
    <x:row r="2500" ht="18.75" customHeight="1">
      <x:c r="A2500" s="1" t="str">
        <x:v>https://blog.skyairline.com/equipaje-de-cabina/</x:v>
      </x:c>
      <x:c r="B2500" s="1" t="str">
        <x:v>sky maleta de cabina</x:v>
      </x:c>
      <x:c r="C2500" s="1" t="str">
        <x:v>per</x:v>
      </x:c>
      <x:c r="D2500" s="1" t="str">
        <x:v>Marca</x:v>
      </x:c>
      <x:c r="E2500" s="35" t="n">
        <x:v>1</x:v>
      </x:c>
      <x:c r="F2500" s="36"/>
      <x:c r="G2500" s="36" t="str">
        <x:f>IF(ISNUMBER(F2500),E2500*F2500,"")</x:f>
      </x:c>
      <x:c r="H2500" s="37"/>
      <x:c r="I2500" s="37"/>
      <x:c r="J2500" s="1" t="n">
        <x:f>IF(ISNUMBER(F2500),E2500,0)</x:f>
        <x:v>0</x:v>
      </x:c>
      <x:c r="K2500" s="1"/>
      <x:c r="L2500" s="1" t="str">
        <x:v>https://blog.skyairline.com/temporada-de-huracanes-en-punta-cana-meses-y-precauciones</x:v>
      </x:c>
      <x:c r="M2500" s="1" t="n">
        <x:v>0</x:v>
      </x:c>
    </x:row>
    <x:row r="2501" ht="18.75" customHeight="1">
      <x:c r="A2501" s="1" t="str">
        <x:v>https://blog.skyairline.com/equipaje-de-cabina/</x:v>
      </x:c>
      <x:c r="B2501" s="1" t="str">
        <x:v>sky maleta de mano</x:v>
      </x:c>
      <x:c r="C2501" s="1" t="str">
        <x:v>che</x:v>
      </x:c>
      <x:c r="D2501" s="1" t="str">
        <x:v>Marca</x:v>
      </x:c>
      <x:c r="E2501" s="35" t="n">
        <x:v>1</x:v>
      </x:c>
      <x:c r="F2501" s="36"/>
      <x:c r="G2501" s="36" t="str">
        <x:f>IF(ISNUMBER(F2501),E2501*F2501,"")</x:f>
      </x:c>
      <x:c r="H2501" s="37"/>
      <x:c r="I2501" s="37"/>
      <x:c r="J2501" s="1" t="n">
        <x:f>IF(ISNUMBER(F2501),E2501,0)</x:f>
        <x:v>0</x:v>
      </x:c>
      <x:c r="K2501" s="1"/>
      <x:c r="L2501" s="1" t="str">
        <x:v>https://blog.skyairline.com/temporada-de-huracanes-punta-cana</x:v>
      </x:c>
      <x:c r="M2501" s="1" t="n">
        <x:v>0</x:v>
      </x:c>
    </x:row>
    <x:row r="2502" ht="18.75" customHeight="1">
      <x:c r="A2502" s="1" t="str">
        <x:v>https://blog.skyairline.com/equipaje-de-cabina/</x:v>
      </x:c>
      <x:c r="B2502" s="1" t="str">
        <x:v>sky maleta de mano</x:v>
      </x:c>
      <x:c r="C2502" s="1" t="str">
        <x:v>zaf</x:v>
      </x:c>
      <x:c r="D2502" s="1" t="str">
        <x:v>Marca</x:v>
      </x:c>
      <x:c r="E2502" s="35" t="n">
        <x:v>1</x:v>
      </x:c>
      <x:c r="F2502" s="36"/>
      <x:c r="G2502" s="36" t="str">
        <x:f>IF(ISNUMBER(F2502),E2502*F2502,"")</x:f>
      </x:c>
      <x:c r="H2502" s="37"/>
      <x:c r="I2502" s="37"/>
      <x:c r="J2502" s="1" t="n">
        <x:f>IF(ISNUMBER(F2502),E2502,0)</x:f>
        <x:v>0</x:v>
      </x:c>
      <x:c r="K2502" s="1"/>
      <x:c r="L2502" s="1" t="str">
        <x:v>https://blog.skyairline.com/temporada-de-huracanes-punta-cana-meses-y-precauciones</x:v>
      </x:c>
      <x:c r="M2502" s="1" t="n">
        <x:v>0</x:v>
      </x:c>
    </x:row>
    <x:row r="2503" ht="18.75" customHeight="1">
      <x:c r="A2503" s="1" t="str">
        <x:v>https://blog.skyairline.com/equipaje-de-cabina/</x:v>
      </x:c>
      <x:c r="B2503" s="1" t="str">
        <x:v>sky maleta de mano medidas</x:v>
      </x:c>
      <x:c r="C2503" s="1" t="str">
        <x:v>per</x:v>
      </x:c>
      <x:c r="D2503" s="1" t="str">
        <x:v>Marca</x:v>
      </x:c>
      <x:c r="E2503" s="35" t="n">
        <x:v>1</x:v>
      </x:c>
      <x:c r="F2503" s="36"/>
      <x:c r="G2503" s="36" t="str">
        <x:f>IF(ISNUMBER(F2503),E2503*F2503,"")</x:f>
      </x:c>
      <x:c r="H2503" s="37"/>
      <x:c r="I2503" s="37"/>
      <x:c r="J2503" s="1" t="n">
        <x:f>IF(ISNUMBER(F2503),E2503,0)</x:f>
        <x:v>0</x:v>
      </x:c>
      <x:c r="K2503" s="1"/>
      <x:c r="L2503" s="1" t="str">
        <x:v>https://blog.skyairline.com/temporada-de-huracanes-punta-cana-meses-y-precauciones/</x:v>
      </x:c>
      <x:c r="M2503" s="1" t="n">
        <x:v>0</x:v>
      </x:c>
    </x:row>
    <x:row r="2504" ht="18.75" customHeight="1">
      <x:c r="A2504" s="1" t="str">
        <x:v>https://blog.skyairline.com/equipaje-de-cabina/</x:v>
      </x:c>
      <x:c r="B2504" s="1" t="str">
        <x:v>sky medida bolso de mano</x:v>
      </x:c>
      <x:c r="C2504" s="1" t="str">
        <x:v>per</x:v>
      </x:c>
      <x:c r="D2504" s="1" t="str">
        <x:v>Marca</x:v>
      </x:c>
      <x:c r="E2504" s="35" t="n">
        <x:v>1</x:v>
      </x:c>
      <x:c r="F2504" s="36"/>
      <x:c r="G2504" s="36" t="str">
        <x:f>IF(ISNUMBER(F2504),E2504*F2504,"")</x:f>
      </x:c>
      <x:c r="H2504" s="37"/>
      <x:c r="I2504" s="37"/>
      <x:c r="J2504" s="1" t="n">
        <x:f>IF(ISNUMBER(F2504),E2504,0)</x:f>
        <x:v>0</x:v>
      </x:c>
      <x:c r="K2504" s="1"/>
      <x:c r="L2504" s="1" t="str">
        <x:v>https://blog.skyairline.com/teotihuacan/</x:v>
      </x:c>
      <x:c r="M2504" s="1" t="n">
        <x:v>0</x:v>
      </x:c>
    </x:row>
    <x:row r="2505" ht="18.75" customHeight="1">
      <x:c r="A2505" s="1" t="str">
        <x:v>https://blog.skyairline.com/equipaje-de-cabina/</x:v>
      </x:c>
      <x:c r="B2505" s="1" t="str">
        <x:v>sky medidas</x:v>
      </x:c>
      <x:c r="C2505" s="1" t="str">
        <x:v>per</x:v>
      </x:c>
      <x:c r="D2505" s="1" t="str">
        <x:v>Marca</x:v>
      </x:c>
      <x:c r="E2505" s="35" t="n">
        <x:v>1</x:v>
      </x:c>
      <x:c r="F2505" s="36"/>
      <x:c r="G2505" s="36" t="str">
        <x:f>IF(ISNUMBER(F2505),E2505*F2505,"")</x:f>
      </x:c>
      <x:c r="H2505" s="37"/>
      <x:c r="I2505" s="37"/>
      <x:c r="J2505" s="1" t="n">
        <x:f>IF(ISNUMBER(F2505),E2505,0)</x:f>
        <x:v>0</x:v>
      </x:c>
      <x:c r="K2505" s="1"/>
      <x:c r="L2505" s="1" t="str">
        <x:v>https://blog.skyairline.com/termas-de-ralun-aguas-termales-en-medio-de-la-naturaleza/</x:v>
      </x:c>
      <x:c r="M2505" s="1" t="n">
        <x:v>0</x:v>
      </x:c>
    </x:row>
    <x:row r="2506" ht="18.75" customHeight="1">
      <x:c r="A2506" s="1" t="str">
        <x:v>https://blog.skyairline.com/equipaje-de-cabina/</x:v>
      </x:c>
      <x:c r="B2506" s="1" t="str">
        <x:v>sky medidas</x:v>
      </x:c>
      <x:c r="C2506" s="1" t="str">
        <x:v>ury</x:v>
      </x:c>
      <x:c r="D2506" s="1" t="str">
        <x:v>Marca</x:v>
      </x:c>
      <x:c r="E2506" s="35" t="n">
        <x:v>1</x:v>
      </x:c>
      <x:c r="F2506" s="36"/>
      <x:c r="G2506" s="36" t="str">
        <x:f>IF(ISNUMBER(F2506),E2506*F2506,"")</x:f>
      </x:c>
      <x:c r="H2506" s="37"/>
      <x:c r="I2506" s="37"/>
      <x:c r="J2506" s="1" t="n">
        <x:f>IF(ISNUMBER(F2506),E2506,0)</x:f>
        <x:v>0</x:v>
      </x:c>
      <x:c r="K2506" s="1"/>
      <x:c r="L2506" s="1" t="str">
        <x:v>https://blog.skyairline.com/termas-de-ralun-aguas-termales-en-medio-de-la-natureleza/</x:v>
      </x:c>
      <x:c r="M2506" s="1" t="n">
        <x:v>0</x:v>
      </x:c>
    </x:row>
    <x:row r="2507" ht="18.75" customHeight="1">
      <x:c r="A2507" s="1" t="str">
        <x:v>https://blog.skyairline.com/equipaje-de-cabina/</x:v>
      </x:c>
      <x:c r="B2507" s="1" t="str">
        <x:v>sky medidas bolso de mano</x:v>
      </x:c>
      <x:c r="C2507" s="1" t="str">
        <x:v>arg</x:v>
      </x:c>
      <x:c r="D2507" s="1" t="str">
        <x:v>Marca</x:v>
      </x:c>
      <x:c r="E2507" s="35" t="n">
        <x:v>1</x:v>
      </x:c>
      <x:c r="F2507" s="36"/>
      <x:c r="G2507" s="36" t="str">
        <x:f>IF(ISNUMBER(F2507),E2507*F2507,"")</x:f>
      </x:c>
      <x:c r="H2507" s="37"/>
      <x:c r="I2507" s="37"/>
      <x:c r="J2507" s="1" t="n">
        <x:f>IF(ISNUMBER(F2507),E2507,0)</x:f>
        <x:v>0</x:v>
      </x:c>
      <x:c r="K2507" s="1"/>
      <x:c r="L2507" s="1" t="str">
        <x:v>https://blog.skyairline.com/termas-del-cajon-de-maipo/</x:v>
      </x:c>
      <x:c r="M2507" s="1" t="n">
        <x:v>0</x:v>
      </x:c>
    </x:row>
    <x:row r="2508" ht="18.75" customHeight="1">
      <x:c r="A2508" s="1" t="str">
        <x:v>https://blog.skyairline.com/equipaje-de-cabina/</x:v>
      </x:c>
      <x:c r="B2508" s="1" t="str">
        <x:v>sky medidas bolso de mano</x:v>
      </x:c>
      <x:c r="C2508" s="1" t="str">
        <x:v>ury</x:v>
      </x:c>
      <x:c r="D2508" s="1" t="str">
        <x:v>Marca</x:v>
      </x:c>
      <x:c r="E2508" s="35" t="n">
        <x:v>1</x:v>
      </x:c>
      <x:c r="F2508" s="36"/>
      <x:c r="G2508" s="36" t="str">
        <x:f>IF(ISNUMBER(F2508),E2508*F2508,"")</x:f>
      </x:c>
      <x:c r="H2508" s="37"/>
      <x:c r="I2508" s="37"/>
      <x:c r="J2508" s="1" t="n">
        <x:f>IF(ISNUMBER(F2508),E2508,0)</x:f>
        <x:v>0</x:v>
      </x:c>
      <x:c r="K2508" s="1"/>
      <x:c r="L2508" s="1" t="str">
        <x:v>https://blog.skyairline.com/termas-en-el-sur-de-chile</x:v>
      </x:c>
      <x:c r="M2508" s="1" t="n">
        <x:v>0</x:v>
      </x:c>
    </x:row>
    <x:row r="2509" ht="18.75" customHeight="1">
      <x:c r="A2509" s="1" t="str">
        <x:v>https://blog.skyairline.com/equipaje-de-cabina/</x:v>
      </x:c>
      <x:c r="B2509" s="1" t="str">
        <x:v>sky medidas de bolso de mano</x:v>
      </x:c>
      <x:c r="C2509" s="1" t="str">
        <x:v>chl</x:v>
      </x:c>
      <x:c r="D2509" s="1" t="str">
        <x:v>Marca</x:v>
      </x:c>
      <x:c r="E2509" s="35" t="n">
        <x:v>1</x:v>
      </x:c>
      <x:c r="F2509" s="36"/>
      <x:c r="G2509" s="36" t="str">
        <x:f>IF(ISNUMBER(F2509),E2509*F2509,"")</x:f>
      </x:c>
      <x:c r="H2509" s="37"/>
      <x:c r="I2509" s="37"/>
      <x:c r="J2509" s="1" t="n">
        <x:f>IF(ISNUMBER(F2509),E2509,0)</x:f>
        <x:v>0</x:v>
      </x:c>
      <x:c r="K2509" s="1"/>
      <x:c r="L2509" s="1" t="str">
        <x:v>https://blog.skyairline.com/termas-en-la-region-de-araucania/</x:v>
      </x:c>
      <x:c r="M2509" s="1" t="n">
        <x:v>0</x:v>
      </x:c>
    </x:row>
    <x:row r="2510" ht="18.75" customHeight="1">
      <x:c r="A2510" s="1" t="str">
        <x:v>https://blog.skyairline.com/equipaje-de-cabina/</x:v>
      </x:c>
      <x:c r="B2510" s="1" t="str">
        <x:v>sky medidas de equipaje</x:v>
      </x:c>
      <x:c r="C2510" s="1" t="str">
        <x:v>per</x:v>
      </x:c>
      <x:c r="D2510" s="1" t="str">
        <x:v>Marca</x:v>
      </x:c>
      <x:c r="E2510" s="35" t="n">
        <x:v>1</x:v>
      </x:c>
      <x:c r="F2510" s="36"/>
      <x:c r="G2510" s="36" t="str">
        <x:f>IF(ISNUMBER(F2510),E2510*F2510,"")</x:f>
      </x:c>
      <x:c r="H2510" s="37" t="d">
        <x:v>2026-10-15T00:00:00.000Z</x:v>
      </x:c>
      <x:c r="I2510" s="37" t="d">
        <x:v>2026-09-15T11:34:40.000Z</x:v>
      </x:c>
      <x:c r="J2510" s="1" t="n">
        <x:f>IF(ISNUMBER(F2510),E2510,0)</x:f>
        <x:v>0</x:v>
      </x:c>
      <x:c r="K2510" s="1"/>
      <x:c r="L2510" s="1" t="str">
        <x:v>https://blog.skyairline.com/termas-en-pucon/</x:v>
      </x:c>
      <x:c r="M2510" s="1" t="n">
        <x:v>0</x:v>
      </x:c>
    </x:row>
    <x:row r="2511" ht="18.75" customHeight="1">
      <x:c r="A2511" s="1" t="str">
        <x:v>https://blog.skyairline.com/equipaje-de-cabina/</x:v>
      </x:c>
      <x:c r="B2511" s="1" t="str">
        <x:v>sky medidas maleta de cabina</x:v>
      </x:c>
      <x:c r="C2511" s="1" t="str">
        <x:v>chl</x:v>
      </x:c>
      <x:c r="D2511" s="1" t="str">
        <x:v>Marca</x:v>
      </x:c>
      <x:c r="E2511" s="35" t="n">
        <x:v>1</x:v>
      </x:c>
      <x:c r="F2511" s="36"/>
      <x:c r="G2511" s="36" t="str">
        <x:f>IF(ISNUMBER(F2511),E2511*F2511,"")</x:f>
      </x:c>
      <x:c r="H2511" s="37"/>
      <x:c r="I2511" s="37"/>
      <x:c r="J2511" s="1" t="n">
        <x:f>IF(ISNUMBER(F2511),E2511,0)</x:f>
        <x:v>0</x:v>
      </x:c>
      <x:c r="K2511" s="1"/>
      <x:c r="L2511" s="1" t="str">
        <x:v>https://blog.skyairline.com/termas-en-puerto-montt-las-mejores-opciones-para-relax/</x:v>
      </x:c>
      <x:c r="M2511" s="1" t="n">
        <x:v>0</x:v>
      </x:c>
    </x:row>
    <x:row r="2512" ht="18.75" customHeight="1">
      <x:c r="A2512" s="1" t="str">
        <x:v>https://blog.skyairline.com/equipaje-de-cabina/</x:v>
      </x:c>
      <x:c r="B2512" s="1" t="str">
        <x:v>sky mochila</x:v>
      </x:c>
      <x:c r="C2512" s="1" t="str">
        <x:v>per</x:v>
      </x:c>
      <x:c r="D2512" s="1" t="str">
        <x:v>Marca</x:v>
      </x:c>
      <x:c r="E2512" s="35" t="n">
        <x:v>1</x:v>
      </x:c>
      <x:c r="F2512" s="36"/>
      <x:c r="G2512" s="36" t="str">
        <x:f>IF(ISNUMBER(F2512),E2512*F2512,"")</x:f>
      </x:c>
      <x:c r="H2512" s="37"/>
      <x:c r="I2512" s="37"/>
      <x:c r="J2512" s="1" t="n">
        <x:f>IF(ISNUMBER(F2512),E2512,0)</x:f>
        <x:v>0</x:v>
      </x:c>
      <x:c r="K2512" s="1"/>
      <x:c r="L2512" s="1" t="str">
        <x:v>https://blog.skyairline.com/terminal-santiago-de-chile/</x:v>
      </x:c>
      <x:c r="M2512" s="1" t="n">
        <x:v>0</x:v>
      </x:c>
    </x:row>
    <x:row r="2513" ht="18.75" customHeight="1">
      <x:c r="A2513" s="1" t="str">
        <x:v>https://blog.skyairline.com/equipaje-de-cabina/</x:v>
      </x:c>
      <x:c r="B2513" s="1" t="str">
        <x:v>sky mochila de mano</x:v>
      </x:c>
      <x:c r="C2513" s="1" t="str">
        <x:v>esp</x:v>
      </x:c>
      <x:c r="D2513" s="1" t="str">
        <x:v>Marca</x:v>
      </x:c>
      <x:c r="E2513" s="35" t="n">
        <x:v>1</x:v>
      </x:c>
      <x:c r="F2513" s="36"/>
      <x:c r="G2513" s="36" t="str">
        <x:f>IF(ISNUMBER(F2513),E2513*F2513,"")</x:f>
      </x:c>
      <x:c r="H2513" s="37"/>
      <x:c r="I2513" s="37"/>
      <x:c r="J2513" s="1" t="n">
        <x:f>IF(ISNUMBER(F2513),E2513,0)</x:f>
        <x:v>0</x:v>
      </x:c>
      <x:c r="K2513" s="1"/>
      <x:c r="L2513" s="1" t="str">
        <x:v>https://blog.skyairline.com/terminal-sur-de-Santiago/</x:v>
      </x:c>
      <x:c r="M2513" s="1" t="n">
        <x:v>0</x:v>
      </x:c>
    </x:row>
    <x:row r="2514" ht="18.75" customHeight="1">
      <x:c r="A2514" s="1" t="str">
        <x:v>https://blog.skyairline.com/equipaje-de-cabina/</x:v>
      </x:c>
      <x:c r="B2514" s="1" t="str">
        <x:v>sky mochila de mano</x:v>
      </x:c>
      <x:c r="C2514" s="1" t="str">
        <x:v>ury</x:v>
      </x:c>
      <x:c r="D2514" s="1" t="str">
        <x:v>Marca</x:v>
      </x:c>
      <x:c r="E2514" s="35" t="n">
        <x:v>1</x:v>
      </x:c>
      <x:c r="F2514" s="36"/>
      <x:c r="G2514" s="36" t="str">
        <x:f>IF(ISNUMBER(F2514),E2514*F2514,"")</x:f>
      </x:c>
      <x:c r="H2514" s="37"/>
      <x:c r="I2514" s="37"/>
      <x:c r="J2514" s="1" t="n">
        <x:f>IF(ISNUMBER(F2514),E2514,0)</x:f>
        <x:v>0</x:v>
      </x:c>
      <x:c r="K2514" s="1"/>
      <x:c r="L2514" s="1" t="str">
        <x:v>https://blog.skyairline.com/tesoro-escondido-orillas-del-lago-ranco</x:v>
      </x:c>
      <x:c r="M2514" s="1" t="n">
        <x:v>0</x:v>
      </x:c>
    </x:row>
    <x:row r="2515" ht="18.75" customHeight="1">
      <x:c r="A2515" s="1" t="str">
        <x:v>https://blog.skyairline.com/equipaje-de-cabina/</x:v>
      </x:c>
      <x:c r="B2515" s="1" t="str">
        <x:v>sky mochila de mano medidas</x:v>
      </x:c>
      <x:c r="C2515" s="1" t="str">
        <x:v>per</x:v>
      </x:c>
      <x:c r="D2515" s="1" t="str">
        <x:v>Marca</x:v>
      </x:c>
      <x:c r="E2515" s="35" t="n">
        <x:v>1</x:v>
      </x:c>
      <x:c r="F2515" s="36"/>
      <x:c r="G2515" s="36" t="str">
        <x:f>IF(ISNUMBER(F2515),E2515*F2515,"")</x:f>
      </x:c>
      <x:c r="H2515" s="37"/>
      <x:c r="I2515" s="37"/>
      <x:c r="J2515" s="1" t="n">
        <x:f>IF(ISNUMBER(F2515),E2515,0)</x:f>
        <x:v>0</x:v>
      </x:c>
      <x:c r="K2515" s="1"/>
      <x:c r="L2515" s="1" t="str">
        <x:v>https://blog.skyairline.com/tesoro-escondido-orillas-do-lago-ranco</x:v>
      </x:c>
      <x:c r="M2515" s="1" t="n">
        <x:v>0</x:v>
      </x:c>
    </x:row>
    <x:row r="2516" ht="18.75" customHeight="1">
      <x:c r="A2516" s="1" t="str">
        <x:v>https://blog.skyairline.com/equipaje-de-cabina/</x:v>
      </x:c>
      <x:c r="B2516" s="1" t="str">
        <x:v>sky objetos prohibidos</x:v>
      </x:c>
      <x:c r="C2516" s="1" t="str">
        <x:v>per</x:v>
      </x:c>
      <x:c r="D2516" s="1" t="str">
        <x:v>Marca</x:v>
      </x:c>
      <x:c r="E2516" s="35" t="n">
        <x:v>1</x:v>
      </x:c>
      <x:c r="F2516" s="36"/>
      <x:c r="G2516" s="36" t="str">
        <x:f>IF(ISNUMBER(F2516),E2516*F2516,"")</x:f>
      </x:c>
      <x:c r="H2516" s="37"/>
      <x:c r="I2516" s="37"/>
      <x:c r="J2516" s="1" t="n">
        <x:f>IF(ISNUMBER(F2516),E2516,0)</x:f>
        <x:v>0</x:v>
      </x:c>
      <x:c r="K2516" s="1"/>
      <x:c r="L2516" s="1" t="str">
        <x:v>https://blog.skyairline.com/test-pcr-antes-de-viajar/</x:v>
      </x:c>
      <x:c r="M2516" s="1" t="n">
        <x:v>0</x:v>
      </x:c>
    </x:row>
    <x:row r="2517" ht="18.75" customHeight="1">
      <x:c r="A2517" s="1" t="str">
        <x:v>https://blog.skyairline.com/equipaje-de-cabina/</x:v>
      </x:c>
      <x:c r="B2517" s="1" t="str">
        <x:v>sky personal item size</x:v>
      </x:c>
      <x:c r="C2517" s="1" t="str">
        <x:v>chl</x:v>
      </x:c>
      <x:c r="D2517" s="1" t="str">
        <x:v>Marca</x:v>
      </x:c>
      <x:c r="E2517" s="35" t="n">
        <x:v>1</x:v>
      </x:c>
      <x:c r="F2517" s="36"/>
      <x:c r="G2517" s="36" t="str">
        <x:f>IF(ISNUMBER(F2517),E2517*F2517,"")</x:f>
      </x:c>
      <x:c r="H2517" s="37"/>
      <x:c r="I2517" s="37"/>
      <x:c r="J2517" s="1" t="n">
        <x:f>IF(ISNUMBER(F2517),E2517,0)</x:f>
        <x:v>0</x:v>
      </x:c>
      <x:c r="K2517" s="1"/>
      <x:c r="L2517" s="1" t="str">
        <x:v>https://blog.skyairline.com/tiempo-chile-a-brasil/</x:v>
      </x:c>
      <x:c r="M2517" s="1" t="n">
        <x:v>0</x:v>
      </x:c>
    </x:row>
    <x:row r="2518" ht="18.75" customHeight="1">
      <x:c r="A2518" s="1" t="str">
        <x:v>https://blog.skyairline.com/equipaje-de-cabina/</x:v>
      </x:c>
      <x:c r="B2518" s="1" t="str">
        <x:v>sky personal item size</x:v>
      </x:c>
      <x:c r="C2518" s="1" t="str">
        <x:v>per</x:v>
      </x:c>
      <x:c r="D2518" s="1" t="str">
        <x:v>Marca</x:v>
      </x:c>
      <x:c r="E2518" s="35" t="n">
        <x:v>1</x:v>
      </x:c>
      <x:c r="F2518" s="36"/>
      <x:c r="G2518" s="36" t="str">
        <x:f>IF(ISNUMBER(F2518),E2518*F2518,"")</x:f>
      </x:c>
      <x:c r="H2518" s="37"/>
      <x:c r="I2518" s="37"/>
      <x:c r="J2518" s="1" t="n">
        <x:f>IF(ISNUMBER(F2518),E2518,0)</x:f>
        <x:v>0</x:v>
      </x:c>
      <x:c r="K2518" s="1"/>
      <x:c r="L2518" s="1" t="str">
        <x:v>https://blog.skyairline.com/tiempo-chile-brasil/</x:v>
      </x:c>
      <x:c r="M2518" s="1" t="n">
        <x:v>0</x:v>
      </x:c>
    </x:row>
    <x:row r="2519" ht="18.75" customHeight="1">
      <x:c r="A2519" s="1" t="str">
        <x:v>https://blog.skyairline.com/equipaje-de-cabina/</x:v>
      </x:c>
      <x:c r="B2519" s="1" t="str">
        <x:v>sky peru medidas de equipaje</x:v>
      </x:c>
      <x:c r="C2519" s="1" t="str">
        <x:v>per</x:v>
      </x:c>
      <x:c r="D2519" s="1" t="str">
        <x:v>Marca</x:v>
      </x:c>
      <x:c r="E2519" s="35" t="n">
        <x:v>1</x:v>
      </x:c>
      <x:c r="F2519" s="36"/>
      <x:c r="G2519" s="36" t="str">
        <x:f>IF(ISNUMBER(F2519),E2519*F2519,"")</x:f>
      </x:c>
      <x:c r="H2519" s="37"/>
      <x:c r="I2519" s="37"/>
      <x:c r="J2519" s="1" t="n">
        <x:f>IF(ISNUMBER(F2519),E2519,0)</x:f>
        <x:v>0</x:v>
      </x:c>
      <x:c r="K2519" s="1"/>
      <x:c r="L2519" s="1" t="str">
        <x:v>https://blog.skyairline.com/tiempo-de-chile-asociado/</x:v>
      </x:c>
      <x:c r="M2519" s="1" t="n">
        <x:v>0</x:v>
      </x:c>
    </x:row>
    <x:row r="2520" ht="18.75" customHeight="1">
      <x:c r="A2520" s="1" t="str">
        <x:v>https://blog.skyairline.com/equipaje-de-cabina/</x:v>
      </x:c>
      <x:c r="B2520" s="1" t="str">
        <x:v>sky restricciones equipaje</x:v>
      </x:c>
      <x:c r="C2520" s="1" t="str">
        <x:v>chl</x:v>
      </x:c>
      <x:c r="D2520" s="1" t="str">
        <x:v>Marca</x:v>
      </x:c>
      <x:c r="E2520" s="35" t="n">
        <x:v>1</x:v>
      </x:c>
      <x:c r="F2520" s="36"/>
      <x:c r="G2520" s="36" t="str">
        <x:f>IF(ISNUMBER(F2520),E2520*F2520,"")</x:f>
      </x:c>
      <x:c r="H2520" s="37"/>
      <x:c r="I2520" s="37"/>
      <x:c r="J2520" s="1" t="n">
        <x:f>IF(ISNUMBER(F2520),E2520,0)</x:f>
        <x:v>0</x:v>
      </x:c>
      <x:c r="K2520" s="1"/>
      <x:c r="L2520" s="1" t="str">
        <x:v>https://blog.skyairline.com/tiempo-de-chile-aviones-brasil</x:v>
      </x:c>
      <x:c r="M2520" s="1" t="n">
        <x:v>0</x:v>
      </x:c>
    </x:row>
    <x:row r="2521" ht="18.75" customHeight="1">
      <x:c r="A2521" s="1" t="str">
        <x:v>https://blog.skyairline.com/equipaje-de-cabina/</x:v>
      </x:c>
      <x:c r="B2521" s="1" t="str">
        <x:v>sky tamaño equipaje</x:v>
      </x:c>
      <x:c r="C2521" s="1" t="str">
        <x:v>per</x:v>
      </x:c>
      <x:c r="D2521" s="1" t="str">
        <x:v>Marca</x:v>
      </x:c>
      <x:c r="E2521" s="35" t="n">
        <x:v>1</x:v>
      </x:c>
      <x:c r="F2521" s="36"/>
      <x:c r="G2521" s="36" t="str">
        <x:f>IF(ISNUMBER(F2521),E2521*F2521,"")</x:f>
      </x:c>
      <x:c r="H2521" s="37"/>
      <x:c r="I2521" s="37"/>
      <x:c r="J2521" s="1" t="n">
        <x:f>IF(ISNUMBER(F2521),E2521,0)</x:f>
        <x:v>0</x:v>
      </x:c>
      <x:c r="K2521" s="1"/>
      <x:c r="L2521" s="1" t="str">
        <x:v>https://blog.skyairline.com/tiempo-de-chile-brasil/</x:v>
      </x:c>
      <x:c r="M2521" s="1" t="n">
        <x:v>0</x:v>
      </x:c>
    </x:row>
    <x:row r="2522" ht="18.75" customHeight="1">
      <x:c r="A2522" s="1" t="str">
        <x:v>https://blog.skyairline.com/equipaje-de-cabina/</x:v>
      </x:c>
      <x:c r="B2522" s="1" t="str">
        <x:v>sobre el equipaje</x:v>
      </x:c>
      <x:c r="C2522" s="1" t="str">
        <x:v>per</x:v>
      </x:c>
      <x:c r="D2522" s="1" t="str">
        <x:v>Sin marca</x:v>
      </x:c>
      <x:c r="E2522" s="35" t="n">
        <x:v>1</x:v>
      </x:c>
      <x:c r="F2522" s="36"/>
      <x:c r="G2522" s="36" t="str">
        <x:f>IF(ISNUMBER(F2522),E2522*F2522,"")</x:f>
      </x:c>
      <x:c r="H2522" s="37"/>
      <x:c r="I2522" s="37"/>
      <x:c r="J2522" s="1" t="n">
        <x:f>IF(ISNUMBER(F2522),E2522,0)</x:f>
        <x:v>0</x:v>
      </x:c>
      <x:c r="K2522" s="1"/>
      <x:c r="L2522" s="1" t="str">
        <x:v>https://blog.skyairline.com/tiempo-de-chile-chile-a-brasil/</x:v>
      </x:c>
      <x:c r="M2522" s="1" t="n">
        <x:v>0</x:v>
      </x:c>
    </x:row>
    <x:row r="2523" ht="18.75" customHeight="1">
      <x:c r="A2523" s="1" t="str">
        <x:v>https://blog.skyairline.com/equipaje-de-cabina/</x:v>
      </x:c>
      <x:c r="B2523" s="1" t="str">
        <x:v>tamaño equipaje de mano sky</x:v>
      </x:c>
      <x:c r="C2523" s="1" t="str">
        <x:v>per</x:v>
      </x:c>
      <x:c r="D2523" s="1" t="str">
        <x:v>Marca</x:v>
      </x:c>
      <x:c r="E2523" s="35" t="n">
        <x:v>1</x:v>
      </x:c>
      <x:c r="F2523" s="36"/>
      <x:c r="G2523" s="36" t="str">
        <x:f>IF(ISNUMBER(F2523),E2523*F2523,"")</x:f>
      </x:c>
      <x:c r="H2523" s="37"/>
      <x:c r="I2523" s="37"/>
      <x:c r="J2523" s="1" t="n">
        <x:f>IF(ISNUMBER(F2523),E2523,0)</x:f>
        <x:v>0</x:v>
      </x:c>
      <x:c r="K2523" s="1"/>
      <x:c r="L2523" s="1" t="str">
        <x:v>https://blog.skyairline.com/tiempo-de-chile-chile-brasil/</x:v>
      </x:c>
      <x:c r="M2523" s="1" t="n">
        <x:v>0</x:v>
      </x:c>
    </x:row>
    <x:row r="2524" ht="18.75" customHeight="1">
      <x:c r="A2524" s="1" t="str">
        <x:v>https://blog.skyairline.com/equipaje-de-cabina/</x:v>
      </x:c>
      <x:c r="B2524" s="1" t="str">
        <x:v>tamaño maleta sky</x:v>
      </x:c>
      <x:c r="C2524" s="1" t="str">
        <x:v>per</x:v>
      </x:c>
      <x:c r="D2524" s="1" t="str">
        <x:v>Marca</x:v>
      </x:c>
      <x:c r="E2524" s="35" t="n">
        <x:v>1</x:v>
      </x:c>
      <x:c r="F2524" s="36"/>
      <x:c r="G2524" s="36" t="str">
        <x:f>IF(ISNUMBER(F2524),E2524*F2524,"")</x:f>
      </x:c>
      <x:c r="H2524" s="37"/>
      <x:c r="I2524" s="37"/>
      <x:c r="J2524" s="1" t="n">
        <x:f>IF(ISNUMBER(F2524),E2524,0)</x:f>
        <x:v>0</x:v>
      </x:c>
      <x:c r="K2524" s="1"/>
      <x:c r="L2524" s="1" t="str">
        <x:v>https://blog.skyairline.com/tiempo-de-chile-duracion-de-vuelo/</x:v>
      </x:c>
      <x:c r="M2524" s="1" t="n">
        <x:v>0</x:v>
      </x:c>
    </x:row>
    <x:row r="2525" ht="18.75" customHeight="1">
      <x:c r="A2525" s="1" t="str">
        <x:v>https://blog.skyairline.com/equipaje-de-cabina/</x:v>
      </x:c>
      <x:c r="B2525" s="1" t="str">
        <x:v>tamaño mochila sky</x:v>
      </x:c>
      <x:c r="C2525" s="1" t="str">
        <x:v>chl</x:v>
      </x:c>
      <x:c r="D2525" s="1" t="str">
        <x:v>Marca</x:v>
      </x:c>
      <x:c r="E2525" s="35" t="n">
        <x:v>1</x:v>
      </x:c>
      <x:c r="F2525" s="36"/>
      <x:c r="G2525" s="36" t="str">
        <x:f>IF(ISNUMBER(F2525),E2525*F2525,"")</x:f>
      </x:c>
      <x:c r="H2525" s="37" t="d">
        <x:v>2026-10-15T00:00:00.000Z</x:v>
      </x:c>
      <x:c r="I2525" s="37" t="d">
        <x:v>2026-09-12T18:34:58.999Z</x:v>
      </x:c>
      <x:c r="J2525" s="1" t="n">
        <x:f>IF(ISNUMBER(F2525),E2525,0)</x:f>
        <x:v>0</x:v>
      </x:c>
      <x:c r="K2525" s="1"/>
      <x:c r="L2525" s="1" t="str">
        <x:v>https://blog.skyairline.com/tiempo-de-chile-o-brasil/</x:v>
      </x:c>
      <x:c r="M2525" s="1" t="n">
        <x:v>0</x:v>
      </x:c>
    </x:row>
    <x:row r="2526" ht="18.75" customHeight="1">
      <x:c r="A2526" s="1" t="str">
        <x:v>https://blog.skyairline.com/equipaje-de-cabina/</x:v>
      </x:c>
      <x:c r="B2526" s="1" t="str">
        <x:v>tarifa light</x:v>
      </x:c>
      <x:c r="C2526" s="1" t="str">
        <x:v>usa</x:v>
      </x:c>
      <x:c r="D2526" s="1" t="str">
        <x:v>Sin marca</x:v>
      </x:c>
      <x:c r="E2526" s="35" t="n">
        <x:v>1</x:v>
      </x:c>
      <x:c r="F2526" s="36"/>
      <x:c r="G2526" s="36" t="str">
        <x:f>IF(ISNUMBER(F2526),E2526*F2526,"")</x:f>
      </x:c>
      <x:c r="H2526" s="37"/>
      <x:c r="I2526" s="37"/>
      <x:c r="J2526" s="1" t="n">
        <x:f>IF(ISNUMBER(F2526),E2526,0)</x:f>
        <x:v>0</x:v>
      </x:c>
      <x:c r="K2526" s="1"/>
      <x:c r="L2526" s="1" t="str">
        <x:v>https://blog.skyairline.com/tiempo-de-chile-vuelo/</x:v>
      </x:c>
      <x:c r="M2526" s="1" t="n">
        <x:v>0</x:v>
      </x:c>
    </x:row>
    <x:row r="2527" ht="18.75" customHeight="1">
      <x:c r="A2527" s="1" t="str">
        <x:v>https://blog.skyairline.com/equipaje-de-cabina/</x:v>
      </x:c>
      <x:c r="B2527" s="1" t="str">
        <x:v>un bolso de mano sky</x:v>
      </x:c>
      <x:c r="C2527" s="1" t="str">
        <x:v>chl</x:v>
      </x:c>
      <x:c r="D2527" s="1" t="str">
        <x:v>Marca</x:v>
      </x:c>
      <x:c r="E2527" s="35" t="n">
        <x:v>1</x:v>
      </x:c>
      <x:c r="F2527" s="36"/>
      <x:c r="G2527" s="36" t="str">
        <x:f>IF(ISNUMBER(F2527),E2527*F2527,"")</x:f>
      </x:c>
      <x:c r="H2527" s="37"/>
      <x:c r="I2527" s="37"/>
      <x:c r="J2527" s="1" t="n">
        <x:f>IF(ISNUMBER(F2527),E2527,0)</x:f>
        <x:v>0</x:v>
      </x:c>
      <x:c r="K2527" s="1"/>
      <x:c r="L2527" s="1" t="str">
        <x:v>https://blog.skyairline.com/tiempo-de-chile-vuelos-brasil/</x:v>
      </x:c>
      <x:c r="M2527" s="1" t="n">
        <x:v>0</x:v>
      </x:c>
    </x:row>
    <x:row r="2528" ht="18.75" customHeight="1">
      <x:c r="A2528" s="1" t="str">
        <x:v>https://blog.skyairline.com/equipaje-de-cabina/</x:v>
      </x:c>
      <x:c r="B2528" s="1" t="str">
        <x:v>viajo en sky</x:v>
      </x:c>
      <x:c r="C2528" s="1" t="str">
        <x:v>per</x:v>
      </x:c>
      <x:c r="D2528" s="1" t="str">
        <x:v>Marca</x:v>
      </x:c>
      <x:c r="E2528" s="35" t="n">
        <x:v>1</x:v>
      </x:c>
      <x:c r="F2528" s="36"/>
      <x:c r="G2528" s="36" t="str">
        <x:f>IF(ISNUMBER(F2528),E2528*F2528,"")</x:f>
      </x:c>
      <x:c r="H2528" s="37"/>
      <x:c r="I2528" s="37"/>
      <x:c r="J2528" s="1" t="n">
        <x:f>IF(ISNUMBER(F2528),E2528,0)</x:f>
        <x:v>0</x:v>
      </x:c>
      <x:c r="K2528" s="1"/>
      <x:c r="L2528" s="1" t="str">
        <x:v>https://blog.skyairline.com/tiempo-de-chile-x-brasil/</x:v>
      </x:c>
      <x:c r="M2528" s="1" t="n">
        <x:v>0</x:v>
      </x:c>
    </x:row>
    <x:row r="2529" ht="18.75" customHeight="1">
      <x:c r="A2529" s="1" t="str">
        <x:v>https://blog.skyairline.com/equipaje-de-mano-permitido/</x:v>
      </x:c>
      <x:c r="B2529" s="1" t="str">
        <x:v>articulos prohibidos en equipaje de mano</x:v>
      </x:c>
      <x:c r="C2529" s="1" t="str">
        <x:v>chl</x:v>
      </x:c>
      <x:c r="D2529" s="1" t="str">
        <x:v>Sin marca</x:v>
      </x:c>
      <x:c r="E2529" s="35" t="n">
        <x:v>1</x:v>
      </x:c>
      <x:c r="F2529" s="36" t="n">
        <x:v>0.44</x:v>
      </x:c>
      <x:c r="G2529" s="36" t="n">
        <x:f>IF(ISNUMBER(F2529),E2529*F2529,"")</x:f>
        <x:v>0.44</x:v>
      </x:c>
      <x:c r="H2529" s="37" t="d">
        <x:v>2026-10-15T00:00:00.000Z</x:v>
      </x:c>
      <x:c r="I2529" s="37" t="d">
        <x:v>2026-09-16T14:25:59.000Z</x:v>
      </x:c>
      <x:c r="J2529" s="1" t="n">
        <x:f>IF(ISNUMBER(F2529),E2529,0)</x:f>
        <x:v>1</x:v>
      </x:c>
      <x:c r="K2529" s="1"/>
      <x:c r="L2529" s="1" t="str">
        <x:v>https://blog.skyairline.com/tipo-de-equipaje-y-cuales-puedes-llevar-en-tu-viaje/</x:v>
      </x:c>
      <x:c r="M2529" s="1" t="n">
        <x:v>0</x:v>
      </x:c>
    </x:row>
    <x:row r="2530" ht="18.75" customHeight="1">
      <x:c r="A2530" s="1" t="str">
        <x:v>https://blog.skyairline.com/equipaje-de-mano-permitido/</x:v>
      </x:c>
      <x:c r="B2530" s="1" t="str">
        <x:v>elementos prohibidos en avion</x:v>
      </x:c>
      <x:c r="C2530" s="1" t="str">
        <x:v>per</x:v>
      </x:c>
      <x:c r="D2530" s="1" t="str">
        <x:v>Sin marca</x:v>
      </x:c>
      <x:c r="E2530" s="35" t="n">
        <x:v>1</x:v>
      </x:c>
      <x:c r="F2530" s="36"/>
      <x:c r="G2530" s="36" t="str">
        <x:f>IF(ISNUMBER(F2530),E2530*F2530,"")</x:f>
      </x:c>
      <x:c r="H2530" s="37"/>
      <x:c r="I2530" s="37"/>
      <x:c r="J2530" s="1" t="n">
        <x:f>IF(ISNUMBER(F2530),E2530,0)</x:f>
        <x:v>0</x:v>
      </x:c>
      <x:c r="K2530" s="1"/>
      <x:c r="L2530" s="1" t="str">
        <x:v>https://blog.skyairline.com/tipo-de-equipaje/</x:v>
      </x:c>
      <x:c r="M2530" s="1" t="n">
        <x:v>0</x:v>
      </x:c>
    </x:row>
    <x:row r="2531" ht="18.75" customHeight="1">
      <x:c r="A2531" s="1" t="str">
        <x:v>https://blog.skyairline.com/equipaje-de-mano-permitido/</x:v>
      </x:c>
      <x:c r="B2531" s="1" t="str">
        <x:v>en sky</x:v>
      </x:c>
      <x:c r="C2531" s="1" t="str">
        <x:v>chl</x:v>
      </x:c>
      <x:c r="D2531" s="1" t="str">
        <x:v>Marca</x:v>
      </x:c>
      <x:c r="E2531" s="35" t="n">
        <x:v>1</x:v>
      </x:c>
      <x:c r="F2531" s="36"/>
      <x:c r="G2531" s="36" t="str">
        <x:f>IF(ISNUMBER(F2531),E2531*F2531,"")</x:f>
      </x:c>
      <x:c r="H2531" s="37"/>
      <x:c r="I2531" s="37"/>
      <x:c r="J2531" s="1" t="n">
        <x:f>IF(ISNUMBER(F2531),E2531,0)</x:f>
        <x:v>0</x:v>
      </x:c>
      <x:c r="K2531" s="1"/>
      <x:c r="L2531" s="1" t="str">
        <x:v>https://blog.skyairline.com/tipos-de-bodega/</x:v>
      </x:c>
      <x:c r="M2531" s="1" t="n">
        <x:v>0</x:v>
      </x:c>
    </x:row>
    <x:row r="2532" ht="18.75" customHeight="1">
      <x:c r="A2532" s="1" t="str">
        <x:v>https://blog.skyairline.com/equipaje-de-mano-permitido/</x:v>
      </x:c>
      <x:c r="B2532" s="1" t="str">
        <x:v>en sky</x:v>
      </x:c>
      <x:c r="C2532" s="1" t="str">
        <x:v>per</x:v>
      </x:c>
      <x:c r="D2532" s="1" t="str">
        <x:v>Marca</x:v>
      </x:c>
      <x:c r="E2532" s="35" t="n">
        <x:v>1</x:v>
      </x:c>
      <x:c r="F2532" s="36"/>
      <x:c r="G2532" s="36" t="str">
        <x:f>IF(ISNUMBER(F2532),E2532*F2532,"")</x:f>
      </x:c>
      <x:c r="H2532" s="37"/>
      <x:c r="I2532" s="37"/>
      <x:c r="J2532" s="1" t="n">
        <x:f>IF(ISNUMBER(F2532),E2532,0)</x:f>
        <x:v>0</x:v>
      </x:c>
      <x:c r="K2532" s="1"/>
      <x:c r="L2532" s="1" t="str">
        <x:v>https://blog.skyairline.com/tipos-de-cabina/</x:v>
      </x:c>
      <x:c r="M2532" s="1" t="n">
        <x:v>0</x:v>
      </x:c>
    </x:row>
    <x:row r="2533" ht="18.75" customHeight="1">
      <x:c r="A2533" s="1" t="str">
        <x:v>https://blog.skyairline.com/equipaje-de-mano-permitido/</x:v>
      </x:c>
      <x:c r="B2533" s="1" t="str">
        <x:v>equipaje de mano sky airlines</x:v>
      </x:c>
      <x:c r="C2533" s="1" t="str">
        <x:v>chl</x:v>
      </x:c>
      <x:c r="D2533" s="1" t="str">
        <x:v>Marca</x:v>
      </x:c>
      <x:c r="E2533" s="35" t="n">
        <x:v>1</x:v>
      </x:c>
      <x:c r="F2533" s="36" t="n">
        <x:v>1.82</x:v>
      </x:c>
      <x:c r="G2533" s="36" t="n">
        <x:f>IF(ISNUMBER(F2533),E2533*F2533,"")</x:f>
        <x:v>1.82</x:v>
      </x:c>
      <x:c r="H2533" s="37" t="d">
        <x:v>2026-10-15T00:00:00.000Z</x:v>
      </x:c>
      <x:c r="I2533" s="37" t="d">
        <x:v>2026-09-15T16:31:58.000Z</x:v>
      </x:c>
      <x:c r="J2533" s="1" t="n">
        <x:f>IF(ISNUMBER(F2533),E2533,0)</x:f>
        <x:v>1</x:v>
      </x:c>
      <x:c r="K2533" s="1"/>
      <x:c r="L2533" s="1" t="str">
        <x:v>https://blog.skyairline.com/tipos-de-turismo/</x:v>
      </x:c>
      <x:c r="M2533" s="1" t="n">
        <x:v>0</x:v>
      </x:c>
    </x:row>
    <x:row r="2534" ht="18.75" customHeight="1">
      <x:c r="A2534" s="1" t="str">
        <x:v>https://blog.skyairline.com/equipaje-de-mano-permitido/</x:v>
      </x:c>
      <x:c r="B2534" s="1" t="str">
        <x:v>liquidos permitidos en equipaje de mano</x:v>
      </x:c>
      <x:c r="C2534" s="1" t="str">
        <x:v>chl</x:v>
      </x:c>
      <x:c r="D2534" s="1" t="str">
        <x:v>Sin marca</x:v>
      </x:c>
      <x:c r="E2534" s="35" t="n">
        <x:v>1</x:v>
      </x:c>
      <x:c r="F2534" s="36"/>
      <x:c r="G2534" s="36" t="str">
        <x:f>IF(ISNUMBER(F2534),E2534*F2534,"")</x:f>
      </x:c>
      <x:c r="H2534" s="37" t="d">
        <x:v>2026-10-15T00:00:00.000Z</x:v>
      </x:c>
      <x:c r="I2534" s="37" t="d">
        <x:v>2026-09-16T02:46:39.999Z</x:v>
      </x:c>
      <x:c r="J2534" s="1" t="n">
        <x:f>IF(ISNUMBER(F2534),E2534,0)</x:f>
        <x:v>0</x:v>
      </x:c>
      <x:c r="K2534" s="1"/>
      <x:c r="L2534" s="1" t="str">
        <x:v>https://blog.skyairline.com/tipos-de-viajeros/</x:v>
      </x:c>
      <x:c r="M2534" s="1" t="n">
        <x:v>0</x:v>
      </x:c>
    </x:row>
    <x:row r="2535" ht="18.75" customHeight="1">
      <x:c r="A2535" s="1" t="str">
        <x:v>https://blog.skyairline.com/equipaje-de-mano-permitido/</x:v>
      </x:c>
      <x:c r="B2535" s="1" t="str">
        <x:v>objetos prohibidos en equipaje de mano sky</x:v>
      </x:c>
      <x:c r="C2535" s="1" t="str">
        <x:v>arg</x:v>
      </x:c>
      <x:c r="D2535" s="1" t="str">
        <x:v>Marca</x:v>
      </x:c>
      <x:c r="E2535" s="35" t="n">
        <x:v>1</x:v>
      </x:c>
      <x:c r="F2535" s="36"/>
      <x:c r="G2535" s="36" t="str">
        <x:f>IF(ISNUMBER(F2535),E2535*F2535,"")</x:f>
      </x:c>
      <x:c r="H2535" s="37"/>
      <x:c r="I2535" s="37"/>
      <x:c r="J2535" s="1" t="n">
        <x:f>IF(ISNUMBER(F2535),E2535,0)</x:f>
        <x:v>0</x:v>
      </x:c>
      <x:c r="K2535" s="1"/>
      <x:c r="L2535" s="1" t="str">
        <x:v>https://blog.skyairline.com/tipos-divaje/</x:v>
      </x:c>
      <x:c r="M2535" s="1" t="n">
        <x:v>0</x:v>
      </x:c>
    </x:row>
    <x:row r="2536" ht="18.75" customHeight="1">
      <x:c r="A2536" s="1" t="str">
        <x:v>https://blog.skyairline.com/equipaje-de-mano-permitido/</x:v>
      </x:c>
      <x:c r="B2536" s="1" t="str">
        <x:v>permitidos en equipaje de mano</x:v>
      </x:c>
      <x:c r="C2536" s="1" t="str">
        <x:v>chl</x:v>
      </x:c>
      <x:c r="D2536" s="1" t="str">
        <x:v>Sin marca</x:v>
      </x:c>
      <x:c r="E2536" s="35" t="n">
        <x:v>1</x:v>
      </x:c>
      <x:c r="F2536" s="36"/>
      <x:c r="G2536" s="36" t="str">
        <x:f>IF(ISNUMBER(F2536),E2536*F2536,"")</x:f>
      </x:c>
      <x:c r="H2536" s="37"/>
      <x:c r="I2536" s="37"/>
      <x:c r="J2536" s="1" t="n">
        <x:f>IF(ISNUMBER(F2536),E2536,0)</x:f>
        <x:v>0</x:v>
      </x:c>
      <x:c r="K2536" s="1"/>
      <x:c r="L2536" s="1" t="str">
        <x:v>https://blog.skyairline.com/tipos-of-equipaje/</x:v>
      </x:c>
      <x:c r="M2536" s="1" t="n">
        <x:v>0</x:v>
      </x:c>
    </x:row>
    <x:row r="2537" ht="18.75" customHeight="1">
      <x:c r="A2537" s="1" t="str">
        <x:v>https://blog.skyairline.com/equipaje-de-mano-permitido/</x:v>
      </x:c>
      <x:c r="B2537" s="1" t="str">
        <x:v>prohibido llevar en avion</x:v>
      </x:c>
      <x:c r="C2537" s="1" t="str">
        <x:v>per</x:v>
      </x:c>
      <x:c r="D2537" s="1" t="str">
        <x:v>Sin marca</x:v>
      </x:c>
      <x:c r="E2537" s="35" t="n">
        <x:v>1</x:v>
      </x:c>
      <x:c r="F2537" s="36"/>
      <x:c r="G2537" s="36" t="str">
        <x:f>IF(ISNUMBER(F2537),E2537*F2537,"")</x:f>
      </x:c>
      <x:c r="H2537" s="37"/>
      <x:c r="I2537" s="37"/>
      <x:c r="J2537" s="1" t="n">
        <x:f>IF(ISNUMBER(F2537),E2537,0)</x:f>
        <x:v>0</x:v>
      </x:c>
      <x:c r="K2537" s="1"/>
      <x:c r="L2537" s="1" t="str">
        <x:v>https://blog.skyairline.com/tips-de-hospedaje/</x:v>
      </x:c>
      <x:c r="M2537" s="1" t="n">
        <x:v>0</x:v>
      </x:c>
    </x:row>
    <x:row r="2538" ht="18.75" customHeight="1">
      <x:c r="A2538" s="1" t="str">
        <x:v>https://blog.skyairline.com/equipaje-de-mano-permitido/</x:v>
      </x:c>
      <x:c r="B2538" s="1" t="str">
        <x:v>puedo llevar joyas en el equipaje de mano</x:v>
      </x:c>
      <x:c r="C2538" s="1" t="str">
        <x:v>chl</x:v>
      </x:c>
      <x:c r="D2538" s="1" t="str">
        <x:v>Sin marca</x:v>
      </x:c>
      <x:c r="E2538" s="35" t="n">
        <x:v>1</x:v>
      </x:c>
      <x:c r="F2538" s="36"/>
      <x:c r="G2538" s="36" t="str">
        <x:f>IF(ISNUMBER(F2538),E2538*F2538,"")</x:f>
      </x:c>
      <x:c r="H2538" s="37"/>
      <x:c r="I2538" s="37"/>
      <x:c r="J2538" s="1" t="n">
        <x:f>IF(ISNUMBER(F2538),E2538,0)</x:f>
        <x:v>0</x:v>
      </x:c>
      <x:c r="K2538" s="1"/>
      <x:c r="L2538" s="1" t="str">
        <x:v>https://blog.skyairline.com/tips-para-encontrar-vuelos-baratos/</x:v>
      </x:c>
      <x:c r="M2538" s="1" t="n">
        <x:v>0</x:v>
      </x:c>
    </x:row>
    <x:row r="2539" ht="18.75" customHeight="1">
      <x:c r="A2539" s="1" t="str">
        <x:v>https://blog.skyairline.com/equipaje-de-mano-permitido/</x:v>
      </x:c>
      <x:c r="B2539" s="1" t="str">
        <x:v>puedo llevar secador de pelo en equipaje de mano</x:v>
      </x:c>
      <x:c r="C2539" s="1" t="str">
        <x:v>chl</x:v>
      </x:c>
      <x:c r="D2539" s="1" t="str">
        <x:v>Sin marca</x:v>
      </x:c>
      <x:c r="E2539" s="35" t="n">
        <x:v>1</x:v>
      </x:c>
      <x:c r="F2539" s="36"/>
      <x:c r="G2539" s="36" t="str">
        <x:f>IF(ISNUMBER(F2539),E2539*F2539,"")</x:f>
      </x:c>
      <x:c r="H2539" s="37"/>
      <x:c r="I2539" s="37"/>
      <x:c r="J2539" s="1" t="n">
        <x:f>IF(ISNUMBER(F2539),E2539,0)</x:f>
        <x:v>0</x:v>
      </x:c>
      <x:c r="K2539" s="1"/>
      <x:c r="L2539" s="1" t="str">
        <x:v>https://blog.skyairline.com/tips-para-tener-un-viaje-de-descanso/</x:v>
      </x:c>
      <x:c r="M2539" s="1" t="n">
        <x:v>0</x:v>
      </x:c>
    </x:row>
    <x:row r="2540" ht="18.75" customHeight="1">
      <x:c r="A2540" s="1" t="str">
        <x:v>https://blog.skyairline.com/equipaje-de-mano-permitido/</x:v>
      </x:c>
      <x:c r="B2540" s="1" t="str">
        <x:v>puedo llevar talco en equipaje de mano</x:v>
      </x:c>
      <x:c r="C2540" s="1" t="str">
        <x:v>chl</x:v>
      </x:c>
      <x:c r="D2540" s="1" t="str">
        <x:v>Sin marca</x:v>
      </x:c>
      <x:c r="E2540" s="35" t="n">
        <x:v>1</x:v>
      </x:c>
      <x:c r="F2540" s="36"/>
      <x:c r="G2540" s="36" t="str">
        <x:f>IF(ISNUMBER(F2540),E2540*F2540,"")</x:f>
      </x:c>
      <x:c r="H2540" s="37"/>
      <x:c r="I2540" s="37"/>
      <x:c r="J2540" s="1" t="n">
        <x:f>IF(ISNUMBER(F2540),E2540,0)</x:f>
        <x:v>0</x:v>
      </x:c>
      <x:c r="K2540" s="1"/>
      <x:c r="L2540" s="1" t="str">
        <x:v>https://blog.skyairline.com/tomar-fotos/</x:v>
      </x:c>
      <x:c r="M2540" s="1" t="n">
        <x:v>0</x:v>
      </x:c>
    </x:row>
    <x:row r="2541" ht="18.75" customHeight="1">
      <x:c r="A2541" s="1" t="str">
        <x:v>https://blog.skyairline.com/equipaje-de-mano-permitido/</x:v>
      </x:c>
      <x:c r="B2541" s="1" t="str">
        <x:v>puedo llevar toallas higienicas en el avion</x:v>
      </x:c>
      <x:c r="C2541" s="1" t="str">
        <x:v>chl</x:v>
      </x:c>
      <x:c r="D2541" s="1" t="str">
        <x:v>Sin marca</x:v>
      </x:c>
      <x:c r="E2541" s="35" t="n">
        <x:v>1</x:v>
      </x:c>
      <x:c r="F2541" s="36"/>
      <x:c r="G2541" s="36" t="str">
        <x:f>IF(ISNUMBER(F2541),E2541*F2541,"")</x:f>
      </x:c>
      <x:c r="H2541" s="37"/>
      <x:c r="I2541" s="37"/>
      <x:c r="J2541" s="1" t="n">
        <x:f>IF(ISNUMBER(F2541),E2541,0)</x:f>
        <x:v>0</x:v>
      </x:c>
      <x:c r="K2541" s="1"/>
      <x:c r="L2541" s="1" t="str">
        <x:v>https://blog.skyairline.com/tomar-vino-en-mendoza/</x:v>
      </x:c>
      <x:c r="M2541" s="1" t="n">
        <x:v>0</x:v>
      </x:c>
    </x:row>
    <x:row r="2542" ht="18.75" customHeight="1">
      <x:c r="A2542" s="1" t="str">
        <x:v>https://blog.skyairline.com/equipaje-de-mano-permitido/</x:v>
      </x:c>
      <x:c r="B2542" s="1" t="str">
        <x:v>puedo llevar un balon de futbol en el avion</x:v>
      </x:c>
      <x:c r="C2542" s="1" t="str">
        <x:v>chl</x:v>
      </x:c>
      <x:c r="D2542" s="1" t="str">
        <x:v>Sin marca</x:v>
      </x:c>
      <x:c r="E2542" s="35" t="n">
        <x:v>1</x:v>
      </x:c>
      <x:c r="F2542" s="36"/>
      <x:c r="G2542" s="36" t="str">
        <x:f>IF(ISNUMBER(F2542),E2542*F2542,"")</x:f>
      </x:c>
      <x:c r="H2542" s="37"/>
      <x:c r="I2542" s="37"/>
      <x:c r="J2542" s="1" t="n">
        <x:f>IF(ISNUMBER(F2542),E2542,0)</x:f>
        <x:v>0</x:v>
      </x:c>
      <x:c r="K2542" s="1"/>
      <x:c r="L2542" s="1" t="str">
        <x:v>https://blog.skyairline.com/tours-en-cancun/</x:v>
      </x:c>
      <x:c r="M2542" s="1" t="n">
        <x:v>0</x:v>
      </x:c>
    </x:row>
    <x:row r="2543" ht="18.75" customHeight="1">
      <x:c r="A2543" s="1" t="str">
        <x:v>https://blog.skyairline.com/equipaje-de-mano-permitido/</x:v>
      </x:c>
      <x:c r="B2543" s="1" t="str">
        <x:v>que cosas esta prohibido llevar en el avion</x:v>
      </x:c>
      <x:c r="C2543" s="1" t="str">
        <x:v>chl</x:v>
      </x:c>
      <x:c r="D2543" s="1" t="str">
        <x:v>Sin marca</x:v>
      </x:c>
      <x:c r="E2543" s="35" t="n">
        <x:v>1</x:v>
      </x:c>
      <x:c r="F2543" s="36"/>
      <x:c r="G2543" s="36" t="str">
        <x:f>IF(ISNUMBER(F2543),E2543*F2543,"")</x:f>
      </x:c>
      <x:c r="H2543" s="37"/>
      <x:c r="I2543" s="37"/>
      <x:c r="J2543" s="1" t="n">
        <x:f>IF(ISNUMBER(F2543),E2543,0)</x:f>
        <x:v>0</x:v>
      </x:c>
      <x:c r="K2543" s="1"/>
      <x:c r="L2543" s="1" t="str">
        <x:v>https://blog.skyairline.com/tours-en-la-serena/</x:v>
      </x:c>
      <x:c r="M2543" s="1" t="n">
        <x:v>0</x:v>
      </x:c>
    </x:row>
    <x:row r="2544" ht="18.75" customHeight="1">
      <x:c r="A2544" s="1" t="str">
        <x:v>https://blog.skyairline.com/equipaje-de-mano-permitido/</x:v>
      </x:c>
      <x:c r="B2544" s="1" t="str">
        <x:v>que cosas no llevar en equipaje de mano</x:v>
      </x:c>
      <x:c r="C2544" s="1" t="str">
        <x:v>chl</x:v>
      </x:c>
      <x:c r="D2544" s="1" t="str">
        <x:v>Sin marca</x:v>
      </x:c>
      <x:c r="E2544" s="35" t="n">
        <x:v>1</x:v>
      </x:c>
      <x:c r="F2544" s="36"/>
      <x:c r="G2544" s="36" t="str">
        <x:f>IF(ISNUMBER(F2544),E2544*F2544,"")</x:f>
      </x:c>
      <x:c r="H2544" s="37"/>
      <x:c r="I2544" s="37"/>
      <x:c r="J2544" s="1" t="n">
        <x:f>IF(ISNUMBER(F2544),E2544,0)</x:f>
        <x:v>0</x:v>
      </x:c>
      <x:c r="K2544" s="1"/>
      <x:c r="L2544" s="1" t="str">
        <x:v>https://blog.skyairline.com/tradiciones-ano-nuevo/</x:v>
      </x:c>
      <x:c r="M2544" s="1" t="n">
        <x:v>0</x:v>
      </x:c>
    </x:row>
    <x:row r="2545" ht="18.75" customHeight="1">
      <x:c r="A2545" s="1" t="str">
        <x:v>https://blog.skyairline.com/equipaje-de-mano-permitido/</x:v>
      </x:c>
      <x:c r="B2545" s="1" t="str">
        <x:v>que cosas no puedo llevar en el equipaje de mano</x:v>
      </x:c>
      <x:c r="C2545" s="1" t="str">
        <x:v>chl</x:v>
      </x:c>
      <x:c r="D2545" s="1" t="str">
        <x:v>Sin marca</x:v>
      </x:c>
      <x:c r="E2545" s="35" t="n">
        <x:v>1</x:v>
      </x:c>
      <x:c r="F2545" s="36"/>
      <x:c r="G2545" s="36" t="str">
        <x:f>IF(ISNUMBER(F2545),E2545*F2545,"")</x:f>
      </x:c>
      <x:c r="H2545" s="37"/>
      <x:c r="I2545" s="37"/>
      <x:c r="J2545" s="1" t="n">
        <x:f>IF(ISNUMBER(F2545),E2545,0)</x:f>
        <x:v>0</x:v>
      </x:c>
      <x:c r="K2545" s="1"/>
      <x:c r="L2545" s="1" t="str">
        <x:v>https://blog.skyairline.com/transportamos-a-mas-de-30-mil-pasajeros-en-feriado-largo-por-el-dia-del-trabajador/</x:v>
      </x:c>
      <x:c r="M2545" s="1" t="n">
        <x:v>0</x:v>
      </x:c>
    </x:row>
    <x:row r="2546" ht="18.75" customHeight="1">
      <x:c r="A2546" s="1" t="str">
        <x:v>https://blog.skyairline.com/equipaje-de-mano-permitido/</x:v>
      </x:c>
      <x:c r="B2546" s="1" t="str">
        <x:v>que esta permitido llevar en el equipaje de mano</x:v>
      </x:c>
      <x:c r="C2546" s="1" t="str">
        <x:v>chl</x:v>
      </x:c>
      <x:c r="D2546" s="1" t="str">
        <x:v>Sin marca</x:v>
      </x:c>
      <x:c r="E2546" s="35" t="n">
        <x:v>1</x:v>
      </x:c>
      <x:c r="F2546" s="36"/>
      <x:c r="G2546" s="36" t="str">
        <x:f>IF(ISNUMBER(F2546),E2546*F2546,"")</x:f>
      </x:c>
      <x:c r="H2546" s="37"/>
      <x:c r="I2546" s="37"/>
      <x:c r="J2546" s="1" t="n">
        <x:f>IF(ISNUMBER(F2546),E2546,0)</x:f>
        <x:v>0</x:v>
      </x:c>
      <x:c r="K2546" s="1"/>
      <x:c r="L2546" s="1" t="str">
        <x:v>https://blog.skyairline.com/transporte-en-miami/</x:v>
      </x:c>
      <x:c r="M2546" s="1" t="n">
        <x:v>0</x:v>
      </x:c>
    </x:row>
    <x:row r="2547" ht="18.75" customHeight="1">
      <x:c r="A2547" s="1" t="str">
        <x:v>https://blog.skyairline.com/equipaje-de-mano-permitido/</x:v>
      </x:c>
      <x:c r="B2547" s="1" t="str">
        <x:v>que no puedes llevar en equipaje de mano</x:v>
      </x:c>
      <x:c r="C2547" s="1" t="str">
        <x:v>chl</x:v>
      </x:c>
      <x:c r="D2547" s="1" t="str">
        <x:v>Sin marca</x:v>
      </x:c>
      <x:c r="E2547" s="35" t="n">
        <x:v>1</x:v>
      </x:c>
      <x:c r="F2547" s="36"/>
      <x:c r="G2547" s="36" t="str">
        <x:f>IF(ISNUMBER(F2547),E2547*F2547,"")</x:f>
      </x:c>
      <x:c r="H2547" s="37"/>
      <x:c r="I2547" s="37"/>
      <x:c r="J2547" s="1" t="n">
        <x:f>IF(ISNUMBER(F2547),E2547,0)</x:f>
        <x:v>0</x:v>
      </x:c>
      <x:c r="K2547" s="1"/>
      <x:c r="L2547" s="1" t="str">
        <x:v>https://blog.skyairline.com/travel/viaje-a-brasil-2/</x:v>
      </x:c>
      <x:c r="M2547" s="1" t="n">
        <x:v>0</x:v>
      </x:c>
    </x:row>
    <x:row r="2548" ht="18.75" customHeight="1">
      <x:c r="A2548" s="1" t="str">
        <x:v>https://blog.skyairline.com/equipaje-de-mano-permitido/</x:v>
      </x:c>
      <x:c r="B2548" s="1" t="str">
        <x:v>que no puedo llevar en el equipaje de mano</x:v>
      </x:c>
      <x:c r="C2548" s="1" t="str">
        <x:v>chl</x:v>
      </x:c>
      <x:c r="D2548" s="1" t="str">
        <x:v>Sin marca</x:v>
      </x:c>
      <x:c r="E2548" s="35" t="n">
        <x:v>1</x:v>
      </x:c>
      <x:c r="F2548" s="36"/>
      <x:c r="G2548" s="36" t="str">
        <x:f>IF(ISNUMBER(F2548),E2548*F2548,"")</x:f>
      </x:c>
      <x:c r="H2548" s="37"/>
      <x:c r="I2548" s="37"/>
      <x:c r="J2548" s="1" t="n">
        <x:f>IF(ISNUMBER(F2548),E2548,0)</x:f>
        <x:v>0</x:v>
      </x:c>
      <x:c r="K2548" s="1"/>
      <x:c r="L2548" s="1" t="str">
        <x:v>https://blog.skyairline.com/trekking-bariloche/</x:v>
      </x:c>
      <x:c r="M2548" s="1" t="n">
        <x:v>0</x:v>
      </x:c>
    </x:row>
    <x:row r="2549" ht="18.75" customHeight="1">
      <x:c r="A2549" s="1" t="str">
        <x:v>https://blog.skyairline.com/equipaje-de-mano-permitido/</x:v>
      </x:c>
      <x:c r="B2549" s="1" t="str">
        <x:v>que no se puede llevar en cabina de avion</x:v>
      </x:c>
      <x:c r="C2549" s="1" t="str">
        <x:v>chl</x:v>
      </x:c>
      <x:c r="D2549" s="1" t="str">
        <x:v>Sin marca</x:v>
      </x:c>
      <x:c r="E2549" s="35" t="n">
        <x:v>1</x:v>
      </x:c>
      <x:c r="F2549" s="36"/>
      <x:c r="G2549" s="36" t="str">
        <x:f>IF(ISNUMBER(F2549),E2549*F2549,"")</x:f>
      </x:c>
      <x:c r="H2549" s="37"/>
      <x:c r="I2549" s="37"/>
      <x:c r="J2549" s="1" t="n">
        <x:f>IF(ISNUMBER(F2549),E2549,0)</x:f>
        <x:v>0</x:v>
      </x:c>
      <x:c r="K2549" s="1"/>
      <x:c r="L2549" s="1" t="str">
        <x:v>https://blog.skyairline.com/trekking-en-peru/</x:v>
      </x:c>
      <x:c r="M2549" s="1" t="n">
        <x:v>0</x:v>
      </x:c>
    </x:row>
    <x:row r="2550" ht="18.75" customHeight="1">
      <x:c r="A2550" s="1" t="str">
        <x:v>https://blog.skyairline.com/equipaje-de-mano-permitido/</x:v>
      </x:c>
      <x:c r="B2550" s="1" t="str">
        <x:v>que no se puede llevar en el equipaje de mano sky</x:v>
      </x:c>
      <x:c r="C2550" s="1" t="str">
        <x:v>per</x:v>
      </x:c>
      <x:c r="D2550" s="1" t="str">
        <x:v>Marca</x:v>
      </x:c>
      <x:c r="E2550" s="35" t="n">
        <x:v>1</x:v>
      </x:c>
      <x:c r="F2550" s="36"/>
      <x:c r="G2550" s="36" t="str">
        <x:f>IF(ISNUMBER(F2550),E2550*F2550,"")</x:f>
      </x:c>
      <x:c r="H2550" s="37"/>
      <x:c r="I2550" s="37"/>
      <x:c r="J2550" s="1" t="n">
        <x:f>IF(ISNUMBER(F2550),E2550,0)</x:f>
        <x:v>0</x:v>
      </x:c>
      <x:c r="K2550" s="1"/>
      <x:c r="L2550" s="1" t="str">
        <x:v>https://blog.skyairline.com/trekking-en-torres-del-paine/</x:v>
      </x:c>
      <x:c r="M2550" s="1" t="n">
        <x:v>0</x:v>
      </x:c>
    </x:row>
    <x:row r="2551" ht="18.75" customHeight="1">
      <x:c r="A2551" s="1" t="str">
        <x:v>https://blog.skyairline.com/equipaje-de-mano-permitido/</x:v>
      </x:c>
      <x:c r="B2551" s="1" t="str">
        <x:v>que no se puede llevar en la maleta de cabina</x:v>
      </x:c>
      <x:c r="C2551" s="1" t="str">
        <x:v>chl</x:v>
      </x:c>
      <x:c r="D2551" s="1" t="str">
        <x:v>Sin marca</x:v>
      </x:c>
      <x:c r="E2551" s="35" t="n">
        <x:v>1</x:v>
      </x:c>
      <x:c r="F2551" s="36"/>
      <x:c r="G2551" s="36" t="str">
        <x:f>IF(ISNUMBER(F2551),E2551*F2551,"")</x:f>
      </x:c>
      <x:c r="H2551" s="37"/>
      <x:c r="I2551" s="37"/>
      <x:c r="J2551" s="1" t="n">
        <x:f>IF(ISNUMBER(F2551),E2551,0)</x:f>
        <x:v>0</x:v>
      </x:c>
      <x:c r="K2551" s="1"/>
      <x:c r="L2551" s="1" t="str">
        <x:v>https://blog.skyairline.com/trekking-latinoamerica/</x:v>
      </x:c>
      <x:c r="M2551" s="1" t="n">
        <x:v>0</x:v>
      </x:c>
    </x:row>
    <x:row r="2552" ht="18.75" customHeight="1">
      <x:c r="A2552" s="1" t="str">
        <x:v>https://blog.skyairline.com/equipaje-de-mano-permitido/</x:v>
      </x:c>
      <x:c r="B2552" s="1" t="str">
        <x:v>que objetos no puedo llevar en el equipaje de mano</x:v>
      </x:c>
      <x:c r="C2552" s="1" t="str">
        <x:v>per</x:v>
      </x:c>
      <x:c r="D2552" s="1" t="str">
        <x:v>Sin marca</x:v>
      </x:c>
      <x:c r="E2552" s="35" t="n">
        <x:v>1</x:v>
      </x:c>
      <x:c r="F2552" s="36"/>
      <x:c r="G2552" s="36" t="str">
        <x:f>IF(ISNUMBER(F2552),E2552*F2552,"")</x:f>
      </x:c>
      <x:c r="H2552" s="37"/>
      <x:c r="I2552" s="37"/>
      <x:c r="J2552" s="1" t="n">
        <x:f>IF(ISNUMBER(F2552),E2552,0)</x:f>
        <x:v>0</x:v>
      </x:c>
      <x:c r="K2552" s="1"/>
      <x:c r="L2552" s="1" t="str">
        <x:v>https://blog.skyairline.com/trekking-lugares-chile/</x:v>
      </x:c>
      <x:c r="M2552" s="1" t="n">
        <x:v>0</x:v>
      </x:c>
    </x:row>
    <x:row r="2553" ht="18.75" customHeight="1">
      <x:c r="A2553" s="1" t="str">
        <x:v>https://blog.skyairline.com/equipaje-de-mano-permitido/</x:v>
      </x:c>
      <x:c r="B2553" s="1" t="str">
        <x:v>que se puede llevar en el equipaje de mano</x:v>
      </x:c>
      <x:c r="C2553" s="1" t="str">
        <x:v>chl</x:v>
      </x:c>
      <x:c r="D2553" s="1" t="str">
        <x:v>Sin marca</x:v>
      </x:c>
      <x:c r="E2553" s="35" t="n">
        <x:v>1</x:v>
      </x:c>
      <x:c r="F2553" s="36" t="n">
        <x:v>0.31</x:v>
      </x:c>
      <x:c r="G2553" s="36" t="n">
        <x:f>IF(ISNUMBER(F2553),E2553*F2553,"")</x:f>
        <x:v>0.31</x:v>
      </x:c>
      <x:c r="H2553" s="37" t="d">
        <x:v>2026-10-15T00:00:00.000Z</x:v>
      </x:c>
      <x:c r="I2553" s="37" t="d">
        <x:v>2026-09-12T21:34:55.000Z</x:v>
      </x:c>
      <x:c r="J2553" s="1" t="n">
        <x:f>IF(ISNUMBER(F2553),E2553,0)</x:f>
        <x:v>1</x:v>
      </x:c>
      <x:c r="K2553" s="1"/>
      <x:c r="L2553" s="1" t="str">
        <x:v>https://blog.skyairline.com/trekking-santiago/</x:v>
      </x:c>
      <x:c r="M2553" s="1" t="n">
        <x:v>0</x:v>
      </x:c>
    </x:row>
    <x:row r="2554" ht="18.75" customHeight="1">
      <x:c r="A2554" s="1" t="str">
        <x:v>https://blog.skyairline.com/equipaje-de-mano-permitido/</x:v>
      </x:c>
      <x:c r="B2554" s="1" t="str">
        <x:v>que se puede llevar en la maleta de cabina</x:v>
      </x:c>
      <x:c r="C2554" s="1" t="str">
        <x:v>chl</x:v>
      </x:c>
      <x:c r="D2554" s="1" t="str">
        <x:v>Sin marca</x:v>
      </x:c>
      <x:c r="E2554" s="35" t="n">
        <x:v>1</x:v>
      </x:c>
      <x:c r="F2554" s="36" t="n">
        <x:v>0.29</x:v>
      </x:c>
      <x:c r="G2554" s="36" t="n">
        <x:f>IF(ISNUMBER(F2554),E2554*F2554,"")</x:f>
        <x:v>0.29</x:v>
      </x:c>
      <x:c r="H2554" s="37" t="d">
        <x:v>2026-10-15T00:00:00.000Z</x:v>
      </x:c>
      <x:c r="I2554" s="37" t="d">
        <x:v>2026-09-13T18:15:10.000Z</x:v>
      </x:c>
      <x:c r="J2554" s="1" t="n">
        <x:f>IF(ISNUMBER(F2554),E2554,0)</x:f>
        <x:v>1</x:v>
      </x:c>
      <x:c r="K2554" s="1"/>
      <x:c r="L2554" s="1" t="str">
        <x:v>https://blog.skyairline.com/trekking-ushuaia/</x:v>
      </x:c>
      <x:c r="M2554" s="1" t="n">
        <x:v>0</x:v>
      </x:c>
    </x:row>
    <x:row r="2555" ht="18.75" customHeight="1">
      <x:c r="A2555" s="1" t="str">
        <x:v>https://blog.skyairline.com/equipaje-de-mano-permitido/</x:v>
      </x:c>
      <x:c r="B2555" s="1" t="str">
        <x:v>se puede llevar carne en el avion</x:v>
      </x:c>
      <x:c r="C2555" s="1" t="str">
        <x:v>chl</x:v>
      </x:c>
      <x:c r="D2555" s="1" t="str">
        <x:v>Sin marca</x:v>
      </x:c>
      <x:c r="E2555" s="35" t="n">
        <x:v>1</x:v>
      </x:c>
      <x:c r="F2555" s="36"/>
      <x:c r="G2555" s="36" t="str">
        <x:f>IF(ISNUMBER(F2555),E2555*F2555,"")</x:f>
      </x:c>
      <x:c r="H2555" s="37"/>
      <x:c r="I2555" s="37"/>
      <x:c r="J2555" s="1" t="n">
        <x:f>IF(ISNUMBER(F2555),E2555,0)</x:f>
        <x:v>0</x:v>
      </x:c>
      <x:c r="K2555" s="1"/>
      <x:c r="L2555" s="1" t="str">
        <x:v>https://blog.skyairline.com/trekking/</x:v>
      </x:c>
      <x:c r="M2555" s="1" t="n">
        <x:v>0</x:v>
      </x:c>
    </x:row>
    <x:row r="2556" ht="18.75" customHeight="1">
      <x:c r="A2556" s="1" t="str">
        <x:v>https://blog.skyairline.com/equipaje-de-mano-permitido/</x:v>
      </x:c>
      <x:c r="B2556" s="1" t="str">
        <x:v>se puede llevar cortauñas en equipaje de mano</x:v>
      </x:c>
      <x:c r="C2556" s="1" t="str">
        <x:v>per</x:v>
      </x:c>
      <x:c r="D2556" s="1" t="str">
        <x:v>Sin marca</x:v>
      </x:c>
      <x:c r="E2556" s="35" t="n">
        <x:v>1</x:v>
      </x:c>
      <x:c r="F2556" s="36"/>
      <x:c r="G2556" s="36" t="str">
        <x:f>IF(ISNUMBER(F2556),E2556*F2556,"")</x:f>
      </x:c>
      <x:c r="H2556" s="37"/>
      <x:c r="I2556" s="37"/>
      <x:c r="J2556" s="1" t="n">
        <x:f>IF(ISNUMBER(F2556),E2556,0)</x:f>
        <x:v>0</x:v>
      </x:c>
      <x:c r="K2556" s="1"/>
      <x:c r="L2556" s="1" t="str">
        <x:v>https://blog.skyairline.com/trelew/</x:v>
      </x:c>
      <x:c r="M2556" s="1" t="n">
        <x:v>0</x:v>
      </x:c>
    </x:row>
    <x:row r="2557" ht="18.75" customHeight="1">
      <x:c r="A2557" s="1" t="str">
        <x:v>https://blog.skyairline.com/equipaje-de-mano-permitido/</x:v>
      </x:c>
      <x:c r="B2557" s="1" t="str">
        <x:v>se puede llevar espejo en el avion</x:v>
      </x:c>
      <x:c r="C2557" s="1" t="str">
        <x:v>per</x:v>
      </x:c>
      <x:c r="D2557" s="1" t="str">
        <x:v>Sin marca</x:v>
      </x:c>
      <x:c r="E2557" s="35" t="n">
        <x:v>1</x:v>
      </x:c>
      <x:c r="F2557" s="36"/>
      <x:c r="G2557" s="36" t="str">
        <x:f>IF(ISNUMBER(F2557),E2557*F2557,"")</x:f>
      </x:c>
      <x:c r="H2557" s="37"/>
      <x:c r="I2557" s="37"/>
      <x:c r="J2557" s="1" t="n">
        <x:f>IF(ISNUMBER(F2557),E2557,0)</x:f>
        <x:v>0</x:v>
      </x:c>
      <x:c r="K2557" s="1"/>
      <x:c r="L2557" s="1" t="str">
        <x:v>https://blog.skyairline.com/tulum-mexico/</x:v>
      </x:c>
      <x:c r="M2557" s="1" t="n">
        <x:v>0</x:v>
      </x:c>
    </x:row>
    <x:row r="2558" ht="18.75" customHeight="1">
      <x:c r="A2558" s="1" t="str">
        <x:v>https://blog.skyairline.com/equipaje-de-mano-permitido/</x:v>
      </x:c>
      <x:c r="B2558" s="1" t="str">
        <x:v>se puede llevar fijador de pelo en el avion</x:v>
      </x:c>
      <x:c r="C2558" s="1" t="str">
        <x:v>chl</x:v>
      </x:c>
      <x:c r="D2558" s="1" t="str">
        <x:v>Sin marca</x:v>
      </x:c>
      <x:c r="E2558" s="35" t="n">
        <x:v>1</x:v>
      </x:c>
      <x:c r="F2558" s="36"/>
      <x:c r="G2558" s="36" t="str">
        <x:f>IF(ISNUMBER(F2558),E2558*F2558,"")</x:f>
      </x:c>
      <x:c r="H2558" s="37"/>
      <x:c r="I2558" s="37"/>
      <x:c r="J2558" s="1" t="n">
        <x:f>IF(ISNUMBER(F2558),E2558,0)</x:f>
        <x:v>0</x:v>
      </x:c>
      <x:c r="K2558" s="1"/>
      <x:c r="L2558" s="1" t="str">
        <x:v>https://blog.skyairline.com/tumbes/</x:v>
      </x:c>
      <x:c r="M2558" s="1" t="n">
        <x:v>0</x:v>
      </x:c>
    </x:row>
    <x:row r="2559" ht="18.75" customHeight="1">
      <x:c r="A2559" s="1" t="str">
        <x:v>https://blog.skyairline.com/equipaje-de-mano-permitido/</x:v>
      </x:c>
      <x:c r="B2559" s="1" t="str">
        <x:v>se puede llevar lima de uñas en el avion</x:v>
      </x:c>
      <x:c r="C2559" s="1" t="str">
        <x:v>per</x:v>
      </x:c>
      <x:c r="D2559" s="1" t="str">
        <x:v>Sin marca</x:v>
      </x:c>
      <x:c r="E2559" s="35" t="n">
        <x:v>1</x:v>
      </x:c>
      <x:c r="F2559" s="36"/>
      <x:c r="G2559" s="36" t="str">
        <x:f>IF(ISNUMBER(F2559),E2559*F2559,"")</x:f>
      </x:c>
      <x:c r="H2559" s="37"/>
      <x:c r="I2559" s="37"/>
      <x:c r="J2559" s="1" t="n">
        <x:f>IF(ISNUMBER(F2559),E2559,0)</x:f>
        <x:v>0</x:v>
      </x:c>
      <x:c r="K2559" s="1"/>
      <x:c r="L2559" s="1" t="str">
        <x:v>https://blog.skyairline.com/turismo-a-bajo-precio/</x:v>
      </x:c>
      <x:c r="M2559" s="1" t="n">
        <x:v>0</x:v>
      </x:c>
    </x:row>
    <x:row r="2560" ht="18.75" customHeight="1">
      <x:c r="A2560" s="1" t="str">
        <x:v>https://blog.skyairline.com/equipaje-de-mano-permitido/</x:v>
      </x:c>
      <x:c r="B2560" s="1" t="str">
        <x:v>se puede llevar pinzas en el avion</x:v>
      </x:c>
      <x:c r="C2560" s="1" t="str">
        <x:v>chl</x:v>
      </x:c>
      <x:c r="D2560" s="1" t="str">
        <x:v>Sin marca</x:v>
      </x:c>
      <x:c r="E2560" s="35" t="n">
        <x:v>1</x:v>
      </x:c>
      <x:c r="F2560" s="36"/>
      <x:c r="G2560" s="36" t="str">
        <x:f>IF(ISNUMBER(F2560),E2560*F2560,"")</x:f>
      </x:c>
      <x:c r="H2560" s="37"/>
      <x:c r="I2560" s="37"/>
      <x:c r="J2560" s="1" t="n">
        <x:f>IF(ISNUMBER(F2560),E2560,0)</x:f>
        <x:v>0</x:v>
      </x:c>
      <x:c r="K2560" s="1"/>
      <x:c r="L2560" s="1" t="str">
        <x:v>https://blog.skyairline.com/turismo-artigas-departamento/</x:v>
      </x:c>
      <x:c r="M2560" s="1" t="n">
        <x:v>0</x:v>
      </x:c>
    </x:row>
    <x:row r="2561" ht="18.75" customHeight="1">
      <x:c r="A2561" s="1" t="str">
        <x:v>https://blog.skyairline.com/equipaje-de-mano-permitido/</x:v>
      </x:c>
      <x:c r="B2561" s="1" t="str">
        <x:v>se puede llevar pinzas en el equipaje de mano</x:v>
      </x:c>
      <x:c r="C2561" s="1" t="str">
        <x:v>chl</x:v>
      </x:c>
      <x:c r="D2561" s="1" t="str">
        <x:v>Sin marca</x:v>
      </x:c>
      <x:c r="E2561" s="35" t="n">
        <x:v>1</x:v>
      </x:c>
      <x:c r="F2561" s="36"/>
      <x:c r="G2561" s="36" t="str">
        <x:f>IF(ISNUMBER(F2561),E2561*F2561,"")</x:f>
      </x:c>
      <x:c r="H2561" s="37"/>
      <x:c r="I2561" s="37"/>
      <x:c r="J2561" s="1" t="n">
        <x:f>IF(ISNUMBER(F2561),E2561,0)</x:f>
        <x:v>0</x:v>
      </x:c>
      <x:c r="K2561" s="1"/>
      <x:c r="L2561" s="1" t="str">
        <x:v>https://blog.skyairline.com/turismo-de-naturaleza/</x:v>
      </x:c>
      <x:c r="M2561" s="1" t="n">
        <x:v>0</x:v>
      </x:c>
    </x:row>
    <x:row r="2562" ht="18.75" customHeight="1">
      <x:c r="A2562" s="1" t="str">
        <x:v>https://blog.skyairline.com/equipaje-de-mano-permitido/</x:v>
      </x:c>
      <x:c r="B2562" s="1" t="str">
        <x:v>se puede llevar prestobarba en el equipaje de mano</x:v>
      </x:c>
      <x:c r="C2562" s="1" t="str">
        <x:v>chl</x:v>
      </x:c>
      <x:c r="D2562" s="1" t="str">
        <x:v>Sin marca</x:v>
      </x:c>
      <x:c r="E2562" s="35" t="n">
        <x:v>1</x:v>
      </x:c>
      <x:c r="F2562" s="36"/>
      <x:c r="G2562" s="36" t="str">
        <x:f>IF(ISNUMBER(F2562),E2562*F2562,"")</x:f>
      </x:c>
      <x:c r="H2562" s="37"/>
      <x:c r="I2562" s="37"/>
      <x:c r="J2562" s="1" t="n">
        <x:f>IF(ISNUMBER(F2562),E2562,0)</x:f>
        <x:v>0</x:v>
      </x:c>
      <x:c r="K2562" s="1"/>
      <x:c r="L2562" s="1" t="str">
        <x:v>https://blog.skyairline.com/turismo-ecologico/</x:v>
      </x:c>
      <x:c r="M2562" s="1" t="n">
        <x:v>0</x:v>
      </x:c>
    </x:row>
    <x:row r="2563" ht="18.75" customHeight="1">
      <x:c r="A2563" s="1" t="str">
        <x:v>https://blog.skyairline.com/equipaje-de-mano-permitido/</x:v>
      </x:c>
      <x:c r="B2563" s="1" t="str">
        <x:v>se puede llevar rasuradora en el equipaje de mano</x:v>
      </x:c>
      <x:c r="C2563" s="1" t="str">
        <x:v>chl</x:v>
      </x:c>
      <x:c r="D2563" s="1" t="str">
        <x:v>Sin marca</x:v>
      </x:c>
      <x:c r="E2563" s="35" t="n">
        <x:v>1</x:v>
      </x:c>
      <x:c r="F2563" s="36"/>
      <x:c r="G2563" s="36" t="str">
        <x:f>IF(ISNUMBER(F2563),E2563*F2563,"")</x:f>
      </x:c>
      <x:c r="H2563" s="37"/>
      <x:c r="I2563" s="37"/>
      <x:c r="J2563" s="1" t="n">
        <x:f>IF(ISNUMBER(F2563),E2563,0)</x:f>
        <x:v>0</x:v>
      </x:c>
      <x:c r="K2563" s="1"/>
      <x:c r="L2563" s="1" t="str">
        <x:v>https://blog.skyairline.com/turismo-en-bogota/</x:v>
      </x:c>
      <x:c r="M2563" s="1" t="n">
        <x:v>0</x:v>
      </x:c>
    </x:row>
    <x:row r="2564" ht="18.75" customHeight="1">
      <x:c r="A2564" s="1" t="str">
        <x:v>https://blog.skyairline.com/equipaje-de-mano-permitido/</x:v>
      </x:c>
      <x:c r="B2564" s="1" t="str">
        <x:v>se pueden llevar pinzas en el avion</x:v>
      </x:c>
      <x:c r="C2564" s="1" t="str">
        <x:v>chl</x:v>
      </x:c>
      <x:c r="D2564" s="1" t="str">
        <x:v>Sin marca</x:v>
      </x:c>
      <x:c r="E2564" s="35" t="n">
        <x:v>1</x:v>
      </x:c>
      <x:c r="F2564" s="36"/>
      <x:c r="G2564" s="36" t="str">
        <x:f>IF(ISNUMBER(F2564),E2564*F2564,"")</x:f>
      </x:c>
      <x:c r="H2564" s="37"/>
      <x:c r="I2564" s="37"/>
      <x:c r="J2564" s="1" t="n">
        <x:f>IF(ISNUMBER(F2564),E2564,0)</x:f>
        <x:v>0</x:v>
      </x:c>
      <x:c r="K2564" s="1"/>
      <x:c r="L2564" s="1" t="str">
        <x:v>https://blog.skyairline.com/turismo-esquel/</x:v>
      </x:c>
      <x:c r="M2564" s="1" t="n">
        <x:v>0</x:v>
      </x:c>
    </x:row>
    <x:row r="2565" ht="18.75" customHeight="1">
      <x:c r="A2565" s="1" t="str">
        <x:v>https://blog.skyairline.com/equipaje-de-mano-permitido/</x:v>
      </x:c>
      <x:c r="B2565" s="1" t="str">
        <x:v>sky airlines bagagem de mão</x:v>
      </x:c>
      <x:c r="C2565" s="1" t="str">
        <x:v>chl</x:v>
      </x:c>
      <x:c r="D2565" s="1" t="str">
        <x:v>Marca</x:v>
      </x:c>
      <x:c r="E2565" s="35" t="n">
        <x:v>1</x:v>
      </x:c>
      <x:c r="F2565" s="36"/>
      <x:c r="G2565" s="36" t="str">
        <x:f>IF(ISNUMBER(F2565),E2565*F2565,"")</x:f>
      </x:c>
      <x:c r="H2565" s="37"/>
      <x:c r="I2565" s="37"/>
      <x:c r="J2565" s="1" t="n">
        <x:f>IF(ISNUMBER(F2565),E2565,0)</x:f>
        <x:v>0</x:v>
      </x:c>
      <x:c r="K2565" s="1"/>
      <x:c r="L2565" s="1" t="str">
        <x:v>https://blog.skyairline.com/turismo-gastronomico-2/</x:v>
      </x:c>
      <x:c r="M2565" s="1" t="n">
        <x:v>0</x:v>
      </x:c>
    </x:row>
    <x:row r="2566" ht="18.75" customHeight="1">
      <x:c r="A2566" s="1" t="str">
        <x:v>https://blog.skyairline.com/equipaje-de-mano-permitido/</x:v>
      </x:c>
      <x:c r="B2566" s="1" t="str">
        <x:v>sky airlines que puedo llevar en equipaje de mano</x:v>
      </x:c>
      <x:c r="C2566" s="1" t="str">
        <x:v>chl</x:v>
      </x:c>
      <x:c r="D2566" s="1" t="str">
        <x:v>Marca</x:v>
      </x:c>
      <x:c r="E2566" s="35" t="n">
        <x:v>1</x:v>
      </x:c>
      <x:c r="F2566" s="36"/>
      <x:c r="G2566" s="36" t="str">
        <x:f>IF(ISNUMBER(F2566),E2566*F2566,"")</x:f>
      </x:c>
      <x:c r="H2566" s="37" t="d">
        <x:v>2026-10-15T00:00:00.000Z</x:v>
      </x:c>
      <x:c r="I2566" s="37" t="d">
        <x:v>2026-09-14T06:38:48.000Z</x:v>
      </x:c>
      <x:c r="J2566" s="1" t="n">
        <x:f>IF(ISNUMBER(F2566),E2566,0)</x:f>
        <x:v>0</x:v>
      </x:c>
      <x:c r="K2566" s="1"/>
      <x:c r="L2566" s="1" t="str">
        <x:v>https://blog.skyairline.com/turismo-gastronomico-los-3-destinos-mas-populares-en-peru/</x:v>
      </x:c>
      <x:c r="M2566" s="1" t="n">
        <x:v>0</x:v>
      </x:c>
    </x:row>
    <x:row r="2567" ht="18.75" customHeight="1">
      <x:c r="A2567" s="1" t="str">
        <x:v>https://blog.skyairline.com/equipaje-de-mano-permitido/</x:v>
      </x:c>
      <x:c r="B2567" s="1" t="str">
        <x:v>sky objetos prohibidos</x:v>
      </x:c>
      <x:c r="C2567" s="1" t="str">
        <x:v>bra</x:v>
      </x:c>
      <x:c r="D2567" s="1" t="str">
        <x:v>Marca</x:v>
      </x:c>
      <x:c r="E2567" s="35" t="n">
        <x:v>1</x:v>
      </x:c>
      <x:c r="F2567" s="36"/>
      <x:c r="G2567" s="36" t="str">
        <x:f>IF(ISNUMBER(F2567),E2567*F2567,"")</x:f>
      </x:c>
      <x:c r="H2567" s="37"/>
      <x:c r="I2567" s="37"/>
      <x:c r="J2567" s="1" t="n">
        <x:f>IF(ISNUMBER(F2567),E2567,0)</x:f>
        <x:v>0</x:v>
      </x:c>
      <x:c r="K2567" s="1"/>
      <x:c r="L2567" s="1" t="str">
        <x:v>https://blog.skyairline.com/turismo-gastronomico/</x:v>
      </x:c>
      <x:c r="M2567" s="1" t="n">
        <x:v>0</x:v>
      </x:c>
    </x:row>
    <x:row r="2568" ht="18.75" customHeight="1">
      <x:c r="A2568" s="1" t="str">
        <x:v>https://blog.skyairline.com/equipaje-de-mano-permitido/</x:v>
      </x:c>
      <x:c r="B2568" s="1" t="str">
        <x:v>sky power bank</x:v>
      </x:c>
      <x:c r="C2568" s="1" t="str">
        <x:v>chl</x:v>
      </x:c>
      <x:c r="D2568" s="1" t="str">
        <x:v>Marca</x:v>
      </x:c>
      <x:c r="E2568" s="35" t="n">
        <x:v>1</x:v>
      </x:c>
      <x:c r="F2568" s="36"/>
      <x:c r="G2568" s="36" t="str">
        <x:f>IF(ISNUMBER(F2568),E2568*F2568,"")</x:f>
      </x:c>
      <x:c r="H2568" s="37"/>
      <x:c r="I2568" s="37"/>
      <x:c r="J2568" s="1" t="n">
        <x:f>IF(ISNUMBER(F2568),E2568,0)</x:f>
        <x:v>0</x:v>
      </x:c>
      <x:c r="K2568" s="1"/>
      <x:c r="L2568" s="1" t="str">
        <x:v>https://blog.skyairline.com/turismo-local-en-peru/</x:v>
      </x:c>
      <x:c r="M2568" s="1" t="n">
        <x:v>0</x:v>
      </x:c>
    </x:row>
    <x:row r="2569" ht="18.75" customHeight="1">
      <x:c r="A2569" s="1" t="str">
        <x:v>https://blog.skyairline.com/equipaje-de-mano-permitido/</x:v>
      </x:c>
      <x:c r="B2569" s="1" t="str">
        <x:v>sky que se puede llevar en equipaje de mano</x:v>
      </x:c>
      <x:c r="C2569" s="1" t="str">
        <x:v>per</x:v>
      </x:c>
      <x:c r="D2569" s="1" t="str">
        <x:v>Marca</x:v>
      </x:c>
      <x:c r="E2569" s="35" t="n">
        <x:v>1</x:v>
      </x:c>
      <x:c r="F2569" s="36"/>
      <x:c r="G2569" s="36" t="str">
        <x:f>IF(ISNUMBER(F2569),E2569*F2569,"")</x:f>
      </x:c>
      <x:c r="H2569" s="37"/>
      <x:c r="I2569" s="37"/>
      <x:c r="J2569" s="1" t="n">
        <x:f>IF(ISNUMBER(F2569),E2569,0)</x:f>
        <x:v>0</x:v>
      </x:c>
      <x:c r="K2569" s="1"/>
      <x:c r="L2569" s="1" t="str">
        <x:v>https://blog.skyairline.com/turismo-local/</x:v>
      </x:c>
      <x:c r="M2569" s="1" t="n">
        <x:v>0</x:v>
      </x:c>
    </x:row>
    <x:row r="2570" ht="18.75" customHeight="1">
      <x:c r="A2570" s="1" t="str">
        <x:v>https://blog.skyairline.com/escapada-romantica-fin-de-semana/</x:v>
      </x:c>
      <x:c r="B2570" s="1" t="str">
        <x:v>escapada de fin de semana para parejas</x:v>
      </x:c>
      <x:c r="C2570" s="1" t="str">
        <x:v>chl</x:v>
      </x:c>
      <x:c r="D2570" s="1" t="str">
        <x:v>Sin marca</x:v>
      </x:c>
      <x:c r="E2570" s="35" t="n">
        <x:v>1</x:v>
      </x:c>
      <x:c r="F2570" s="36" t="n">
        <x:v>0.36</x:v>
      </x:c>
      <x:c r="G2570" s="36" t="n">
        <x:f>IF(ISNUMBER(F2570),E2570*F2570,"")</x:f>
        <x:v>0.36</x:v>
      </x:c>
      <x:c r="H2570" s="37" t="d">
        <x:v>2026-10-15T00:00:00.000Z</x:v>
      </x:c>
      <x:c r="I2570" s="37" t="d">
        <x:v>2026-10-15T01:17:20.000Z</x:v>
      </x:c>
      <x:c r="J2570" s="1" t="n">
        <x:f>IF(ISNUMBER(F2570),E2570,0)</x:f>
        <x:v>1</x:v>
      </x:c>
      <x:c r="K2570" s="1"/>
      <x:c r="L2570" s="1" t="str">
        <x:v>https://blog.skyairline.com/turismo-tacna/</x:v>
      </x:c>
      <x:c r="M2570" s="1" t="n">
        <x:v>0</x:v>
      </x:c>
    </x:row>
    <x:row r="2571" ht="18.75" customHeight="1">
      <x:c r="A2571" s="1" t="str">
        <x:v>https://blog.skyairline.com/escapada-romantica-fin-de-semana/</x:v>
      </x:c>
      <x:c r="B2571" s="1" t="str">
        <x:v>escapada fin de semana pareja</x:v>
      </x:c>
      <x:c r="C2571" s="1" t="str">
        <x:v>chl</x:v>
      </x:c>
      <x:c r="D2571" s="1" t="str">
        <x:v>Sin marca</x:v>
      </x:c>
      <x:c r="E2571" s="35" t="n">
        <x:v>1</x:v>
      </x:c>
      <x:c r="F2571" s="36" t="n">
        <x:v>0.74</x:v>
      </x:c>
      <x:c r="G2571" s="36" t="n">
        <x:f>IF(ISNUMBER(F2571),E2571*F2571,"")</x:f>
        <x:v>0.74</x:v>
      </x:c>
      <x:c r="H2571" s="37" t="d">
        <x:v>2026-10-15T00:00:00.000Z</x:v>
      </x:c>
      <x:c r="I2571" s="37" t="d">
        <x:v>2026-09-15T12:19:04.000Z</x:v>
      </x:c>
      <x:c r="J2571" s="1" t="n">
        <x:f>IF(ISNUMBER(F2571),E2571,0)</x:f>
        <x:v>1</x:v>
      </x:c>
      <x:c r="K2571" s="1"/>
      <x:c r="L2571" s="1" t="str">
        <x:v>https://blog.skyairline.com/turismo-vivencial/</x:v>
      </x:c>
      <x:c r="M2571" s="1" t="n">
        <x:v>0</x:v>
      </x:c>
    </x:row>
    <x:row r="2572" ht="18.75" customHeight="1">
      <x:c r="A2572" s="1" t="str">
        <x:v>https://blog.skyairline.com/escapada-romantica-fin-de-semana/</x:v>
      </x:c>
      <x:c r="B2572" s="1" t="str">
        <x:v>escapadas de fin de semana en pareja</x:v>
      </x:c>
      <x:c r="C2572" s="1" t="str">
        <x:v>chl</x:v>
      </x:c>
      <x:c r="D2572" s="1" t="str">
        <x:v>Sin marca</x:v>
      </x:c>
      <x:c r="E2572" s="35" t="n">
        <x:v>1</x:v>
      </x:c>
      <x:c r="F2572" s="36" t="n">
        <x:v>0.74</x:v>
      </x:c>
      <x:c r="G2572" s="36" t="n">
        <x:f>IF(ISNUMBER(F2572),E2572*F2572,"")</x:f>
        <x:v>0.74</x:v>
      </x:c>
      <x:c r="H2572" s="37" t="d">
        <x:v>2026-10-15T00:00:00.000Z</x:v>
      </x:c>
      <x:c r="I2572" s="37" t="d">
        <x:v>2026-09-17T09:08:36.000Z</x:v>
      </x:c>
      <x:c r="J2572" s="1" t="n">
        <x:f>IF(ISNUMBER(F2572),E2572,0)</x:f>
        <x:v>1</x:v>
      </x:c>
      <x:c r="K2572" s="1"/>
      <x:c r="L2572" s="1" t="str">
        <x:v>https://blog.skyairline.com/turistas-gastronomicos/</x:v>
      </x:c>
      <x:c r="M2572" s="1" t="n">
        <x:v>0</x:v>
      </x:c>
    </x:row>
    <x:row r="2573" ht="18.75" customHeight="1">
      <x:c r="A2573" s="1" t="str">
        <x:v>https://blog.skyairline.com/escapada-romantica-fin-de-semana/</x:v>
      </x:c>
      <x:c r="B2573" s="1" t="str">
        <x:v>escapadas romanticas fin de semana</x:v>
      </x:c>
      <x:c r="C2573" s="1" t="str">
        <x:v>chl</x:v>
      </x:c>
      <x:c r="D2573" s="1" t="str">
        <x:v>Sin marca</x:v>
      </x:c>
      <x:c r="E2573" s="35" t="n">
        <x:v>1</x:v>
      </x:c>
      <x:c r="F2573" s="36" t="n">
        <x:v>0.88</x:v>
      </x:c>
      <x:c r="G2573" s="36" t="n">
        <x:f>IF(ISNUMBER(F2573),E2573*F2573,"")</x:f>
        <x:v>0.88</x:v>
      </x:c>
      <x:c r="H2573" s="37" t="d">
        <x:v>2026-10-15T00:00:00.000Z</x:v>
      </x:c>
      <x:c r="I2573" s="37" t="d">
        <x:v>2026-09-15T02:14:39.000Z</x:v>
      </x:c>
      <x:c r="J2573" s="1" t="n">
        <x:f>IF(ISNUMBER(F2573),E2573,0)</x:f>
        <x:v>1</x:v>
      </x:c>
      <x:c r="K2573" s="1"/>
      <x:c r="L2573" s="1" t="str">
        <x:v>https://blog.skyairline.com/turisticos-2/</x:v>
      </x:c>
      <x:c r="M2573" s="1" t="n">
        <x:v>0</x:v>
      </x:c>
    </x:row>
    <x:row r="2574" ht="18.75" customHeight="1">
      <x:c r="A2574" s="1" t="str">
        <x:v>https://blog.skyairline.com/escapada-romantica-fin-de-semana/</x:v>
      </x:c>
      <x:c r="B2574" s="1" t="str">
        <x:v>escapadas románticas fin de semana</x:v>
      </x:c>
      <x:c r="C2574" s="1" t="str">
        <x:v>chl</x:v>
      </x:c>
      <x:c r="D2574" s="1" t="str">
        <x:v>Sin marca</x:v>
      </x:c>
      <x:c r="E2574" s="35" t="n">
        <x:v>1</x:v>
      </x:c>
      <x:c r="F2574" s="36" t="n">
        <x:v>0.88</x:v>
      </x:c>
      <x:c r="G2574" s="36" t="n">
        <x:f>IF(ISNUMBER(F2574),E2574*F2574,"")</x:f>
        <x:v>0.88</x:v>
      </x:c>
      <x:c r="H2574" s="37" t="d">
        <x:v>2026-10-15T00:00:00.000Z</x:v>
      </x:c>
      <x:c r="I2574" s="37" t="d">
        <x:v>2026-09-14T07:37:05.000Z</x:v>
      </x:c>
      <x:c r="J2574" s="1" t="n">
        <x:f>IF(ISNUMBER(F2574),E2574,0)</x:f>
        <x:v>1</x:v>
      </x:c>
      <x:c r="K2574" s="1"/>
      <x:c r="L2574" s="1" t="str">
        <x:v>https://blog.skyairline.com/uruguay/</x:v>
      </x:c>
      <x:c r="M2574" s="1" t="n">
        <x:v>0</x:v>
      </x:c>
    </x:row>
    <x:row r="2575" ht="18.75" customHeight="1">
      <x:c r="A2575" s="1" t="str">
        <x:v>https://blog.skyairline.com/escapada-romantica-fin-de-semana/</x:v>
      </x:c>
      <x:c r="B2575" s="1" t="str">
        <x:v>salida en pareja fin de semana</x:v>
      </x:c>
      <x:c r="C2575" s="1" t="str">
        <x:v>chl</x:v>
      </x:c>
      <x:c r="D2575" s="1" t="str">
        <x:v>Sin marca</x:v>
      </x:c>
      <x:c r="E2575" s="35" t="n">
        <x:v>1</x:v>
      </x:c>
      <x:c r="F2575" s="36"/>
      <x:c r="G2575" s="36" t="str">
        <x:f>IF(ISNUMBER(F2575),E2575*F2575,"")</x:f>
      </x:c>
      <x:c r="H2575" s="37"/>
      <x:c r="I2575" s="37"/>
      <x:c r="J2575" s="1" t="n">
        <x:f>IF(ISNUMBER(F2575),E2575,0)</x:f>
        <x:v>0</x:v>
      </x:c>
      <x:c r="K2575" s="1"/>
      <x:c r="L2575" s="1" t="str">
        <x:v>https://blog.skyairline.com/ushuaia/</x:v>
      </x:c>
      <x:c r="M2575" s="1" t="n">
        <x:v>0</x:v>
      </x:c>
    </x:row>
    <x:row r="2576" ht="18.75" customHeight="1">
      <x:c r="A2576" s="1" t="str">
        <x:v>https://blog.skyairline.com/escoger-una-maleta/</x:v>
      </x:c>
      <x:c r="B2576" s="1" t="str">
        <x:v>bolso de mano sky medidas</x:v>
      </x:c>
      <x:c r="C2576" s="1" t="str">
        <x:v>chl</x:v>
      </x:c>
      <x:c r="D2576" s="1" t="str">
        <x:v>Marca</x:v>
      </x:c>
      <x:c r="E2576" s="35" t="n">
        <x:v>1</x:v>
      </x:c>
      <x:c r="F2576" s="36" t="n">
        <x:v>0.02</x:v>
      </x:c>
      <x:c r="G2576" s="36" t="n">
        <x:f>IF(ISNUMBER(F2576),E2576*F2576,"")</x:f>
        <x:v>0.02</x:v>
      </x:c>
      <x:c r="H2576" s="37" t="d">
        <x:v>2026-10-15T00:00:00.000Z</x:v>
      </x:c>
      <x:c r="I2576" s="37" t="d">
        <x:v>2026-09-16T18:49:32.000Z</x:v>
      </x:c>
      <x:c r="J2576" s="1" t="n">
        <x:f>IF(ISNUMBER(F2576),E2576,0)</x:f>
        <x:v>1</x:v>
      </x:c>
      <x:c r="K2576" s="1"/>
      <x:c r="L2576" s="1" t="str">
        <x:v>https://blog.skyairline.com/vacaciones-2/</x:v>
      </x:c>
      <x:c r="M2576" s="1" t="n">
        <x:v>0</x:v>
      </x:c>
    </x:row>
    <x:row r="2577" ht="18.75" customHeight="1">
      <x:c r="A2577" s="1" t="str">
        <x:v>https://blog.skyairline.com/escoger-una-maleta/</x:v>
      </x:c>
      <x:c r="B2577" s="1" t="str">
        <x:v>carry on sky medidas</x:v>
      </x:c>
      <x:c r="C2577" s="1" t="str">
        <x:v>per</x:v>
      </x:c>
      <x:c r="D2577" s="1" t="str">
        <x:v>Marca</x:v>
      </x:c>
      <x:c r="E2577" s="35" t="n">
        <x:v>1</x:v>
      </x:c>
      <x:c r="F2577" s="36"/>
      <x:c r="G2577" s="36" t="str">
        <x:f>IF(ISNUMBER(F2577),E2577*F2577,"")</x:f>
      </x:c>
      <x:c r="H2577" s="37"/>
      <x:c r="I2577" s="37"/>
      <x:c r="J2577" s="1" t="n">
        <x:f>IF(ISNUMBER(F2577),E2577,0)</x:f>
        <x:v>0</x:v>
      </x:c>
      <x:c r="K2577" s="1"/>
      <x:c r="L2577" s="1" t="str">
        <x:v>https://blog.skyairline.com/vacaciones-3/</x:v>
      </x:c>
      <x:c r="M2577" s="1" t="n">
        <x:v>0</x:v>
      </x:c>
    </x:row>
    <x:row r="2578" ht="18.75" customHeight="1">
      <x:c r="A2578" s="1" t="str">
        <x:v>https://blog.skyairline.com/escoger-una-maleta/</x:v>
      </x:c>
      <x:c r="B2578" s="1" t="str">
        <x:v>dimensiones equipaje de mano sky</x:v>
      </x:c>
      <x:c r="C2578" s="1" t="str">
        <x:v>chl</x:v>
      </x:c>
      <x:c r="D2578" s="1" t="str">
        <x:v>Marca</x:v>
      </x:c>
      <x:c r="E2578" s="35" t="n">
        <x:v>1</x:v>
      </x:c>
      <x:c r="F2578" s="36"/>
      <x:c r="G2578" s="36" t="str">
        <x:f>IF(ISNUMBER(F2578),E2578*F2578,"")</x:f>
      </x:c>
      <x:c r="H2578" s="37"/>
      <x:c r="I2578" s="37"/>
      <x:c r="J2578" s="1" t="n">
        <x:f>IF(ISNUMBER(F2578),E2578,0)</x:f>
        <x:v>0</x:v>
      </x:c>
      <x:c r="K2578" s="1"/>
      <x:c r="L2578" s="1" t="str">
        <x:v>https://blog.skyairline.com/vacaciones-4/</x:v>
      </x:c>
      <x:c r="M2578" s="1" t="n">
        <x:v>0</x:v>
      </x:c>
    </x:row>
    <x:row r="2579" ht="18.75" customHeight="1">
      <x:c r="A2579" s="1" t="str">
        <x:v>https://blog.skyairline.com/escoger-una-maleta/</x:v>
      </x:c>
      <x:c r="B2579" s="1" t="str">
        <x:v>equipaje de mano sky medidas</x:v>
      </x:c>
      <x:c r="C2579" s="1" t="str">
        <x:v>chl</x:v>
      </x:c>
      <x:c r="D2579" s="1" t="str">
        <x:v>Marca</x:v>
      </x:c>
      <x:c r="E2579" s="35" t="n">
        <x:v>1</x:v>
      </x:c>
      <x:c r="F2579" s="36" t="n">
        <x:v>0.95</x:v>
      </x:c>
      <x:c r="G2579" s="36" t="n">
        <x:f>IF(ISNUMBER(F2579),E2579*F2579,"")</x:f>
        <x:v>0.95</x:v>
      </x:c>
      <x:c r="H2579" s="37" t="d">
        <x:v>2026-10-15T00:00:00.000Z</x:v>
      </x:c>
      <x:c r="I2579" s="37" t="d">
        <x:v>2026-09-16T21:38:35.000Z</x:v>
      </x:c>
      <x:c r="J2579" s="1" t="n">
        <x:f>IF(ISNUMBER(F2579),E2579,0)</x:f>
        <x:v>1</x:v>
      </x:c>
      <x:c r="K2579" s="1"/>
      <x:c r="L2579" s="1" t="str">
        <x:v>https://blog.skyairline.com/vacaciones-brasil/</x:v>
      </x:c>
      <x:c r="M2579" s="1" t="n">
        <x:v>0</x:v>
      </x:c>
    </x:row>
    <x:row r="2580" ht="18.75" customHeight="1">
      <x:c r="A2580" s="1" t="str">
        <x:v>https://blog.skyairline.com/escoger-una-maleta/</x:v>
      </x:c>
      <x:c r="B2580" s="1" t="str">
        <x:v>equipaje de mano sky medidas</x:v>
      </x:c>
      <x:c r="C2580" s="1" t="str">
        <x:v>per</x:v>
      </x:c>
      <x:c r="D2580" s="1" t="str">
        <x:v>Marca</x:v>
      </x:c>
      <x:c r="E2580" s="35" t="n">
        <x:v>1</x:v>
      </x:c>
      <x:c r="F2580" s="36"/>
      <x:c r="G2580" s="36" t="str">
        <x:f>IF(ISNUMBER(F2580),E2580*F2580,"")</x:f>
      </x:c>
      <x:c r="H2580" s="37" t="d">
        <x:v>2026-10-15T00:00:00.000Z</x:v>
      </x:c>
      <x:c r="I2580" s="37" t="d">
        <x:v>2026-10-15T15:02:04.000Z</x:v>
      </x:c>
      <x:c r="J2580" s="1" t="n">
        <x:f>IF(ISNUMBER(F2580),E2580,0)</x:f>
        <x:v>0</x:v>
      </x:c>
      <x:c r="K2580" s="1"/>
      <x:c r="L2580" s="1" t="str">
        <x:v>https://blog.skyairline.com/vacaciones-de-invierno-2022-sao-paulo-rio-de-janeiro-y-buenos-aires-son-los-destinos-favoritos-para-julio/</x:v>
      </x:c>
      <x:c r="M2580" s="1" t="n">
        <x:v>0</x:v>
      </x:c>
    </x:row>
    <x:row r="2581" ht="18.75" customHeight="1">
      <x:c r="A2581" s="1" t="str">
        <x:v>https://blog.skyairline.com/escoger-una-maleta/</x:v>
      </x:c>
      <x:c r="B2581" s="1" t="str">
        <x:v>equipaje en cabina sky</x:v>
      </x:c>
      <x:c r="C2581" s="1" t="str">
        <x:v>chl</x:v>
      </x:c>
      <x:c r="D2581" s="1" t="str">
        <x:v>Marca</x:v>
      </x:c>
      <x:c r="E2581" s="35" t="n">
        <x:v>1</x:v>
      </x:c>
      <x:c r="F2581" s="36"/>
      <x:c r="G2581" s="36" t="str">
        <x:f>IF(ISNUMBER(F2581),E2581*F2581,"")</x:f>
      </x:c>
      <x:c r="H2581" s="37" t="d">
        <x:v>2026-10-15T00:00:00.000Z</x:v>
      </x:c>
      <x:c r="I2581" s="37" t="d">
        <x:v>2026-09-14T12:50:03.000Z</x:v>
      </x:c>
      <x:c r="J2581" s="1" t="n">
        <x:f>IF(ISNUMBER(F2581),E2581,0)</x:f>
        <x:v>0</x:v>
      </x:c>
      <x:c r="K2581" s="1"/>
      <x:c r="L2581" s="1" t="str">
        <x:v>https://blog.skyairline.com/vacaciones-de-invierno/</x:v>
      </x:c>
      <x:c r="M2581" s="1" t="n">
        <x:v>0</x:v>
      </x:c>
    </x:row>
    <x:row r="2582" ht="18.75" customHeight="1">
      <x:c r="A2582" s="1" t="str">
        <x:v>https://blog.skyairline.com/escoger-una-maleta/</x:v>
      </x:c>
      <x:c r="B2582" s="1" t="str">
        <x:v>equipaje en cabina sky medidas</x:v>
      </x:c>
      <x:c r="C2582" s="1" t="str">
        <x:v>per</x:v>
      </x:c>
      <x:c r="D2582" s="1" t="str">
        <x:v>Marca</x:v>
      </x:c>
      <x:c r="E2582" s="35" t="n">
        <x:v>1</x:v>
      </x:c>
      <x:c r="F2582" s="36" t="n">
        <x:v>0.96</x:v>
      </x:c>
      <x:c r="G2582" s="36" t="n">
        <x:f>IF(ISNUMBER(F2582),E2582*F2582,"")</x:f>
        <x:v>0.96</x:v>
      </x:c>
      <x:c r="H2582" s="37" t="d">
        <x:v>2026-10-15T00:00:00.000Z</x:v>
      </x:c>
      <x:c r="I2582" s="37" t="d">
        <x:v>2026-09-12T22:22:16.000Z</x:v>
      </x:c>
      <x:c r="J2582" s="1" t="n">
        <x:f>IF(ISNUMBER(F2582),E2582,0)</x:f>
        <x:v>1</x:v>
      </x:c>
      <x:c r="K2582" s="1"/>
      <x:c r="L2582" s="1" t="str">
        <x:v>https://blog.skyairline.com/vacaciones-de-verano/</x:v>
      </x:c>
      <x:c r="M2582" s="1" t="n">
        <x:v>0</x:v>
      </x:c>
    </x:row>
    <x:row r="2583" ht="18.75" customHeight="1">
      <x:c r="A2583" s="1" t="str">
        <x:v>https://blog.skyairline.com/escoger-una-maleta/</x:v>
      </x:c>
      <x:c r="B2583" s="1" t="str">
        <x:v>equipaje sky medidas</x:v>
      </x:c>
      <x:c r="C2583" s="1" t="str">
        <x:v>chl</x:v>
      </x:c>
      <x:c r="D2583" s="1" t="str">
        <x:v>Marca</x:v>
      </x:c>
      <x:c r="E2583" s="35" t="n">
        <x:v>1</x:v>
      </x:c>
      <x:c r="F2583" s="36"/>
      <x:c r="G2583" s="36" t="str">
        <x:f>IF(ISNUMBER(F2583),E2583*F2583,"")</x:f>
      </x:c>
      <x:c r="H2583" s="37" t="d">
        <x:v>2026-10-15T00:00:00.000Z</x:v>
      </x:c>
      <x:c r="I2583" s="37" t="d">
        <x:v>2026-09-17T01:51:18.999Z</x:v>
      </x:c>
      <x:c r="J2583" s="1" t="n">
        <x:f>IF(ISNUMBER(F2583),E2583,0)</x:f>
        <x:v>0</x:v>
      </x:c>
      <x:c r="K2583" s="1"/>
      <x:c r="L2583" s="1" t="str">
        <x:v>https://blog.skyairline.com/vacaciones-decembrinas/</x:v>
      </x:c>
      <x:c r="M2583" s="1" t="n">
        <x:v>0</x:v>
      </x:c>
    </x:row>
    <x:row r="2584" ht="18.75" customHeight="1">
      <x:c r="A2584" s="1" t="str">
        <x:v>https://blog.skyairline.com/escoger-una-maleta/</x:v>
      </x:c>
      <x:c r="B2584" s="1" t="str">
        <x:v>maleta de cabina medidas sky</x:v>
      </x:c>
      <x:c r="C2584" s="1" t="str">
        <x:v>chl</x:v>
      </x:c>
      <x:c r="D2584" s="1" t="str">
        <x:v>Marca</x:v>
      </x:c>
      <x:c r="E2584" s="35" t="n">
        <x:v>1</x:v>
      </x:c>
      <x:c r="F2584" s="36" t="n">
        <x:v>0.19</x:v>
      </x:c>
      <x:c r="G2584" s="36" t="n">
        <x:f>IF(ISNUMBER(F2584),E2584*F2584,"")</x:f>
        <x:v>0.19</x:v>
      </x:c>
      <x:c r="H2584" s="37" t="d">
        <x:v>2026-10-15T00:00:00.000Z</x:v>
      </x:c>
      <x:c r="I2584" s="37" t="d">
        <x:v>2026-09-16T18:10:03.999Z</x:v>
      </x:c>
      <x:c r="J2584" s="1" t="n">
        <x:f>IF(ISNUMBER(F2584),E2584,0)</x:f>
        <x:v>1</x:v>
      </x:c>
      <x:c r="K2584" s="1"/>
      <x:c r="L2584" s="1" t="str">
        <x:v>https://blog.skyairline.com/vacaciones-en-familia/</x:v>
      </x:c>
      <x:c r="M2584" s="1" t="n">
        <x:v>0</x:v>
      </x:c>
    </x:row>
    <x:row r="2585" ht="18.75" customHeight="1">
      <x:c r="A2585" s="1" t="str">
        <x:v>https://blog.skyairline.com/escoger-una-maleta/</x:v>
      </x:c>
      <x:c r="B2585" s="1" t="str">
        <x:v>medidas carry on sky airlines</x:v>
      </x:c>
      <x:c r="C2585" s="1" t="str">
        <x:v>per</x:v>
      </x:c>
      <x:c r="D2585" s="1" t="str">
        <x:v>Marca</x:v>
      </x:c>
      <x:c r="E2585" s="35" t="n">
        <x:v>1</x:v>
      </x:c>
      <x:c r="F2585" s="36"/>
      <x:c r="G2585" s="36" t="str">
        <x:f>IF(ISNUMBER(F2585),E2585*F2585,"")</x:f>
      </x:c>
      <x:c r="H2585" s="37"/>
      <x:c r="I2585" s="37"/>
      <x:c r="J2585" s="1" t="n">
        <x:f>IF(ISNUMBER(F2585),E2585,0)</x:f>
        <x:v>0</x:v>
      </x:c>
      <x:c r="K2585" s="1"/>
      <x:c r="L2585" s="1" t="str">
        <x:v>https://blog.skyairline.com/vacaciones-en-miami/</x:v>
      </x:c>
      <x:c r="M2585" s="1" t="n">
        <x:v>0</x:v>
      </x:c>
    </x:row>
    <x:row r="2586" ht="18.75" customHeight="1">
      <x:c r="A2586" s="1" t="str">
        <x:v>https://blog.skyairline.com/escoger-una-maleta/</x:v>
      </x:c>
      <x:c r="B2586" s="1" t="str">
        <x:v>medidas de equipaje sky</x:v>
      </x:c>
      <x:c r="C2586" s="1" t="str">
        <x:v>ury</x:v>
      </x:c>
      <x:c r="D2586" s="1" t="str">
        <x:v>Marca</x:v>
      </x:c>
      <x:c r="E2586" s="35" t="n">
        <x:v>1</x:v>
      </x:c>
      <x:c r="F2586" s="36"/>
      <x:c r="G2586" s="36" t="str">
        <x:f>IF(ISNUMBER(F2586),E2586*F2586,"")</x:f>
      </x:c>
      <x:c r="H2586" s="37"/>
      <x:c r="I2586" s="37"/>
      <x:c r="J2586" s="1" t="n">
        <x:f>IF(ISNUMBER(F2586),E2586,0)</x:f>
        <x:v>0</x:v>
      </x:c>
      <x:c r="K2586" s="1"/>
      <x:c r="L2586" s="1" t="str">
        <x:v>https://blog.skyairline.com/vacaciones-en-temuco/</x:v>
      </x:c>
      <x:c r="M2586" s="1" t="n">
        <x:v>0</x:v>
      </x:c>
    </x:row>
    <x:row r="2587" ht="18.75" customHeight="1">
      <x:c r="A2587" s="1" t="str">
        <x:v>https://blog.skyairline.com/escoger-una-maleta/</x:v>
      </x:c>
      <x:c r="B2587" s="1" t="str">
        <x:v>medidas equipaje de cabina sky</x:v>
      </x:c>
      <x:c r="C2587" s="1" t="str">
        <x:v>chl</x:v>
      </x:c>
      <x:c r="D2587" s="1" t="str">
        <x:v>Marca</x:v>
      </x:c>
      <x:c r="E2587" s="35" t="n">
        <x:v>1</x:v>
      </x:c>
      <x:c r="F2587" s="36"/>
      <x:c r="G2587" s="36" t="str">
        <x:f>IF(ISNUMBER(F2587),E2587*F2587,"")</x:f>
      </x:c>
      <x:c r="H2587" s="37" t="d">
        <x:v>2026-10-15T00:00:00.000Z</x:v>
      </x:c>
      <x:c r="I2587" s="37" t="d">
        <x:v>2026-09-17T07:10:34.000Z</x:v>
      </x:c>
      <x:c r="J2587" s="1" t="n">
        <x:f>IF(ISNUMBER(F2587),E2587,0)</x:f>
        <x:v>0</x:v>
      </x:c>
      <x:c r="K2587" s="1"/>
      <x:c r="L2587" s="1" t="str">
        <x:v>https://blog.skyairline.com/vacaciones-familiares/</x:v>
      </x:c>
      <x:c r="M2587" s="1" t="n">
        <x:v>0</x:v>
      </x:c>
    </x:row>
    <x:row r="2588" ht="18.75" customHeight="1">
      <x:c r="A2588" s="1" t="str">
        <x:v>https://blog.skyairline.com/escoger-una-maleta/</x:v>
      </x:c>
      <x:c r="B2588" s="1" t="str">
        <x:v>medidas maleta cabina sky</x:v>
      </x:c>
      <x:c r="C2588" s="1" t="str">
        <x:v>chl</x:v>
      </x:c>
      <x:c r="D2588" s="1" t="str">
        <x:v>Marca</x:v>
      </x:c>
      <x:c r="E2588" s="35" t="n">
        <x:v>1</x:v>
      </x:c>
      <x:c r="F2588" s="36"/>
      <x:c r="G2588" s="36" t="str">
        <x:f>IF(ISNUMBER(F2588),E2588*F2588,"")</x:f>
      </x:c>
      <x:c r="H2588" s="37" t="d">
        <x:v>2026-10-15T00:00:00.000Z</x:v>
      </x:c>
      <x:c r="I2588" s="37" t="d">
        <x:v>2026-09-12T20:36:57.000Z</x:v>
      </x:c>
      <x:c r="J2588" s="1" t="n">
        <x:f>IF(ISNUMBER(F2588),E2588,0)</x:f>
        <x:v>0</x:v>
      </x:c>
      <x:c r="K2588" s="1"/>
      <x:c r="L2588" s="1" t="str">
        <x:v>https://blog.skyairline.com/vacaciones/</x:v>
      </x:c>
      <x:c r="M2588" s="1" t="n">
        <x:v>0</x:v>
      </x:c>
    </x:row>
    <x:row r="2589" ht="18.75" customHeight="1">
      <x:c r="A2589" s="1" t="str">
        <x:v>https://blog.skyairline.com/escoger-una-maleta/</x:v>
      </x:c>
      <x:c r="B2589" s="1" t="str">
        <x:v>medidas maletas sky</x:v>
      </x:c>
      <x:c r="C2589" s="1" t="str">
        <x:v>chl</x:v>
      </x:c>
      <x:c r="D2589" s="1" t="str">
        <x:v>Marca</x:v>
      </x:c>
      <x:c r="E2589" s="35" t="n">
        <x:v>1</x:v>
      </x:c>
      <x:c r="F2589" s="36" t="n">
        <x:v>0.06</x:v>
      </x:c>
      <x:c r="G2589" s="36" t="n">
        <x:f>IF(ISNUMBER(F2589),E2589*F2589,"")</x:f>
        <x:v>0.06</x:v>
      </x:c>
      <x:c r="H2589" s="37" t="d">
        <x:v>2026-10-15T00:00:00.000Z</x:v>
      </x:c>
      <x:c r="I2589" s="37" t="d">
        <x:v>2026-10-15T08:12:02.000Z</x:v>
      </x:c>
      <x:c r="J2589" s="1" t="n">
        <x:f>IF(ISNUMBER(F2589),E2589,0)</x:f>
        <x:v>1</x:v>
      </x:c>
      <x:c r="K2589" s="1"/>
      <x:c r="L2589" s="1" t="str">
        <x:v>https://blog.skyairline.com/vacunacion-en-latinoamerica/</x:v>
      </x:c>
      <x:c r="M2589" s="1" t="n">
        <x:v>0</x:v>
      </x:c>
    </x:row>
    <x:row r="2590" ht="18.75" customHeight="1">
      <x:c r="A2590" s="1" t="str">
        <x:v>https://blog.skyairline.com/escoger-una-maleta/</x:v>
      </x:c>
      <x:c r="B2590" s="1" t="str">
        <x:v>medidas maletas sky</x:v>
      </x:c>
      <x:c r="C2590" s="1" t="str">
        <x:v>per</x:v>
      </x:c>
      <x:c r="D2590" s="1" t="str">
        <x:v>Marca</x:v>
      </x:c>
      <x:c r="E2590" s="35" t="n">
        <x:v>1</x:v>
      </x:c>
      <x:c r="F2590" s="36"/>
      <x:c r="G2590" s="36" t="str">
        <x:f>IF(ISNUMBER(F2590),E2590*F2590,"")</x:f>
      </x:c>
      <x:c r="H2590" s="37"/>
      <x:c r="I2590" s="37"/>
      <x:c r="J2590" s="1" t="n">
        <x:f>IF(ISNUMBER(F2590),E2590,0)</x:f>
        <x:v>0</x:v>
      </x:c>
      <x:c r="K2590" s="1"/>
      <x:c r="L2590" s="1" t="str">
        <x:v>https://blog.skyairline.com/vacunas-brasil</x:v>
      </x:c>
      <x:c r="M2590" s="1" t="n">
        <x:v>0</x:v>
      </x:c>
    </x:row>
    <x:row r="2591" ht="18.75" customHeight="1">
      <x:c r="A2591" s="1" t="str">
        <x:v>https://blog.skyairline.com/escoger-una-maleta/</x:v>
      </x:c>
      <x:c r="B2591" s="1" t="str">
        <x:v>sky maletas medidas</x:v>
      </x:c>
      <x:c r="C2591" s="1" t="str">
        <x:v>chl</x:v>
      </x:c>
      <x:c r="D2591" s="1" t="str">
        <x:v>Marca</x:v>
      </x:c>
      <x:c r="E2591" s="35" t="n">
        <x:v>1</x:v>
      </x:c>
      <x:c r="F2591" s="36"/>
      <x:c r="G2591" s="36" t="str">
        <x:f>IF(ISNUMBER(F2591),E2591*F2591,"")</x:f>
      </x:c>
      <x:c r="H2591" s="37"/>
      <x:c r="I2591" s="37"/>
      <x:c r="J2591" s="1" t="n">
        <x:f>IF(ISNUMBER(F2591),E2591,0)</x:f>
        <x:v>0</x:v>
      </x:c>
      <x:c r="K2591" s="1"/>
      <x:c r="L2591" s="1" t="str">
        <x:v>https://blog.skyairline.com/velocidad-avion</x:v>
      </x:c>
      <x:c r="M2591" s="1" t="n">
        <x:v>0</x:v>
      </x:c>
    </x:row>
    <x:row r="2592" ht="18.75" customHeight="1">
      <x:c r="A2592" s="1" t="str">
        <x:v>https://blog.skyairline.com/escoger-una-maleta/</x:v>
      </x:c>
      <x:c r="B2592" s="1" t="str">
        <x:v>sky medidas equipaje</x:v>
      </x:c>
      <x:c r="C2592" s="1" t="str">
        <x:v>chl</x:v>
      </x:c>
      <x:c r="D2592" s="1" t="str">
        <x:v>Marca</x:v>
      </x:c>
      <x:c r="E2592" s="35" t="n">
        <x:v>1</x:v>
      </x:c>
      <x:c r="F2592" s="36"/>
      <x:c r="G2592" s="36" t="str">
        <x:f>IF(ISNUMBER(F2592),E2592*F2592,"")</x:f>
      </x:c>
      <x:c r="H2592" s="37" t="d">
        <x:v>2026-10-15T00:00:00.000Z</x:v>
      </x:c>
      <x:c r="I2592" s="37" t="d">
        <x:v>2026-09-14T10:28:42.000Z</x:v>
      </x:c>
      <x:c r="J2592" s="1" t="n">
        <x:f>IF(ISNUMBER(F2592),E2592,0)</x:f>
        <x:v>0</x:v>
      </x:c>
      <x:c r="K2592" s="1"/>
      <x:c r="L2592" s="1" t="str">
        <x:v>https://blog.skyairline.com/velocidad-de-un-avion-que-tan-rapido-es-y-otros-datos-que-te-sorprenderan/</x:v>
      </x:c>
      <x:c r="M2592" s="1" t="n">
        <x:v>0</x:v>
      </x:c>
    </x:row>
    <x:row r="2593" ht="18.75" customHeight="1">
      <x:c r="A2593" s="1" t="str">
        <x:v>https://blog.skyairline.com/esquiar-en-bariloche/</x:v>
      </x:c>
      <x:c r="B2593" s="1" t="str">
        <x:v>donde esquiar en bariloche</x:v>
      </x:c>
      <x:c r="C2593" s="1" t="str">
        <x:v>chl</x:v>
      </x:c>
      <x:c r="D2593" s="1" t="str">
        <x:v>Sin marca</x:v>
      </x:c>
      <x:c r="E2593" s="35" t="n">
        <x:v>1</x:v>
      </x:c>
      <x:c r="F2593" s="36" t="n">
        <x:v>1.68</x:v>
      </x:c>
      <x:c r="G2593" s="36" t="n">
        <x:f>IF(ISNUMBER(F2593),E2593*F2593,"")</x:f>
        <x:v>1.68</x:v>
      </x:c>
      <x:c r="H2593" s="37" t="d">
        <x:v>2026-10-15T00:00:00.000Z</x:v>
      </x:c>
      <x:c r="I2593" s="37" t="d">
        <x:v>2026-09-16T22:55:35.000Z</x:v>
      </x:c>
      <x:c r="J2593" s="1" t="n">
        <x:f>IF(ISNUMBER(F2593),E2593,0)</x:f>
        <x:v>1</x:v>
      </x:c>
      <x:c r="K2593" s="1"/>
      <x:c r="L2593" s="1" t="str">
        <x:v>https://blog.skyairline.com/ver-el-otono-en-chile/</x:v>
      </x:c>
      <x:c r="M2593" s="1" t="n">
        <x:v>0</x:v>
      </x:c>
    </x:row>
    <x:row r="2594" ht="18.75" customHeight="1">
      <x:c r="A2594" s="1" t="str">
        <x:v>https://blog.skyairline.com/estacionamiento-aeropuerto-santiago/</x:v>
      </x:c>
      <x:c r="B2594" s="1" t="str">
        <x:v>cual es el mejor estacionamiento en el aeropuerto de santiago</x:v>
      </x:c>
      <x:c r="C2594" s="1" t="str">
        <x:v>chl</x:v>
      </x:c>
      <x:c r="D2594" s="1" t="str">
        <x:v>Sin marca</x:v>
      </x:c>
      <x:c r="E2594" s="35" t="n">
        <x:v>1</x:v>
      </x:c>
      <x:c r="F2594" s="36" t="n">
        <x:v>0.35</x:v>
      </x:c>
      <x:c r="G2594" s="36" t="n">
        <x:f>IF(ISNUMBER(F2594),E2594*F2594,"")</x:f>
        <x:v>0.35</x:v>
      </x:c>
      <x:c r="H2594" s="37" t="d">
        <x:v>2026-10-15T00:00:00.000Z</x:v>
      </x:c>
      <x:c r="I2594" s="37" t="d">
        <x:v>2026-09-15T04:28:21.999Z</x:v>
      </x:c>
      <x:c r="J2594" s="1" t="n">
        <x:f>IF(ISNUMBER(F2594),E2594,0)</x:f>
        <x:v>1</x:v>
      </x:c>
      <x:c r="K2594" s="1"/>
      <x:c r="L2594" s="1" t="str">
        <x:v>https://blog.skyairline.com/verano-2025-ocho-destinos-imperdibles-para-esta-destinos/</x:v>
      </x:c>
      <x:c r="M2594" s="1" t="n">
        <x:v>0</x:v>
      </x:c>
    </x:row>
    <x:row r="2595" ht="18.75" customHeight="1">
      <x:c r="A2595" s="1" t="str">
        <x:v>https://blog.skyairline.com/estacionamiento-aeropuerto-santiago/</x:v>
      </x:c>
      <x:c r="B2595" s="1" t="str">
        <x:v>estacionamiento barato aeropuerto santiago</x:v>
      </x:c>
      <x:c r="C2595" s="1" t="str">
        <x:v>chl</x:v>
      </x:c>
      <x:c r="D2595" s="1" t="str">
        <x:v>Sin marca</x:v>
      </x:c>
      <x:c r="E2595" s="35" t="n">
        <x:v>1</x:v>
      </x:c>
      <x:c r="F2595" s="36" t="n">
        <x:v>0.33</x:v>
      </x:c>
      <x:c r="G2595" s="36" t="n">
        <x:f>IF(ISNUMBER(F2595),E2595*F2595,"")</x:f>
        <x:v>0.33</x:v>
      </x:c>
      <x:c r="H2595" s="37" t="d">
        <x:v>2026-10-15T00:00:00.000Z</x:v>
      </x:c>
      <x:c r="I2595" s="37" t="d">
        <x:v>2026-09-17T04:44:09.000Z</x:v>
      </x:c>
      <x:c r="J2595" s="1" t="n">
        <x:f>IF(ISNUMBER(F2595),E2595,0)</x:f>
        <x:v>1</x:v>
      </x:c>
      <x:c r="K2595" s="1"/>
      <x:c r="L2595" s="1" t="str">
        <x:v>https://blog.skyairline.com/verano-en-chile-2/</x:v>
      </x:c>
      <x:c r="M2595" s="1" t="n">
        <x:v>0</x:v>
      </x:c>
    </x:row>
    <x:row r="2596" ht="18.75" customHeight="1">
      <x:c r="A2596" s="1" t="str">
        <x:v>https://blog.skyairline.com/estacionamiento-aeropuerto-santiago/</x:v>
      </x:c>
      <x:c r="B2596" s="1" t="str">
        <x:v>estacionamiento en aeropuerto santiago</x:v>
      </x:c>
      <x:c r="C2596" s="1" t="str">
        <x:v>chl</x:v>
      </x:c>
      <x:c r="D2596" s="1" t="str">
        <x:v>Sin marca</x:v>
      </x:c>
      <x:c r="E2596" s="35" t="n">
        <x:v>1</x:v>
      </x:c>
      <x:c r="F2596" s="36" t="n">
        <x:v>0.27</x:v>
      </x:c>
      <x:c r="G2596" s="36" t="n">
        <x:f>IF(ISNUMBER(F2596),E2596*F2596,"")</x:f>
        <x:v>0.27</x:v>
      </x:c>
      <x:c r="H2596" s="37" t="d">
        <x:v>2026-10-15T00:00:00.000Z</x:v>
      </x:c>
      <x:c r="I2596" s="37" t="d">
        <x:v>2026-09-16T19:23:39.000Z</x:v>
      </x:c>
      <x:c r="J2596" s="1" t="n">
        <x:f>IF(ISNUMBER(F2596),E2596,0)</x:f>
        <x:v>1</x:v>
      </x:c>
      <x:c r="K2596" s="1"/>
      <x:c r="L2596" s="1" t="str">
        <x:v>https://blog.skyairline.com/verano-en-chile/</x:v>
      </x:c>
      <x:c r="M2596" s="1" t="n">
        <x:v>0</x:v>
      </x:c>
    </x:row>
    <x:row r="2597" ht="18.75" customHeight="1">
      <x:c r="A2597" s="1" t="str">
        <x:v>https://blog.skyairline.com/estacionamiento-aeropuerto-santiago/</x:v>
      </x:c>
      <x:c r="B2597" s="1" t="str">
        <x:v>estacionamientos aeropuerto de santiago</x:v>
      </x:c>
      <x:c r="C2597" s="1" t="str">
        <x:v>chl</x:v>
      </x:c>
      <x:c r="D2597" s="1" t="str">
        <x:v>Sin marca</x:v>
      </x:c>
      <x:c r="E2597" s="35" t="n">
        <x:v>1</x:v>
      </x:c>
      <x:c r="F2597" s="36"/>
      <x:c r="G2597" s="36" t="str">
        <x:f>IF(ISNUMBER(F2597),E2597*F2597,"")</x:f>
      </x:c>
      <x:c r="H2597" s="37"/>
      <x:c r="I2597" s="37"/>
      <x:c r="J2597" s="1" t="n">
        <x:f>IF(ISNUMBER(F2597),E2597,0)</x:f>
        <x:v>0</x:v>
      </x:c>
      <x:c r="K2597" s="1"/>
      <x:c r="L2597" s="1" t="str">
        <x:v>https://blog.skyairline.com/verano-en-peru/</x:v>
      </x:c>
      <x:c r="M2597" s="1" t="n">
        <x:v>0</x:v>
      </x:c>
    </x:row>
    <x:row r="2598" ht="18.75" customHeight="1">
      <x:c r="A2598" s="1" t="str">
        <x:v>https://blog.skyairline.com/estacionamiento-aeropuerto-santiago/</x:v>
      </x:c>
      <x:c r="B2598" s="1" t="str">
        <x:v>estacionamientos en el aeropuerto</x:v>
      </x:c>
      <x:c r="C2598" s="1" t="str">
        <x:v>chl</x:v>
      </x:c>
      <x:c r="D2598" s="1" t="str">
        <x:v>Sin marca</x:v>
      </x:c>
      <x:c r="E2598" s="35" t="n">
        <x:v>1</x:v>
      </x:c>
      <x:c r="F2598" s="36" t="n">
        <x:v>0.23</x:v>
      </x:c>
      <x:c r="G2598" s="36" t="n">
        <x:f>IF(ISNUMBER(F2598),E2598*F2598,"")</x:f>
        <x:v>0.23</x:v>
      </x:c>
      <x:c r="H2598" s="37" t="d">
        <x:v>2026-10-15T00:00:00.000Z</x:v>
      </x:c>
      <x:c r="I2598" s="37" t="d">
        <x:v>2026-09-14T02:47:06.999Z</x:v>
      </x:c>
      <x:c r="J2598" s="1" t="n">
        <x:f>IF(ISNUMBER(F2598),E2598,0)</x:f>
        <x:v>1</x:v>
      </x:c>
      <x:c r="K2598" s="1"/>
      <x:c r="L2598" s="1" t="str">
        <x:v>https://blog.skyairline.com/viaja-a-punta-cana/</x:v>
      </x:c>
      <x:c r="M2598" s="1" t="n">
        <x:v>0</x:v>
      </x:c>
    </x:row>
    <x:row r="2599" ht="18.75" customHeight="1">
      <x:c r="A2599" s="1" t="str">
        <x:v>https://blog.skyairline.com/estacionamiento-aeropuerto-santiago/</x:v>
      </x:c>
      <x:c r="B2599" s="1" t="str">
        <x:v>parking aeropuerto santiago</x:v>
      </x:c>
      <x:c r="C2599" s="1" t="str">
        <x:v>chl</x:v>
      </x:c>
      <x:c r="D2599" s="1" t="str">
        <x:v>Sin marca</x:v>
      </x:c>
      <x:c r="E2599" s="35" t="n">
        <x:v>1</x:v>
      </x:c>
      <x:c r="F2599" s="36" t="n">
        <x:v>0.2</x:v>
      </x:c>
      <x:c r="G2599" s="36" t="n">
        <x:f>IF(ISNUMBER(F2599),E2599*F2599,"")</x:f>
        <x:v>0.2</x:v>
      </x:c>
      <x:c r="H2599" s="37" t="d">
        <x:v>2026-10-15T00:00:00.000Z</x:v>
      </x:c>
      <x:c r="I2599" s="37" t="d">
        <x:v>2026-09-15T20:15:16.000Z</x:v>
      </x:c>
      <x:c r="J2599" s="1" t="n">
        <x:f>IF(ISNUMBER(F2599),E2599,0)</x:f>
        <x:v>1</x:v>
      </x:c>
      <x:c r="K2599" s="1"/>
      <x:c r="L2599" s="1" t="str">
        <x:v>https://blog.skyairline.com/viaja-sin-estres-con-sky-en-estas-vacaciones-claves-para-eviter-contratiempos-en-el-nuevo-jorge-chavez/</x:v>
      </x:c>
      <x:c r="M2599" s="1" t="n">
        <x:v>0</x:v>
      </x:c>
    </x:row>
    <x:row r="2600" ht="18.75" customHeight="1">
      <x:c r="A2600" s="1" t="str">
        <x:v>https://blog.skyairline.com/estacionamiento-aeropuerto-santiago/</x:v>
      </x:c>
      <x:c r="B2600" s="1" t="str">
        <x:v>parking aeropuerto santiago</x:v>
      </x:c>
      <x:c r="C2600" s="1" t="str">
        <x:v>esp</x:v>
      </x:c>
      <x:c r="D2600" s="1" t="str">
        <x:v>Sin marca</x:v>
      </x:c>
      <x:c r="E2600" s="35" t="n">
        <x:v>1</x:v>
      </x:c>
      <x:c r="F2600" s="36"/>
      <x:c r="G2600" s="36" t="str">
        <x:f>IF(ISNUMBER(F2600),E2600*F2600,"")</x:f>
      </x:c>
      <x:c r="H2600" s="37"/>
      <x:c r="I2600" s="37"/>
      <x:c r="J2600" s="1" t="n">
        <x:f>IF(ISNUMBER(F2600),E2600,0)</x:f>
        <x:v>0</x:v>
      </x:c>
      <x:c r="K2600" s="1"/>
      <x:c r="L2600" s="1" t="str">
        <x:v>https://blog.skyairline.com/viajar-a-argentina/</x:v>
      </x:c>
      <x:c r="M2600" s="1" t="n">
        <x:v>0</x:v>
      </x:c>
    </x:row>
    <x:row r="2601" ht="18.75" customHeight="1">
      <x:c r="A2601" s="1" t="str">
        <x:v>https://blog.skyairline.com/estacionamiento-aeropuerto-santiago/</x:v>
      </x:c>
      <x:c r="B2601" s="1" t="str">
        <x:v>parking aeropuerto santiago de chile</x:v>
      </x:c>
      <x:c r="C2601" s="1" t="str">
        <x:v>chl</x:v>
      </x:c>
      <x:c r="D2601" s="1" t="str">
        <x:v>Sin marca</x:v>
      </x:c>
      <x:c r="E2601" s="35" t="n">
        <x:v>1</x:v>
      </x:c>
      <x:c r="F2601" s="36" t="n">
        <x:v>0.27</x:v>
      </x:c>
      <x:c r="G2601" s="36" t="n">
        <x:f>IF(ISNUMBER(F2601),E2601*F2601,"")</x:f>
        <x:v>0.27</x:v>
      </x:c>
      <x:c r="H2601" s="37" t="d">
        <x:v>2026-10-15T00:00:00.000Z</x:v>
      </x:c>
      <x:c r="I2601" s="37" t="d">
        <x:v>2026-09-15T03:37:52.000Z</x:v>
      </x:c>
      <x:c r="J2601" s="1" t="n">
        <x:f>IF(ISNUMBER(F2601),E2601,0)</x:f>
        <x:v>1</x:v>
      </x:c>
      <x:c r="K2601" s="1"/>
      <x:c r="L2601" s="1" t="str">
        <x:v>https://blog.skyairline.com/viajar-a-bogota/</x:v>
      </x:c>
      <x:c r="M2601" s="1" t="n">
        <x:v>0</x:v>
      </x:c>
    </x:row>
    <x:row r="2602" ht="18.75" customHeight="1">
      <x:c r="A2602" s="1" t="str">
        <x:v>https://blog.skyairline.com/estaciones-en-chile/</x:v>
      </x:c>
      <x:c r="B2602" s="1" t="str">
        <x:v>a que estacion del año estamos</x:v>
      </x:c>
      <x:c r="C2602" s="1" t="str">
        <x:v>chl</x:v>
      </x:c>
      <x:c r="D2602" s="1" t="str">
        <x:v>Sin marca</x:v>
      </x:c>
      <x:c r="E2602" s="35" t="n">
        <x:v>1</x:v>
      </x:c>
      <x:c r="F2602" s="36"/>
      <x:c r="G2602" s="36" t="str">
        <x:f>IF(ISNUMBER(F2602),E2602*F2602,"")</x:f>
      </x:c>
      <x:c r="H2602" s="37"/>
      <x:c r="I2602" s="37"/>
      <x:c r="J2602" s="1" t="n">
        <x:f>IF(ISNUMBER(F2602),E2602,0)</x:f>
        <x:v>0</x:v>
      </x:c>
      <x:c r="K2602" s="1"/>
      <x:c r="L2602" s="1" t="str">
        <x:v>https://blog.skyairline.com/viajar-a-cancun/</x:v>
      </x:c>
      <x:c r="M2602" s="1" t="n">
        <x:v>0</x:v>
      </x:c>
    </x:row>
    <x:row r="2603" ht="18.75" customHeight="1">
      <x:c r="A2603" s="1" t="str">
        <x:v>https://blog.skyairline.com/estaciones-en-chile/</x:v>
      </x:c>
      <x:c r="B2603" s="1" t="str">
        <x:v>a que estacion estamos</x:v>
      </x:c>
      <x:c r="C2603" s="1" t="str">
        <x:v>chl</x:v>
      </x:c>
      <x:c r="D2603" s="1" t="str">
        <x:v>Sin marca</x:v>
      </x:c>
      <x:c r="E2603" s="35" t="n">
        <x:v>1</x:v>
      </x:c>
      <x:c r="F2603" s="36"/>
      <x:c r="G2603" s="36" t="str">
        <x:f>IF(ISNUMBER(F2603),E2603*F2603,"")</x:f>
      </x:c>
      <x:c r="H2603" s="37"/>
      <x:c r="I2603" s="37"/>
      <x:c r="J2603" s="1" t="n">
        <x:f>IF(ISNUMBER(F2603),E2603,0)</x:f>
        <x:v>0</x:v>
      </x:c>
      <x:c r="K2603" s="1"/>
      <x:c r="L2603" s="1" t="str">
        <x:v>https://blog.skyairline.com/viajar-a-chile/</x:v>
      </x:c>
      <x:c r="M2603" s="1" t="n">
        <x:v>0</x:v>
      </x:c>
    </x:row>
    <x:row r="2604" ht="18.75" customHeight="1">
      <x:c r="A2604" s="1" t="str">
        <x:v>https://blog.skyairline.com/estaciones-en-chile/</x:v>
      </x:c>
      <x:c r="B2604" s="1" t="str">
        <x:v>agosto estacion</x:v>
      </x:c>
      <x:c r="C2604" s="1" t="str">
        <x:v>chl</x:v>
      </x:c>
      <x:c r="D2604" s="1" t="str">
        <x:v>Sin marca</x:v>
      </x:c>
      <x:c r="E2604" s="35" t="n">
        <x:v>1</x:v>
      </x:c>
      <x:c r="F2604" s="36"/>
      <x:c r="G2604" s="36" t="str">
        <x:f>IF(ISNUMBER(F2604),E2604*F2604,"")</x:f>
      </x:c>
      <x:c r="H2604" s="37"/>
      <x:c r="I2604" s="37"/>
      <x:c r="J2604" s="1" t="n">
        <x:f>IF(ISNUMBER(F2604),E2604,0)</x:f>
        <x:v>0</x:v>
      </x:c>
      <x:c r="K2604" s="1"/>
      <x:c r="L2604" s="1" t="str">
        <x:v>https://blog.skyairline.com/viajar-a-coihaique/</x:v>
      </x:c>
      <x:c r="M2604" s="1" t="n">
        <x:v>0</x:v>
      </x:c>
    </x:row>
    <x:row r="2605" ht="18.75" customHeight="1">
      <x:c r="A2605" s="1" t="str">
        <x:v>https://blog.skyairline.com/estaciones-en-chile/</x:v>
      </x:c>
      <x:c r="B2605" s="1" t="str">
        <x:v>cambio de estaciones en chile</x:v>
      </x:c>
      <x:c r="C2605" s="1" t="str">
        <x:v>chl</x:v>
      </x:c>
      <x:c r="D2605" s="1" t="str">
        <x:v>Sin marca</x:v>
      </x:c>
      <x:c r="E2605" s="35" t="n">
        <x:v>1</x:v>
      </x:c>
      <x:c r="F2605" s="36"/>
      <x:c r="G2605" s="36" t="str">
        <x:f>IF(ISNUMBER(F2605),E2605*F2605,"")</x:f>
      </x:c>
      <x:c r="H2605" s="37" t="d">
        <x:v>2026-10-15T00:00:00.000Z</x:v>
      </x:c>
      <x:c r="I2605" s="37" t="d">
        <x:v>2026-09-17T07:20:45.000Z</x:v>
      </x:c>
      <x:c r="J2605" s="1" t="n">
        <x:f>IF(ISNUMBER(F2605),E2605,0)</x:f>
        <x:v>0</x:v>
      </x:c>
      <x:c r="K2605" s="1"/>
      <x:c r="L2605" s="1" t="str">
        <x:v>https://blog.skyairline.com/viajar-a-coquihaique/</x:v>
      </x:c>
      <x:c r="M2605" s="1" t="n">
        <x:v>0</x:v>
      </x:c>
    </x:row>
    <x:row r="2606" ht="18.75" customHeight="1">
      <x:c r="A2606" s="1" t="str">
        <x:v>https://blog.skyairline.com/estaciones-en-chile/</x:v>
      </x:c>
      <x:c r="B2606" s="1" t="str">
        <x:v>chile en verano</x:v>
      </x:c>
      <x:c r="C2606" s="1" t="str">
        <x:v>arg</x:v>
      </x:c>
      <x:c r="D2606" s="1" t="str">
        <x:v>Sin marca</x:v>
      </x:c>
      <x:c r="E2606" s="35" t="n">
        <x:v>1</x:v>
      </x:c>
      <x:c r="F2606" s="36"/>
      <x:c r="G2606" s="36" t="str">
        <x:f>IF(ISNUMBER(F2606),E2606*F2606,"")</x:f>
      </x:c>
      <x:c r="H2606" s="37"/>
      <x:c r="I2606" s="37"/>
      <x:c r="J2606" s="1" t="n">
        <x:f>IF(ISNUMBER(F2606),E2606,0)</x:f>
        <x:v>0</x:v>
      </x:c>
      <x:c r="K2606" s="1"/>
      <x:c r="L2606" s="1" t="str">
        <x:v>https://blog.skyairline.com/viajar-a-cusco-bajo-presupuesto/</x:v>
      </x:c>
      <x:c r="M2606" s="1" t="n">
        <x:v>0</x:v>
      </x:c>
    </x:row>
    <x:row r="2607" ht="18.75" customHeight="1">
      <x:c r="A2607" s="1" t="str">
        <x:v>https://blog.skyairline.com/estaciones-en-chile/</x:v>
      </x:c>
      <x:c r="B2607" s="1" t="str">
        <x:v>como son las estaciones del año en chile</x:v>
      </x:c>
      <x:c r="C2607" s="1" t="str">
        <x:v>chl</x:v>
      </x:c>
      <x:c r="D2607" s="1" t="str">
        <x:v>Sin marca</x:v>
      </x:c>
      <x:c r="E2607" s="35" t="n">
        <x:v>1</x:v>
      </x:c>
      <x:c r="F2607" s="36"/>
      <x:c r="G2607" s="36" t="str">
        <x:f>IF(ISNUMBER(F2607),E2607*F2607,"")</x:f>
      </x:c>
      <x:c r="H2607" s="37" t="d">
        <x:v>2026-10-15T00:00:00.000Z</x:v>
      </x:c>
      <x:c r="I2607" s="37" t="d">
        <x:v>2026-09-14T01:14:14.000Z</x:v>
      </x:c>
      <x:c r="J2607" s="1" t="n">
        <x:f>IF(ISNUMBER(F2607),E2607,0)</x:f>
        <x:v>0</x:v>
      </x:c>
      <x:c r="K2607" s="1"/>
      <x:c r="L2607" s="1" t="str">
        <x:v>https://blog.skyairline.com/viajar-a-europa/</x:v>
      </x:c>
      <x:c r="M2607" s="1" t="n">
        <x:v>0</x:v>
      </x:c>
    </x:row>
    <x:row r="2608" ht="18.75" customHeight="1">
      <x:c r="A2608" s="1" t="str">
        <x:v>https://blog.skyairline.com/estaciones-en-chile/</x:v>
      </x:c>
      <x:c r="B2608" s="1" t="str">
        <x:v>cuando cambia la estacion en chile</x:v>
      </x:c>
      <x:c r="C2608" s="1" t="str">
        <x:v>chl</x:v>
      </x:c>
      <x:c r="D2608" s="1" t="str">
        <x:v>Sin marca</x:v>
      </x:c>
      <x:c r="E2608" s="35" t="n">
        <x:v>1</x:v>
      </x:c>
      <x:c r="F2608" s="36"/>
      <x:c r="G2608" s="36" t="str">
        <x:f>IF(ISNUMBER(F2608),E2608*F2608,"")</x:f>
      </x:c>
      <x:c r="H2608" s="37"/>
      <x:c r="I2608" s="37"/>
      <x:c r="J2608" s="1" t="n">
        <x:f>IF(ISNUMBER(F2608),E2608,0)</x:f>
        <x:v>0</x:v>
      </x:c>
      <x:c r="K2608" s="1"/>
      <x:c r="L2608" s="1" t="str">
        <x:v>https://blog.skyairline.com/viajar-a-iquique/</x:v>
      </x:c>
      <x:c r="M2608" s="1" t="n">
        <x:v>0</x:v>
      </x:c>
    </x:row>
    <x:row r="2609" ht="18.75" customHeight="1">
      <x:c r="A2609" s="1" t="str">
        <x:v>https://blog.skyairline.com/estaciones-en-chile/</x:v>
      </x:c>
      <x:c r="B2609" s="1" t="str">
        <x:v>cuando comienza el verano en chile</x:v>
      </x:c>
      <x:c r="C2609" s="1" t="str">
        <x:v>chl</x:v>
      </x:c>
      <x:c r="D2609" s="1" t="str">
        <x:v>Sin marca</x:v>
      </x:c>
      <x:c r="E2609" s="35" t="n">
        <x:v>1</x:v>
      </x:c>
      <x:c r="F2609" s="36"/>
      <x:c r="G2609" s="36" t="str">
        <x:f>IF(ISNUMBER(F2609),E2609*F2609,"")</x:f>
      </x:c>
      <x:c r="H2609" s="37" t="d">
        <x:v>2026-10-15T00:00:00.000Z</x:v>
      </x:c>
      <x:c r="I2609" s="37" t="d">
        <x:v>2026-09-14T01:10:57.000Z</x:v>
      </x:c>
      <x:c r="J2609" s="1" t="n">
        <x:f>IF(ISNUMBER(F2609),E2609,0)</x:f>
        <x:v>0</x:v>
      </x:c>
      <x:c r="K2609" s="1"/>
      <x:c r="L2609" s="1" t="str">
        <x:v>https://blog.skyairline.com/viajar-a-lima/</x:v>
      </x:c>
      <x:c r="M2609" s="1" t="n">
        <x:v>0</x:v>
      </x:c>
    </x:row>
    <x:row r="2610" ht="18.75" customHeight="1">
      <x:c r="A2610" s="1" t="str">
        <x:v>https://blog.skyairline.com/estaciones-en-chile/</x:v>
      </x:c>
      <x:c r="B2610" s="1" t="str">
        <x:v>cuando empieza la primavera en chile</x:v>
      </x:c>
      <x:c r="C2610" s="1" t="str">
        <x:v>esp</x:v>
      </x:c>
      <x:c r="D2610" s="1" t="str">
        <x:v>Sin marca</x:v>
      </x:c>
      <x:c r="E2610" s="35" t="n">
        <x:v>1</x:v>
      </x:c>
      <x:c r="F2610" s="36"/>
      <x:c r="G2610" s="36" t="str">
        <x:f>IF(ISNUMBER(F2610),E2610*F2610,"")</x:f>
      </x:c>
      <x:c r="H2610" s="37"/>
      <x:c r="I2610" s="37"/>
      <x:c r="J2610" s="1" t="n">
        <x:f>IF(ISNUMBER(F2610),E2610,0)</x:f>
        <x:v>0</x:v>
      </x:c>
      <x:c r="K2610" s="1"/>
      <x:c r="L2610" s="1" t="str">
        <x:v>https://blog.skyairline.com/viajar-a-miami/</x:v>
      </x:c>
      <x:c r="M2610" s="1" t="n">
        <x:v>0</x:v>
      </x:c>
    </x:row>
    <x:row r="2611" ht="18.75" customHeight="1">
      <x:c r="A2611" s="1" t="str">
        <x:v>https://blog.skyairline.com/estaciones-en-chile/</x:v>
      </x:c>
      <x:c r="B2611" s="1" t="str">
        <x:v>cuando empiezan las estaciones del año</x:v>
      </x:c>
      <x:c r="C2611" s="1" t="str">
        <x:v>chl</x:v>
      </x:c>
      <x:c r="D2611" s="1" t="str">
        <x:v>Sin marca</x:v>
      </x:c>
      <x:c r="E2611" s="35" t="n">
        <x:v>1</x:v>
      </x:c>
      <x:c r="F2611" s="36"/>
      <x:c r="G2611" s="36" t="str">
        <x:f>IF(ISNUMBER(F2611),E2611*F2611,"")</x:f>
      </x:c>
      <x:c r="H2611" s="37" t="d">
        <x:v>2026-10-15T00:00:00.000Z</x:v>
      </x:c>
      <x:c r="I2611" s="37" t="d">
        <x:v>2026-09-17T14:36:37.000Z</x:v>
      </x:c>
      <x:c r="J2611" s="1" t="n">
        <x:f>IF(ISNUMBER(F2611),E2611,0)</x:f>
        <x:v>0</x:v>
      </x:c>
      <x:c r="K2611" s="1"/>
      <x:c r="L2611" s="1" t="str">
        <x:v>https://blog.skyairline.com/viajar-a-piura/</x:v>
      </x:c>
      <x:c r="M2611" s="1" t="n">
        <x:v>0</x:v>
      </x:c>
    </x:row>
    <x:row r="2612" ht="18.75" customHeight="1">
      <x:c r="A2612" s="1" t="str">
        <x:v>https://blog.skyairline.com/estaciones-en-chile/</x:v>
      </x:c>
      <x:c r="B2612" s="1" t="str">
        <x:v>cuando es invierno en chile</x:v>
      </x:c>
      <x:c r="C2612" s="1" t="str">
        <x:v>chl</x:v>
      </x:c>
      <x:c r="D2612" s="1" t="str">
        <x:v>Sin marca</x:v>
      </x:c>
      <x:c r="E2612" s="35" t="n">
        <x:v>1</x:v>
      </x:c>
      <x:c r="F2612" s="36"/>
      <x:c r="G2612" s="36" t="str">
        <x:f>IF(ISNUMBER(F2612),E2612*F2612,"")</x:f>
      </x:c>
      <x:c r="H2612" s="37" t="d">
        <x:v>2026-10-15T00:00:00.000Z</x:v>
      </x:c>
      <x:c r="I2612" s="37" t="d">
        <x:v>2026-09-17T19:41:58.000Z</x:v>
      </x:c>
      <x:c r="J2612" s="1" t="n">
        <x:f>IF(ISNUMBER(F2612),E2612,0)</x:f>
        <x:v>0</x:v>
      </x:c>
      <x:c r="K2612" s="1"/>
      <x:c r="L2612" s="1" t="str">
        <x:v>https://blog.skyairline.com/viajar-a-puerto-maldonado/</x:v>
      </x:c>
      <x:c r="M2612" s="1" t="n">
        <x:v>0</x:v>
      </x:c>
    </x:row>
    <x:row r="2613" ht="18.75" customHeight="1">
      <x:c r="A2613" s="1" t="str">
        <x:v>https://blog.skyairline.com/estaciones-en-chile/</x:v>
      </x:c>
      <x:c r="B2613" s="1" t="str">
        <x:v>cuando es otoño en chile</x:v>
      </x:c>
      <x:c r="C2613" s="1" t="str">
        <x:v>chl</x:v>
      </x:c>
      <x:c r="D2613" s="1" t="str">
        <x:v>Sin marca</x:v>
      </x:c>
      <x:c r="E2613" s="35" t="n">
        <x:v>1</x:v>
      </x:c>
      <x:c r="F2613" s="36"/>
      <x:c r="G2613" s="36" t="str">
        <x:f>IF(ISNUMBER(F2613),E2613*F2613,"")</x:f>
      </x:c>
      <x:c r="H2613" s="37" t="d">
        <x:v>2026-10-15T00:00:00.000Z</x:v>
      </x:c>
      <x:c r="I2613" s="37" t="d">
        <x:v>2026-09-15T06:10:58.000Z</x:v>
      </x:c>
      <x:c r="J2613" s="1" t="n">
        <x:f>IF(ISNUMBER(F2613),E2613,0)</x:f>
        <x:v>0</x:v>
      </x:c>
      <x:c r="K2613" s="1"/>
      <x:c r="L2613" s="1" t="str">
        <x:v>https://blog.skyairline.com/viajar-con-bebes/pueden-volar-tus-bebes/</x:v>
      </x:c>
      <x:c r="M2613" s="1" t="n">
        <x:v>0</x:v>
      </x:c>
    </x:row>
    <x:row r="2614" ht="18.75" customHeight="1">
      <x:c r="A2614" s="1" t="str">
        <x:v>https://blog.skyairline.com/estaciones-en-chile/</x:v>
      </x:c>
      <x:c r="B2614" s="1" t="str">
        <x:v>cuando es verano en chile</x:v>
      </x:c>
      <x:c r="C2614" s="1" t="str">
        <x:v>bra</x:v>
      </x:c>
      <x:c r="D2614" s="1" t="str">
        <x:v>Sin marca</x:v>
      </x:c>
      <x:c r="E2614" s="35" t="n">
        <x:v>1</x:v>
      </x:c>
      <x:c r="F2614" s="36"/>
      <x:c r="G2614" s="36" t="str">
        <x:f>IF(ISNUMBER(F2614),E2614*F2614,"")</x:f>
      </x:c>
      <x:c r="H2614" s="37"/>
      <x:c r="I2614" s="37"/>
      <x:c r="J2614" s="1" t="n">
        <x:f>IF(ISNUMBER(F2614),E2614,0)</x:f>
        <x:v>0</x:v>
      </x:c>
      <x:c r="K2614" s="1"/>
      <x:c r="L2614" s="1" t="str">
        <x:v>https://blog.skyairline.com/viajar-con-ninos-bebes/</x:v>
      </x:c>
      <x:c r="M2614" s="1" t="n">
        <x:v>0</x:v>
      </x:c>
    </x:row>
    <x:row r="2615" ht="18.75" customHeight="1">
      <x:c r="A2615" s="1" t="str">
        <x:v>https://blog.skyairline.com/estaciones-en-chile/</x:v>
      </x:c>
      <x:c r="B2615" s="1" t="str">
        <x:v>cuando es verano en chile</x:v>
      </x:c>
      <x:c r="C2615" s="1" t="str">
        <x:v>chl</x:v>
      </x:c>
      <x:c r="D2615" s="1" t="str">
        <x:v>Sin marca</x:v>
      </x:c>
      <x:c r="E2615" s="35" t="n">
        <x:v>1</x:v>
      </x:c>
      <x:c r="F2615" s="36"/>
      <x:c r="G2615" s="36" t="str">
        <x:f>IF(ISNUMBER(F2615),E2615*F2615,"")</x:f>
      </x:c>
      <x:c r="H2615" s="37" t="d">
        <x:v>2026-10-15T00:00:00.000Z</x:v>
      </x:c>
      <x:c r="I2615" s="37" t="d">
        <x:v>2026-09-15T00:54:46.000Z</x:v>
      </x:c>
      <x:c r="J2615" s="1" t="n">
        <x:f>IF(ISNUMBER(F2615),E2615,0)</x:f>
        <x:v>0</x:v>
      </x:c>
      <x:c r="K2615" s="1"/>
      <x:c r="L2615" s="1" t="str">
        <x:v>https://blog.skyairline.com/viajar-con-poco-dinero-2/</x:v>
      </x:c>
      <x:c r="M2615" s="1" t="n">
        <x:v>0</x:v>
      </x:c>
    </x:row>
    <x:row r="2616" ht="18.75" customHeight="1">
      <x:c r="A2616" s="1" t="str">
        <x:v>https://blog.skyairline.com/estaciones-en-chile/</x:v>
      </x:c>
      <x:c r="B2616" s="1" t="str">
        <x:v>cuando llega el verano en chile 2026</x:v>
      </x:c>
      <x:c r="C2616" s="1" t="str">
        <x:v>chl</x:v>
      </x:c>
      <x:c r="D2616" s="1" t="str">
        <x:v>Sin marca</x:v>
      </x:c>
      <x:c r="E2616" s="35" t="n">
        <x:v>1</x:v>
      </x:c>
      <x:c r="F2616" s="36"/>
      <x:c r="G2616" s="36" t="str">
        <x:f>IF(ISNUMBER(F2616),E2616*F2616,"")</x:f>
      </x:c>
      <x:c r="H2616" s="37"/>
      <x:c r="I2616" s="37"/>
      <x:c r="J2616" s="1" t="n">
        <x:f>IF(ISNUMBER(F2616),E2616,0)</x:f>
        <x:v>0</x:v>
      </x:c>
      <x:c r="K2616" s="1"/>
      <x:c r="L2616" s="1" t="str">
        <x:v>https://blog.skyairline.com/viajar-con-poco-dinero/</x:v>
      </x:c>
      <x:c r="M2616" s="1" t="n">
        <x:v>0</x:v>
      </x:c>
    </x:row>
    <x:row r="2617" ht="18.75" customHeight="1">
      <x:c r="A2617" s="1" t="str">
        <x:v>https://blog.skyairline.com/estaciones-en-chile/</x:v>
      </x:c>
      <x:c r="B2617" s="1" t="str">
        <x:v>cuando se termina el invierno en chile</x:v>
      </x:c>
      <x:c r="C2617" s="1" t="str">
        <x:v>col</x:v>
      </x:c>
      <x:c r="D2617" s="1" t="str">
        <x:v>Sin marca</x:v>
      </x:c>
      <x:c r="E2617" s="35" t="n">
        <x:v>1</x:v>
      </x:c>
      <x:c r="F2617" s="36"/>
      <x:c r="G2617" s="36" t="str">
        <x:f>IF(ISNUMBER(F2617),E2617*F2617,"")</x:f>
      </x:c>
      <x:c r="H2617" s="37"/>
      <x:c r="I2617" s="37"/>
      <x:c r="J2617" s="1" t="n">
        <x:f>IF(ISNUMBER(F2617),E2617,0)</x:f>
        <x:v>0</x:v>
      </x:c>
      <x:c r="K2617" s="1"/>
      <x:c r="L2617" s="1" t="str">
        <x:v>https://blog.skyairline.com/viajar-de-forma-regular/</x:v>
      </x:c>
      <x:c r="M2617" s="1" t="n">
        <x:v>0</x:v>
      </x:c>
    </x:row>
    <x:row r="2618" ht="18.75" customHeight="1">
      <x:c r="A2618" s="1" t="str">
        <x:v>https://blog.skyairline.com/estaciones-en-chile/</x:v>
      </x:c>
      <x:c r="B2618" s="1" t="str">
        <x:v>cuando son las estaciones del año en chile</x:v>
      </x:c>
      <x:c r="C2618" s="1" t="str">
        <x:v>chl</x:v>
      </x:c>
      <x:c r="D2618" s="1" t="str">
        <x:v>Sin marca</x:v>
      </x:c>
      <x:c r="E2618" s="35" t="n">
        <x:v>1</x:v>
      </x:c>
      <x:c r="F2618" s="36"/>
      <x:c r="G2618" s="36" t="str">
        <x:f>IF(ISNUMBER(F2618),E2618*F2618,"")</x:f>
      </x:c>
      <x:c r="H2618" s="37"/>
      <x:c r="I2618" s="37"/>
      <x:c r="J2618" s="1" t="n">
        <x:f>IF(ISNUMBER(F2618),E2618,0)</x:f>
        <x:v>0</x:v>
      </x:c>
      <x:c r="K2618" s="1"/>
      <x:c r="L2618" s="1" t="str">
        <x:v>https://blog.skyairline.com/viajar-dentro-de-chile-2/</x:v>
      </x:c>
      <x:c r="M2618" s="1" t="n">
        <x:v>0</x:v>
      </x:c>
    </x:row>
    <x:row r="2619" ht="18.75" customHeight="1">
      <x:c r="A2619" s="1" t="str">
        <x:v>https://blog.skyairline.com/estaciones-en-chile/</x:v>
      </x:c>
      <x:c r="B2619" s="1" t="str">
        <x:v>cuando termina el invierno en chile</x:v>
      </x:c>
      <x:c r="C2619" s="1" t="str">
        <x:v>chl</x:v>
      </x:c>
      <x:c r="D2619" s="1" t="str">
        <x:v>Sin marca</x:v>
      </x:c>
      <x:c r="E2619" s="35" t="n">
        <x:v>1</x:v>
      </x:c>
      <x:c r="F2619" s="36"/>
      <x:c r="G2619" s="36" t="str">
        <x:f>IF(ISNUMBER(F2619),E2619*F2619,"")</x:f>
      </x:c>
      <x:c r="H2619" s="37" t="d">
        <x:v>2026-10-15T00:00:00.000Z</x:v>
      </x:c>
      <x:c r="I2619" s="37" t="d">
        <x:v>2026-09-15T15:22:11.000Z</x:v>
      </x:c>
      <x:c r="J2619" s="1" t="n">
        <x:f>IF(ISNUMBER(F2619),E2619,0)</x:f>
        <x:v>0</x:v>
      </x:c>
      <x:c r="K2619" s="1"/>
      <x:c r="L2619" s="1" t="str">
        <x:v>https://blog.skyairline.com/viajar-dentro-de-chile/</x:v>
      </x:c>
      <x:c r="M2619" s="1" t="n">
        <x:v>0</x:v>
      </x:c>
    </x:row>
    <x:row r="2620" ht="18.75" customHeight="1">
      <x:c r="A2620" s="1" t="str">
        <x:v>https://blog.skyairline.com/estaciones-en-chile/</x:v>
      </x:c>
      <x:c r="B2620" s="1" t="str">
        <x:v>cuando termina la primavera en chile</x:v>
      </x:c>
      <x:c r="C2620" s="1" t="str">
        <x:v>chl</x:v>
      </x:c>
      <x:c r="D2620" s="1" t="str">
        <x:v>Sin marca</x:v>
      </x:c>
      <x:c r="E2620" s="35" t="n">
        <x:v>1</x:v>
      </x:c>
      <x:c r="F2620" s="36"/>
      <x:c r="G2620" s="36" t="str">
        <x:f>IF(ISNUMBER(F2620),E2620*F2620,"")</x:f>
      </x:c>
      <x:c r="H2620" s="37" t="d">
        <x:v>2026-10-15T00:00:00.000Z</x:v>
      </x:c>
      <x:c r="I2620" s="37" t="d">
        <x:v>2026-09-14T02:01:10.000Z</x:v>
      </x:c>
      <x:c r="J2620" s="1" t="n">
        <x:f>IF(ISNUMBER(F2620),E2620,0)</x:f>
        <x:v>0</x:v>
      </x:c>
      <x:c r="K2620" s="1"/>
      <x:c r="L2620" s="1" t="str">
        <x:v>https://blog.skyairline.com/viajar-dentro-del-pais/</x:v>
      </x:c>
      <x:c r="M2620" s="1" t="n">
        <x:v>0</x:v>
      </x:c>
    </x:row>
    <x:row r="2621" ht="18.75" customHeight="1">
      <x:c r="A2621" s="1" t="str">
        <x:v>https://blog.skyairline.com/estaciones-en-chile/</x:v>
      </x:c>
      <x:c r="B2621" s="1" t="str">
        <x:v>cuándo se acaba el invierno en chile</x:v>
      </x:c>
      <x:c r="C2621" s="1" t="str">
        <x:v>chl</x:v>
      </x:c>
      <x:c r="D2621" s="1" t="str">
        <x:v>Sin marca</x:v>
      </x:c>
      <x:c r="E2621" s="35" t="n">
        <x:v>1</x:v>
      </x:c>
      <x:c r="F2621" s="36"/>
      <x:c r="G2621" s="36" t="str">
        <x:f>IF(ISNUMBER(F2621),E2621*F2621,"")</x:f>
      </x:c>
      <x:c r="H2621" s="37" t="d">
        <x:v>2026-10-15T00:00:00.000Z</x:v>
      </x:c>
      <x:c r="I2621" s="37" t="d">
        <x:v>2026-09-15T07:28:45.000Z</x:v>
      </x:c>
      <x:c r="J2621" s="1" t="n">
        <x:f>IF(ISNUMBER(F2621),E2621,0)</x:f>
        <x:v>0</x:v>
      </x:c>
      <x:c r="K2621" s="1"/>
      <x:c r="L2621" s="1" t="str">
        <x:v>https://blog.skyairline.com/viajar-en-epoca-de-invierno/</x:v>
      </x:c>
      <x:c r="M2621" s="1" t="n">
        <x:v>0</x:v>
      </x:c>
    </x:row>
    <x:row r="2622" ht="18.75" customHeight="1">
      <x:c r="A2622" s="1" t="str">
        <x:v>https://blog.skyairline.com/estaciones-en-chile/</x:v>
      </x:c>
      <x:c r="B2622" s="1" t="str">
        <x:v>en q epoca del año estamos</x:v>
      </x:c>
      <x:c r="C2622" s="1" t="str">
        <x:v>chl</x:v>
      </x:c>
      <x:c r="D2622" s="1" t="str">
        <x:v>Sin marca</x:v>
      </x:c>
      <x:c r="E2622" s="35" t="n">
        <x:v>1</x:v>
      </x:c>
      <x:c r="F2622" s="36"/>
      <x:c r="G2622" s="36" t="str">
        <x:f>IF(ISNUMBER(F2622),E2622*F2622,"")</x:f>
      </x:c>
      <x:c r="H2622" s="37"/>
      <x:c r="I2622" s="37"/>
      <x:c r="J2622" s="1" t="n">
        <x:f>IF(ISNUMBER(F2622),E2622,0)</x:f>
        <x:v>0</x:v>
      </x:c>
      <x:c r="K2622" s="1"/>
      <x:c r="L2622" s="1" t="str">
        <x:v>https://blog.skyairline.com/viajar-en-familia-durante-el-covid-19/</x:v>
      </x:c>
      <x:c r="M2622" s="1" t="n">
        <x:v>0</x:v>
      </x:c>
    </x:row>
    <x:row r="2623" ht="18.75" customHeight="1">
      <x:c r="A2623" s="1" t="str">
        <x:v>https://blog.skyairline.com/estaciones-en-chile/</x:v>
      </x:c>
      <x:c r="B2623" s="1" t="str">
        <x:v>en que epoca del año estamos en chile</x:v>
      </x:c>
      <x:c r="C2623" s="1" t="str">
        <x:v>chl</x:v>
      </x:c>
      <x:c r="D2623" s="1" t="str">
        <x:v>Sin marca</x:v>
      </x:c>
      <x:c r="E2623" s="35" t="n">
        <x:v>1</x:v>
      </x:c>
      <x:c r="F2623" s="36"/>
      <x:c r="G2623" s="36" t="str">
        <x:f>IF(ISNUMBER(F2623),E2623*F2623,"")</x:f>
      </x:c>
      <x:c r="H2623" s="37" t="d">
        <x:v>2026-10-15T00:00:00.000Z</x:v>
      </x:c>
      <x:c r="I2623" s="37" t="d">
        <x:v>2026-09-14T19:16:47.000Z</x:v>
      </x:c>
      <x:c r="J2623" s="1" t="n">
        <x:f>IF(ISNUMBER(F2623),E2623,0)</x:f>
        <x:v>0</x:v>
      </x:c>
      <x:c r="K2623" s="1"/>
      <x:c r="L2623" s="1" t="str">
        <x:v>https://blog.skyairline.com/viajar-en-familia/</x:v>
      </x:c>
      <x:c r="M2623" s="1" t="n">
        <x:v>0</x:v>
      </x:c>
    </x:row>
    <x:row r="2624" ht="18.75" customHeight="1">
      <x:c r="A2624" s="1" t="str">
        <x:v>https://blog.skyairline.com/estaciones-en-chile/</x:v>
      </x:c>
      <x:c r="B2624" s="1" t="str">
        <x:v>en que estacion estan en chile</x:v>
      </x:c>
      <x:c r="C2624" s="1" t="str">
        <x:v>chl</x:v>
      </x:c>
      <x:c r="D2624" s="1" t="str">
        <x:v>Sin marca</x:v>
      </x:c>
      <x:c r="E2624" s="35" t="n">
        <x:v>1</x:v>
      </x:c>
      <x:c r="F2624" s="36"/>
      <x:c r="G2624" s="36" t="str">
        <x:f>IF(ISNUMBER(F2624),E2624*F2624,"")</x:f>
      </x:c>
      <x:c r="H2624" s="37"/>
      <x:c r="I2624" s="37"/>
      <x:c r="J2624" s="1" t="n">
        <x:f>IF(ISNUMBER(F2624),E2624,0)</x:f>
        <x:v>0</x:v>
      </x:c>
      <x:c r="K2624" s="1"/>
      <x:c r="L2624" s="1" t="str">
        <x:v>https://blog.skyairline.com/viajar-en-fiestas-patrias/</x:v>
      </x:c>
      <x:c r="M2624" s="1" t="n">
        <x:v>0</x:v>
      </x:c>
    </x:row>
    <x:row r="2625" ht="18.75" customHeight="1">
      <x:c r="A2625" s="1" t="str">
        <x:v>https://blog.skyairline.com/estaciones-en-chile/</x:v>
      </x:c>
      <x:c r="B2625" s="1" t="str">
        <x:v>en que estación del año estamos</x:v>
      </x:c>
      <x:c r="C2625" s="1" t="str">
        <x:v>chl</x:v>
      </x:c>
      <x:c r="D2625" s="1" t="str">
        <x:v>Sin marca</x:v>
      </x:c>
      <x:c r="E2625" s="35" t="n">
        <x:v>1</x:v>
      </x:c>
      <x:c r="F2625" s="36"/>
      <x:c r="G2625" s="36" t="str">
        <x:f>IF(ISNUMBER(F2625),E2625*F2625,"")</x:f>
      </x:c>
      <x:c r="H2625" s="37" t="d">
        <x:v>2026-10-15T00:00:00.000Z</x:v>
      </x:c>
      <x:c r="I2625" s="37" t="d">
        <x:v>2026-09-15T15:26:25.000Z</x:v>
      </x:c>
      <x:c r="J2625" s="1" t="n">
        <x:f>IF(ISNUMBER(F2625),E2625,0)</x:f>
        <x:v>0</x:v>
      </x:c>
      <x:c r="K2625" s="1"/>
      <x:c r="L2625" s="1" t="str">
        <x:v>https://blog.skyairline.com/viajar-en-invierno/</x:v>
      </x:c>
      <x:c r="M2625" s="1" t="n">
        <x:v>0</x:v>
      </x:c>
    </x:row>
    <x:row r="2626" ht="18.75" customHeight="1">
      <x:c r="A2626" s="1" t="str">
        <x:v>https://blog.skyairline.com/estaciones-en-chile/</x:v>
      </x:c>
      <x:c r="B2626" s="1" t="str">
        <x:v>en que periodo del año estamos</x:v>
      </x:c>
      <x:c r="C2626" s="1" t="str">
        <x:v>chl</x:v>
      </x:c>
      <x:c r="D2626" s="1" t="str">
        <x:v>Sin marca</x:v>
      </x:c>
      <x:c r="E2626" s="35" t="n">
        <x:v>1</x:v>
      </x:c>
      <x:c r="F2626" s="36"/>
      <x:c r="G2626" s="36" t="str">
        <x:f>IF(ISNUMBER(F2626),E2626*F2626,"")</x:f>
      </x:c>
      <x:c r="H2626" s="37"/>
      <x:c r="I2626" s="37"/>
      <x:c r="J2626" s="1" t="n">
        <x:f>IF(ISNUMBER(F2626),E2626,0)</x:f>
        <x:v>0</x:v>
      </x:c>
      <x:c r="K2626" s="1"/>
      <x:c r="L2626" s="1" t="str">
        <x:v>https://blog.skyairline.com/viajar-en-otono/</x:v>
      </x:c>
      <x:c r="M2626" s="1" t="n">
        <x:v>0</x:v>
      </x:c>
    </x:row>
    <x:row r="2627" ht="18.75" customHeight="1">
      <x:c r="A2627" s="1" t="str">
        <x:v>https://blog.skyairline.com/estaciones-en-chile/</x:v>
      </x:c>
      <x:c r="B2627" s="1" t="str">
        <x:v>en que temporada estamos en chile</x:v>
      </x:c>
      <x:c r="C2627" s="1" t="str">
        <x:v>chl</x:v>
      </x:c>
      <x:c r="D2627" s="1" t="str">
        <x:v>Sin marca</x:v>
      </x:c>
      <x:c r="E2627" s="35" t="n">
        <x:v>1</x:v>
      </x:c>
      <x:c r="F2627" s="36"/>
      <x:c r="G2627" s="36" t="str">
        <x:f>IF(ISNUMBER(F2627),E2627*F2627,"")</x:f>
      </x:c>
      <x:c r="H2627" s="37"/>
      <x:c r="I2627" s="37"/>
      <x:c r="J2627" s="1" t="n">
        <x:f>IF(ISNUMBER(F2627),E2627,0)</x:f>
        <x:v>0</x:v>
      </x:c>
      <x:c r="K2627" s="1"/>
      <x:c r="L2627" s="1" t="str">
        <x:v>https://blog.skyairline.com/viajar-en-temporada-baja/</x:v>
      </x:c>
      <x:c r="M2627" s="1" t="n">
        <x:v>0</x:v>
      </x:c>
    </x:row>
    <x:row r="2628" ht="18.75" customHeight="1">
      <x:c r="A2628" s="1" t="str">
        <x:v>https://blog.skyairline.com/estaciones-en-chile/</x:v>
      </x:c>
      <x:c r="B2628" s="1" t="str">
        <x:v>en qué estacion estamos chile</x:v>
      </x:c>
      <x:c r="C2628" s="1" t="str">
        <x:v>chl</x:v>
      </x:c>
      <x:c r="D2628" s="1" t="str">
        <x:v>Sin marca</x:v>
      </x:c>
      <x:c r="E2628" s="35" t="n">
        <x:v>1</x:v>
      </x:c>
      <x:c r="F2628" s="36"/>
      <x:c r="G2628" s="36" t="str">
        <x:f>IF(ISNUMBER(F2628),E2628*F2628,"")</x:f>
      </x:c>
      <x:c r="H2628" s="37"/>
      <x:c r="I2628" s="37"/>
      <x:c r="J2628" s="1" t="n">
        <x:f>IF(ISNUMBER(F2628),E2628,0)</x:f>
        <x:v>0</x:v>
      </x:c>
      <x:c r="K2628" s="1"/>
      <x:c r="L2628" s="1" t="str">
        <x:v>https://blog.skyairline.com/viajar-en-verano/</x:v>
      </x:c>
      <x:c r="M2628" s="1" t="n">
        <x:v>0</x:v>
      </x:c>
    </x:row>
    <x:row r="2629" ht="18.75" customHeight="1">
      <x:c r="A2629" s="1" t="str">
        <x:v>https://blog.skyairline.com/estaciones-en-chile/</x:v>
      </x:c>
      <x:c r="B2629" s="1" t="str">
        <x:v>en qué estación del año estamos?</x:v>
      </x:c>
      <x:c r="C2629" s="1" t="str">
        <x:v>chl</x:v>
      </x:c>
      <x:c r="D2629" s="1" t="str">
        <x:v>Sin marca</x:v>
      </x:c>
      <x:c r="E2629" s="35" t="n">
        <x:v>1</x:v>
      </x:c>
      <x:c r="F2629" s="36"/>
      <x:c r="G2629" s="36" t="str">
        <x:f>IF(ISNUMBER(F2629),E2629*F2629,"")</x:f>
      </x:c>
      <x:c r="H2629" s="37"/>
      <x:c r="I2629" s="37"/>
      <x:c r="J2629" s="1" t="n">
        <x:f>IF(ISNUMBER(F2629),E2629,0)</x:f>
        <x:v>0</x:v>
      </x:c>
      <x:c r="K2629" s="1"/>
      <x:c r="L2629" s="1" t="str">
        <x:v>https://blog.skyairline.com/viajar-mais/</x:v>
      </x:c>
      <x:c r="M2629" s="1" t="n">
        <x:v>0</x:v>
      </x:c>
    </x:row>
    <x:row r="2630" ht="18.75" customHeight="1">
      <x:c r="A2630" s="1" t="str">
        <x:v>https://blog.skyairline.com/estaciones-en-chile/</x:v>
      </x:c>
      <x:c r="B2630" s="1" t="str">
        <x:v>en qué estación estamos</x:v>
      </x:c>
      <x:c r="C2630" s="1" t="str">
        <x:v>chl</x:v>
      </x:c>
      <x:c r="D2630" s="1" t="str">
        <x:v>Sin marca</x:v>
      </x:c>
      <x:c r="E2630" s="35" t="n">
        <x:v>1</x:v>
      </x:c>
      <x:c r="F2630" s="36"/>
      <x:c r="G2630" s="36" t="str">
        <x:f>IF(ISNUMBER(F2630),E2630*F2630,"")</x:f>
      </x:c>
      <x:c r="H2630" s="37"/>
      <x:c r="I2630" s="37"/>
      <x:c r="J2630" s="1" t="n">
        <x:f>IF(ISNUMBER(F2630),E2630,0)</x:f>
        <x:v>0</x:v>
      </x:c>
      <x:c r="K2630" s="1"/>
      <x:c r="L2630" s="1" t="str">
        <x:v>https://blog.skyairline.com/viajar-mas/</x:v>
      </x:c>
      <x:c r="M2630" s="1" t="n">
        <x:v>0</x:v>
      </x:c>
    </x:row>
    <x:row r="2631" ht="18.75" customHeight="1">
      <x:c r="A2631" s="1" t="str">
        <x:v>https://blog.skyairline.com/estaciones-en-chile/</x:v>
      </x:c>
      <x:c r="B2631" s="1" t="str">
        <x:v>en qué estación está chile</x:v>
      </x:c>
      <x:c r="C2631" s="1" t="str">
        <x:v>chl</x:v>
      </x:c>
      <x:c r="D2631" s="1" t="str">
        <x:v>Sin marca</x:v>
      </x:c>
      <x:c r="E2631" s="35" t="n">
        <x:v>1</x:v>
      </x:c>
      <x:c r="F2631" s="36"/>
      <x:c r="G2631" s="36" t="str">
        <x:f>IF(ISNUMBER(F2631),E2631*F2631,"")</x:f>
      </x:c>
      <x:c r="H2631" s="37"/>
      <x:c r="I2631" s="37"/>
      <x:c r="J2631" s="1" t="n">
        <x:f>IF(ISNUMBER(F2631),E2631,0)</x:f>
        <x:v>0</x:v>
      </x:c>
      <x:c r="K2631" s="1"/>
      <x:c r="L2631" s="1" t="str">
        <x:v>https://blog.skyairline.com/viajar-perros-sky-airline/</x:v>
      </x:c>
      <x:c r="M2631" s="1" t="n">
        <x:v>0</x:v>
      </x:c>
    </x:row>
    <x:row r="2632" ht="18.75" customHeight="1">
      <x:c r="A2632" s="1" t="str">
        <x:v>https://blog.skyairline.com/estaciones-en-chile/</x:v>
      </x:c>
      <x:c r="B2632" s="1" t="str">
        <x:v>en qué estación está chile</x:v>
      </x:c>
      <x:c r="C2632" s="1" t="str">
        <x:v>col</x:v>
      </x:c>
      <x:c r="D2632" s="1" t="str">
        <x:v>Sin marca</x:v>
      </x:c>
      <x:c r="E2632" s="35" t="n">
        <x:v>1</x:v>
      </x:c>
      <x:c r="F2632" s="36"/>
      <x:c r="G2632" s="36" t="str">
        <x:f>IF(ISNUMBER(F2632),E2632*F2632,"")</x:f>
      </x:c>
      <x:c r="H2632" s="37"/>
      <x:c r="I2632" s="37"/>
      <x:c r="J2632" s="1" t="n">
        <x:f>IF(ISNUMBER(F2632),E2632,0)</x:f>
        <x:v>0</x:v>
      </x:c>
      <x:c r="K2632" s="1"/>
      <x:c r="L2632" s="1" t="str">
        <x:v>https://blog.skyairline.com/viajar-perros/</x:v>
      </x:c>
      <x:c r="M2632" s="1" t="n">
        <x:v>0</x:v>
      </x:c>
    </x:row>
    <x:row r="2633" ht="18.75" customHeight="1">
      <x:c r="A2633" s="1" t="str">
        <x:v>https://blog.skyairline.com/estaciones-en-chile/</x:v>
      </x:c>
      <x:c r="B2633" s="1" t="str">
        <x:v>en qué etapa del año estamos</x:v>
      </x:c>
      <x:c r="C2633" s="1" t="str">
        <x:v>chl</x:v>
      </x:c>
      <x:c r="D2633" s="1" t="str">
        <x:v>Sin marca</x:v>
      </x:c>
      <x:c r="E2633" s="35" t="n">
        <x:v>1</x:v>
      </x:c>
      <x:c r="F2633" s="36"/>
      <x:c r="G2633" s="36" t="str">
        <x:f>IF(ISNUMBER(F2633),E2633*F2633,"")</x:f>
      </x:c>
      <x:c r="H2633" s="37"/>
      <x:c r="I2633" s="37"/>
      <x:c r="J2633" s="1" t="n">
        <x:f>IF(ISNUMBER(F2633),E2633,0)</x:f>
        <x:v>0</x:v>
      </x:c>
      <x:c r="K2633" s="1"/>
      <x:c r="L2633" s="1" t="str">
        <x:v>https://blog.skyairline.com/viajar-por-carretera/</x:v>
      </x:c>
      <x:c r="M2633" s="1" t="n">
        <x:v>0</x:v>
      </x:c>
    </x:row>
    <x:row r="2634" ht="18.75" customHeight="1">
      <x:c r="A2634" s="1" t="str">
        <x:v>https://blog.skyairline.com/estaciones-en-chile/</x:v>
      </x:c>
      <x:c r="B2634" s="1" t="str">
        <x:v>en septiembre que estacion del año es</x:v>
      </x:c>
      <x:c r="C2634" s="1" t="str">
        <x:v>chl</x:v>
      </x:c>
      <x:c r="D2634" s="1" t="str">
        <x:v>Sin marca</x:v>
      </x:c>
      <x:c r="E2634" s="35" t="n">
        <x:v>1</x:v>
      </x:c>
      <x:c r="F2634" s="36"/>
      <x:c r="G2634" s="36" t="str">
        <x:f>IF(ISNUMBER(F2634),E2634*F2634,"")</x:f>
      </x:c>
      <x:c r="H2634" s="37"/>
      <x:c r="I2634" s="37"/>
      <x:c r="J2634" s="1" t="n">
        <x:f>IF(ISNUMBER(F2634),E2634,0)</x:f>
        <x:v>0</x:v>
      </x:c>
      <x:c r="K2634" s="1"/>
      <x:c r="L2634" s="1" t="str">
        <x:v>https://blog.skyairline.com/viajar-por-sudamerica/</x:v>
      </x:c>
      <x:c r="M2634" s="1" t="n">
        <x:v>0</x:v>
      </x:c>
    </x:row>
    <x:row r="2635" ht="18.75" customHeight="1">
      <x:c r="A2635" s="1" t="str">
        <x:v>https://blog.skyairline.com/estaciones-en-chile/</x:v>
      </x:c>
      <x:c r="B2635" s="1" t="str">
        <x:v>epoca del año en chile</x:v>
      </x:c>
      <x:c r="C2635" s="1" t="str">
        <x:v>chl</x:v>
      </x:c>
      <x:c r="D2635" s="1" t="str">
        <x:v>Sin marca</x:v>
      </x:c>
      <x:c r="E2635" s="35" t="n">
        <x:v>1</x:v>
      </x:c>
      <x:c r="F2635" s="36"/>
      <x:c r="G2635" s="36" t="str">
        <x:f>IF(ISNUMBER(F2635),E2635*F2635,"")</x:f>
      </x:c>
      <x:c r="H2635" s="37"/>
      <x:c r="I2635" s="37"/>
      <x:c r="J2635" s="1" t="n">
        <x:f>IF(ISNUMBER(F2635),E2635,0)</x:f>
        <x:v>0</x:v>
      </x:c>
      <x:c r="K2635" s="1"/>
      <x:c r="L2635" s="1" t="str">
        <x:v>https://blog.skyairline.com/viajar-sin-contaminar/</x:v>
      </x:c>
      <x:c r="M2635" s="1" t="n">
        <x:v>0</x:v>
      </x:c>
    </x:row>
    <x:row r="2636" ht="18.75" customHeight="1">
      <x:c r="A2636" s="1" t="str">
        <x:v>https://blog.skyairline.com/estaciones-en-chile/</x:v>
      </x:c>
      <x:c r="B2636" s="1" t="str">
        <x:v>estacion actual en chile</x:v>
      </x:c>
      <x:c r="C2636" s="1" t="str">
        <x:v>chl</x:v>
      </x:c>
      <x:c r="D2636" s="1" t="str">
        <x:v>Sin marca</x:v>
      </x:c>
      <x:c r="E2636" s="35" t="n">
        <x:v>1</x:v>
      </x:c>
      <x:c r="F2636" s="36"/>
      <x:c r="G2636" s="36" t="str">
        <x:f>IF(ISNUMBER(F2636),E2636*F2636,"")</x:f>
      </x:c>
      <x:c r="H2636" s="37" t="d">
        <x:v>2026-10-15T00:00:00.000Z</x:v>
      </x:c>
      <x:c r="I2636" s="37" t="d">
        <x:v>2026-10-15T06:51:42.000Z</x:v>
      </x:c>
      <x:c r="J2636" s="1" t="n">
        <x:f>IF(ISNUMBER(F2636),E2636,0)</x:f>
        <x:v>0</x:v>
      </x:c>
      <x:c r="K2636" s="1"/>
      <x:c r="L2636" s="1" t="str">
        <x:v>https://blog.skyairline.com/viajar-sola/</x:v>
      </x:c>
      <x:c r="M2636" s="1" t="n">
        <x:v>0</x:v>
      </x:c>
    </x:row>
    <x:row r="2637" ht="18.75" customHeight="1">
      <x:c r="A2637" s="1" t="str">
        <x:v>https://blog.skyairline.com/estaciones-en-chile/</x:v>
      </x:c>
      <x:c r="B2637" s="1" t="str">
        <x:v>estacion del año en chile</x:v>
      </x:c>
      <x:c r="C2637" s="1" t="str">
        <x:v>mex</x:v>
      </x:c>
      <x:c r="D2637" s="1" t="str">
        <x:v>Sin marca</x:v>
      </x:c>
      <x:c r="E2637" s="35" t="n">
        <x:v>1</x:v>
      </x:c>
      <x:c r="F2637" s="36"/>
      <x:c r="G2637" s="36" t="str">
        <x:f>IF(ISNUMBER(F2637),E2637*F2637,"")</x:f>
      </x:c>
      <x:c r="H2637" s="37"/>
      <x:c r="I2637" s="37"/>
      <x:c r="J2637" s="1" t="n">
        <x:f>IF(ISNUMBER(F2637),E2637,0)</x:f>
        <x:v>0</x:v>
      </x:c>
      <x:c r="K2637" s="1"/>
      <x:c r="L2637" s="1" t="str">
        <x:v>https://blog.skyairline.com/viajar-solo-con-equipaje-de-mano-como-no-morir-en-el-intento/</x:v>
      </x:c>
      <x:c r="M2637" s="1" t="n">
        <x:v>0</x:v>
      </x:c>
    </x:row>
    <x:row r="2638" ht="18.75" customHeight="1">
      <x:c r="A2638" s="1" t="str">
        <x:v>https://blog.skyairline.com/estaciones-en-chile/</x:v>
      </x:c>
      <x:c r="B2638" s="1" t="str">
        <x:v>estacion en chile ahora</x:v>
      </x:c>
      <x:c r="C2638" s="1" t="str">
        <x:v>chl</x:v>
      </x:c>
      <x:c r="D2638" s="1" t="str">
        <x:v>Sin marca</x:v>
      </x:c>
      <x:c r="E2638" s="35" t="n">
        <x:v>1</x:v>
      </x:c>
      <x:c r="F2638" s="36"/>
      <x:c r="G2638" s="36" t="str">
        <x:f>IF(ISNUMBER(F2638),E2638*F2638,"")</x:f>
      </x:c>
      <x:c r="H2638" s="37"/>
      <x:c r="I2638" s="37"/>
      <x:c r="J2638" s="1" t="n">
        <x:f>IF(ISNUMBER(F2638),E2638,0)</x:f>
        <x:v>0</x:v>
      </x:c>
      <x:c r="K2638" s="1"/>
      <x:c r="L2638" s="1" t="str">
        <x:v>https://blog.skyairline.com/viajar-solo/</x:v>
      </x:c>
      <x:c r="M2638" s="1" t="n">
        <x:v>0</x:v>
      </x:c>
    </x:row>
    <x:row r="2639" ht="18.75" customHeight="1">
      <x:c r="A2639" s="1" t="str">
        <x:v>https://blog.skyairline.com/estaciones-en-chile/</x:v>
      </x:c>
      <x:c r="B2639" s="1" t="str">
        <x:v>estaciones del año chile fechas</x:v>
      </x:c>
      <x:c r="C2639" s="1" t="str">
        <x:v>chl</x:v>
      </x:c>
      <x:c r="D2639" s="1" t="str">
        <x:v>Sin marca</x:v>
      </x:c>
      <x:c r="E2639" s="35" t="n">
        <x:v>1</x:v>
      </x:c>
      <x:c r="F2639" s="36"/>
      <x:c r="G2639" s="36" t="str">
        <x:f>IF(ISNUMBER(F2639),E2639*F2639,"")</x:f>
      </x:c>
      <x:c r="H2639" s="37"/>
      <x:c r="I2639" s="37"/>
      <x:c r="J2639" s="1" t="n">
        <x:f>IF(ISNUMBER(F2639),E2639,0)</x:f>
        <x:v>0</x:v>
      </x:c>
      <x:c r="K2639" s="1"/>
      <x:c r="L2639" s="1" t="str">
        <x:v>https://blog.skyairline.com/viajas-con-bebes</x:v>
      </x:c>
      <x:c r="M2639" s="1" t="n">
        <x:v>0</x:v>
      </x:c>
    </x:row>
    <x:row r="2640" ht="18.75" customHeight="1">
      <x:c r="A2640" s="1" t="str">
        <x:v>https://blog.skyairline.com/estaciones-en-chile/</x:v>
      </x:c>
      <x:c r="B2640" s="1" t="str">
        <x:v>estaciones del año en chile</x:v>
      </x:c>
      <x:c r="C2640" s="1" t="str">
        <x:v>cri</x:v>
      </x:c>
      <x:c r="D2640" s="1" t="str">
        <x:v>Sin marca</x:v>
      </x:c>
      <x:c r="E2640" s="35" t="n">
        <x:v>1</x:v>
      </x:c>
      <x:c r="F2640" s="36"/>
      <x:c r="G2640" s="36" t="str">
        <x:f>IF(ISNUMBER(F2640),E2640*F2640,"")</x:f>
      </x:c>
      <x:c r="H2640" s="37"/>
      <x:c r="I2640" s="37"/>
      <x:c r="J2640" s="1" t="n">
        <x:f>IF(ISNUMBER(F2640),E2640,0)</x:f>
        <x:v>0</x:v>
      </x:c>
      <x:c r="K2640" s="1"/>
      <x:c r="L2640" s="1" t="str">
        <x:v>https://blog.skyairline.com/viaje-a-bariloche-4-consejos-para-preparar-tu-viaje</x:v>
      </x:c>
      <x:c r="M2640" s="1" t="n">
        <x:v>0</x:v>
      </x:c>
    </x:row>
    <x:row r="2641" ht="18.75" customHeight="1">
      <x:c r="A2641" s="1" t="str">
        <x:v>https://blog.skyairline.com/estaciones-en-chile/</x:v>
      </x:c>
      <x:c r="B2641" s="1" t="str">
        <x:v>estaciones del año en chile fechas</x:v>
      </x:c>
      <x:c r="C2641" s="1" t="str">
        <x:v>chl</x:v>
      </x:c>
      <x:c r="D2641" s="1" t="str">
        <x:v>Sin marca</x:v>
      </x:c>
      <x:c r="E2641" s="35" t="n">
        <x:v>1</x:v>
      </x:c>
      <x:c r="F2641" s="36"/>
      <x:c r="G2641" s="36" t="str">
        <x:f>IF(ISNUMBER(F2641),E2641*F2641,"")</x:f>
      </x:c>
      <x:c r="H2641" s="37" t="d">
        <x:v>2026-10-15T00:00:00.000Z</x:v>
      </x:c>
      <x:c r="I2641" s="37" t="d">
        <x:v>2026-09-17T07:37:47.000Z</x:v>
      </x:c>
      <x:c r="J2641" s="1" t="n">
        <x:f>IF(ISNUMBER(F2641),E2641,0)</x:f>
        <x:v>0</x:v>
      </x:c>
      <x:c r="K2641" s="1"/>
      <x:c r="L2641" s="1" t="str">
        <x:v>https://blog.skyairline.com/viaje-a-bariloche/</x:v>
      </x:c>
      <x:c r="M2641" s="1" t="n">
        <x:v>0</x:v>
      </x:c>
    </x:row>
    <x:row r="2642" ht="18.75" customHeight="1">
      <x:c r="A2642" s="1" t="str">
        <x:v>https://blog.skyairline.com/estaciones-en-chile/</x:v>
      </x:c>
      <x:c r="B2642" s="1" t="str">
        <x:v>estaciones del año en santiago de chile</x:v>
      </x:c>
      <x:c r="C2642" s="1" t="str">
        <x:v>col</x:v>
      </x:c>
      <x:c r="D2642" s="1" t="str">
        <x:v>Sin marca</x:v>
      </x:c>
      <x:c r="E2642" s="35" t="n">
        <x:v>1</x:v>
      </x:c>
      <x:c r="F2642" s="36"/>
      <x:c r="G2642" s="36" t="str">
        <x:f>IF(ISNUMBER(F2642),E2642*F2642,"")</x:f>
      </x:c>
      <x:c r="H2642" s="37"/>
      <x:c r="I2642" s="37"/>
      <x:c r="J2642" s="1" t="n">
        <x:f>IF(ISNUMBER(F2642),E2642,0)</x:f>
        <x:v>0</x:v>
      </x:c>
      <x:c r="K2642" s="1"/>
      <x:c r="L2642" s="1" t="str">
        <x:v>https://blog.skyairline.com/viaje-a-bariloche/--open--</x:v>
      </x:c>
      <x:c r="M2642" s="1" t="n">
        <x:v>0</x:v>
      </x:c>
    </x:row>
    <x:row r="2643" ht="18.75" customHeight="1">
      <x:c r="A2643" s="1" t="str">
        <x:v>https://blog.skyairline.com/estaciones-en-chile/</x:v>
      </x:c>
      <x:c r="B2643" s="1" t="str">
        <x:v>estaciones en chile por meses</x:v>
      </x:c>
      <x:c r="C2643" s="1" t="str">
        <x:v>col</x:v>
      </x:c>
      <x:c r="D2643" s="1" t="str">
        <x:v>Sin marca</x:v>
      </x:c>
      <x:c r="E2643" s="35" t="n">
        <x:v>1</x:v>
      </x:c>
      <x:c r="F2643" s="36"/>
      <x:c r="G2643" s="36" t="str">
        <x:f>IF(ISNUMBER(F2643),E2643*F2643,"")</x:f>
      </x:c>
      <x:c r="H2643" s="37"/>
      <x:c r="I2643" s="37"/>
      <x:c r="J2643" s="1" t="n">
        <x:f>IF(ISNUMBER(F2643),E2643,0)</x:f>
        <x:v>0</x:v>
      </x:c>
      <x:c r="K2643" s="1"/>
      <x:c r="L2643" s="1" t="str">
        <x:v>https://blog.skyairline.com/viaje-a-brasil/</x:v>
      </x:c>
      <x:c r="M2643" s="1" t="n">
        <x:v>0</x:v>
      </x:c>
    </x:row>
    <x:row r="2644" ht="18.75" customHeight="1">
      <x:c r="A2644" s="1" t="str">
        <x:v>https://blog.skyairline.com/estaciones-en-chile/</x:v>
      </x:c>
      <x:c r="B2644" s="1" t="str">
        <x:v>estaciónes del año</x:v>
      </x:c>
      <x:c r="C2644" s="1" t="str">
        <x:v>chl</x:v>
      </x:c>
      <x:c r="D2644" s="1" t="str">
        <x:v>Sin marca</x:v>
      </x:c>
      <x:c r="E2644" s="35" t="n">
        <x:v>1</x:v>
      </x:c>
      <x:c r="F2644" s="36"/>
      <x:c r="G2644" s="36" t="str">
        <x:f>IF(ISNUMBER(F2644),E2644*F2644,"")</x:f>
      </x:c>
      <x:c r="H2644" s="37"/>
      <x:c r="I2644" s="37"/>
      <x:c r="J2644" s="1" t="n">
        <x:f>IF(ISNUMBER(F2644),E2644,0)</x:f>
        <x:v>0</x:v>
      </x:c>
      <x:c r="K2644" s="1"/>
      <x:c r="L2644" s="1" t="str">
        <x:v>https://blog.skyairline.com/viaje-a-florianopolis/</x:v>
      </x:c>
      <x:c r="M2644" s="1" t="n">
        <x:v>0</x:v>
      </x:c>
    </x:row>
    <x:row r="2645" ht="18.75" customHeight="1">
      <x:c r="A2645" s="1" t="str">
        <x:v>https://blog.skyairline.com/estaciones-en-chile/</x:v>
      </x:c>
      <x:c r="B2645" s="1" t="str">
        <x:v>estamos en otoño o primavera</x:v>
      </x:c>
      <x:c r="C2645" s="1" t="str">
        <x:v>chl</x:v>
      </x:c>
      <x:c r="D2645" s="1" t="str">
        <x:v>Sin marca</x:v>
      </x:c>
      <x:c r="E2645" s="35" t="n">
        <x:v>1</x:v>
      </x:c>
      <x:c r="F2645" s="36"/>
      <x:c r="G2645" s="36" t="str">
        <x:f>IF(ISNUMBER(F2645),E2645*F2645,"")</x:f>
      </x:c>
      <x:c r="H2645" s="37"/>
      <x:c r="I2645" s="37"/>
      <x:c r="J2645" s="1" t="n">
        <x:f>IF(ISNUMBER(F2645),E2645,0)</x:f>
        <x:v>0</x:v>
      </x:c>
      <x:c r="K2645" s="1"/>
      <x:c r="L2645" s="1" t="str">
        <x:v>https://blog.skyairline.com/viaje-a-iquitos/</x:v>
      </x:c>
      <x:c r="M2645" s="1" t="n">
        <x:v>0</x:v>
      </x:c>
    </x:row>
    <x:row r="2646" ht="18.75" customHeight="1">
      <x:c r="A2646" s="1" t="str">
        <x:v>https://blog.skyairline.com/estaciones-en-chile/</x:v>
      </x:c>
      <x:c r="B2646" s="1" t="str">
        <x:v>fecha de las estaciones del año en chile</x:v>
      </x:c>
      <x:c r="C2646" s="1" t="str">
        <x:v>chl</x:v>
      </x:c>
      <x:c r="D2646" s="1" t="str">
        <x:v>Sin marca</x:v>
      </x:c>
      <x:c r="E2646" s="35" t="n">
        <x:v>1</x:v>
      </x:c>
      <x:c r="F2646" s="36"/>
      <x:c r="G2646" s="36" t="str">
        <x:f>IF(ISNUMBER(F2646),E2646*F2646,"")</x:f>
      </x:c>
      <x:c r="H2646" s="37" t="d">
        <x:v>2026-10-15T00:00:00.000Z</x:v>
      </x:c>
      <x:c r="I2646" s="37" t="d">
        <x:v>2026-09-13T10:51:37.000Z</x:v>
      </x:c>
      <x:c r="J2646" s="1" t="n">
        <x:f>IF(ISNUMBER(F2646),E2646,0)</x:f>
        <x:v>0</x:v>
      </x:c>
      <x:c r="K2646" s="1"/>
      <x:c r="L2646" s="1" t="str">
        <x:v>https://blog.skyairline.com/viaje-a-machu-picchu/</x:v>
      </x:c>
      <x:c r="M2646" s="1" t="n">
        <x:v>0</x:v>
      </x:c>
    </x:row>
    <x:row r="2647" ht="18.75" customHeight="1">
      <x:c r="A2647" s="1" t="str">
        <x:v>https://blog.skyairline.com/estaciones-en-chile/</x:v>
      </x:c>
      <x:c r="B2647" s="1" t="str">
        <x:v>fecha estaciones del año chile</x:v>
      </x:c>
      <x:c r="C2647" s="1" t="str">
        <x:v>chl</x:v>
      </x:c>
      <x:c r="D2647" s="1" t="str">
        <x:v>Sin marca</x:v>
      </x:c>
      <x:c r="E2647" s="35" t="n">
        <x:v>1</x:v>
      </x:c>
      <x:c r="F2647" s="36"/>
      <x:c r="G2647" s="36" t="str">
        <x:f>IF(ISNUMBER(F2647),E2647*F2647,"")</x:f>
      </x:c>
      <x:c r="H2647" s="37"/>
      <x:c r="I2647" s="37"/>
      <x:c r="J2647" s="1" t="n">
        <x:f>IF(ISNUMBER(F2647),E2647,0)</x:f>
        <x:v>0</x:v>
      </x:c>
      <x:c r="K2647" s="1"/>
      <x:c r="L2647" s="1" t="str">
        <x:v>https://blog.skyairline.com/viaje-barato/</x:v>
      </x:c>
      <x:c r="M2647" s="1" t="n">
        <x:v>0</x:v>
      </x:c>
    </x:row>
    <x:row r="2648" ht="18.75" customHeight="1">
      <x:c r="A2648" s="1" t="str">
        <x:v>https://blog.skyairline.com/estaciones-en-chile/</x:v>
      </x:c>
      <x:c r="B2648" s="1" t="str">
        <x:v>fechas de cada estacion del año</x:v>
      </x:c>
      <x:c r="C2648" s="1" t="str">
        <x:v>chl</x:v>
      </x:c>
      <x:c r="D2648" s="1" t="str">
        <x:v>Sin marca</x:v>
      </x:c>
      <x:c r="E2648" s="35" t="n">
        <x:v>1</x:v>
      </x:c>
      <x:c r="F2648" s="36"/>
      <x:c r="G2648" s="36" t="str">
        <x:f>IF(ISNUMBER(F2648),E2648*F2648,"")</x:f>
      </x:c>
      <x:c r="H2648" s="37"/>
      <x:c r="I2648" s="37"/>
      <x:c r="J2648" s="1" t="n">
        <x:f>IF(ISNUMBER(F2648),E2648,0)</x:f>
        <x:v>0</x:v>
      </x:c>
      <x:c r="K2648" s="1"/>
      <x:c r="L2648" s="1" t="str">
        <x:v>https://blog.skyairline.com/viaje-con-amigos/</x:v>
      </x:c>
      <x:c r="M2648" s="1" t="n">
        <x:v>0</x:v>
      </x:c>
    </x:row>
    <x:row r="2649" ht="18.75" customHeight="1">
      <x:c r="A2649" s="1" t="str">
        <x:v>https://blog.skyairline.com/estaciones-en-chile/</x:v>
      </x:c>
      <x:c r="B2649" s="1" t="str">
        <x:v>las estaciones del año en chile</x:v>
      </x:c>
      <x:c r="C2649" s="1" t="str">
        <x:v>usa</x:v>
      </x:c>
      <x:c r="D2649" s="1" t="str">
        <x:v>Sin marca</x:v>
      </x:c>
      <x:c r="E2649" s="35" t="n">
        <x:v>1</x:v>
      </x:c>
      <x:c r="F2649" s="36"/>
      <x:c r="G2649" s="36" t="str">
        <x:f>IF(ISNUMBER(F2649),E2649*F2649,"")</x:f>
      </x:c>
      <x:c r="H2649" s="37"/>
      <x:c r="I2649" s="37"/>
      <x:c r="J2649" s="1" t="n">
        <x:f>IF(ISNUMBER(F2649),E2649,0)</x:f>
        <x:v>0</x:v>
      </x:c>
      <x:c r="K2649" s="1"/>
      <x:c r="L2649" s="1" t="str">
        <x:v>https://blog.skyairline.com/viaje-con-peru/</x:v>
      </x:c>
      <x:c r="M2649" s="1" t="n">
        <x:v>0</x:v>
      </x:c>
    </x:row>
    <x:row r="2650" ht="18.75" customHeight="1">
      <x:c r="A2650" s="1" t="str">
        <x:v>https://blog.skyairline.com/estaciones-en-chile/</x:v>
      </x:c>
      <x:c r="B2650" s="1" t="str">
        <x:v>meses de verano en chile</x:v>
      </x:c>
      <x:c r="C2650" s="1" t="str">
        <x:v>chl</x:v>
      </x:c>
      <x:c r="D2650" s="1" t="str">
        <x:v>Sin marca</x:v>
      </x:c>
      <x:c r="E2650" s="35" t="n">
        <x:v>1</x:v>
      </x:c>
      <x:c r="F2650" s="36"/>
      <x:c r="G2650" s="36" t="str">
        <x:f>IF(ISNUMBER(F2650),E2650*F2650,"")</x:f>
      </x:c>
      <x:c r="H2650" s="37" t="d">
        <x:v>2026-10-15T00:00:00.000Z</x:v>
      </x:c>
      <x:c r="I2650" s="37" t="d">
        <x:v>2026-09-16T22:05:21.000Z</x:v>
      </x:c>
      <x:c r="J2650" s="1" t="n">
        <x:f>IF(ISNUMBER(F2650),E2650,0)</x:f>
        <x:v>0</x:v>
      </x:c>
      <x:c r="K2650" s="1"/>
      <x:c r="L2650" s="1" t="str">
        <x:v>https://blog.skyairline.com/viaje-de-descanso/</x:v>
      </x:c>
      <x:c r="M2650" s="1" t="n">
        <x:v>0</x:v>
      </x:c>
    </x:row>
    <x:row r="2651" ht="18.75" customHeight="1">
      <x:c r="A2651" s="1" t="str">
        <x:v>https://blog.skyairline.com/estaciones-en-chile/</x:v>
      </x:c>
      <x:c r="B2651" s="1" t="str">
        <x:v>otoño</x:v>
      </x:c>
      <x:c r="C2651" s="1" t="str">
        <x:v>chl</x:v>
      </x:c>
      <x:c r="D2651" s="1" t="str">
        <x:v>Sin marca</x:v>
      </x:c>
      <x:c r="E2651" s="35" t="n">
        <x:v>1</x:v>
      </x:c>
      <x:c r="F2651" s="36"/>
      <x:c r="G2651" s="36" t="str">
        <x:f>IF(ISNUMBER(F2651),E2651*F2651,"")</x:f>
      </x:c>
      <x:c r="H2651" s="37" t="d">
        <x:v>2026-10-15T00:00:00.000Z</x:v>
      </x:c>
      <x:c r="I2651" s="37" t="d">
        <x:v>2026-09-13T16:01:44.000Z</x:v>
      </x:c>
      <x:c r="J2651" s="1" t="n">
        <x:f>IF(ISNUMBER(F2651),E2651,0)</x:f>
        <x:v>0</x:v>
      </x:c>
      <x:c r="K2651" s="1"/>
      <x:c r="L2651" s="1" t="str">
        <x:v>https://blog.skyairline.com/viaje-de-pocos-dias/</x:v>
      </x:c>
      <x:c r="M2651" s="1" t="n">
        <x:v>0</x:v>
      </x:c>
    </x:row>
    <x:row r="2652" ht="18.75" customHeight="1">
      <x:c r="A2652" s="1" t="str">
        <x:v>https://blog.skyairline.com/estaciones-en-chile/</x:v>
      </x:c>
      <x:c r="B2652" s="1" t="str">
        <x:v>primavera</x:v>
      </x:c>
      <x:c r="C2652" s="1" t="str">
        <x:v>chl</x:v>
      </x:c>
      <x:c r="D2652" s="1" t="str">
        <x:v>Sin marca</x:v>
      </x:c>
      <x:c r="E2652" s="35" t="n">
        <x:v>1</x:v>
      </x:c>
      <x:c r="F2652" s="36" t="n">
        <x:v>0.01</x:v>
      </x:c>
      <x:c r="G2652" s="36" t="n">
        <x:f>IF(ISNUMBER(F2652),E2652*F2652,"")</x:f>
        <x:v>0.01</x:v>
      </x:c>
      <x:c r="H2652" s="37" t="d">
        <x:v>2026-10-15T00:00:00.000Z</x:v>
      </x:c>
      <x:c r="I2652" s="37" t="d">
        <x:v>2026-09-14T08:38:27.000Z</x:v>
      </x:c>
      <x:c r="J2652" s="1" t="n">
        <x:f>IF(ISNUMBER(F2652),E2652,0)</x:f>
        <x:v>1</x:v>
      </x:c>
      <x:c r="K2652" s="1"/>
      <x:c r="L2652" s="1" t="str">
        <x:v>https://blog.skyairline.com/viaje-en-auto/</x:v>
      </x:c>
      <x:c r="M2652" s="1" t="n">
        <x:v>0</x:v>
      </x:c>
    </x:row>
    <x:row r="2653" ht="18.75" customHeight="1">
      <x:c r="A2653" s="1" t="str">
        <x:v>https://blog.skyairline.com/estaciones-en-chile/</x:v>
      </x:c>
      <x:c r="B2653" s="1" t="str">
        <x:v>primavera en chile</x:v>
      </x:c>
      <x:c r="C2653" s="1" t="str">
        <x:v>mex</x:v>
      </x:c>
      <x:c r="D2653" s="1" t="str">
        <x:v>Sin marca</x:v>
      </x:c>
      <x:c r="E2653" s="35" t="n">
        <x:v>1</x:v>
      </x:c>
      <x:c r="F2653" s="36"/>
      <x:c r="G2653" s="36" t="str">
        <x:f>IF(ISNUMBER(F2653),E2653*F2653,"")</x:f>
      </x:c>
      <x:c r="H2653" s="37"/>
      <x:c r="I2653" s="37"/>
      <x:c r="J2653" s="1" t="n">
        <x:f>IF(ISNUMBER(F2653),E2653,0)</x:f>
        <x:v>0</x:v>
      </x:c>
      <x:c r="K2653" s="1"/>
      <x:c r="L2653" s="1" t="str">
        <x:v>https://blog.skyairline.com/viaje-en-pareja/</x:v>
      </x:c>
      <x:c r="M2653" s="1" t="n">
        <x:v>0</x:v>
      </x:c>
    </x:row>
    <x:row r="2654" ht="18.75" customHeight="1">
      <x:c r="A2654" s="1" t="str">
        <x:v>https://blog.skyairline.com/estaciones-en-chile/</x:v>
      </x:c>
      <x:c r="B2654" s="1" t="str">
        <x:v>que estacion es en chile ahora</x:v>
      </x:c>
      <x:c r="C2654" s="1" t="str">
        <x:v>dom</x:v>
      </x:c>
      <x:c r="D2654" s="1" t="str">
        <x:v>Sin marca</x:v>
      </x:c>
      <x:c r="E2654" s="35" t="n">
        <x:v>1</x:v>
      </x:c>
      <x:c r="F2654" s="36"/>
      <x:c r="G2654" s="36" t="str">
        <x:f>IF(ISNUMBER(F2654),E2654*F2654,"")</x:f>
      </x:c>
      <x:c r="H2654" s="37"/>
      <x:c r="I2654" s="37"/>
      <x:c r="J2654" s="1" t="n">
        <x:f>IF(ISNUMBER(F2654),E2654,0)</x:f>
        <x:v>0</x:v>
      </x:c>
      <x:c r="K2654" s="1"/>
      <x:c r="L2654" s="1" t="str">
        <x:v>https://blog.skyairline.com/viaje-estudio/</x:v>
      </x:c>
      <x:c r="M2654" s="1" t="n">
        <x:v>0</x:v>
      </x:c>
    </x:row>
    <x:row r="2655" ht="18.75" customHeight="1">
      <x:c r="A2655" s="1" t="str">
        <x:v>https://blog.skyairline.com/estaciones-en-chile/</x:v>
      </x:c>
      <x:c r="B2655" s="1" t="str">
        <x:v>que estacion esta chile</x:v>
      </x:c>
      <x:c r="C2655" s="1" t="str">
        <x:v>col</x:v>
      </x:c>
      <x:c r="D2655" s="1" t="str">
        <x:v>Sin marca</x:v>
      </x:c>
      <x:c r="E2655" s="35" t="n">
        <x:v>1</x:v>
      </x:c>
      <x:c r="F2655" s="36"/>
      <x:c r="G2655" s="36" t="str">
        <x:f>IF(ISNUMBER(F2655),E2655*F2655,"")</x:f>
      </x:c>
      <x:c r="H2655" s="37"/>
      <x:c r="I2655" s="37"/>
      <x:c r="J2655" s="1" t="n">
        <x:f>IF(ISNUMBER(F2655),E2655,0)</x:f>
        <x:v>0</x:v>
      </x:c>
      <x:c r="K2655" s="1"/>
      <x:c r="L2655" s="1" t="str">
        <x:v>https://blog.skyairline.com/viaje-internacional/</x:v>
      </x:c>
      <x:c r="M2655" s="1" t="n">
        <x:v>0</x:v>
      </x:c>
    </x:row>
    <x:row r="2656" ht="18.75" customHeight="1">
      <x:c r="A2656" s="1" t="str">
        <x:v>https://blog.skyairline.com/estaciones-en-chile/</x:v>
      </x:c>
      <x:c r="B2656" s="1" t="str">
        <x:v>que estacion esta en chile</x:v>
      </x:c>
      <x:c r="C2656" s="1" t="str">
        <x:v>mex</x:v>
      </x:c>
      <x:c r="D2656" s="1" t="str">
        <x:v>Sin marca</x:v>
      </x:c>
      <x:c r="E2656" s="35" t="n">
        <x:v>1</x:v>
      </x:c>
      <x:c r="F2656" s="36"/>
      <x:c r="G2656" s="36" t="str">
        <x:f>IF(ISNUMBER(F2656),E2656*F2656,"")</x:f>
      </x:c>
      <x:c r="H2656" s="37"/>
      <x:c r="I2656" s="37"/>
      <x:c r="J2656" s="1" t="n">
        <x:f>IF(ISNUMBER(F2656),E2656,0)</x:f>
        <x:v>0</x:v>
      </x:c>
      <x:c r="K2656" s="1"/>
      <x:c r="L2656" s="1" t="str">
        <x:v>https://blog.skyairline.com/viaje-sorpresa/</x:v>
      </x:c>
      <x:c r="M2656" s="1" t="n">
        <x:v>0</x:v>
      </x:c>
    </x:row>
    <x:row r="2657" ht="18.75" customHeight="1">
      <x:c r="A2657" s="1" t="str">
        <x:v>https://blog.skyairline.com/estaciones-en-chile/</x:v>
      </x:c>
      <x:c r="B2657" s="1" t="str">
        <x:v>que estación estamos en chile</x:v>
      </x:c>
      <x:c r="C2657" s="1" t="str">
        <x:v>chl</x:v>
      </x:c>
      <x:c r="D2657" s="1" t="str">
        <x:v>Sin marca</x:v>
      </x:c>
      <x:c r="E2657" s="35" t="n">
        <x:v>1</x:v>
      </x:c>
      <x:c r="F2657" s="36"/>
      <x:c r="G2657" s="36" t="str">
        <x:f>IF(ISNUMBER(F2657),E2657*F2657,"")</x:f>
      </x:c>
      <x:c r="H2657" s="37" t="d">
        <x:v>2026-10-15T00:00:00.000Z</x:v>
      </x:c>
      <x:c r="I2657" s="37" t="d">
        <x:v>2026-09-17T13:33:25.999Z</x:v>
      </x:c>
      <x:c r="J2657" s="1" t="n">
        <x:f>IF(ISNUMBER(F2657),E2657,0)</x:f>
        <x:v>0</x:v>
      </x:c>
      <x:c r="K2657" s="1"/>
      <x:c r="L2657" s="1" t="str">
        <x:v>https://blog.skyairline.com/viaje-uruguay/</x:v>
      </x:c>
      <x:c r="M2657" s="1" t="n">
        <x:v>0</x:v>
      </x:c>
    </x:row>
    <x:row r="2658" ht="18.75" customHeight="1">
      <x:c r="A2658" s="1" t="str">
        <x:v>https://blog.skyairline.com/estaciones-en-chile/</x:v>
      </x:c>
      <x:c r="B2658" s="1" t="str">
        <x:v>que mes es verano en chile</x:v>
      </x:c>
      <x:c r="C2658" s="1" t="str">
        <x:v>pri</x:v>
      </x:c>
      <x:c r="D2658" s="1" t="str">
        <x:v>Sin marca</x:v>
      </x:c>
      <x:c r="E2658" s="35" t="n">
        <x:v>1</x:v>
      </x:c>
      <x:c r="F2658" s="36"/>
      <x:c r="G2658" s="36" t="str">
        <x:f>IF(ISNUMBER(F2658),E2658*F2658,"")</x:f>
      </x:c>
      <x:c r="H2658" s="37"/>
      <x:c r="I2658" s="37"/>
      <x:c r="J2658" s="1" t="n">
        <x:f>IF(ISNUMBER(F2658),E2658,0)</x:f>
        <x:v>0</x:v>
      </x:c>
      <x:c r="K2658" s="1"/>
      <x:c r="L2658" s="1" t="str">
        <x:v>https://blog.skyairline.com/viaje-y-uruguay/</x:v>
      </x:c>
      <x:c r="M2658" s="1" t="n">
        <x:v>0</x:v>
      </x:c>
    </x:row>
    <x:row r="2659" ht="18.75" customHeight="1">
      <x:c r="A2659" s="1" t="str">
        <x:v>https://blog.skyairline.com/estaciones-en-chile/</x:v>
      </x:c>
      <x:c r="B2659" s="1" t="str">
        <x:v>que temporada es en chile</x:v>
      </x:c>
      <x:c r="C2659" s="1" t="str">
        <x:v>chl</x:v>
      </x:c>
      <x:c r="D2659" s="1" t="str">
        <x:v>Sin marca</x:v>
      </x:c>
      <x:c r="E2659" s="35" t="n">
        <x:v>1</x:v>
      </x:c>
      <x:c r="F2659" s="36"/>
      <x:c r="G2659" s="36" t="str">
        <x:f>IF(ISNUMBER(F2659),E2659*F2659,"")</x:f>
      </x:c>
      <x:c r="H2659" s="37" t="d">
        <x:v>2026-10-15T00:00:00.000Z</x:v>
      </x:c>
      <x:c r="I2659" s="37" t="d">
        <x:v>2026-09-14T12:45:06.000Z</x:v>
      </x:c>
      <x:c r="J2659" s="1" t="n">
        <x:f>IF(ISNUMBER(F2659),E2659,0)</x:f>
        <x:v>0</x:v>
      </x:c>
      <x:c r="K2659" s="1"/>
      <x:c r="L2659" s="1" t="str">
        <x:v>https://blog.skyairline.com/viajeros/</x:v>
      </x:c>
      <x:c r="M2659" s="1" t="n">
        <x:v>0</x:v>
      </x:c>
    </x:row>
    <x:row r="2660" ht="18.75" customHeight="1">
      <x:c r="A2660" s="1" t="str">
        <x:v>https://blog.skyairline.com/estaciones-en-chile/</x:v>
      </x:c>
      <x:c r="B2660" s="1" t="str">
        <x:v>que temporada es en chile ahora</x:v>
      </x:c>
      <x:c r="C2660" s="1" t="str">
        <x:v>dom</x:v>
      </x:c>
      <x:c r="D2660" s="1" t="str">
        <x:v>Sin marca</x:v>
      </x:c>
      <x:c r="E2660" s="35" t="n">
        <x:v>1</x:v>
      </x:c>
      <x:c r="F2660" s="36"/>
      <x:c r="G2660" s="36" t="str">
        <x:f>IF(ISNUMBER(F2660),E2660*F2660,"")</x:f>
      </x:c>
      <x:c r="H2660" s="37"/>
      <x:c r="I2660" s="37"/>
      <x:c r="J2660" s="1" t="n">
        <x:f>IF(ISNUMBER(F2660),E2660,0)</x:f>
        <x:v>0</x:v>
      </x:c>
      <x:c r="K2660" s="1"/>
      <x:c r="L2660" s="1" t="str">
        <x:v>https://blog.skyairline.com/viajes-economicos/</x:v>
      </x:c>
      <x:c r="M2660" s="1" t="n">
        <x:v>0</x:v>
      </x:c>
    </x:row>
    <x:row r="2661" ht="18.75" customHeight="1">
      <x:c r="A2661" s="1" t="str">
        <x:v>https://blog.skyairline.com/estaciones-en-chile/</x:v>
      </x:c>
      <x:c r="B2661" s="1" t="str">
        <x:v>septiembre en chile que estacion es</x:v>
      </x:c>
      <x:c r="C2661" s="1" t="str">
        <x:v>chl</x:v>
      </x:c>
      <x:c r="D2661" s="1" t="str">
        <x:v>Sin marca</x:v>
      </x:c>
      <x:c r="E2661" s="35" t="n">
        <x:v>1</x:v>
      </x:c>
      <x:c r="F2661" s="36"/>
      <x:c r="G2661" s="36" t="str">
        <x:f>IF(ISNUMBER(F2661),E2661*F2661,"")</x:f>
      </x:c>
      <x:c r="H2661" s="37"/>
      <x:c r="I2661" s="37"/>
      <x:c r="J2661" s="1" t="n">
        <x:f>IF(ISNUMBER(F2661),E2661,0)</x:f>
        <x:v>0</x:v>
      </x:c>
      <x:c r="K2661" s="1"/>
      <x:c r="L2661" s="1" t="str">
        <x:v>https://blog.skyairline.com/viajes-en-navidad/</x:v>
      </x:c>
      <x:c r="M2661" s="1" t="n">
        <x:v>0</x:v>
      </x:c>
    </x:row>
    <x:row r="2662" ht="18.75" customHeight="1">
      <x:c r="A2662" s="1" t="str">
        <x:v>https://blog.skyairline.com/estaciones-en-chile/</x:v>
      </x:c>
      <x:c r="B2662" s="1" t="str">
        <x:v>temporada en chile</x:v>
      </x:c>
      <x:c r="C2662" s="1" t="str">
        <x:v>chl</x:v>
      </x:c>
      <x:c r="D2662" s="1" t="str">
        <x:v>Sin marca</x:v>
      </x:c>
      <x:c r="E2662" s="35" t="n">
        <x:v>1</x:v>
      </x:c>
      <x:c r="F2662" s="36"/>
      <x:c r="G2662" s="36" t="str">
        <x:f>IF(ISNUMBER(F2662),E2662*F2662,"")</x:f>
      </x:c>
      <x:c r="H2662" s="37"/>
      <x:c r="I2662" s="37"/>
      <x:c r="J2662" s="1" t="n">
        <x:f>IF(ISNUMBER(F2662),E2662,0)</x:f>
        <x:v>0</x:v>
      </x:c>
      <x:c r="K2662" s="1"/>
      <x:c r="L2662" s="1" t="str">
        <x:v>https://blog.skyairline.com/viajes-en-temporada-baja/</x:v>
      </x:c>
      <x:c r="M2662" s="1" t="n">
        <x:v>0</x:v>
      </x:c>
    </x:row>
    <x:row r="2663" ht="18.75" customHeight="1">
      <x:c r="A2663" s="1" t="str">
        <x:v>https://blog.skyairline.com/estadio-nacional-de-chile/</x:v>
      </x:c>
      <x:c r="B2663" s="1" t="str">
        <x:v>direccion estadio nacional</x:v>
      </x:c>
      <x:c r="C2663" s="1" t="str">
        <x:v>chl</x:v>
      </x:c>
      <x:c r="D2663" s="1" t="str">
        <x:v>Sin marca</x:v>
      </x:c>
      <x:c r="E2663" s="35" t="n">
        <x:v>1</x:v>
      </x:c>
      <x:c r="F2663" s="36" t="n">
        <x:v>1.72</x:v>
      </x:c>
      <x:c r="G2663" s="36" t="n">
        <x:f>IF(ISNUMBER(F2663),E2663*F2663,"")</x:f>
        <x:v>1.72</x:v>
      </x:c>
      <x:c r="H2663" s="37" t="d">
        <x:v>2026-10-15T00:00:00.000Z</x:v>
      </x:c>
      <x:c r="I2663" s="37" t="d">
        <x:v>2026-10-15T03:37:14.000Z</x:v>
      </x:c>
      <x:c r="J2663" s="1" t="n">
        <x:f>IF(ISNUMBER(F2663),E2663,0)</x:f>
        <x:v>1</x:v>
      </x:c>
      <x:c r="K2663" s="1"/>
      <x:c r="L2663" s="1" t="str">
        <x:v>https://blog.skyairline.com/viajes-rio-de-janeiro-itinerario/</x:v>
      </x:c>
      <x:c r="M2663" s="1" t="n">
        <x:v>0</x:v>
      </x:c>
    </x:row>
    <x:row r="2664" ht="18.75" customHeight="1">
      <x:c r="A2664" s="1" t="str">
        <x:v>https://blog.skyairline.com/estadio-nacional-de-chile/</x:v>
      </x:c>
      <x:c r="B2664" s="1" t="str">
        <x:v>donde queda el estadio nacional</x:v>
      </x:c>
      <x:c r="C2664" s="1" t="str">
        <x:v>chl</x:v>
      </x:c>
      <x:c r="D2664" s="1" t="str">
        <x:v>Sin marca</x:v>
      </x:c>
      <x:c r="E2664" s="35" t="n">
        <x:v>1</x:v>
      </x:c>
      <x:c r="F2664" s="36" t="n">
        <x:v>1.45</x:v>
      </x:c>
      <x:c r="G2664" s="36" t="n">
        <x:f>IF(ISNUMBER(F2664),E2664*F2664,"")</x:f>
        <x:v>1.45</x:v>
      </x:c>
      <x:c r="H2664" s="37" t="d">
        <x:v>2026-10-15T00:00:00.000Z</x:v>
      </x:c>
      <x:c r="I2664" s="37" t="d">
        <x:v>2026-09-17T07:37:47.000Z</x:v>
      </x:c>
      <x:c r="J2664" s="1" t="n">
        <x:f>IF(ISNUMBER(F2664),E2664,0)</x:f>
        <x:v>1</x:v>
      </x:c>
      <x:c r="K2664" s="1"/>
      <x:c r="L2664" s="1" t="str">
        <x:v>https://blog.skyairline.com/viajes-sin-escala/</x:v>
      </x:c>
      <x:c r="M2664" s="1" t="n">
        <x:v>0</x:v>
      </x:c>
    </x:row>
    <x:row r="2665" ht="18.75" customHeight="1">
      <x:c r="A2665" s="1" t="str">
        <x:v>https://blog.skyairline.com/estadio-nacional-de-chile/</x:v>
      </x:c>
      <x:c r="B2665" s="1" t="str">
        <x:v>en que comuna queda el estadio nacional</x:v>
      </x:c>
      <x:c r="C2665" s="1" t="str">
        <x:v>chl</x:v>
      </x:c>
      <x:c r="D2665" s="1" t="str">
        <x:v>Sin marca</x:v>
      </x:c>
      <x:c r="E2665" s="35" t="n">
        <x:v>1</x:v>
      </x:c>
      <x:c r="F2665" s="36" t="n">
        <x:v>6.83</x:v>
      </x:c>
      <x:c r="G2665" s="36" t="n">
        <x:f>IF(ISNUMBER(F2665),E2665*F2665,"")</x:f>
        <x:v>6.83</x:v>
      </x:c>
      <x:c r="H2665" s="37" t="d">
        <x:v>2026-10-15T00:00:00.000Z</x:v>
      </x:c>
      <x:c r="I2665" s="37" t="d">
        <x:v>2026-09-16T23:52:51.000Z</x:v>
      </x:c>
      <x:c r="J2665" s="1" t="n">
        <x:f>IF(ISNUMBER(F2665),E2665,0)</x:f>
        <x:v>1</x:v>
      </x:c>
      <x:c r="K2665" s="1"/>
      <x:c r="L2665" s="1" t="str">
        <x:v>https://blog.skyairline.com/viajes-y-covid-19/</x:v>
      </x:c>
      <x:c r="M2665" s="1" t="n">
        <x:v>0</x:v>
      </x:c>
    </x:row>
    <x:row r="2666" ht="18.75" customHeight="1">
      <x:c r="A2666" s="1" t="str">
        <x:v>https://blog.skyairline.com/estadios-argentina/</x:v>
      </x:c>
      <x:c r="B2666" s="1" t="str">
        <x:v>estadio argentina</x:v>
      </x:c>
      <x:c r="C2666" s="1" t="str">
        <x:v>chl</x:v>
      </x:c>
      <x:c r="D2666" s="1" t="str">
        <x:v>Sin marca</x:v>
      </x:c>
      <x:c r="E2666" s="35" t="n">
        <x:v>1</x:v>
      </x:c>
      <x:c r="F2666" s="36"/>
      <x:c r="G2666" s="36" t="str">
        <x:f>IF(ISNUMBER(F2666),E2666*F2666,"")</x:f>
      </x:c>
      <x:c r="H2666" s="37"/>
      <x:c r="I2666" s="37"/>
      <x:c r="J2666" s="1" t="n">
        <x:f>IF(ISNUMBER(F2666),E2666,0)</x:f>
        <x:v>0</x:v>
      </x:c>
      <x:c r="K2666" s="1"/>
      <x:c r="L2666" s="1" t="str">
        <x:v>https://blog.skyairline.com/viajes/brasil/</x:v>
      </x:c>
      <x:c r="M2666" s="1" t="n">
        <x:v>0</x:v>
      </x:c>
    </x:row>
    <x:row r="2667" ht="18.75" customHeight="1">
      <x:c r="A2667" s="1" t="str">
        <x:v>https://blog.skyairline.com/estado-de-vuelo/</x:v>
      </x:c>
      <x:c r="B2667" s="1" t="str">
        <x:v>como saber mi puerta de embarque sky</x:v>
      </x:c>
      <x:c r="C2667" s="1" t="str">
        <x:v>per</x:v>
      </x:c>
      <x:c r="D2667" s="1" t="str">
        <x:v>Marca</x:v>
      </x:c>
      <x:c r="E2667" s="35" t="n">
        <x:v>1</x:v>
      </x:c>
      <x:c r="F2667" s="36"/>
      <x:c r="G2667" s="36" t="str">
        <x:f>IF(ISNUMBER(F2667),E2667*F2667,"")</x:f>
      </x:c>
      <x:c r="H2667" s="37"/>
      <x:c r="I2667" s="37"/>
      <x:c r="J2667" s="1" t="n">
        <x:f>IF(ISNUMBER(F2667),E2667,0)</x:f>
        <x:v>0</x:v>
      </x:c>
      <x:c r="K2667" s="1"/>
      <x:c r="L2667" s="1" t="str">
        <x:v>https://blog.skyairline.com/vida-nocturna-en-miami/</x:v>
      </x:c>
      <x:c r="M2667" s="1" t="n">
        <x:v>0</x:v>
      </x:c>
    </x:row>
    <x:row r="2668" ht="18.75" customHeight="1">
      <x:c r="A2668" s="1" t="str">
        <x:v>https://blog.skyairline.com/estado-de-vuelo/</x:v>
      </x:c>
      <x:c r="B2668" s="1" t="str">
        <x:v>como ver mi vuelo en sky</x:v>
      </x:c>
      <x:c r="C2668" s="1" t="str">
        <x:v>per</x:v>
      </x:c>
      <x:c r="D2668" s="1" t="str">
        <x:v>Marca</x:v>
      </x:c>
      <x:c r="E2668" s="35" t="n">
        <x:v>1</x:v>
      </x:c>
      <x:c r="F2668" s="36" t="n">
        <x:v>0.02</x:v>
      </x:c>
      <x:c r="G2668" s="36" t="n">
        <x:f>IF(ISNUMBER(F2668),E2668*F2668,"")</x:f>
        <x:v>0.02</x:v>
      </x:c>
      <x:c r="H2668" s="37" t="d">
        <x:v>2026-10-15T00:00:00.000Z</x:v>
      </x:c>
      <x:c r="I2668" s="37" t="d">
        <x:v>2026-09-12T23:28:44.000Z</x:v>
      </x:c>
      <x:c r="J2668" s="1" t="n">
        <x:f>IF(ISNUMBER(F2668),E2668,0)</x:f>
        <x:v>1</x:v>
      </x:c>
      <x:c r="K2668" s="1"/>
      <x:c r="L2668" s="1" t="str">
        <x:v>https://blog.skyairline.com/vida-nocturna-sao-paulo/</x:v>
      </x:c>
      <x:c r="M2668" s="1" t="n">
        <x:v>0</x:v>
      </x:c>
    </x:row>
    <x:row r="2669" ht="18.75" customHeight="1">
      <x:c r="A2669" s="1" t="str">
        <x:v>https://blog.skyairline.com/estado-de-vuelo/</x:v>
      </x:c>
      <x:c r="B2669" s="1" t="str">
        <x:v>que significa un vuelo programado</x:v>
      </x:c>
      <x:c r="C2669" s="1" t="str">
        <x:v>chl</x:v>
      </x:c>
      <x:c r="D2669" s="1" t="str">
        <x:v>Sin marca</x:v>
      </x:c>
      <x:c r="E2669" s="35" t="n">
        <x:v>1</x:v>
      </x:c>
      <x:c r="F2669" s="36"/>
      <x:c r="G2669" s="36" t="str">
        <x:f>IF(ISNUMBER(F2669),E2669*F2669,"")</x:f>
      </x:c>
      <x:c r="H2669" s="37"/>
      <x:c r="I2669" s="37"/>
      <x:c r="J2669" s="1" t="n">
        <x:f>IF(ISNUMBER(F2669),E2669,0)</x:f>
        <x:v>0</x:v>
      </x:c>
      <x:c r="K2669" s="1"/>
      <x:c r="L2669" s="1" t="str">
        <x:v>https://blog.skyairline.com/villa-la-angostura/</x:v>
      </x:c>
      <x:c r="M2669" s="1" t="n">
        <x:v>0</x:v>
      </x:c>
    </x:row>
    <x:row r="2670" ht="18.75" customHeight="1">
      <x:c r="A2670" s="1" t="str">
        <x:v>https://blog.skyairline.com/estado-de-vuelo/</x:v>
      </x:c>
      <x:c r="B2670" s="1" t="str">
        <x:v>sky puerta de embarque</x:v>
      </x:c>
      <x:c r="C2670" s="1" t="str">
        <x:v>chl</x:v>
      </x:c>
      <x:c r="D2670" s="1" t="str">
        <x:v>Marca</x:v>
      </x:c>
      <x:c r="E2670" s="35" t="n">
        <x:v>1</x:v>
      </x:c>
      <x:c r="F2670" s="36"/>
      <x:c r="G2670" s="36" t="str">
        <x:f>IF(ISNUMBER(F2670),E2670*F2670,"")</x:f>
      </x:c>
      <x:c r="H2670" s="37"/>
      <x:c r="I2670" s="37"/>
      <x:c r="J2670" s="1" t="n">
        <x:f>IF(ISNUMBER(F2670),E2670,0)</x:f>
        <x:v>0</x:v>
      </x:c>
      <x:c r="K2670" s="1"/>
      <x:c r="L2670" s="1" t="str">
        <x:v>https://blog.skyairline.com/virgen-de-las-nieve/</x:v>
      </x:c>
      <x:c r="M2670" s="1" t="n">
        <x:v>0</x:v>
      </x:c>
    </x:row>
    <x:row r="2671" ht="18.75" customHeight="1">
      <x:c r="A2671" s="1" t="str">
        <x:v>https://blog.skyairline.com/estado-de-vuelo/</x:v>
      </x:c>
      <x:c r="B2671" s="1" t="str">
        <x:v>sky seguimiento de vuelo</x:v>
      </x:c>
      <x:c r="C2671" s="1" t="str">
        <x:v>chl</x:v>
      </x:c>
      <x:c r="D2671" s="1" t="str">
        <x:v>Marca</x:v>
      </x:c>
      <x:c r="E2671" s="35" t="n">
        <x:v>1</x:v>
      </x:c>
      <x:c r="F2671" s="36"/>
      <x:c r="G2671" s="36" t="str">
        <x:f>IF(ISNUMBER(F2671),E2671*F2671,"")</x:f>
      </x:c>
      <x:c r="H2671" s="37"/>
      <x:c r="I2671" s="37"/>
      <x:c r="J2671" s="1" t="n">
        <x:f>IF(ISNUMBER(F2671),E2671,0)</x:f>
        <x:v>0</x:v>
      </x:c>
      <x:c r="K2671" s="1"/>
      <x:c r="L2671" s="1" t="str">
        <x:v>https://blog.skyairline.com/visita-a-bogota/</x:v>
      </x:c>
      <x:c r="M2671" s="1" t="n">
        <x:v>0</x:v>
      </x:c>
    </x:row>
    <x:row r="2672" ht="18.75" customHeight="1">
      <x:c r="A2672" s="1" t="str">
        <x:v>https://blog.skyairline.com/farellones-que-hacer/</x:v>
      </x:c>
      <x:c r="B2672" s="1" t="str">
        <x:v>farellones altura</x:v>
      </x:c>
      <x:c r="C2672" s="1" t="str">
        <x:v>mex</x:v>
      </x:c>
      <x:c r="D2672" s="1" t="str">
        <x:v>Sin marca</x:v>
      </x:c>
      <x:c r="E2672" s="35" t="n">
        <x:v>1</x:v>
      </x:c>
      <x:c r="F2672" s="36"/>
      <x:c r="G2672" s="36" t="str">
        <x:f>IF(ISNUMBER(F2672),E2672*F2672,"")</x:f>
      </x:c>
      <x:c r="H2672" s="37"/>
      <x:c r="I2672" s="37"/>
      <x:c r="J2672" s="1" t="n">
        <x:f>IF(ISNUMBER(F2672),E2672,0)</x:f>
        <x:v>0</x:v>
      </x:c>
      <x:c r="K2672" s="1"/>
      <x:c r="L2672" s="1" t="str">
        <x:v>https://blog.skyairline.com/visita-a-centros-historicos/</x:v>
      </x:c>
      <x:c r="M2672" s="1" t="n">
        <x:v>0</x:v>
      </x:c>
    </x:row>
    <x:row r="2673" ht="18.75" customHeight="1">
      <x:c r="A2673" s="1" t="str">
        <x:v>https://blog.skyairline.com/feijoada/</x:v>
      </x:c>
      <x:c r="B2673" s="1" t="str">
        <x:v>como se come la feijoada</x:v>
      </x:c>
      <x:c r="C2673" s="1" t="str">
        <x:v>bra</x:v>
      </x:c>
      <x:c r="D2673" s="1" t="str">
        <x:v>Sin marca</x:v>
      </x:c>
      <x:c r="E2673" s="35" t="n">
        <x:v>1</x:v>
      </x:c>
      <x:c r="F2673" s="36"/>
      <x:c r="G2673" s="36" t="str">
        <x:f>IF(ISNUMBER(F2673),E2673*F2673,"")</x:f>
      </x:c>
      <x:c r="H2673" s="37"/>
      <x:c r="I2673" s="37"/>
      <x:c r="J2673" s="1" t="n">
        <x:f>IF(ISNUMBER(F2673),E2673,0)</x:f>
        <x:v>0</x:v>
      </x:c>
      <x:c r="K2673" s="1"/>
      <x:c r="L2673" s="1" t="str">
        <x:v>https://blog.skyairline.com/visita-a-un-museo/</x:v>
      </x:c>
      <x:c r="M2673" s="1" t="n">
        <x:v>0</x:v>
      </x:c>
    </x:row>
    <x:row r="2674" ht="18.75" customHeight="1">
      <x:c r="A2674" s="1" t="str">
        <x:v>https://blog.skyairline.com/festival-de-rio/</x:v>
      </x:c>
      <x:c r="B2674" s="1" t="str">
        <x:v>festival rio</x:v>
      </x:c>
      <x:c r="C2674" s="1" t="str">
        <x:v>mex</x:v>
      </x:c>
      <x:c r="D2674" s="1" t="str">
        <x:v>Sin marca</x:v>
      </x:c>
      <x:c r="E2674" s="35" t="n">
        <x:v>1</x:v>
      </x:c>
      <x:c r="F2674" s="36"/>
      <x:c r="G2674" s="36" t="str">
        <x:f>IF(ISNUMBER(F2674),E2674*F2674,"")</x:f>
      </x:c>
      <x:c r="H2674" s="37"/>
      <x:c r="I2674" s="37"/>
      <x:c r="J2674" s="1" t="n">
        <x:f>IF(ISNUMBER(F2674),E2674,0)</x:f>
        <x:v>0</x:v>
      </x:c>
      <x:c r="K2674" s="1"/>
      <x:c r="L2674" s="1" t="str">
        <x:v>https://blog.skyairline.com/visitar-chile-en-2023/</x:v>
      </x:c>
      <x:c r="M2674" s="1" t="n">
        <x:v>0</x:v>
      </x:c>
    </x:row>
    <x:row r="2675" ht="18.75" customHeight="1">
      <x:c r="A2675" s="1" t="str">
        <x:v>https://blog.skyairline.com/fiesta-final-de-diciembre/</x:v>
      </x:c>
      <x:c r="B2675" s="1" t="str">
        <x:v>mejores lugares para pasar año nuevo en chile</x:v>
      </x:c>
      <x:c r="C2675" s="1" t="str">
        <x:v>chl</x:v>
      </x:c>
      <x:c r="D2675" s="1" t="str">
        <x:v>Sin marca</x:v>
      </x:c>
      <x:c r="E2675" s="35" t="n">
        <x:v>1</x:v>
      </x:c>
      <x:c r="F2675" s="36" t="n">
        <x:v>0.86</x:v>
      </x:c>
      <x:c r="G2675" s="36" t="n">
        <x:f>IF(ISNUMBER(F2675),E2675*F2675,"")</x:f>
        <x:v>0.86</x:v>
      </x:c>
      <x:c r="H2675" s="37" t="d">
        <x:v>2026-10-15T00:00:00.000Z</x:v>
      </x:c>
      <x:c r="I2675" s="37" t="d">
        <x:v>2026-09-14T20:23:51.000Z</x:v>
      </x:c>
      <x:c r="J2675" s="1" t="n">
        <x:f>IF(ISNUMBER(F2675),E2675,0)</x:f>
        <x:v>1</x:v>
      </x:c>
      <x:c r="K2675" s="1"/>
      <x:c r="L2675" s="1" t="str">
        <x:v>https://blog.skyairline.com/visitar-museos/</x:v>
      </x:c>
      <x:c r="M2675" s="1" t="n">
        <x:v>0</x:v>
      </x:c>
    </x:row>
    <x:row r="2676" ht="18.75" customHeight="1">
      <x:c r="A2676" s="1" t="str">
        <x:v>https://blog.skyairline.com/fiestas-patrias-de-chile-2/</x:v>
      </x:c>
      <x:c r="B2676" s="1" t="str">
        <x:v>chile fiestas patrias</x:v>
      </x:c>
      <x:c r="C2676" s="1" t="str">
        <x:v>usa</x:v>
      </x:c>
      <x:c r="D2676" s="1" t="str">
        <x:v>Sin marca</x:v>
      </x:c>
      <x:c r="E2676" s="35" t="n">
        <x:v>1</x:v>
      </x:c>
      <x:c r="F2676" s="36"/>
      <x:c r="G2676" s="36" t="str">
        <x:f>IF(ISNUMBER(F2676),E2676*F2676,"")</x:f>
      </x:c>
      <x:c r="H2676" s="37"/>
      <x:c r="I2676" s="37"/>
      <x:c r="J2676" s="1" t="n">
        <x:f>IF(ISNUMBER(F2676),E2676,0)</x:f>
        <x:v>0</x:v>
      </x:c>
      <x:c r="K2676" s="1"/>
      <x:c r="L2676" s="1" t="str">
        <x:v>https://blog.skyairline.com/visitar-otro-pais/</x:v>
      </x:c>
      <x:c r="M2676" s="1" t="n">
        <x:v>0</x:v>
      </x:c>
    </x:row>
    <x:row r="2677" ht="18.75" customHeight="1">
      <x:c r="A2677" s="1" t="str">
        <x:v>https://blog.skyairline.com/floralis-generica/</x:v>
      </x:c>
      <x:c r="B2677" s="1" t="str">
        <x:v>flor de buenos aires escultura</x:v>
      </x:c>
      <x:c r="C2677" s="1" t="str">
        <x:v>chl</x:v>
      </x:c>
      <x:c r="D2677" s="1" t="str">
        <x:v>Sin marca</x:v>
      </x:c>
      <x:c r="E2677" s="35" t="n">
        <x:v>1</x:v>
      </x:c>
      <x:c r="F2677" s="36"/>
      <x:c r="G2677" s="36" t="str">
        <x:f>IF(ISNUMBER(F2677),E2677*F2677,"")</x:f>
      </x:c>
      <x:c r="H2677" s="37" t="d">
        <x:v>2026-10-15T00:00:00.000Z</x:v>
      </x:c>
      <x:c r="I2677" s="37" t="d">
        <x:v>2026-09-13T08:05:36.000Z</x:v>
      </x:c>
      <x:c r="J2677" s="1" t="n">
        <x:f>IF(ISNUMBER(F2677),E2677,0)</x:f>
        <x:v>0</x:v>
      </x:c>
      <x:c r="K2677" s="1"/>
      <x:c r="L2677" s="1" t="str">
        <x:v>https://blog.skyairline.com/visitar-tumbes/</x:v>
      </x:c>
      <x:c r="M2677" s="1" t="n">
        <x:v>0</x:v>
      </x:c>
    </x:row>
    <x:row r="2678" ht="18.75" customHeight="1">
      <x:c r="A2678" s="1" t="str">
        <x:v>https://blog.skyairline.com/florianopolis-a-rio-de-janeiro/</x:v>
      </x:c>
      <x:c r="B2678" s="1" t="str">
        <x:v>distancia</x:v>
      </x:c>
      <x:c r="C2678" s="1" t="str">
        <x:v>chl</x:v>
      </x:c>
      <x:c r="D2678" s="1" t="str">
        <x:v>Sin marca</x:v>
      </x:c>
      <x:c r="E2678" s="35" t="n">
        <x:v>1</x:v>
      </x:c>
      <x:c r="F2678" s="36" t="n">
        <x:v>0.28</x:v>
      </x:c>
      <x:c r="G2678" s="36" t="n">
        <x:f>IF(ISNUMBER(F2678),E2678*F2678,"")</x:f>
        <x:v>0.28</x:v>
      </x:c>
      <x:c r="H2678" s="37" t="d">
        <x:v>2026-10-15T00:00:00.000Z</x:v>
      </x:c>
      <x:c r="I2678" s="37" t="d">
        <x:v>2026-09-13T17:03:46.000Z</x:v>
      </x:c>
      <x:c r="J2678" s="1" t="n">
        <x:f>IF(ISNUMBER(F2678),E2678,0)</x:f>
        <x:v>1</x:v>
      </x:c>
      <x:c r="K2678" s="1"/>
      <x:c r="L2678" s="1" t="str">
        <x:v>https://blog.skyairline.com/volar-a-calama/</x:v>
      </x:c>
      <x:c r="M2678" s="1" t="n">
        <x:v>0</x:v>
      </x:c>
    </x:row>
    <x:row r="2679" ht="18.75" customHeight="1">
      <x:c r="A2679" s="1" t="str">
        <x:v>https://blog.skyairline.com/florianopolis-a-rio-de-janeiro/</x:v>
      </x:c>
      <x:c r="B2679" s="1" t="str">
        <x:v>distancia de florianopolis a rio de janeiro</x:v>
      </x:c>
      <x:c r="C2679" s="1" t="str">
        <x:v>chl</x:v>
      </x:c>
      <x:c r="D2679" s="1" t="str">
        <x:v>Sin marca</x:v>
      </x:c>
      <x:c r="E2679" s="35" t="n">
        <x:v>1</x:v>
      </x:c>
      <x:c r="F2679" s="36" t="n">
        <x:v>0.85</x:v>
      </x:c>
      <x:c r="G2679" s="36" t="n">
        <x:f>IF(ISNUMBER(F2679),E2679*F2679,"")</x:f>
        <x:v>0.85</x:v>
      </x:c>
      <x:c r="H2679" s="37" t="d">
        <x:v>2026-10-15T00:00:00.000Z</x:v>
      </x:c>
      <x:c r="I2679" s="37" t="d">
        <x:v>2026-09-17T20:40:10.000Z</x:v>
      </x:c>
      <x:c r="J2679" s="1" t="n">
        <x:f>IF(ISNUMBER(F2679),E2679,0)</x:f>
        <x:v>1</x:v>
      </x:c>
      <x:c r="K2679" s="1"/>
      <x:c r="L2679" s="1" t="str">
        <x:v>https://blog.skyairline.com/volar-con-sky/</x:v>
      </x:c>
      <x:c r="M2679" s="1" t="n">
        <x:v>0</x:v>
      </x:c>
    </x:row>
    <x:row r="2680" ht="18.75" customHeight="1">
      <x:c r="A2680" s="1" t="str">
        <x:v>https://blog.skyairline.com/florianopolis-a-rio-de-janeiro/</x:v>
      </x:c>
      <x:c r="B2680" s="1" t="str">
        <x:v>distancia de florianopolis a rio de janeiro</x:v>
      </x:c>
      <x:c r="C2680" s="1" t="str">
        <x:v>per</x:v>
      </x:c>
      <x:c r="D2680" s="1" t="str">
        <x:v>Sin marca</x:v>
      </x:c>
      <x:c r="E2680" s="35" t="n">
        <x:v>1</x:v>
      </x:c>
      <x:c r="F2680" s="36"/>
      <x:c r="G2680" s="36" t="str">
        <x:f>IF(ISNUMBER(F2680),E2680*F2680,"")</x:f>
      </x:c>
      <x:c r="H2680" s="37"/>
      <x:c r="I2680" s="37"/>
      <x:c r="J2680" s="1" t="n">
        <x:f>IF(ISNUMBER(F2680),E2680,0)</x:f>
        <x:v>0</x:v>
      </x:c>
      <x:c r="K2680" s="1"/>
      <x:c r="L2680" s="1" t="str">
        <x:v>https://blog.skyairline.com/volcan-chachani/</x:v>
      </x:c>
      <x:c r="M2680" s="1" t="n">
        <x:v>0</x:v>
      </x:c>
    </x:row>
    <x:row r="2681" ht="18.75" customHeight="1">
      <x:c r="A2681" s="1" t="str">
        <x:v>https://blog.skyairline.com/florianopolis-a-rio-de-janeiro/</x:v>
      </x:c>
      <x:c r="B2681" s="1" t="str">
        <x:v>distancia de rio a florianopolis</x:v>
      </x:c>
      <x:c r="C2681" s="1" t="str">
        <x:v>chl</x:v>
      </x:c>
      <x:c r="D2681" s="1" t="str">
        <x:v>Sin marca</x:v>
      </x:c>
      <x:c r="E2681" s="35" t="n">
        <x:v>1</x:v>
      </x:c>
      <x:c r="F2681" s="36"/>
      <x:c r="G2681" s="36" t="str">
        <x:f>IF(ISNUMBER(F2681),E2681*F2681,"")</x:f>
      </x:c>
      <x:c r="H2681" s="37"/>
      <x:c r="I2681" s="37"/>
      <x:c r="J2681" s="1" t="n">
        <x:f>IF(ISNUMBER(F2681),E2681,0)</x:f>
        <x:v>0</x:v>
      </x:c>
      <x:c r="K2681" s="1"/>
      <x:c r="L2681" s="1" t="str">
        <x:v>https://blog.skyairline.com/volcan-osorno/</x:v>
      </x:c>
      <x:c r="M2681" s="1" t="n">
        <x:v>0</x:v>
      </x:c>
    </x:row>
    <x:row r="2682" ht="18.75" customHeight="1">
      <x:c r="A2682" s="1" t="str">
        <x:v>https://blog.skyairline.com/florianopolis-a-rio-de-janeiro/</x:v>
      </x:c>
      <x:c r="B2682" s="1" t="str">
        <x:v>distancia entre rio de janeiro y florianopolis</x:v>
      </x:c>
      <x:c r="C2682" s="1" t="str">
        <x:v>chl</x:v>
      </x:c>
      <x:c r="D2682" s="1" t="str">
        <x:v>Sin marca</x:v>
      </x:c>
      <x:c r="E2682" s="35" t="n">
        <x:v>1</x:v>
      </x:c>
      <x:c r="F2682" s="36"/>
      <x:c r="G2682" s="36" t="str">
        <x:f>IF(ISNUMBER(F2682),E2682*F2682,"")</x:f>
      </x:c>
      <x:c r="H2682" s="37" t="d">
        <x:v>2026-10-15T00:00:00.000Z</x:v>
      </x:c>
      <x:c r="I2682" s="37" t="d">
        <x:v>2026-09-16T12:39:54.000Z</x:v>
      </x:c>
      <x:c r="J2682" s="1" t="n">
        <x:f>IF(ISNUMBER(F2682),E2682,0)</x:f>
        <x:v>0</x:v>
      </x:c>
      <x:c r="K2682" s="1"/>
      <x:c r="L2682" s="1" t="str">
        <x:v>https://blog.skyairline.com/volcan-villarrica/</x:v>
      </x:c>
      <x:c r="M2682" s="1" t="n">
        <x:v>0</x:v>
      </x:c>
    </x:row>
    <x:row r="2683" ht="18.75" customHeight="1">
      <x:c r="A2683" s="1" t="str">
        <x:v>https://blog.skyairline.com/florianopolis-a-rio-de-janeiro/</x:v>
      </x:c>
      <x:c r="B2683" s="1" t="str">
        <x:v>distancia florianopolis a rio de janeiro</x:v>
      </x:c>
      <x:c r="C2683" s="1" t="str">
        <x:v>arg</x:v>
      </x:c>
      <x:c r="D2683" s="1" t="str">
        <x:v>Sin marca</x:v>
      </x:c>
      <x:c r="E2683" s="35" t="n">
        <x:v>1</x:v>
      </x:c>
      <x:c r="F2683" s="36"/>
      <x:c r="G2683" s="36" t="str">
        <x:f>IF(ISNUMBER(F2683),E2683*F2683,"")</x:f>
      </x:c>
      <x:c r="H2683" s="37"/>
      <x:c r="I2683" s="37"/>
      <x:c r="J2683" s="1" t="n">
        <x:f>IF(ISNUMBER(F2683),E2683,0)</x:f>
        <x:v>0</x:v>
      </x:c>
      <x:c r="K2683" s="1"/>
      <x:c r="L2683" s="1" t="str">
        <x:v>https://blog.skyairline.com/volcanes-araucania</x:v>
      </x:c>
      <x:c r="M2683" s="1" t="n">
        <x:v>0</x:v>
      </x:c>
    </x:row>
    <x:row r="2684" ht="18.75" customHeight="1">
      <x:c r="A2684" s="1" t="str">
        <x:v>https://blog.skyairline.com/florianopolis-a-rio-de-janeiro/</x:v>
      </x:c>
      <x:c r="B2684" s="1" t="str">
        <x:v>florianopolis distancia rio de janeiro</x:v>
      </x:c>
      <x:c r="C2684" s="1" t="str">
        <x:v>chl</x:v>
      </x:c>
      <x:c r="D2684" s="1" t="str">
        <x:v>Sin marca</x:v>
      </x:c>
      <x:c r="E2684" s="35" t="n">
        <x:v>1</x:v>
      </x:c>
      <x:c r="F2684" s="36"/>
      <x:c r="G2684" s="36" t="str">
        <x:f>IF(ISNUMBER(F2684),E2684*F2684,"")</x:f>
      </x:c>
      <x:c r="H2684" s="37"/>
      <x:c r="I2684" s="37"/>
      <x:c r="J2684" s="1" t="n">
        <x:f>IF(ISNUMBER(F2684),E2684,0)</x:f>
        <x:v>0</x:v>
      </x:c>
      <x:c r="K2684" s="1"/>
      <x:c r="L2684" s="1" t="str">
        <x:v>https://blog.skyairline.com/volcanes-araucania-para/</x:v>
      </x:c>
      <x:c r="M2684" s="1" t="n">
        <x:v>0</x:v>
      </x:c>
    </x:row>
    <x:row r="2685" ht="18.75" customHeight="1">
      <x:c r="A2685" s="1" t="str">
        <x:v>https://blog.skyairline.com/florianopolis-a-rio-de-janeiro/</x:v>
      </x:c>
      <x:c r="B2685" s="1" t="str">
        <x:v>vuelo florianopolis a rio de janeiro</x:v>
      </x:c>
      <x:c r="C2685" s="1" t="str">
        <x:v>chl</x:v>
      </x:c>
      <x:c r="D2685" s="1" t="str">
        <x:v>Sin marca</x:v>
      </x:c>
      <x:c r="E2685" s="35" t="n">
        <x:v>1</x:v>
      </x:c>
      <x:c r="F2685" s="36"/>
      <x:c r="G2685" s="36" t="str">
        <x:f>IF(ISNUMBER(F2685),E2685*F2685,"")</x:f>
      </x:c>
      <x:c r="H2685" s="37"/>
      <x:c r="I2685" s="37"/>
      <x:c r="J2685" s="1" t="n">
        <x:f>IF(ISNUMBER(F2685),E2685,0)</x:f>
        <x:v>0</x:v>
      </x:c>
      <x:c r="K2685" s="1"/>
      <x:c r="L2685" s="1" t="str">
        <x:v>https://blog.skyairline.com/volcanes-de-la-araucania</x:v>
      </x:c>
      <x:c r="M2685" s="1" t="n">
        <x:v>0</x:v>
      </x:c>
    </x:row>
    <x:row r="2686" ht="18.75" customHeight="1">
      <x:c r="A2686" s="1" t="str">
        <x:v>https://blog.skyairline.com/floripa/</x:v>
      </x:c>
      <x:c r="B2686" s="1" t="str">
        <x:v>floripa</x:v>
      </x:c>
      <x:c r="C2686" s="1" t="str">
        <x:v>chl</x:v>
      </x:c>
      <x:c r="D2686" s="1" t="str">
        <x:v>Sin marca</x:v>
      </x:c>
      <x:c r="E2686" s="35" t="n">
        <x:v>1</x:v>
      </x:c>
      <x:c r="F2686" s="36" t="n">
        <x:v>0.68</x:v>
      </x:c>
      <x:c r="G2686" s="36" t="n">
        <x:f>IF(ISNUMBER(F2686),E2686*F2686,"")</x:f>
        <x:v>0.68</x:v>
      </x:c>
      <x:c r="H2686" s="37" t="d">
        <x:v>2026-10-15T00:00:00.000Z</x:v>
      </x:c>
      <x:c r="I2686" s="37" t="d">
        <x:v>2026-09-15T14:12:46.000Z</x:v>
      </x:c>
      <x:c r="J2686" s="1" t="n">
        <x:f>IF(ISNUMBER(F2686),E2686,0)</x:f>
        <x:v>1</x:v>
      </x:c>
      <x:c r="K2686" s="1"/>
      <x:c r="L2686" s="1" t="str">
        <x:v>https://blog.skyairline.com/volcanes-de-la-region-de-araucania/</x:v>
      </x:c>
      <x:c r="M2686" s="1" t="n">
        <x:v>0</x:v>
      </x:c>
    </x:row>
    <x:row r="2687" ht="18.75" customHeight="1">
      <x:c r="A2687" s="1" t="str">
        <x:v>https://blog.skyairline.com/folklore-de-chile/</x:v>
      </x:c>
      <x:c r="B2687" s="1" t="str">
        <x:v>el folclore chileno</x:v>
      </x:c>
      <x:c r="C2687" s="1" t="str">
        <x:v>chl</x:v>
      </x:c>
      <x:c r="D2687" s="1" t="str">
        <x:v>Sin marca</x:v>
      </x:c>
      <x:c r="E2687" s="35" t="n">
        <x:v>1</x:v>
      </x:c>
      <x:c r="F2687" s="36"/>
      <x:c r="G2687" s="36" t="str">
        <x:f>IF(ISNUMBER(F2687),E2687*F2687,"")</x:f>
      </x:c>
      <x:c r="H2687" s="37"/>
      <x:c r="I2687" s="37"/>
      <x:c r="J2687" s="1" t="n">
        <x:f>IF(ISNUMBER(F2687),E2687,0)</x:f>
        <x:v>0</x:v>
      </x:c>
      <x:c r="K2687" s="1"/>
      <x:c r="L2687" s="1" t="str">
        <x:v>https://blog.skyairline.com/volcanes-en-puerto-montt-cuales-visitar-como-llegar/</x:v>
      </x:c>
      <x:c r="M2687" s="1" t="n">
        <x:v>0</x:v>
      </x:c>
    </x:row>
    <x:row r="2688" ht="18.75" customHeight="1">
      <x:c r="A2688" s="1" t="str">
        <x:v>https://blog.skyairline.com/folklore-de-chile/</x:v>
      </x:c>
      <x:c r="B2688" s="1" t="str">
        <x:v>folclore chileno</x:v>
      </x:c>
      <x:c r="C2688" s="1" t="str">
        <x:v>chl</x:v>
      </x:c>
      <x:c r="D2688" s="1" t="str">
        <x:v>Sin marca</x:v>
      </x:c>
      <x:c r="E2688" s="35" t="n">
        <x:v>1</x:v>
      </x:c>
      <x:c r="F2688" s="36"/>
      <x:c r="G2688" s="36" t="str">
        <x:f>IF(ISNUMBER(F2688),E2688*F2688,"")</x:f>
      </x:c>
      <x:c r="H2688" s="37" t="d">
        <x:v>2026-10-15T00:00:00.000Z</x:v>
      </x:c>
      <x:c r="I2688" s="37" t="d">
        <x:v>2026-09-15T08:51:03.000Z</x:v>
      </x:c>
      <x:c r="J2688" s="1" t="n">
        <x:f>IF(ISNUMBER(F2688),E2688,0)</x:f>
        <x:v>0</x:v>
      </x:c>
      <x:c r="K2688" s="1"/>
      <x:c r="L2688" s="1" t="str">
        <x:v>https://blog.skyairline.com/volcanes-en-puerto-montt-cuales-visitar-y-c%C3%B3mo-llegar</x:v>
      </x:c>
      <x:c r="M2688" s="1" t="n">
        <x:v>0</x:v>
      </x:c>
    </x:row>
    <x:row r="2689" ht="18.75" customHeight="1">
      <x:c r="A2689" s="1" t="str">
        <x:v>https://blog.skyairline.com/folklore-de-chile/</x:v>
      </x:c>
      <x:c r="B2689" s="1" t="str">
        <x:v>folklore chileno</x:v>
      </x:c>
      <x:c r="C2689" s="1" t="str">
        <x:v>mex</x:v>
      </x:c>
      <x:c r="D2689" s="1" t="str">
        <x:v>Sin marca</x:v>
      </x:c>
      <x:c r="E2689" s="35" t="n">
        <x:v>1</x:v>
      </x:c>
      <x:c r="F2689" s="36"/>
      <x:c r="G2689" s="36" t="str">
        <x:f>IF(ISNUMBER(F2689),E2689*F2689,"")</x:f>
      </x:c>
      <x:c r="H2689" s="37"/>
      <x:c r="I2689" s="37"/>
      <x:c r="J2689" s="1" t="n">
        <x:f>IF(ISNUMBER(F2689),E2689,0)</x:f>
        <x:v>0</x:v>
      </x:c>
      <x:c r="K2689" s="1"/>
      <x:c r="L2689" s="1" t="str">
        <x:v>https://blog.skyairline.com/volcanes-en-puerto-montt-cuales-visitar-y-come-llegar/</x:v>
      </x:c>
      <x:c r="M2689" s="1" t="n">
        <x:v>0</x:v>
      </x:c>
    </x:row>
    <x:row r="2690" ht="18.75" customHeight="1">
      <x:c r="A2690" s="1" t="str">
        <x:v>https://blog.skyairline.com/folklore-de-chile/</x:v>
      </x:c>
      <x:c r="B2690" s="1" t="str">
        <x:v>folklore en chile</x:v>
      </x:c>
      <x:c r="C2690" s="1" t="str">
        <x:v>chl</x:v>
      </x:c>
      <x:c r="D2690" s="1" t="str">
        <x:v>Sin marca</x:v>
      </x:c>
      <x:c r="E2690" s="35" t="n">
        <x:v>1</x:v>
      </x:c>
      <x:c r="F2690" s="36"/>
      <x:c r="G2690" s="36" t="str">
        <x:f>IF(ISNUMBER(F2690),E2690*F2690,"")</x:f>
      </x:c>
      <x:c r="H2690" s="37"/>
      <x:c r="I2690" s="37"/>
      <x:c r="J2690" s="1" t="n">
        <x:f>IF(ISNUMBER(F2690),E2690,0)</x:f>
        <x:v>0</x:v>
      </x:c>
      <x:c r="K2690" s="1"/>
      <x:c r="L2690" s="1" t="str">
        <x:v>https://blog.skyairline.com/volcanes-en-puerto-montt-cuales-visitar-y-como-llegar</x:v>
      </x:c>
      <x:c r="M2690" s="1" t="n">
        <x:v>0</x:v>
      </x:c>
    </x:row>
    <x:row r="2691" ht="18.75" customHeight="1">
      <x:c r="A2691" s="1" t="str">
        <x:v>https://blog.skyairline.com/folklore-de-chile/</x:v>
      </x:c>
      <x:c r="B2691" s="1" t="str">
        <x:v>historia del folclor chileno</x:v>
      </x:c>
      <x:c r="C2691" s="1" t="str">
        <x:v>chl</x:v>
      </x:c>
      <x:c r="D2691" s="1" t="str">
        <x:v>Sin marca</x:v>
      </x:c>
      <x:c r="E2691" s="35" t="n">
        <x:v>1</x:v>
      </x:c>
      <x:c r="F2691" s="36"/>
      <x:c r="G2691" s="36" t="str">
        <x:f>IF(ISNUMBER(F2691),E2691*F2691,"")</x:f>
      </x:c>
      <x:c r="H2691" s="37" t="d">
        <x:v>2026-10-15T00:00:00.000Z</x:v>
      </x:c>
      <x:c r="I2691" s="37" t="d">
        <x:v>2026-09-15T05:41:03.999Z</x:v>
      </x:c>
      <x:c r="J2691" s="1" t="n">
        <x:f>IF(ISNUMBER(F2691),E2691,0)</x:f>
        <x:v>0</x:v>
      </x:c>
      <x:c r="K2691" s="1"/>
      <x:c r="L2691" s="1" t="str">
        <x:v>https://blog.skyairline.com/volcanes-iotsitewise-de-la-region-de-la-araucania/</x:v>
      </x:c>
      <x:c r="M2691" s="1" t="n">
        <x:v>0</x:v>
      </x:c>
    </x:row>
    <x:row r="2692" ht="18.75" customHeight="1">
      <x:c r="A2692" s="1" t="str">
        <x:v>https://blog.skyairline.com/folklore-de-chile/</x:v>
      </x:c>
      <x:c r="B2692" s="1" t="str">
        <x:v>que es el folclor chileno</x:v>
      </x:c>
      <x:c r="C2692" s="1" t="str">
        <x:v>chl</x:v>
      </x:c>
      <x:c r="D2692" s="1" t="str">
        <x:v>Sin marca</x:v>
      </x:c>
      <x:c r="E2692" s="35" t="n">
        <x:v>1</x:v>
      </x:c>
      <x:c r="F2692" s="36"/>
      <x:c r="G2692" s="36" t="str">
        <x:f>IF(ISNUMBER(F2692),E2692*F2692,"")</x:f>
      </x:c>
      <x:c r="H2692" s="37" t="d">
        <x:v>2026-10-15T00:00:00.000Z</x:v>
      </x:c>
      <x:c r="I2692" s="37" t="d">
        <x:v>2026-09-16T21:23:03.000Z</x:v>
      </x:c>
      <x:c r="J2692" s="1" t="n">
        <x:f>IF(ISNUMBER(F2692),E2692,0)</x:f>
        <x:v>0</x:v>
      </x:c>
      <x:c r="K2692" s="1"/>
      <x:c r="L2692" s="1" t="str">
        <x:v>https://blog.skyairline.com/volcanes-la-region-de-la-araucania-para-explorar</x:v>
      </x:c>
      <x:c r="M2692" s="1" t="n">
        <x:v>0</x:v>
      </x:c>
    </x:row>
    <x:row r="2693" ht="18.75" customHeight="1">
      <x:c r="A2693" s="1" t="str">
        <x:v>https://blog.skyairline.com/folklore-de-chile/</x:v>
      </x:c>
      <x:c r="B2693" s="1" t="str">
        <x:v>zonas folcloricas de chile</x:v>
      </x:c>
      <x:c r="C2693" s="1" t="str">
        <x:v>chl</x:v>
      </x:c>
      <x:c r="D2693" s="1" t="str">
        <x:v>Sin marca</x:v>
      </x:c>
      <x:c r="E2693" s="35" t="n">
        <x:v>1</x:v>
      </x:c>
      <x:c r="F2693" s="36"/>
      <x:c r="G2693" s="36" t="str">
        <x:f>IF(ISNUMBER(F2693),E2693*F2693,"")</x:f>
      </x:c>
      <x:c r="H2693" s="37"/>
      <x:c r="I2693" s="37"/>
      <x:c r="J2693" s="1" t="n">
        <x:f>IF(ISNUMBER(F2693),E2693,0)</x:f>
        <x:v>0</x:v>
      </x:c>
      <x:c r="K2693" s="1"/>
      <x:c r="L2693" s="1" t="str">
        <x:v>https://blog.skyairline.com/vuela-a-cancun/</x:v>
      </x:c>
      <x:c r="M2693" s="1" t="n">
        <x:v>0</x:v>
      </x:c>
    </x:row>
    <x:row r="2694" ht="18.75" customHeight="1">
      <x:c r="A2694" s="1" t="str">
        <x:v>https://blog.skyairline.com/frutas-del-sur-de-chile-variedades-y-beneficios/</x:v>
      </x:c>
      <x:c r="B2694" s="1" t="str">
        <x:v>frutas de chile y sus nombres</x:v>
      </x:c>
      <x:c r="C2694" s="1" t="str">
        <x:v>bel</x:v>
      </x:c>
      <x:c r="D2694" s="1" t="str">
        <x:v>Sin marca</x:v>
      </x:c>
      <x:c r="E2694" s="35" t="n">
        <x:v>1</x:v>
      </x:c>
      <x:c r="F2694" s="36"/>
      <x:c r="G2694" s="36" t="str">
        <x:f>IF(ISNUMBER(F2694),E2694*F2694,"")</x:f>
      </x:c>
      <x:c r="H2694" s="37"/>
      <x:c r="I2694" s="37"/>
      <x:c r="J2694" s="1" t="n">
        <x:f>IF(ISNUMBER(F2694),E2694,0)</x:f>
        <x:v>0</x:v>
      </x:c>
      <x:c r="K2694" s="1"/>
      <x:c r="L2694" s="1" t="str">
        <x:v>https://blog.skyairline.com/vuelo-a-miami/</x:v>
      </x:c>
      <x:c r="M2694" s="1" t="n">
        <x:v>0</x:v>
      </x:c>
    </x:row>
    <x:row r="2695" ht="18.75" customHeight="1">
      <x:c r="A2695" s="1" t="str">
        <x:v>https://blog.skyairline.com/futrono/</x:v>
      </x:c>
      <x:c r="B2695" s="1" t="str">
        <x:v>vuelos a lago ranco</x:v>
      </x:c>
      <x:c r="C2695" s="1" t="str">
        <x:v>chl</x:v>
      </x:c>
      <x:c r="D2695" s="1" t="str">
        <x:v>Sin marca</x:v>
      </x:c>
      <x:c r="E2695" s="35" t="n">
        <x:v>1</x:v>
      </x:c>
      <x:c r="F2695" s="36" t="n">
        <x:v>0.49</x:v>
      </x:c>
      <x:c r="G2695" s="36" t="n">
        <x:f>IF(ISNUMBER(F2695),E2695*F2695,"")</x:f>
        <x:v>0.49</x:v>
      </x:c>
      <x:c r="H2695" s="37" t="d">
        <x:v>2026-10-15T00:00:00.000Z</x:v>
      </x:c>
      <x:c r="I2695" s="37" t="d">
        <x:v>2026-09-16T07:22:59.000Z</x:v>
      </x:c>
      <x:c r="J2695" s="1" t="n">
        <x:f>IF(ISNUMBER(F2695),E2695,0)</x:f>
        <x:v>1</x:v>
      </x:c>
      <x:c r="K2695" s="1"/>
      <x:c r="L2695" s="1" t="str">
        <x:v>https://blog.skyairline.com/vuelos-a-arequipa/</x:v>
      </x:c>
      <x:c r="M2695" s="1" t="n">
        <x:v>0</x:v>
      </x:c>
    </x:row>
    <x:row r="2696" ht="18.75" customHeight="1">
      <x:c r="A2696" s="1" t="str">
        <x:v>https://blog.skyairline.com/gastronomia-de-jauja/</x:v>
      </x:c>
      <x:c r="B2696" s="1" t="str">
        <x:v>platos típicos de jauja</x:v>
      </x:c>
      <x:c r="C2696" s="1" t="str">
        <x:v>per</x:v>
      </x:c>
      <x:c r="D2696" s="1" t="str">
        <x:v>Sin marca</x:v>
      </x:c>
      <x:c r="E2696" s="35" t="n">
        <x:v>1</x:v>
      </x:c>
      <x:c r="F2696" s="36"/>
      <x:c r="G2696" s="36" t="str">
        <x:f>IF(ISNUMBER(F2696),E2696*F2696,"")</x:f>
      </x:c>
      <x:c r="H2696" s="37" t="d">
        <x:v>2026-10-15T00:00:00.000Z</x:v>
      </x:c>
      <x:c r="I2696" s="37" t="d">
        <x:v>2026-09-13T17:42:31.000Z</x:v>
      </x:c>
      <x:c r="J2696" s="1" t="n">
        <x:f>IF(ISNUMBER(F2696),E2696,0)</x:f>
        <x:v>0</x:v>
      </x:c>
      <x:c r="K2696" s="1"/>
      <x:c r="L2696" s="1" t="str">
        <x:v>https://blog.skyairline.com/vuelos-a-argentina/</x:v>
      </x:c>
      <x:c r="M2696" s="1" t="n">
        <x:v>0</x:v>
      </x:c>
    </x:row>
    <x:row r="2697" ht="18.75" customHeight="1">
      <x:c r="A2697" s="1" t="str">
        <x:v>https://blog.skyairline.com/gastronomia-de-jauja/</x:v>
      </x:c>
      <x:c r="B2697" s="1" t="str">
        <x:v>temperatura en jauja hoy</x:v>
      </x:c>
      <x:c r="C2697" s="1" t="str">
        <x:v>per</x:v>
      </x:c>
      <x:c r="D2697" s="1" t="str">
        <x:v>Sin marca</x:v>
      </x:c>
      <x:c r="E2697" s="35" t="n">
        <x:v>1</x:v>
      </x:c>
      <x:c r="F2697" s="36"/>
      <x:c r="G2697" s="36" t="str">
        <x:f>IF(ISNUMBER(F2697),E2697*F2697,"")</x:f>
      </x:c>
      <x:c r="H2697" s="37" t="d">
        <x:v>2026-10-15T00:00:00.000Z</x:v>
      </x:c>
      <x:c r="I2697" s="37" t="d">
        <x:v>2026-09-13T16:20:59.000Z</x:v>
      </x:c>
      <x:c r="J2697" s="1" t="n">
        <x:f>IF(ISNUMBER(F2697),E2697,0)</x:f>
        <x:v>0</x:v>
      </x:c>
      <x:c r="K2697" s="1"/>
      <x:c r="L2697" s="1" t="str">
        <x:v>https://blog.skyairline.com/vuelos-a-bariloche-desde-chile</x:v>
      </x:c>
      <x:c r="M2697" s="1" t="n">
        <x:v>0</x:v>
      </x:c>
    </x:row>
    <x:row r="2698" ht="18.75" customHeight="1">
      <x:c r="A2698" s="1" t="str">
        <x:v>https://blog.skyairline.com/gastronomia-de-rio-de-janeiro/</x:v>
      </x:c>
      <x:c r="B2698" s="1" t="str">
        <x:v>comida típica de rio de janeiro</x:v>
      </x:c>
      <x:c r="C2698" s="1" t="str">
        <x:v>mex</x:v>
      </x:c>
      <x:c r="D2698" s="1" t="str">
        <x:v>Sin marca</x:v>
      </x:c>
      <x:c r="E2698" s="35" t="n">
        <x:v>1</x:v>
      </x:c>
      <x:c r="F2698" s="36"/>
      <x:c r="G2698" s="36" t="str">
        <x:f>IF(ISNUMBER(F2698),E2698*F2698,"")</x:f>
      </x:c>
      <x:c r="H2698" s="37"/>
      <x:c r="I2698" s="37"/>
      <x:c r="J2698" s="1" t="n">
        <x:f>IF(ISNUMBER(F2698),E2698,0)</x:f>
        <x:v>0</x:v>
      </x:c>
      <x:c r="K2698" s="1"/>
      <x:c r="L2698" s="1" t="str">
        <x:v>https://blog.skyairline.com/vuelos-a-brasil-2/</x:v>
      </x:c>
      <x:c r="M2698" s="1" t="n">
        <x:v>0</x:v>
      </x:c>
    </x:row>
    <x:row r="2699" ht="18.75" customHeight="1">
      <x:c r="A2699" s="1" t="str">
        <x:v>https://blog.skyairline.com/gastronomia-de-rio-de-janeiro/</x:v>
      </x:c>
      <x:c r="B2699" s="1" t="str">
        <x:v>comidas tipicas de brasil rio de janeiro</x:v>
      </x:c>
      <x:c r="C2699" s="1" t="str">
        <x:v>cri</x:v>
      </x:c>
      <x:c r="D2699" s="1" t="str">
        <x:v>Sin marca</x:v>
      </x:c>
      <x:c r="E2699" s="35" t="n">
        <x:v>1</x:v>
      </x:c>
      <x:c r="F2699" s="36"/>
      <x:c r="G2699" s="36" t="str">
        <x:f>IF(ISNUMBER(F2699),E2699*F2699,"")</x:f>
      </x:c>
      <x:c r="H2699" s="37"/>
      <x:c r="I2699" s="37"/>
      <x:c r="J2699" s="1" t="n">
        <x:f>IF(ISNUMBER(F2699),E2699,0)</x:f>
        <x:v>0</x:v>
      </x:c>
      <x:c r="K2699" s="1"/>
      <x:c r="L2699" s="1" t="str">
        <x:v>https://blog.skyairline.com/vuelos-a-cajamarca/</x:v>
      </x:c>
      <x:c r="M2699" s="1" t="n">
        <x:v>0</x:v>
      </x:c>
    </x:row>
    <x:row r="2700" ht="18.75" customHeight="1">
      <x:c r="A2700" s="1" t="str">
        <x:v>https://blog.skyairline.com/gastronomia-de-rio-de-janeiro/</x:v>
      </x:c>
      <x:c r="B2700" s="1" t="str">
        <x:v>comidas tipicas de rio de janeiro</x:v>
      </x:c>
      <x:c r="C2700" s="1" t="str">
        <x:v>arg</x:v>
      </x:c>
      <x:c r="D2700" s="1" t="str">
        <x:v>Sin marca</x:v>
      </x:c>
      <x:c r="E2700" s="35" t="n">
        <x:v>1</x:v>
      </x:c>
      <x:c r="F2700" s="36"/>
      <x:c r="G2700" s="36" t="str">
        <x:f>IF(ISNUMBER(F2700),E2700*F2700,"")</x:f>
      </x:c>
      <x:c r="H2700" s="37"/>
      <x:c r="I2700" s="37"/>
      <x:c r="J2700" s="1" t="n">
        <x:f>IF(ISNUMBER(F2700),E2700,0)</x:f>
        <x:v>0</x:v>
      </x:c>
      <x:c r="K2700" s="1"/>
      <x:c r="L2700" s="1" t="str">
        <x:v>https://blog.skyairline.com/vuelos-a-chiclayo/</x:v>
      </x:c>
      <x:c r="M2700" s="1" t="n">
        <x:v>0</x:v>
      </x:c>
    </x:row>
    <x:row r="2701" ht="18.75" customHeight="1">
      <x:c r="A2701" s="1" t="str">
        <x:v>https://blog.skyairline.com/gastronomia-de-rio-de-janeiro/</x:v>
      </x:c>
      <x:c r="B2701" s="1" t="str">
        <x:v>platos tipicos de rio de janeiro</x:v>
      </x:c>
      <x:c r="C2701" s="1" t="str">
        <x:v>chl</x:v>
      </x:c>
      <x:c r="D2701" s="1" t="str">
        <x:v>Sin marca</x:v>
      </x:c>
      <x:c r="E2701" s="35" t="n">
        <x:v>1</x:v>
      </x:c>
      <x:c r="F2701" s="36"/>
      <x:c r="G2701" s="36" t="str">
        <x:f>IF(ISNUMBER(F2701),E2701*F2701,"")</x:f>
      </x:c>
      <x:c r="H2701" s="37"/>
      <x:c r="I2701" s="37"/>
      <x:c r="J2701" s="1" t="n">
        <x:f>IF(ISNUMBER(F2701),E2701,0)</x:f>
        <x:v>0</x:v>
      </x:c>
      <x:c r="K2701" s="1"/>
      <x:c r="L2701" s="1" t="str">
        <x:v>https://blog.skyairline.com/vuelos-a-iquitos/</x:v>
      </x:c>
      <x:c r="M2701" s="1" t="n">
        <x:v>0</x:v>
      </x:c>
    </x:row>
    <x:row r="2702" ht="18.75" customHeight="1">
      <x:c r="A2702" s="1" t="str">
        <x:v>https://blog.skyairline.com/gastronomia-de-rio-de-janeiro/</x:v>
      </x:c>
      <x:c r="B2702" s="1" t="str">
        <x:v>que comer en rio de janeiro</x:v>
      </x:c>
      <x:c r="C2702" s="1" t="str">
        <x:v>usa</x:v>
      </x:c>
      <x:c r="D2702" s="1" t="str">
        <x:v>Sin marca</x:v>
      </x:c>
      <x:c r="E2702" s="35" t="n">
        <x:v>1</x:v>
      </x:c>
      <x:c r="F2702" s="36"/>
      <x:c r="G2702" s="36" t="str">
        <x:f>IF(ISNUMBER(F2702),E2702*F2702,"")</x:f>
      </x:c>
      <x:c r="H2702" s="37"/>
      <x:c r="I2702" s="37"/>
      <x:c r="J2702" s="1" t="n">
        <x:f>IF(ISNUMBER(F2702),E2702,0)</x:f>
        <x:v>0</x:v>
      </x:c>
      <x:c r="K2702" s="1"/>
      <x:c r="L2702" s="1" t="str">
        <x:v>https://blog.skyairline.com/vuelos-a-juliaca/</x:v>
      </x:c>
      <x:c r="M2702" s="1" t="n">
        <x:v>0</x:v>
      </x:c>
    </x:row>
    <x:row r="2703" ht="18.75" customHeight="1">
      <x:c r="A2703" s="1" t="str">
        <x:v>https://blog.skyairline.com/gastronomia-latinoamericana/</x:v>
      </x:c>
      <x:c r="B2703" s="1" t="str">
        <x:v>gastronomía de latinoamérica</x:v>
      </x:c>
      <x:c r="C2703" s="1" t="str">
        <x:v>mex</x:v>
      </x:c>
      <x:c r="D2703" s="1" t="str">
        <x:v>Sin marca</x:v>
      </x:c>
      <x:c r="E2703" s="35" t="n">
        <x:v>1</x:v>
      </x:c>
      <x:c r="F2703" s="36"/>
      <x:c r="G2703" s="36" t="str">
        <x:f>IF(ISNUMBER(F2703),E2703*F2703,"")</x:f>
      </x:c>
      <x:c r="H2703" s="37"/>
      <x:c r="I2703" s="37"/>
      <x:c r="J2703" s="1" t="n">
        <x:f>IF(ISNUMBER(F2703),E2703,0)</x:f>
        <x:v>0</x:v>
      </x:c>
      <x:c r="K2703" s="1"/>
      <x:c r="L2703" s="1" t="str">
        <x:v>https://blog.skyairline.com/vuelos-a-piura/</x:v>
      </x:c>
      <x:c r="M2703" s="1" t="n">
        <x:v>0</x:v>
      </x:c>
    </x:row>
    <x:row r="2704" ht="18.75" customHeight="1">
      <x:c r="A2704" s="1" t="str">
        <x:v>https://blog.skyairline.com/glaciar-san-rafael/</x:v>
      </x:c>
      <x:c r="B2704" s="1" t="str">
        <x:v>laguna san rafael crucero</x:v>
      </x:c>
      <x:c r="C2704" s="1" t="str">
        <x:v>chl</x:v>
      </x:c>
      <x:c r="D2704" s="1" t="str">
        <x:v>Sin marca</x:v>
      </x:c>
      <x:c r="E2704" s="35" t="n">
        <x:v>1</x:v>
      </x:c>
      <x:c r="F2704" s="36" t="n">
        <x:v>0.41</x:v>
      </x:c>
      <x:c r="G2704" s="36" t="n">
        <x:f>IF(ISNUMBER(F2704),E2704*F2704,"")</x:f>
        <x:v>0.41</x:v>
      </x:c>
      <x:c r="H2704" s="37" t="d">
        <x:v>2026-10-15T00:00:00.000Z</x:v>
      </x:c>
      <x:c r="I2704" s="37" t="d">
        <x:v>2026-09-15T03:44:04.000Z</x:v>
      </x:c>
      <x:c r="J2704" s="1" t="n">
        <x:f>IF(ISNUMBER(F2704),E2704,0)</x:f>
        <x:v>1</x:v>
      </x:c>
      <x:c r="K2704" s="1"/>
      <x:c r="L2704" s="1" t="str">
        <x:v>https://blog.skyairline.com/vuelos-a-puerto-montt/</x:v>
      </x:c>
      <x:c r="M2704" s="1" t="n">
        <x:v>0</x:v>
      </x:c>
    </x:row>
    <x:row r="2705" ht="18.75" customHeight="1">
      <x:c r="A2705" s="1" t="str">
        <x:v>https://blog.skyairline.com/google-flights/</x:v>
      </x:c>
      <x:c r="B2705" s="1" t="str">
        <x:v>google flash vuelos</x:v>
      </x:c>
      <x:c r="C2705" s="1" t="str">
        <x:v>cub</x:v>
      </x:c>
      <x:c r="D2705" s="1" t="str">
        <x:v>Sin marca</x:v>
      </x:c>
      <x:c r="E2705" s="35" t="n">
        <x:v>1</x:v>
      </x:c>
      <x:c r="F2705" s="36"/>
      <x:c r="G2705" s="36" t="str">
        <x:f>IF(ISNUMBER(F2705),E2705*F2705,"")</x:f>
      </x:c>
      <x:c r="H2705" s="37"/>
      <x:c r="I2705" s="37"/>
      <x:c r="J2705" s="1" t="n">
        <x:f>IF(ISNUMBER(F2705),E2705,0)</x:f>
        <x:v>0</x:v>
      </x:c>
      <x:c r="K2705" s="1"/>
      <x:c r="L2705" s="1" t="str">
        <x:v>https://blog.skyairline.com/vuelos-a-trujillo/</x:v>
      </x:c>
      <x:c r="M2705" s="1" t="n">
        <x:v>0</x:v>
      </x:c>
    </x:row>
    <x:row r="2706" ht="18.75" customHeight="1">
      <x:c r="A2706" s="1" t="str">
        <x:v>https://blog.skyairline.com/google-flights/</x:v>
      </x:c>
      <x:c r="B2706" s="1" t="str">
        <x:v>google vuelos</x:v>
      </x:c>
      <x:c r="C2706" s="1" t="str">
        <x:v>per</x:v>
      </x:c>
      <x:c r="D2706" s="1" t="str">
        <x:v>Sin marca</x:v>
      </x:c>
      <x:c r="E2706" s="35" t="n">
        <x:v>1</x:v>
      </x:c>
      <x:c r="F2706" s="36" t="n">
        <x:v>0.64</x:v>
      </x:c>
      <x:c r="G2706" s="36" t="n">
        <x:f>IF(ISNUMBER(F2706),E2706*F2706,"")</x:f>
        <x:v>0.64</x:v>
      </x:c>
      <x:c r="H2706" s="37" t="d">
        <x:v>2026-10-15T00:00:00.000Z</x:v>
      </x:c>
      <x:c r="I2706" s="37" t="d">
        <x:v>2026-09-12T20:23:41.000Z</x:v>
      </x:c>
      <x:c r="J2706" s="1" t="n">
        <x:f>IF(ISNUMBER(F2706),E2706,0)</x:f>
        <x:v>1</x:v>
      </x:c>
      <x:c r="K2706" s="1"/>
      <x:c r="L2706" s="1" t="str">
        <x:v>https://blog.skyairline.com/vuelos-a-tumbes/</x:v>
      </x:c>
      <x:c r="M2706" s="1" t="n">
        <x:v>0</x:v>
      </x:c>
    </x:row>
    <x:row r="2707" ht="18.75" customHeight="1">
      <x:c r="A2707" s="1" t="str">
        <x:v>https://blog.skyairline.com/google-flights/</x:v>
      </x:c>
      <x:c r="B2707" s="1" t="str">
        <x:v>sky flight google</x:v>
      </x:c>
      <x:c r="C2707" s="1" t="str">
        <x:v>esp</x:v>
      </x:c>
      <x:c r="D2707" s="1" t="str">
        <x:v>Marca</x:v>
      </x:c>
      <x:c r="E2707" s="35" t="n">
        <x:v>1</x:v>
      </x:c>
      <x:c r="F2707" s="36"/>
      <x:c r="G2707" s="36" t="str">
        <x:f>IF(ISNUMBER(F2707),E2707*F2707,"")</x:f>
      </x:c>
      <x:c r="H2707" s="37"/>
      <x:c r="I2707" s="37"/>
      <x:c r="J2707" s="1" t="n">
        <x:f>IF(ISNUMBER(F2707),E2707,0)</x:f>
        <x:v>0</x:v>
      </x:c>
      <x:c r="K2707" s="1"/>
      <x:c r="L2707" s="1" t="str">
        <x:v>https://blog.skyairline.com/vuelos-bajos-a-argentina</x:v>
      </x:c>
      <x:c r="M2707" s="1" t="n">
        <x:v>0</x:v>
      </x:c>
    </x:row>
    <x:row r="2708" ht="18.75" customHeight="1">
      <x:c r="A2708" s="1" t="str">
        <x:v>https://blog.skyairline.com/google-flights/</x:v>
      </x:c>
      <x:c r="B2708" s="1" t="str">
        <x:v>sky flight google</x:v>
      </x:c>
      <x:c r="C2708" s="1" t="str">
        <x:v>mex</x:v>
      </x:c>
      <x:c r="D2708" s="1" t="str">
        <x:v>Marca</x:v>
      </x:c>
      <x:c r="E2708" s="35" t="n">
        <x:v>1</x:v>
      </x:c>
      <x:c r="F2708" s="36"/>
      <x:c r="G2708" s="36" t="str">
        <x:f>IF(ISNUMBER(F2708),E2708*F2708,"")</x:f>
      </x:c>
      <x:c r="H2708" s="37"/>
      <x:c r="I2708" s="37"/>
      <x:c r="J2708" s="1" t="n">
        <x:f>IF(ISNUMBER(F2708),E2708,0)</x:f>
        <x:v>0</x:v>
      </x:c>
      <x:c r="K2708" s="1"/>
      <x:c r="L2708" s="1" t="str">
        <x:v>https://blog.skyairline.com/vuelos-baratos-a-argentina-cuando-es-el-mejor-mes-para-viajar</x:v>
      </x:c>
      <x:c r="M2708" s="1" t="n">
        <x:v>0</x:v>
      </x:c>
    </x:row>
    <x:row r="2709" ht="18.75" customHeight="1">
      <x:c r="A2709" s="1" t="str">
        <x:v>https://blog.skyairline.com/hornopiren/</x:v>
      </x:c>
      <x:c r="B2709" s="1" t="str">
        <x:v>que hacer en hornopiren</x:v>
      </x:c>
      <x:c r="C2709" s="1" t="str">
        <x:v>chl</x:v>
      </x:c>
      <x:c r="D2709" s="1" t="str">
        <x:v>Sin marca</x:v>
      </x:c>
      <x:c r="E2709" s="35" t="n">
        <x:v>1</x:v>
      </x:c>
      <x:c r="F2709" s="36" t="n">
        <x:v>1.17</x:v>
      </x:c>
      <x:c r="G2709" s="36" t="n">
        <x:f>IF(ISNUMBER(F2709),E2709*F2709,"")</x:f>
        <x:v>1.17</x:v>
      </x:c>
      <x:c r="H2709" s="37" t="d">
        <x:v>2026-10-15T00:00:00.000Z</x:v>
      </x:c>
      <x:c r="I2709" s="37" t="d">
        <x:v>2026-09-17T07:59:22.000Z</x:v>
      </x:c>
      <x:c r="J2709" s="1" t="n">
        <x:f>IF(ISNUMBER(F2709),E2709,0)</x:f>
        <x:v>1</x:v>
      </x:c>
      <x:c r="K2709" s="1"/>
      <x:c r="L2709" s="1" t="str">
        <x:v>https://blog.skyairline.com/vuelos-baratos-a-cancun-como-encontrar-las-mejores-ofertas/</x:v>
      </x:c>
      <x:c r="M2709" s="1" t="n">
        <x:v>0</x:v>
      </x:c>
    </x:row>
    <x:row r="2710" ht="18.75" customHeight="1">
      <x:c r="A2710" s="1" t="str">
        <x:v>https://blog.skyairline.com/hotel-all-inclusive/</x:v>
      </x:c>
      <x:c r="B2710" s="1" t="str">
        <x:v>hotel all inclusive en chile</x:v>
      </x:c>
      <x:c r="C2710" s="1" t="str">
        <x:v>per</x:v>
      </x:c>
      <x:c r="D2710" s="1" t="str">
        <x:v>Sin marca</x:v>
      </x:c>
      <x:c r="E2710" s="35" t="n">
        <x:v>1</x:v>
      </x:c>
      <x:c r="F2710" s="36"/>
      <x:c r="G2710" s="36" t="str">
        <x:f>IF(ISNUMBER(F2710),E2710*F2710,"")</x:f>
      </x:c>
      <x:c r="H2710" s="37"/>
      <x:c r="I2710" s="37"/>
      <x:c r="J2710" s="1" t="n">
        <x:f>IF(ISNUMBER(F2710),E2710,0)</x:f>
        <x:v>0</x:v>
      </x:c>
      <x:c r="K2710" s="1"/>
      <x:c r="L2710" s="1" t="str">
        <x:v>https://blog.skyairline.com/vuelos-de-jauja-a-lima/</x:v>
      </x:c>
      <x:c r="M2710" s="1" t="n">
        <x:v>0</x:v>
      </x:c>
    </x:row>
    <x:row r="2711" ht="18.75" customHeight="1">
      <x:c r="A2711" s="1" t="str">
        <x:v>https://blog.skyairline.com/hotel-all-inclusive/</x:v>
      </x:c>
      <x:c r="B2711" s="1" t="str">
        <x:v>hoteles todo incluido chile</x:v>
      </x:c>
      <x:c r="C2711" s="1" t="str">
        <x:v>chl</x:v>
      </x:c>
      <x:c r="D2711" s="1" t="str">
        <x:v>Sin marca</x:v>
      </x:c>
      <x:c r="E2711" s="35" t="n">
        <x:v>1</x:v>
      </x:c>
      <x:c r="F2711" s="36" t="n">
        <x:v>0.66</x:v>
      </x:c>
      <x:c r="G2711" s="36" t="n">
        <x:f>IF(ISNUMBER(F2711),E2711*F2711,"")</x:f>
        <x:v>0.66</x:v>
      </x:c>
      <x:c r="H2711" s="37" t="d">
        <x:v>2026-10-15T00:00:00.000Z</x:v>
      </x:c>
      <x:c r="I2711" s="37" t="d">
        <x:v>2026-09-14T23:49:54.000Z</x:v>
      </x:c>
      <x:c r="J2711" s="1" t="n">
        <x:f>IF(ISNUMBER(F2711),E2711,0)</x:f>
        <x:v>1</x:v>
      </x:c>
      <x:c r="K2711" s="1"/>
      <x:c r="L2711" s="1" t="str">
        <x:v>https://blog.skyairline.com/vuelos-de-ultima-hora/</x:v>
      </x:c>
      <x:c r="M2711" s="1" t="n">
        <x:v>0</x:v>
      </x:c>
    </x:row>
    <x:row r="2712" ht="18.75" customHeight="1">
      <x:c r="A2712" s="1" t="str">
        <x:v>https://blog.skyairline.com/hotel-puerto-montt/</x:v>
      </x:c>
      <x:c r="B2712" s="1" t="str">
        <x:v>residenciales en puerto montt</x:v>
      </x:c>
      <x:c r="C2712" s="1" t="str">
        <x:v>chl</x:v>
      </x:c>
      <x:c r="D2712" s="1" t="str">
        <x:v>Sin marca</x:v>
      </x:c>
      <x:c r="E2712" s="35" t="n">
        <x:v>1</x:v>
      </x:c>
      <x:c r="F2712" s="36" t="n">
        <x:v>0.55</x:v>
      </x:c>
      <x:c r="G2712" s="36" t="n">
        <x:f>IF(ISNUMBER(F2712),E2712*F2712,"")</x:f>
        <x:v>0.55</x:v>
      </x:c>
      <x:c r="H2712" s="37" t="d">
        <x:v>2026-10-15T00:00:00.000Z</x:v>
      </x:c>
      <x:c r="I2712" s="37" t="d">
        <x:v>2026-09-16T14:19:15.000Z</x:v>
      </x:c>
      <x:c r="J2712" s="1" t="n">
        <x:f>IF(ISNUMBER(F2712),E2712,0)</x:f>
        <x:v>1</x:v>
      </x:c>
      <x:c r="K2712" s="1"/>
      <x:c r="L2712" s="1" t="str">
        <x:v>https://blog.skyairline.com/vuelos-desde-puerto-montt-a-santiago</x:v>
      </x:c>
      <x:c r="M2712" s="1" t="n">
        <x:v>0</x:v>
      </x:c>
    </x:row>
    <x:row r="2713" ht="18.75" customHeight="1">
      <x:c r="A2713" s="1" t="str">
        <x:v>https://blog.skyairline.com/hoteles-para-ir-con-ninos/</x:v>
      </x:c>
      <x:c r="B2713" s="1" t="str">
        <x:v>hoteles para niños en punta cana</x:v>
      </x:c>
      <x:c r="C2713" s="1" t="str">
        <x:v>chl</x:v>
      </x:c>
      <x:c r="D2713" s="1" t="str">
        <x:v>Sin marca</x:v>
      </x:c>
      <x:c r="E2713" s="35" t="n">
        <x:v>1</x:v>
      </x:c>
      <x:c r="F2713" s="36"/>
      <x:c r="G2713" s="36" t="str">
        <x:f>IF(ISNUMBER(F2713),E2713*F2713,"")</x:f>
      </x:c>
      <x:c r="H2713" s="37" t="d">
        <x:v>2026-10-15T00:00:00.000Z</x:v>
      </x:c>
      <x:c r="I2713" s="37" t="d">
        <x:v>2026-06-15T07:04:43.000Z</x:v>
      </x:c>
      <x:c r="J2713" s="1" t="n">
        <x:f>IF(ISNUMBER(F2713),E2713,0)</x:f>
        <x:v>0</x:v>
      </x:c>
      <x:c r="K2713" s="1"/>
      <x:c r="L2713" s="1" t="str">
        <x:v>https://blog.skyairline.com/vuelos-low-cost/</x:v>
      </x:c>
      <x:c r="M2713" s="1" t="n">
        <x:v>0</x:v>
      </x:c>
    </x:row>
    <x:row r="2714" ht="18.75" customHeight="1">
      <x:c r="A2714" s="1" t="str">
        <x:v>https://blog.skyairline.com/hoteles-para-ir-con-ninos/</x:v>
      </x:c>
      <x:c r="B2714" s="1" t="str">
        <x:v>punta cana con niños todo incluido</x:v>
      </x:c>
      <x:c r="C2714" s="1" t="str">
        <x:v>chl</x:v>
      </x:c>
      <x:c r="D2714" s="1" t="str">
        <x:v>Sin marca</x:v>
      </x:c>
      <x:c r="E2714" s="35" t="n">
        <x:v>1</x:v>
      </x:c>
      <x:c r="F2714" s="36"/>
      <x:c r="G2714" s="36" t="str">
        <x:f>IF(ISNUMBER(F2714),E2714*F2714,"")</x:f>
      </x:c>
      <x:c r="H2714" s="37"/>
      <x:c r="I2714" s="37"/>
      <x:c r="J2714" s="1" t="n">
        <x:f>IF(ISNUMBER(F2714),E2714,0)</x:f>
        <x:v>0</x:v>
      </x:c>
      <x:c r="K2714" s="1"/>
      <x:c r="L2714" s="1" t="str">
        <x:v>https://blog.skyairline.com/vuelos-mas-sostenibles-asi-sky-esta-reduciendo-su-huella-2/</x:v>
      </x:c>
      <x:c r="M2714" s="1" t="n">
        <x:v>0</x:v>
      </x:c>
    </x:row>
    <x:row r="2715" ht="18.75" customHeight="1">
      <x:c r="A2715" s="1" t="str">
        <x:v>https://blog.skyairline.com/huaraz-2/</x:v>
      </x:c>
      <x:c r="B2715" s="1" t="str">
        <x:v>huaraz a cuantos metros sobre el nivel del mar esta</x:v>
      </x:c>
      <x:c r="C2715" s="1" t="str">
        <x:v>per</x:v>
      </x:c>
      <x:c r="D2715" s="1" t="str">
        <x:v>Sin marca</x:v>
      </x:c>
      <x:c r="E2715" s="35" t="n">
        <x:v>1</x:v>
      </x:c>
      <x:c r="F2715" s="36"/>
      <x:c r="G2715" s="36" t="str">
        <x:f>IF(ISNUMBER(F2715),E2715*F2715,"")</x:f>
      </x:c>
      <x:c r="H2715" s="37" t="d">
        <x:v>2026-10-15T00:00:00.000Z</x:v>
      </x:c>
      <x:c r="I2715" s="37" t="d">
        <x:v>2026-09-17T03:30:32.999Z</x:v>
      </x:c>
      <x:c r="J2715" s="1" t="n">
        <x:f>IF(ISNUMBER(F2715),E2715,0)</x:f>
        <x:v>0</x:v>
      </x:c>
      <x:c r="K2715" s="1"/>
      <x:c r="L2715" s="1" t="str">
        <x:v>https://blog.skyairline.com/vuelos-mas-sostenibles-asi-sky-esta-reduciendo-su-huella/</x:v>
      </x:c>
      <x:c r="M2715" s="1" t="n">
        <x:v>0</x:v>
      </x:c>
    </x:row>
    <x:row r="2716" ht="18.75" customHeight="1">
      <x:c r="A2716" s="1" t="str">
        <x:v>https://blog.skyairline.com/huascar/</x:v>
      </x:c>
      <x:c r="B2716" s="1" t="str">
        <x:v>donde esta el huascar en chile</x:v>
      </x:c>
      <x:c r="C2716" s="1" t="str">
        <x:v>chl</x:v>
      </x:c>
      <x:c r="D2716" s="1" t="str">
        <x:v>Sin marca</x:v>
      </x:c>
      <x:c r="E2716" s="35" t="n">
        <x:v>1</x:v>
      </x:c>
      <x:c r="F2716" s="36"/>
      <x:c r="G2716" s="36" t="str">
        <x:f>IF(ISNUMBER(F2716),E2716*F2716,"")</x:f>
      </x:c>
      <x:c r="H2716" s="37"/>
      <x:c r="I2716" s="37"/>
      <x:c r="J2716" s="1" t="n">
        <x:f>IF(ISNUMBER(F2716),E2716,0)</x:f>
        <x:v>0</x:v>
      </x:c>
      <x:c r="K2716" s="1"/>
      <x:c r="L2716" s="1" t="str">
        <x:v>https://blog.skyairline.com/vuelos-para-argentina</x:v>
      </x:c>
      <x:c r="M2716" s="1" t="n">
        <x:v>0</x:v>
      </x:c>
    </x:row>
    <x:row r="2717" ht="18.75" customHeight="1">
      <x:c r="A2717" s="1" t="str">
        <x:v>https://blog.skyairline.com/huascar/</x:v>
      </x:c>
      <x:c r="B2717" s="1" t="str">
        <x:v>dónde se encuentra el huáscar</x:v>
      </x:c>
      <x:c r="C2717" s="1" t="str">
        <x:v>chl</x:v>
      </x:c>
      <x:c r="D2717" s="1" t="str">
        <x:v>Sin marca</x:v>
      </x:c>
      <x:c r="E2717" s="35" t="n">
        <x:v>1</x:v>
      </x:c>
      <x:c r="F2717" s="36"/>
      <x:c r="G2717" s="36" t="str">
        <x:f>IF(ISNUMBER(F2717),E2717*F2717,"")</x:f>
      </x:c>
      <x:c r="H2717" s="37"/>
      <x:c r="I2717" s="37"/>
      <x:c r="J2717" s="1" t="n">
        <x:f>IF(ISNUMBER(F2717),E2717,0)</x:f>
        <x:v>0</x:v>
      </x:c>
      <x:c r="K2717" s="1"/>
      <x:c r="L2717" s="1" t="str">
        <x:v>https://blog.skyairline.com/vuelos-pucallpa/</x:v>
      </x:c>
      <x:c r="M2717" s="1" t="n">
        <x:v>0</x:v>
      </x:c>
    </x:row>
    <x:row r="2718" ht="18.75" customHeight="1">
      <x:c r="A2718" s="1" t="str">
        <x:v>https://blog.skyairline.com/huascar/</x:v>
      </x:c>
      <x:c r="B2718" s="1" t="str">
        <x:v>huascar barco</x:v>
      </x:c>
      <x:c r="C2718" s="1" t="str">
        <x:v>chl</x:v>
      </x:c>
      <x:c r="D2718" s="1" t="str">
        <x:v>Sin marca</x:v>
      </x:c>
      <x:c r="E2718" s="35" t="n">
        <x:v>1</x:v>
      </x:c>
      <x:c r="F2718" s="36"/>
      <x:c r="G2718" s="36" t="str">
        <x:f>IF(ISNUMBER(F2718),E2718*F2718,"")</x:f>
      </x:c>
      <x:c r="H2718" s="37" t="d">
        <x:v>2026-10-15T00:00:00.000Z</x:v>
      </x:c>
      <x:c r="I2718" s="37" t="d">
        <x:v>2026-09-16T12:17:19.000Z</x:v>
      </x:c>
      <x:c r="J2718" s="1" t="n">
        <x:f>IF(ISNUMBER(F2718),E2718,0)</x:f>
        <x:v>0</x:v>
      </x:c>
      <x:c r="K2718" s="1"/>
      <x:c r="L2718" s="1" t="str">
        <x:v>https://blog.skyairline.com/vuelos-talara/</x:v>
      </x:c>
      <x:c r="M2718" s="1" t="n">
        <x:v>0</x:v>
      </x:c>
    </x:row>
    <x:row r="2719" ht="18.75" customHeight="1">
      <x:c r="A2719" s="1" t="str">
        <x:v>https://blog.skyairline.com/huilo-huilo/</x:v>
      </x:c>
      <x:c r="B2719" s="1" t="str">
        <x:v>aeropuerto mas cercano a huilo huilo</x:v>
      </x:c>
      <x:c r="C2719" s="1" t="str">
        <x:v>chl</x:v>
      </x:c>
      <x:c r="D2719" s="1" t="str">
        <x:v>Sin marca</x:v>
      </x:c>
      <x:c r="E2719" s="35" t="n">
        <x:v>1</x:v>
      </x:c>
      <x:c r="F2719" s="36"/>
      <x:c r="G2719" s="36" t="str">
        <x:f>IF(ISNUMBER(F2719),E2719*F2719,"")</x:f>
      </x:c>
      <x:c r="H2719" s="37"/>
      <x:c r="I2719" s="37"/>
      <x:c r="J2719" s="1" t="n">
        <x:f>IF(ISNUMBER(F2719),E2719,0)</x:f>
        <x:v>0</x:v>
      </x:c>
      <x:c r="K2719" s="1"/>
      <x:c r="L2719" s="1" t="str">
        <x:v>https://blog.skyairline.com/wynwood-walls/</x:v>
      </x:c>
      <x:c r="M2719" s="1" t="n">
        <x:v>0</x:v>
      </x:c>
    </x:row>
    <x:row r="2720" ht="18.75" customHeight="1">
      <x:c r="A2720" s="1" t="str">
        <x:v>https://blog.skyairline.com/huilo-huilo/</x:v>
      </x:c>
      <x:c r="B2720" s="1" t="str">
        <x:v>como llegar a huilo huilo en avión</x:v>
      </x:c>
      <x:c r="C2720" s="1" t="str">
        <x:v>chl</x:v>
      </x:c>
      <x:c r="D2720" s="1" t="str">
        <x:v>Sin marca</x:v>
      </x:c>
      <x:c r="E2720" s="35" t="n">
        <x:v>1</x:v>
      </x:c>
      <x:c r="F2720" s="36" t="n">
        <x:v>0.39</x:v>
      </x:c>
      <x:c r="G2720" s="36" t="n">
        <x:f>IF(ISNUMBER(F2720),E2720*F2720,"")</x:f>
        <x:v>0.39</x:v>
      </x:c>
      <x:c r="H2720" s="37" t="d">
        <x:v>2026-10-15T00:00:00.000Z</x:v>
      </x:c>
      <x:c r="I2720" s="37" t="d">
        <x:v>2026-09-13T11:36:49.000Z</x:v>
      </x:c>
      <x:c r="J2720" s="1" t="n">
        <x:f>IF(ISNUMBER(F2720),E2720,0)</x:f>
        <x:v>1</x:v>
      </x:c>
      <x:c r="K2720" s="1"/>
      <x:c r="L2720" s="1" t="str">
        <x:v>https://blog.skyairline.com/zapatillas-hiking/</x:v>
      </x:c>
      <x:c r="M2720" s="1" t="n">
        <x:v>0</x:v>
      </x:c>
    </x:row>
    <x:row r="2721" ht="18.75" customHeight="1">
      <x:c r="A2721" s="1" t="str">
        <x:v>https://blog.skyairline.com/huilo-huilo/</x:v>
      </x:c>
      <x:c r="B2721" s="1" t="str">
        <x:v>donde queda huilo huilo en chile</x:v>
      </x:c>
      <x:c r="C2721" s="1" t="str">
        <x:v>chl</x:v>
      </x:c>
      <x:c r="D2721" s="1" t="str">
        <x:v>Sin marca</x:v>
      </x:c>
      <x:c r="E2721" s="35" t="n">
        <x:v>1</x:v>
      </x:c>
      <x:c r="F2721" s="36" t="n">
        <x:v>0.38</x:v>
      </x:c>
      <x:c r="G2721" s="36" t="n">
        <x:f>IF(ISNUMBER(F2721),E2721*F2721,"")</x:f>
        <x:v>0.38</x:v>
      </x:c>
      <x:c r="H2721" s="37" t="d">
        <x:v>2026-10-15T00:00:00.000Z</x:v>
      </x:c>
      <x:c r="I2721" s="37" t="d">
        <x:v>2026-09-15T10:00:03.000Z</x:v>
      </x:c>
      <x:c r="J2721" s="1" t="n">
        <x:f>IF(ISNUMBER(F2721),E2721,0)</x:f>
        <x:v>1</x:v>
      </x:c>
      <x:c r="K2721" s="1"/>
      <x:c r="L2721" s="1" t="str">
        <x:v>https://blog.skyairline.com/zona-central</x:v>
      </x:c>
      <x:c r="M2721" s="1" t="n">
        <x:v>0</x:v>
      </x:c>
    </x:row>
    <x:row r="2722" ht="18.75" customHeight="1">
      <x:c r="A2722" s="1" t="str">
        <x:v>https://blog.skyairline.com/huilo-huilo/</x:v>
      </x:c>
      <x:c r="B2722" s="1" t="str">
        <x:v>huilo huilo chile donde queda</x:v>
      </x:c>
      <x:c r="C2722" s="1" t="str">
        <x:v>arg</x:v>
      </x:c>
      <x:c r="D2722" s="1" t="str">
        <x:v>Sin marca</x:v>
      </x:c>
      <x:c r="E2722" s="35" t="n">
        <x:v>1</x:v>
      </x:c>
      <x:c r="F2722" s="36"/>
      <x:c r="G2722" s="36" t="str">
        <x:f>IF(ISNUMBER(F2722),E2722*F2722,"")</x:f>
      </x:c>
      <x:c r="H2722" s="37"/>
      <x:c r="I2722" s="37"/>
      <x:c r="J2722" s="1" t="n">
        <x:f>IF(ISNUMBER(F2722),E2722,0)</x:f>
        <x:v>0</x:v>
      </x:c>
      <x:c r="K2722" s="1"/>
      <x:c r="L2722" s="1" t="str">
        <x:v>https://blog.skyairline.com/zona-centro-sur-de-chile-geograf%C3%ADa-clima-y-turismo</x:v>
      </x:c>
      <x:c r="M2722" s="1" t="n">
        <x:v>0</x:v>
      </x:c>
    </x:row>
    <x:row r="2723" ht="18.75" customHeight="1">
      <x:c r="A2723" s="1" t="str">
        <x:v>https://blog.skyairline.com/huilo-huilo/</x:v>
      </x:c>
      <x:c r="B2723" s="1" t="str">
        <x:v>huilo huilo donde queda</x:v>
      </x:c>
      <x:c r="C2723" s="1" t="str">
        <x:v>arg</x:v>
      </x:c>
      <x:c r="D2723" s="1" t="str">
        <x:v>Sin marca</x:v>
      </x:c>
      <x:c r="E2723" s="35" t="n">
        <x:v>1</x:v>
      </x:c>
      <x:c r="F2723" s="36"/>
      <x:c r="G2723" s="36" t="str">
        <x:f>IF(ISNUMBER(F2723),E2723*F2723,"")</x:f>
      </x:c>
      <x:c r="H2723" s="37"/>
      <x:c r="I2723" s="37"/>
      <x:c r="J2723" s="1" t="n">
        <x:f>IF(ISNUMBER(F2723),E2723,0)</x:f>
        <x:v>0</x:v>
      </x:c>
      <x:c r="K2723" s="1"/>
      <x:c r="L2723" s="1" t="str">
        <x:v>https://blog.skyairline.com/zona-centro-sur-de-chile-geograf%C3%ADa-clima-y-turismo/</x:v>
      </x:c>
      <x:c r="M2723" s="1" t="n">
        <x:v>0</x:v>
      </x:c>
    </x:row>
    <x:row r="2724" ht="18.75" customHeight="1">
      <x:c r="A2724" s="1" t="str">
        <x:v>https://blog.skyairline.com/huilo-huilo/</x:v>
      </x:c>
      <x:c r="B2724" s="1" t="str">
        <x:v>huilo huilo donde queda</x:v>
      </x:c>
      <x:c r="C2724" s="1" t="str">
        <x:v>chl</x:v>
      </x:c>
      <x:c r="D2724" s="1" t="str">
        <x:v>Sin marca</x:v>
      </x:c>
      <x:c r="E2724" s="35" t="n">
        <x:v>1</x:v>
      </x:c>
      <x:c r="F2724" s="36" t="n">
        <x:v>0.29</x:v>
      </x:c>
      <x:c r="G2724" s="36" t="n">
        <x:f>IF(ISNUMBER(F2724),E2724*F2724,"")</x:f>
        <x:v>0.29</x:v>
      </x:c>
      <x:c r="H2724" s="37" t="d">
        <x:v>2026-10-15T00:00:00.000Z</x:v>
      </x:c>
      <x:c r="I2724" s="37" t="d">
        <x:v>2026-09-16T01:21:05.000Z</x:v>
      </x:c>
      <x:c r="J2724" s="1" t="n">
        <x:f>IF(ISNUMBER(F2724),E2724,0)</x:f>
        <x:v>1</x:v>
      </x:c>
      <x:c r="K2724" s="1"/>
      <x:c r="L2724" s="1" t="str">
        <x:v>https://blog.skyairline.com/zona-centro-sur-de-chile-geografia-clima-y-tourismo/</x:v>
      </x:c>
      <x:c r="M2724" s="1" t="n">
        <x:v>0</x:v>
      </x:c>
    </x:row>
    <x:row r="2725" ht="18.75" customHeight="1">
      <x:c r="A2725" s="1" t="str">
        <x:v>https://blog.skyairline.com/ilha-do-campeche/</x:v>
      </x:c>
      <x:c r="B2725" s="1" t="str">
        <x:v>ilha do campeche</x:v>
      </x:c>
      <x:c r="C2725" s="1" t="str">
        <x:v>ury</x:v>
      </x:c>
      <x:c r="D2725" s="1" t="str">
        <x:v>Sin marca</x:v>
      </x:c>
      <x:c r="E2725" s="35" t="n">
        <x:v>1</x:v>
      </x:c>
      <x:c r="F2725" s="36"/>
      <x:c r="G2725" s="36" t="str">
        <x:f>IF(ISNUMBER(F2725),E2725*F2725,"")</x:f>
      </x:c>
      <x:c r="H2725" s="37"/>
      <x:c r="I2725" s="37"/>
      <x:c r="J2725" s="1" t="n">
        <x:f>IF(ISNUMBER(F2725),E2725,0)</x:f>
        <x:v>0</x:v>
      </x:c>
      <x:c r="K2725" s="1"/>
      <x:c r="L2725" s="1" t="str">
        <x:v>https://blog.skyairline.com/zona-centro-sur-de-chile-geografia-clima-y-turismo-7</x:v>
      </x:c>
      <x:c r="M2725" s="1" t="n">
        <x:v>0</x:v>
      </x:c>
    </x:row>
    <x:row r="2726" ht="18.75" customHeight="1">
      <x:c r="A2726" s="1" t="str">
        <x:v>https://blog.skyairline.com/ilha-do-campeche/</x:v>
      </x:c>
      <x:c r="B2726" s="1" t="str">
        <x:v>praia do campeche florianópolis</x:v>
      </x:c>
      <x:c r="C2726" s="1" t="str">
        <x:v>chl</x:v>
      </x:c>
      <x:c r="D2726" s="1" t="str">
        <x:v>Sin marca</x:v>
      </x:c>
      <x:c r="E2726" s="35" t="n">
        <x:v>1</x:v>
      </x:c>
      <x:c r="F2726" s="36"/>
      <x:c r="G2726" s="36" t="str">
        <x:f>IF(ISNUMBER(F2726),E2726*F2726,"")</x:f>
      </x:c>
      <x:c r="H2726" s="37"/>
      <x:c r="I2726" s="37"/>
      <x:c r="J2726" s="1" t="n">
        <x:f>IF(ISNUMBER(F2726),E2726,0)</x:f>
        <x:v>0</x:v>
      </x:c>
      <x:c r="K2726" s="1"/>
      <x:c r="L2726" s="1" t="str">
        <x:v>https://blog.skyairline.com/zona-centro-sur-de-clite-geografia-clima-y-turismo</x:v>
      </x:c>
      <x:c r="M2726" s="1" t="n">
        <x:v>0</x:v>
      </x:c>
    </x:row>
    <x:row r="2727" ht="18.75" customHeight="1">
      <x:c r="A2727" s="1" t="str">
        <x:v>https://blog.skyairline.com/ilhabela/</x:v>
      </x:c>
      <x:c r="B2727" s="1" t="str">
        <x:v>ilhabela</x:v>
      </x:c>
      <x:c r="C2727" s="1" t="str">
        <x:v>esp</x:v>
      </x:c>
      <x:c r="D2727" s="1" t="str">
        <x:v>Sin marca</x:v>
      </x:c>
      <x:c r="E2727" s="35" t="n">
        <x:v>1</x:v>
      </x:c>
      <x:c r="F2727" s="36"/>
      <x:c r="G2727" s="36" t="str">
        <x:f>IF(ISNUMBER(F2727),E2727*F2727,"")</x:f>
      </x:c>
      <x:c r="H2727" s="37"/>
      <x:c r="I2727" s="37"/>
      <x:c r="J2727" s="1" t="n">
        <x:f>IF(ISNUMBER(F2727),E2727,0)</x:f>
        <x:v>0</x:v>
      </x:c>
      <x:c r="K2727" s="1"/>
      <x:c r="L2727" s="1" t="str">
        <x:v>https://blog.skyairline.com/zona-centro-sur-de-geografia-clima-y-turismo</x:v>
      </x:c>
      <x:c r="M2727" s="1" t="n">
        <x:v>0</x:v>
      </x:c>
    </x:row>
    <x:row r="2728" ht="18.75" customHeight="1">
      <x:c r="A2728" s="1" t="str">
        <x:v>https://blog.skyairline.com/ipanema-rio-de-janeiro/</x:v>
      </x:c>
      <x:c r="B2728" s="1" t="str">
        <x:v>ipanema</x:v>
      </x:c>
      <x:c r="C2728" s="1" t="str">
        <x:v>arg</x:v>
      </x:c>
      <x:c r="D2728" s="1" t="str">
        <x:v>Sin marca</x:v>
      </x:c>
      <x:c r="E2728" s="35" t="n">
        <x:v>1</x:v>
      </x:c>
      <x:c r="F2728" s="36"/>
      <x:c r="G2728" s="36" t="str">
        <x:f>IF(ISNUMBER(F2728),E2728*F2728,"")</x:f>
      </x:c>
      <x:c r="H2728" s="37"/>
      <x:c r="I2728" s="37"/>
      <x:c r="J2728" s="1" t="n">
        <x:f>IF(ISNUMBER(F2728),E2728,0)</x:f>
        <x:v>0</x:v>
      </x:c>
      <x:c r="K2728" s="1"/>
      <x:c r="L2728" s="1" t="str">
        <x:v>https://blog.skyairline.com/zona-centro-sur-de-geografia-clima-y-turismo/</x:v>
      </x:c>
      <x:c r="M2728" s="1" t="n">
        <x:v>0</x:v>
      </x:c>
    </x:row>
    <x:row r="2729" ht="18.75" customHeight="1">
      <x:c r="A2729" s="1" t="str">
        <x:v>https://blog.skyairline.com/ipanema-rio-de-janeiro/</x:v>
      </x:c>
      <x:c r="B2729" s="1" t="str">
        <x:v>ipanema brasil</x:v>
      </x:c>
      <x:c r="C2729" s="1" t="str">
        <x:v>esp</x:v>
      </x:c>
      <x:c r="D2729" s="1" t="str">
        <x:v>Sin marca</x:v>
      </x:c>
      <x:c r="E2729" s="35" t="n">
        <x:v>1</x:v>
      </x:c>
      <x:c r="F2729" s="36"/>
      <x:c r="G2729" s="36" t="str">
        <x:f>IF(ISNUMBER(F2729),E2729*F2729,"")</x:f>
      </x:c>
      <x:c r="H2729" s="37"/>
      <x:c r="I2729" s="37"/>
      <x:c r="J2729" s="1" t="n">
        <x:f>IF(ISNUMBER(F2729),E2729,0)</x:f>
        <x:v>0</x:v>
      </x:c>
      <x:c r="K2729" s="1"/>
      <x:c r="L2729" s="1" t="str">
        <x:v>https://blog.skyairline.com/zona-centro/</x:v>
      </x:c>
      <x:c r="M2729" s="1" t="n">
        <x:v>0</x:v>
      </x:c>
    </x:row>
    <x:row r="2730" ht="18.75" customHeight="1">
      <x:c r="A2730" s="1" t="str">
        <x:v>https://blog.skyairline.com/ipanema-rio-de-janeiro/</x:v>
      </x:c>
      <x:c r="B2730" s="1" t="str">
        <x:v>playa ipanema como llegar</x:v>
      </x:c>
      <x:c r="C2730" s="1" t="str">
        <x:v>chl</x:v>
      </x:c>
      <x:c r="D2730" s="1" t="str">
        <x:v>Sin marca</x:v>
      </x:c>
      <x:c r="E2730" s="35" t="n">
        <x:v>1</x:v>
      </x:c>
      <x:c r="F2730" s="36"/>
      <x:c r="G2730" s="36" t="str">
        <x:f>IF(ISNUMBER(F2730),E2730*F2730,"")</x:f>
      </x:c>
      <x:c r="H2730" s="37" t="d">
        <x:v>2026-10-15T00:00:00.000Z</x:v>
      </x:c>
      <x:c r="I2730" s="37" t="d">
        <x:v>2026-10-15T06:42:11.000Z</x:v>
      </x:c>
      <x:c r="J2730" s="1" t="n">
        <x:f>IF(ISNUMBER(F2730),E2730,0)</x:f>
        <x:v>0</x:v>
      </x:c>
      <x:c r="K2730" s="1"/>
      <x:c r="L2730" s="1" t="str">
        <x:v>https://blog.skyairline.com/zona-norte-de-chile-principales-regiones-imperdibles</x:v>
      </x:c>
      <x:c r="M2730" s="1" t="n">
        <x:v>0</x:v>
      </x:c>
    </x:row>
    <x:row r="2731" ht="18.75" customHeight="1">
      <x:c r="A2731" s="1" t="str">
        <x:v>https://blog.skyairline.com/ipanema-rio-de-janeiro/</x:v>
      </x:c>
      <x:c r="B2731" s="1" t="str">
        <x:v>que hacer en ipanema</x:v>
      </x:c>
      <x:c r="C2731" s="1" t="str">
        <x:v>bra</x:v>
      </x:c>
      <x:c r="D2731" s="1" t="str">
        <x:v>Sin marca</x:v>
      </x:c>
      <x:c r="E2731" s="35" t="n">
        <x:v>1</x:v>
      </x:c>
      <x:c r="F2731" s="36"/>
      <x:c r="G2731" s="36" t="str">
        <x:f>IF(ISNUMBER(F2731),E2731*F2731,"")</x:f>
      </x:c>
      <x:c r="H2731" s="37"/>
      <x:c r="I2731" s="37"/>
      <x:c r="J2731" s="1" t="n">
        <x:f>IF(ISNUMBER(F2731),E2731,0)</x:f>
        <x:v>0</x:v>
      </x:c>
      <x:c r="K2731" s="1"/>
      <x:c r="L2731" s="1"/>
      <x:c r="M2731" s="1"/>
    </x:row>
    <x:row r="2732" ht="18.75" customHeight="1">
      <x:c r="A2732" s="1" t="str">
        <x:v>https://blog.skyairline.com/isla-blanca/</x:v>
      </x:c>
      <x:c r="B2732" s="1" t="str">
        <x:v>como llegar a isla blanca</x:v>
      </x:c>
      <x:c r="C2732" s="1" t="str">
        <x:v>mex</x:v>
      </x:c>
      <x:c r="D2732" s="1" t="str">
        <x:v>Sin marca</x:v>
      </x:c>
      <x:c r="E2732" s="35" t="n">
        <x:v>1</x:v>
      </x:c>
      <x:c r="F2732" s="36"/>
      <x:c r="G2732" s="36" t="str">
        <x:f>IF(ISNUMBER(F2732),E2732*F2732,"")</x:f>
      </x:c>
      <x:c r="H2732" s="37"/>
      <x:c r="I2732" s="37"/>
      <x:c r="J2732" s="1" t="n">
        <x:f>IF(ISNUMBER(F2732),E2732,0)</x:f>
        <x:v>0</x:v>
      </x:c>
      <x:c r="K2732" s="1"/>
      <x:c r="L2732" s="1"/>
      <x:c r="M2732" s="1"/>
    </x:row>
    <x:row r="2733" ht="18.75" customHeight="1">
      <x:c r="A2733" s="1" t="str">
        <x:v>https://blog.skyairline.com/isla-de-los-monos/</x:v>
      </x:c>
      <x:c r="B2733" s="1" t="str">
        <x:v>isla de los monos iquitos</x:v>
      </x:c>
      <x:c r="C2733" s="1" t="str">
        <x:v>per</x:v>
      </x:c>
      <x:c r="D2733" s="1" t="str">
        <x:v>Sin marca</x:v>
      </x:c>
      <x:c r="E2733" s="35" t="n">
        <x:v>1</x:v>
      </x:c>
      <x:c r="F2733" s="36" t="n">
        <x:v>0.51</x:v>
      </x:c>
      <x:c r="G2733" s="36" t="n">
        <x:f>IF(ISNUMBER(F2733),E2733*F2733,"")</x:f>
        <x:v>0.51</x:v>
      </x:c>
      <x:c r="H2733" s="37" t="d">
        <x:v>2026-10-15T00:00:00.000Z</x:v>
      </x:c>
      <x:c r="I2733" s="37" t="d">
        <x:v>2026-09-16T07:06:14.000Z</x:v>
      </x:c>
      <x:c r="J2733" s="1" t="n">
        <x:f>IF(ISNUMBER(F2733),E2733,0)</x:f>
        <x:v>1</x:v>
      </x:c>
      <x:c r="K2733" s="1"/>
      <x:c r="L2733" s="1"/>
      <x:c r="M2733" s="1"/>
    </x:row>
    <x:row r="2734" ht="18.75" customHeight="1">
      <x:c r="A2734" s="1" t="str">
        <x:v>https://blog.skyairline.com/isla-de-los-monos/</x:v>
      </x:c>
      <x:c r="B2734" s="1" t="str">
        <x:v>isla de los monos iquitos como llegar</x:v>
      </x:c>
      <x:c r="C2734" s="1" t="str">
        <x:v>per</x:v>
      </x:c>
      <x:c r="D2734" s="1" t="str">
        <x:v>Sin marca</x:v>
      </x:c>
      <x:c r="E2734" s="35" t="n">
        <x:v>1</x:v>
      </x:c>
      <x:c r="F2734" s="36"/>
      <x:c r="G2734" s="36" t="str">
        <x:f>IF(ISNUMBER(F2734),E2734*F2734,"")</x:f>
      </x:c>
      <x:c r="H2734" s="37" t="d">
        <x:v>2026-10-15T00:00:00.000Z</x:v>
      </x:c>
      <x:c r="I2734" s="37" t="d">
        <x:v>2026-09-13T07:22:25.000Z</x:v>
      </x:c>
      <x:c r="J2734" s="1" t="n">
        <x:f>IF(ISNUMBER(F2734),E2734,0)</x:f>
        <x:v>0</x:v>
      </x:c>
      <x:c r="K2734" s="1"/>
      <x:c r="L2734" s="1"/>
      <x:c r="M2734" s="1"/>
    </x:row>
    <x:row r="2735" ht="18.75" customHeight="1">
      <x:c r="A2735" s="1" t="str">
        <x:v>https://blog.skyairline.com/isla-san-lorenzo-callao/</x:v>
      </x:c>
      <x:c r="B2735" s="1" t="str">
        <x:v>isla san lorenzo lima peru</x:v>
      </x:c>
      <x:c r="C2735" s="1" t="str">
        <x:v>per</x:v>
      </x:c>
      <x:c r="D2735" s="1" t="str">
        <x:v>Sin marca</x:v>
      </x:c>
      <x:c r="E2735" s="35" t="n">
        <x:v>1</x:v>
      </x:c>
      <x:c r="F2735" s="36" t="n">
        <x:v>1.08</x:v>
      </x:c>
      <x:c r="G2735" s="36" t="n">
        <x:f>IF(ISNUMBER(F2735),E2735*F2735,"")</x:f>
        <x:v>1.08</x:v>
      </x:c>
      <x:c r="H2735" s="37" t="d">
        <x:v>2026-10-15T00:00:00.000Z</x:v>
      </x:c>
      <x:c r="I2735" s="37" t="d">
        <x:v>2026-09-13T18:56:21.999Z</x:v>
      </x:c>
      <x:c r="J2735" s="1" t="n">
        <x:f>IF(ISNUMBER(F2735),E2735,0)</x:f>
        <x:v>1</x:v>
      </x:c>
      <x:c r="K2735" s="1"/>
      <x:c r="L2735" s="1"/>
      <x:c r="M2735" s="1"/>
    </x:row>
    <x:row r="2736" ht="18.75" customHeight="1">
      <x:c r="A2736" s="1" t="str">
        <x:v>https://blog.skyairline.com/islas-ballestas/</x:v>
      </x:c>
      <x:c r="B2736" s="1" t="str">
        <x:v>islas ballestas desde lima</x:v>
      </x:c>
      <x:c r="C2736" s="1" t="str">
        <x:v>per</x:v>
      </x:c>
      <x:c r="D2736" s="1" t="str">
        <x:v>Sin marca</x:v>
      </x:c>
      <x:c r="E2736" s="35" t="n">
        <x:v>1</x:v>
      </x:c>
      <x:c r="F2736" s="36" t="n">
        <x:v>0.56</x:v>
      </x:c>
      <x:c r="G2736" s="36" t="n">
        <x:f>IF(ISNUMBER(F2736),E2736*F2736,"")</x:f>
        <x:v>0.56</x:v>
      </x:c>
      <x:c r="H2736" s="37" t="d">
        <x:v>2026-10-15T00:00:00.000Z</x:v>
      </x:c>
      <x:c r="I2736" s="37" t="d">
        <x:v>2026-09-17T21:53:06.000Z</x:v>
      </x:c>
      <x:c r="J2736" s="1" t="n">
        <x:f>IF(ISNUMBER(F2736),E2736,0)</x:f>
        <x:v>1</x:v>
      </x:c>
      <x:c r="K2736" s="1"/>
      <x:c r="L2736" s="1"/>
      <x:c r="M2736" s="1"/>
    </x:row>
    <x:row r="2737" ht="18.75" customHeight="1">
      <x:c r="A2737" s="1" t="str">
        <x:v>https://blog.skyairline.com/jardin-japones-santiago/</x:v>
      </x:c>
      <x:c r="B2737" s="1" t="str">
        <x:v>jardin japones santiago</x:v>
      </x:c>
      <x:c r="C2737" s="1" t="str">
        <x:v>chl</x:v>
      </x:c>
      <x:c r="D2737" s="1" t="str">
        <x:v>Sin marca</x:v>
      </x:c>
      <x:c r="E2737" s="35" t="n">
        <x:v>1</x:v>
      </x:c>
      <x:c r="F2737" s="36" t="n">
        <x:v>0.02</x:v>
      </x:c>
      <x:c r="G2737" s="36" t="n">
        <x:f>IF(ISNUMBER(F2737),E2737*F2737,"")</x:f>
        <x:v>0.02</x:v>
      </x:c>
      <x:c r="H2737" s="37" t="d">
        <x:v>2026-10-15T00:00:00.000Z</x:v>
      </x:c>
      <x:c r="I2737" s="37" t="d">
        <x:v>2026-09-16T04:51:39.000Z</x:v>
      </x:c>
      <x:c r="J2737" s="1" t="n">
        <x:f>IF(ISNUMBER(F2737),E2737,0)</x:f>
        <x:v>1</x:v>
      </x:c>
      <x:c r="K2737" s="1"/>
      <x:c r="L2737" s="1"/>
      <x:c r="M2737" s="1"/>
    </x:row>
    <x:row r="2738" ht="18.75" customHeight="1">
      <x:c r="A2738" s="1" t="str">
        <x:v>https://blog.skyairline.com/jardin-japones-santiago/</x:v>
      </x:c>
      <x:c r="B2738" s="1" t="str">
        <x:v>parque japones</x:v>
      </x:c>
      <x:c r="C2738" s="1" t="str">
        <x:v>chl</x:v>
      </x:c>
      <x:c r="D2738" s="1" t="str">
        <x:v>Sin marca</x:v>
      </x:c>
      <x:c r="E2738" s="35" t="n">
        <x:v>1</x:v>
      </x:c>
      <x:c r="F2738" s="36"/>
      <x:c r="G2738" s="36" t="str">
        <x:f>IF(ISNUMBER(F2738),E2738*F2738,"")</x:f>
      </x:c>
      <x:c r="H2738" s="37" t="d">
        <x:v>2026-10-15T00:00:00.000Z</x:v>
      </x:c>
      <x:c r="I2738" s="37" t="d">
        <x:v>2026-09-15T17:48:40.999Z</x:v>
      </x:c>
      <x:c r="J2738" s="1" t="n">
        <x:f>IF(ISNUMBER(F2738),E2738,0)</x:f>
        <x:v>0</x:v>
      </x:c>
      <x:c r="K2738" s="1"/>
      <x:c r="L2738" s="1"/>
      <x:c r="M2738" s="1"/>
    </x:row>
    <x:row r="2739" ht="18.75" customHeight="1">
      <x:c r="A2739" s="1" t="str">
        <x:v>https://blog.skyairline.com/jardin-japones-santiago/</x:v>
      </x:c>
      <x:c r="B2739" s="1" t="str">
        <x:v>parque japones horario</x:v>
      </x:c>
      <x:c r="C2739" s="1" t="str">
        <x:v>chl</x:v>
      </x:c>
      <x:c r="D2739" s="1" t="str">
        <x:v>Sin marca</x:v>
      </x:c>
      <x:c r="E2739" s="35" t="n">
        <x:v>1</x:v>
      </x:c>
      <x:c r="F2739" s="36"/>
      <x:c r="G2739" s="36" t="str">
        <x:f>IF(ISNUMBER(F2739),E2739*F2739,"")</x:f>
      </x:c>
      <x:c r="H2739" s="37"/>
      <x:c r="I2739" s="37"/>
      <x:c r="J2739" s="1" t="n">
        <x:f>IF(ISNUMBER(F2739),E2739,0)</x:f>
        <x:v>0</x:v>
      </x:c>
      <x:c r="K2739" s="1"/>
      <x:c r="L2739" s="1"/>
      <x:c r="M2739" s="1"/>
    </x:row>
    <x:row r="2740" ht="18.75" customHeight="1">
      <x:c r="A2740" s="1" t="str">
        <x:v>https://blog.skyairline.com/jose-ignacio-dougnac-lider-destacado-en-la-industria-area-mundial-2023/</x:v>
      </x:c>
      <x:c r="B2740" s="1" t="str">
        <x:v>jose ignacio dougnac</x:v>
      </x:c>
      <x:c r="C2740" s="1" t="str">
        <x:v>chl</x:v>
      </x:c>
      <x:c r="D2740" s="1" t="str">
        <x:v>Sin marca</x:v>
      </x:c>
      <x:c r="E2740" s="35" t="n">
        <x:v>1</x:v>
      </x:c>
      <x:c r="F2740" s="36"/>
      <x:c r="G2740" s="36" t="str">
        <x:f>IF(ISNUMBER(F2740),E2740*F2740,"")</x:f>
      </x:c>
      <x:c r="H2740" s="37"/>
      <x:c r="I2740" s="37"/>
      <x:c r="J2740" s="1" t="n">
        <x:f>IF(ISNUMBER(F2740),E2740,0)</x:f>
        <x:v>0</x:v>
      </x:c>
      <x:c r="K2740" s="1"/>
      <x:c r="L2740" s="1"/>
      <x:c r="M2740" s="1"/>
    </x:row>
    <x:row r="2741" ht="18.75" customHeight="1">
      <x:c r="A2741" s="1" t="str">
        <x:v>https://blog.skyairline.com/jose-ignacio-uruguay/</x:v>
      </x:c>
      <x:c r="B2741" s="1" t="str">
        <x:v>faro de josé ignacio</x:v>
      </x:c>
      <x:c r="C2741" s="1" t="str">
        <x:v>ury</x:v>
      </x:c>
      <x:c r="D2741" s="1" t="str">
        <x:v>Sin marca</x:v>
      </x:c>
      <x:c r="E2741" s="35" t="n">
        <x:v>1</x:v>
      </x:c>
      <x:c r="F2741" s="36"/>
      <x:c r="G2741" s="36" t="str">
        <x:f>IF(ISNUMBER(F2741),E2741*F2741,"")</x:f>
      </x:c>
      <x:c r="H2741" s="37"/>
      <x:c r="I2741" s="37"/>
      <x:c r="J2741" s="1" t="n">
        <x:f>IF(ISNUMBER(F2741),E2741,0)</x:f>
        <x:v>0</x:v>
      </x:c>
      <x:c r="K2741" s="1"/>
      <x:c r="L2741" s="1"/>
      <x:c r="M2741" s="1"/>
    </x:row>
    <x:row r="2742" ht="18.75" customHeight="1">
      <x:c r="A2742" s="1" t="str">
        <x:v>https://blog.skyairline.com/jose-ignacio-uruguay/</x:v>
      </x:c>
      <x:c r="B2742" s="1" t="str">
        <x:v>faro de josé ignacio fotos</x:v>
      </x:c>
      <x:c r="C2742" s="1" t="str">
        <x:v>arg</x:v>
      </x:c>
      <x:c r="D2742" s="1" t="str">
        <x:v>Sin marca</x:v>
      </x:c>
      <x:c r="E2742" s="35" t="n">
        <x:v>1</x:v>
      </x:c>
      <x:c r="F2742" s="36"/>
      <x:c r="G2742" s="36" t="str">
        <x:f>IF(ISNUMBER(F2742),E2742*F2742,"")</x:f>
      </x:c>
      <x:c r="H2742" s="37"/>
      <x:c r="I2742" s="37"/>
      <x:c r="J2742" s="1" t="n">
        <x:f>IF(ISNUMBER(F2742),E2742,0)</x:f>
        <x:v>0</x:v>
      </x:c>
      <x:c r="K2742" s="1"/>
      <x:c r="L2742" s="1"/>
      <x:c r="M2742" s="1"/>
    </x:row>
    <x:row r="2743" ht="18.75" customHeight="1">
      <x:c r="A2743" s="1" t="str">
        <x:v>https://blog.skyairline.com/jurere/</x:v>
      </x:c>
      <x:c r="B2743" s="1" t="str">
        <x:v>donde queda jurere</x:v>
      </x:c>
      <x:c r="C2743" s="1" t="str">
        <x:v>chl</x:v>
      </x:c>
      <x:c r="D2743" s="1" t="str">
        <x:v>Sin marca</x:v>
      </x:c>
      <x:c r="E2743" s="35" t="n">
        <x:v>1</x:v>
      </x:c>
      <x:c r="F2743" s="36"/>
      <x:c r="G2743" s="36" t="str">
        <x:f>IF(ISNUMBER(F2743),E2743*F2743,"")</x:f>
      </x:c>
      <x:c r="H2743" s="37"/>
      <x:c r="I2743" s="37"/>
      <x:c r="J2743" s="1" t="n">
        <x:f>IF(ISNUMBER(F2743),E2743,0)</x:f>
        <x:v>0</x:v>
      </x:c>
      <x:c r="K2743" s="1"/>
      <x:c r="L2743" s="1"/>
      <x:c r="M2743" s="1"/>
    </x:row>
    <x:row r="2744" ht="18.75" customHeight="1">
      <x:c r="A2744" s="1" t="str">
        <x:v>https://blog.skyairline.com/jurere/</x:v>
      </x:c>
      <x:c r="B2744" s="1" t="str">
        <x:v>jurere</x:v>
      </x:c>
      <x:c r="C2744" s="1" t="str">
        <x:v>chl</x:v>
      </x:c>
      <x:c r="D2744" s="1" t="str">
        <x:v>Sin marca</x:v>
      </x:c>
      <x:c r="E2744" s="35" t="n">
        <x:v>1</x:v>
      </x:c>
      <x:c r="F2744" s="36" t="n">
        <x:v>1.85</x:v>
      </x:c>
      <x:c r="G2744" s="36" t="n">
        <x:f>IF(ISNUMBER(F2744),E2744*F2744,"")</x:f>
        <x:v>1.85</x:v>
      </x:c>
      <x:c r="H2744" s="37" t="d">
        <x:v>2026-10-15T00:00:00.000Z</x:v>
      </x:c>
      <x:c r="I2744" s="37" t="d">
        <x:v>2026-09-13T04:03:35.000Z</x:v>
      </x:c>
      <x:c r="J2744" s="1" t="n">
        <x:f>IF(ISNUMBER(F2744),E2744,0)</x:f>
        <x:v>1</x:v>
      </x:c>
      <x:c r="K2744" s="1"/>
      <x:c r="L2744" s="1"/>
      <x:c r="M2744" s="1"/>
    </x:row>
    <x:row r="2745" ht="18.75" customHeight="1">
      <x:c r="A2745" s="1" t="str">
        <x:v>https://blog.skyairline.com/jurere/</x:v>
      </x:c>
      <x:c r="B2745" s="1" t="str">
        <x:v>jurere donde queda</x:v>
      </x:c>
      <x:c r="C2745" s="1" t="str">
        <x:v>chl</x:v>
      </x:c>
      <x:c r="D2745" s="1" t="str">
        <x:v>Sin marca</x:v>
      </x:c>
      <x:c r="E2745" s="35" t="n">
        <x:v>1</x:v>
      </x:c>
      <x:c r="F2745" s="36"/>
      <x:c r="G2745" s="36" t="str">
        <x:f>IF(ISNUMBER(F2745),E2745*F2745,"")</x:f>
      </x:c>
      <x:c r="H2745" s="37" t="d">
        <x:v>2026-10-15T00:00:00.000Z</x:v>
      </x:c>
      <x:c r="I2745" s="37" t="d">
        <x:v>2026-09-13T17:05:46.000Z</x:v>
      </x:c>
      <x:c r="J2745" s="1" t="n">
        <x:f>IF(ISNUMBER(F2745),E2745,0)</x:f>
        <x:v>0</x:v>
      </x:c>
      <x:c r="K2745" s="1"/>
      <x:c r="L2745" s="1"/>
      <x:c r="M2745" s="1"/>
    </x:row>
    <x:row r="2746" ht="18.75" customHeight="1">
      <x:c r="A2746" s="1" t="str">
        <x:v>https://blog.skyairline.com/jurere/</x:v>
      </x:c>
      <x:c r="B2746" s="1" t="str">
        <x:v>jurere internacional brasil</x:v>
      </x:c>
      <x:c r="C2746" s="1" t="str">
        <x:v>esp</x:v>
      </x:c>
      <x:c r="D2746" s="1" t="str">
        <x:v>Sin marca</x:v>
      </x:c>
      <x:c r="E2746" s="35" t="n">
        <x:v>1</x:v>
      </x:c>
      <x:c r="F2746" s="36"/>
      <x:c r="G2746" s="36" t="str">
        <x:f>IF(ISNUMBER(F2746),E2746*F2746,"")</x:f>
      </x:c>
      <x:c r="H2746" s="37"/>
      <x:c r="I2746" s="37"/>
      <x:c r="J2746" s="1" t="n">
        <x:f>IF(ISNUMBER(F2746),E2746,0)</x:f>
        <x:v>0</x:v>
      </x:c>
      <x:c r="K2746" s="1"/>
      <x:c r="L2746" s="1"/>
      <x:c r="M2746" s="1"/>
    </x:row>
    <x:row r="2747" ht="18.75" customHeight="1">
      <x:c r="A2747" s="1" t="str">
        <x:v>https://blog.skyairline.com/jurere/</x:v>
      </x:c>
      <x:c r="B2747" s="1" t="str">
        <x:v>jurerê internacional</x:v>
      </x:c>
      <x:c r="C2747" s="1" t="str">
        <x:v>chl</x:v>
      </x:c>
      <x:c r="D2747" s="1" t="str">
        <x:v>Sin marca</x:v>
      </x:c>
      <x:c r="E2747" s="35" t="n">
        <x:v>1</x:v>
      </x:c>
      <x:c r="F2747" s="36" t="n">
        <x:v>1.05</x:v>
      </x:c>
      <x:c r="G2747" s="36" t="n">
        <x:f>IF(ISNUMBER(F2747),E2747*F2747,"")</x:f>
        <x:v>1.05</x:v>
      </x:c>
      <x:c r="H2747" s="37" t="d">
        <x:v>2026-10-15T00:00:00.000Z</x:v>
      </x:c>
      <x:c r="I2747" s="37" t="d">
        <x:v>2026-09-14T10:24:54.000Z</x:v>
      </x:c>
      <x:c r="J2747" s="1" t="n">
        <x:f>IF(ISNUMBER(F2747),E2747,0)</x:f>
        <x:v>1</x:v>
      </x:c>
      <x:c r="K2747" s="1"/>
      <x:c r="L2747" s="1"/>
      <x:c r="M2747" s="1"/>
    </x:row>
    <x:row r="2748" ht="18.75" customHeight="1">
      <x:c r="A2748" s="1" t="str">
        <x:v>https://blog.skyairline.com/jurere/</x:v>
      </x:c>
      <x:c r="B2748" s="1" t="str">
        <x:v>jurerê internacional</x:v>
      </x:c>
      <x:c r="C2748" s="1" t="str">
        <x:v>per</x:v>
      </x:c>
      <x:c r="D2748" s="1" t="str">
        <x:v>Sin marca</x:v>
      </x:c>
      <x:c r="E2748" s="35" t="n">
        <x:v>1</x:v>
      </x:c>
      <x:c r="F2748" s="36"/>
      <x:c r="G2748" s="36" t="str">
        <x:f>IF(ISNUMBER(F2748),E2748*F2748,"")</x:f>
      </x:c>
      <x:c r="H2748" s="37"/>
      <x:c r="I2748" s="37"/>
      <x:c r="J2748" s="1" t="n">
        <x:f>IF(ISNUMBER(F2748),E2748,0)</x:f>
        <x:v>0</x:v>
      </x:c>
      <x:c r="K2748" s="1"/>
      <x:c r="L2748" s="1"/>
      <x:c r="M2748" s="1"/>
    </x:row>
    <x:row r="2749" ht="18.75" customHeight="1">
      <x:c r="A2749" s="1" t="str">
        <x:v>https://blog.skyairline.com/lago-todos-los-santos/</x:v>
      </x:c>
      <x:c r="B2749" s="1" t="str">
        <x:v>lago de todos los santos</x:v>
      </x:c>
      <x:c r="C2749" s="1" t="str">
        <x:v>ury</x:v>
      </x:c>
      <x:c r="D2749" s="1" t="str">
        <x:v>Sin marca</x:v>
      </x:c>
      <x:c r="E2749" s="35" t="n">
        <x:v>1</x:v>
      </x:c>
      <x:c r="F2749" s="36"/>
      <x:c r="G2749" s="36" t="str">
        <x:f>IF(ISNUMBER(F2749),E2749*F2749,"")</x:f>
      </x:c>
      <x:c r="H2749" s="37"/>
      <x:c r="I2749" s="37"/>
      <x:c r="J2749" s="1" t="n">
        <x:f>IF(ISNUMBER(F2749),E2749,0)</x:f>
        <x:v>0</x:v>
      </x:c>
      <x:c r="K2749" s="1"/>
      <x:c r="L2749" s="1"/>
      <x:c r="M2749" s="1"/>
    </x:row>
    <x:row r="2750" ht="18.75" customHeight="1">
      <x:c r="A2750" s="1" t="str">
        <x:v>https://blog.skyairline.com/lago-todos-los-santos/</x:v>
      </x:c>
      <x:c r="B2750" s="1" t="str">
        <x:v>lago todos los santos</x:v>
      </x:c>
      <x:c r="C2750" s="1" t="str">
        <x:v>chl</x:v>
      </x:c>
      <x:c r="D2750" s="1" t="str">
        <x:v>Sin marca</x:v>
      </x:c>
      <x:c r="E2750" s="35" t="n">
        <x:v>1</x:v>
      </x:c>
      <x:c r="F2750" s="36" t="n">
        <x:v>0.92</x:v>
      </x:c>
      <x:c r="G2750" s="36" t="n">
        <x:f>IF(ISNUMBER(F2750),E2750*F2750,"")</x:f>
        <x:v>0.92</x:v>
      </x:c>
      <x:c r="H2750" s="37" t="d">
        <x:v>2026-10-15T00:00:00.000Z</x:v>
      </x:c>
      <x:c r="I2750" s="37" t="d">
        <x:v>2026-09-13T07:08:58.000Z</x:v>
      </x:c>
      <x:c r="J2750" s="1" t="n">
        <x:f>IF(ISNUMBER(F2750),E2750,0)</x:f>
        <x:v>1</x:v>
      </x:c>
      <x:c r="K2750" s="1"/>
      <x:c r="L2750" s="1"/>
      <x:c r="M2750" s="1"/>
    </x:row>
    <x:row r="2751" ht="18.75" customHeight="1">
      <x:c r="A2751" s="1" t="str">
        <x:v>https://blog.skyairline.com/lago-todos-los-santos/</x:v>
      </x:c>
      <x:c r="B2751" s="1" t="str">
        <x:v>lago todos los santos como llegar</x:v>
      </x:c>
      <x:c r="C2751" s="1" t="str">
        <x:v>chl</x:v>
      </x:c>
      <x:c r="D2751" s="1" t="str">
        <x:v>Sin marca</x:v>
      </x:c>
      <x:c r="E2751" s="35" t="n">
        <x:v>1</x:v>
      </x:c>
      <x:c r="F2751" s="36"/>
      <x:c r="G2751" s="36" t="str">
        <x:f>IF(ISNUMBER(F2751),E2751*F2751,"")</x:f>
      </x:c>
      <x:c r="H2751" s="37" t="d">
        <x:v>2026-10-15T00:00:00.000Z</x:v>
      </x:c>
      <x:c r="I2751" s="37" t="d">
        <x:v>2026-09-13T04:25:21.000Z</x:v>
      </x:c>
      <x:c r="J2751" s="1" t="n">
        <x:f>IF(ISNUMBER(F2751),E2751,0)</x:f>
        <x:v>0</x:v>
      </x:c>
      <x:c r="K2751" s="1"/>
      <x:c r="L2751" s="1"/>
      <x:c r="M2751" s="1"/>
    </x:row>
    <x:row r="2752" ht="18.75" customHeight="1">
      <x:c r="A2752" s="1" t="str">
        <x:v>https://blog.skyairline.com/lagos-de-chile/</x:v>
      </x:c>
      <x:c r="B2752" s="1" t="str">
        <x:v>lago más profundo de chile</x:v>
      </x:c>
      <x:c r="C2752" s="1" t="str">
        <x:v>chl</x:v>
      </x:c>
      <x:c r="D2752" s="1" t="str">
        <x:v>Sin marca</x:v>
      </x:c>
      <x:c r="E2752" s="35" t="n">
        <x:v>1</x:v>
      </x:c>
      <x:c r="F2752" s="36"/>
      <x:c r="G2752" s="36" t="str">
        <x:f>IF(ISNUMBER(F2752),E2752*F2752,"")</x:f>
      </x:c>
      <x:c r="H2752" s="37" t="d">
        <x:v>2026-10-15T00:00:00.000Z</x:v>
      </x:c>
      <x:c r="I2752" s="37" t="d">
        <x:v>2026-09-15T19:11:31.000Z</x:v>
      </x:c>
      <x:c r="J2752" s="1" t="n">
        <x:f>IF(ISNUMBER(F2752),E2752,0)</x:f>
        <x:v>0</x:v>
      </x:c>
      <x:c r="K2752" s="1"/>
      <x:c r="L2752" s="1"/>
      <x:c r="M2752" s="1"/>
    </x:row>
    <x:row r="2753" ht="18.75" customHeight="1">
      <x:c r="A2753" s="1" t="str">
        <x:v>https://blog.skyairline.com/lagos-de-chile/</x:v>
      </x:c>
      <x:c r="B2753" s="1" t="str">
        <x:v>lagos en chile para vacacionar</x:v>
      </x:c>
      <x:c r="C2753" s="1" t="str">
        <x:v>chl</x:v>
      </x:c>
      <x:c r="D2753" s="1" t="str">
        <x:v>Sin marca</x:v>
      </x:c>
      <x:c r="E2753" s="35" t="n">
        <x:v>1</x:v>
      </x:c>
      <x:c r="F2753" s="36" t="n">
        <x:v>0.23</x:v>
      </x:c>
      <x:c r="G2753" s="36" t="n">
        <x:f>IF(ISNUMBER(F2753),E2753*F2753,"")</x:f>
        <x:v>0.23</x:v>
      </x:c>
      <x:c r="H2753" s="37" t="d">
        <x:v>2026-10-15T00:00:00.000Z</x:v>
      </x:c>
      <x:c r="I2753" s="37" t="d">
        <x:v>2026-09-12T18:34:58.999Z</x:v>
      </x:c>
      <x:c r="J2753" s="1" t="n">
        <x:f>IF(ISNUMBER(F2753),E2753,0)</x:f>
        <x:v>1</x:v>
      </x:c>
      <x:c r="K2753" s="1"/>
      <x:c r="L2753" s="1"/>
      <x:c r="M2753" s="1"/>
    </x:row>
    <x:row r="2754" ht="18.75" customHeight="1">
      <x:c r="A2754" s="1" t="str">
        <x:v>https://blog.skyairline.com/lagos-del-sur-de-chile/</x:v>
      </x:c>
      <x:c r="B2754" s="1" t="str">
        <x:v>lagos del sur</x:v>
      </x:c>
      <x:c r="C2754" s="1" t="str">
        <x:v>chl</x:v>
      </x:c>
      <x:c r="D2754" s="1" t="str">
        <x:v>Sin marca</x:v>
      </x:c>
      <x:c r="E2754" s="35" t="n">
        <x:v>1</x:v>
      </x:c>
      <x:c r="F2754" s="36" t="n">
        <x:v>0.25</x:v>
      </x:c>
      <x:c r="G2754" s="36" t="n">
        <x:f>IF(ISNUMBER(F2754),E2754*F2754,"")</x:f>
        <x:v>0.25</x:v>
      </x:c>
      <x:c r="H2754" s="37" t="d">
        <x:v>2026-10-15T00:00:00.000Z</x:v>
      </x:c>
      <x:c r="I2754" s="37" t="d">
        <x:v>2026-09-13T03:47:35.000Z</x:v>
      </x:c>
      <x:c r="J2754" s="1" t="n">
        <x:f>IF(ISNUMBER(F2754),E2754,0)</x:f>
        <x:v>1</x:v>
      </x:c>
      <x:c r="K2754" s="1"/>
      <x:c r="L2754" s="1"/>
      <x:c r="M2754" s="1"/>
    </x:row>
    <x:row r="2755" ht="18.75" customHeight="1">
      <x:c r="A2755" s="1" t="str">
        <x:v>https://blog.skyairline.com/laguna-69/</x:v>
      </x:c>
      <x:c r="B2755" s="1" t="str">
        <x:v>laguna 69 como llegar</x:v>
      </x:c>
      <x:c r="C2755" s="1" t="str">
        <x:v>per</x:v>
      </x:c>
      <x:c r="D2755" s="1" t="str">
        <x:v>Sin marca</x:v>
      </x:c>
      <x:c r="E2755" s="35" t="n">
        <x:v>1</x:v>
      </x:c>
      <x:c r="F2755" s="36" t="n">
        <x:v>0.6</x:v>
      </x:c>
      <x:c r="G2755" s="36" t="n">
        <x:f>IF(ISNUMBER(F2755),E2755*F2755,"")</x:f>
        <x:v>0.6</x:v>
      </x:c>
      <x:c r="H2755" s="37" t="d">
        <x:v>2026-10-15T00:00:00.000Z</x:v>
      </x:c>
      <x:c r="I2755" s="37" t="d">
        <x:v>2026-10-15T18:53:43.000Z</x:v>
      </x:c>
      <x:c r="J2755" s="1" t="n">
        <x:f>IF(ISNUMBER(F2755),E2755,0)</x:f>
        <x:v>1</x:v>
      </x:c>
      <x:c r="K2755" s="1"/>
      <x:c r="L2755" s="1"/>
      <x:c r="M2755" s="1"/>
    </x:row>
    <x:row r="2756" ht="18.75" customHeight="1">
      <x:c r="A2756" s="1" t="str">
        <x:v>https://blog.skyairline.com/laguna-de-chacas/</x:v>
      </x:c>
      <x:c r="B2756" s="1" t="str">
        <x:v>chacas juliaca</x:v>
      </x:c>
      <x:c r="C2756" s="1" t="str">
        <x:v>per</x:v>
      </x:c>
      <x:c r="D2756" s="1" t="str">
        <x:v>Sin marca</x:v>
      </x:c>
      <x:c r="E2756" s="35" t="n">
        <x:v>1</x:v>
      </x:c>
      <x:c r="F2756" s="36"/>
      <x:c r="G2756" s="36" t="str">
        <x:f>IF(ISNUMBER(F2756),E2756*F2756,"")</x:f>
      </x:c>
      <x:c r="H2756" s="37"/>
      <x:c r="I2756" s="37"/>
      <x:c r="J2756" s="1" t="n">
        <x:f>IF(ISNUMBER(F2756),E2756,0)</x:f>
        <x:v>0</x:v>
      </x:c>
      <x:c r="K2756" s="1"/>
      <x:c r="L2756" s="1"/>
      <x:c r="M2756" s="1"/>
    </x:row>
    <x:row r="2757" ht="18.75" customHeight="1">
      <x:c r="A2757" s="1" t="str">
        <x:v>https://blog.skyairline.com/laguna-de-chacas/</x:v>
      </x:c>
      <x:c r="B2757" s="1" t="str">
        <x:v>laguna de chacas</x:v>
      </x:c>
      <x:c r="C2757" s="1" t="str">
        <x:v>per</x:v>
      </x:c>
      <x:c r="D2757" s="1" t="str">
        <x:v>Sin marca</x:v>
      </x:c>
      <x:c r="E2757" s="35" t="n">
        <x:v>1</x:v>
      </x:c>
      <x:c r="F2757" s="36"/>
      <x:c r="G2757" s="36" t="str">
        <x:f>IF(ISNUMBER(F2757),E2757*F2757,"")</x:f>
      </x:c>
      <x:c r="H2757" s="37"/>
      <x:c r="I2757" s="37"/>
      <x:c r="J2757" s="1" t="n">
        <x:f>IF(ISNUMBER(F2757),E2757,0)</x:f>
        <x:v>0</x:v>
      </x:c>
      <x:c r="K2757" s="1"/>
      <x:c r="L2757" s="1"/>
      <x:c r="M2757" s="1"/>
    </x:row>
    <x:row r="2758" ht="18.75" customHeight="1">
      <x:c r="A2758" s="1" t="str">
        <x:v>https://blog.skyairline.com/laguna-de-paca/</x:v>
      </x:c>
      <x:c r="B2758" s="1" t="str">
        <x:v>laguna de paca</x:v>
      </x:c>
      <x:c r="C2758" s="1" t="str">
        <x:v>per</x:v>
      </x:c>
      <x:c r="D2758" s="1" t="str">
        <x:v>Sin marca</x:v>
      </x:c>
      <x:c r="E2758" s="35" t="n">
        <x:v>1</x:v>
      </x:c>
      <x:c r="F2758" s="36" t="n">
        <x:v>0.1</x:v>
      </x:c>
      <x:c r="G2758" s="36" t="n">
        <x:f>IF(ISNUMBER(F2758),E2758*F2758,"")</x:f>
        <x:v>0.1</x:v>
      </x:c>
      <x:c r="H2758" s="37" t="d">
        <x:v>2026-10-15T00:00:00.000Z</x:v>
      </x:c>
      <x:c r="I2758" s="37" t="d">
        <x:v>2026-09-14T18:22:52.999Z</x:v>
      </x:c>
      <x:c r="J2758" s="1" t="n">
        <x:f>IF(ISNUMBER(F2758),E2758,0)</x:f>
        <x:v>1</x:v>
      </x:c>
      <x:c r="K2758" s="1"/>
      <x:c r="L2758" s="1"/>
      <x:c r="M2758" s="1"/>
    </x:row>
    <x:row r="2759" ht="18.75" customHeight="1">
      <x:c r="A2759" s="1" t="str">
        <x:v>https://blog.skyairline.com/laguna-de-paca/</x:v>
      </x:c>
      <x:c r="B2759" s="1" t="str">
        <x:v>lugares turísticos de jauja</x:v>
      </x:c>
      <x:c r="C2759" s="1" t="str">
        <x:v>per</x:v>
      </x:c>
      <x:c r="D2759" s="1" t="str">
        <x:v>Sin marca</x:v>
      </x:c>
      <x:c r="E2759" s="35" t="n">
        <x:v>1</x:v>
      </x:c>
      <x:c r="F2759" s="36" t="n">
        <x:v>0.59</x:v>
      </x:c>
      <x:c r="G2759" s="36" t="n">
        <x:f>IF(ISNUMBER(F2759),E2759*F2759,"")</x:f>
        <x:v>0.59</x:v>
      </x:c>
      <x:c r="H2759" s="37" t="d">
        <x:v>2026-10-15T00:00:00.000Z</x:v>
      </x:c>
      <x:c r="I2759" s="37" t="d">
        <x:v>2026-10-15T04:31:51.000Z</x:v>
      </x:c>
      <x:c r="J2759" s="1" t="n">
        <x:f>IF(ISNUMBER(F2759),E2759,0)</x:f>
        <x:v>1</x:v>
      </x:c>
      <x:c r="K2759" s="1"/>
      <x:c r="L2759" s="1"/>
      <x:c r="M2759" s="1"/>
    </x:row>
    <x:row r="2760" ht="18.75" customHeight="1">
      <x:c r="A2760" s="1" t="str">
        <x:v>https://blog.skyairline.com/lagunillas-en-el-cajon-del-maipo/</x:v>
      </x:c>
      <x:c r="B2760" s="1" t="str">
        <x:v>donde queda lagunillas chile</x:v>
      </x:c>
      <x:c r="C2760" s="1" t="str">
        <x:v>chl</x:v>
      </x:c>
      <x:c r="D2760" s="1" t="str">
        <x:v>Sin marca</x:v>
      </x:c>
      <x:c r="E2760" s="35" t="n">
        <x:v>1</x:v>
      </x:c>
      <x:c r="F2760" s="36"/>
      <x:c r="G2760" s="36" t="str">
        <x:f>IF(ISNUMBER(F2760),E2760*F2760,"")</x:f>
      </x:c>
      <x:c r="H2760" s="37" t="d">
        <x:v>2026-10-15T00:00:00.000Z</x:v>
      </x:c>
      <x:c r="I2760" s="37" t="d">
        <x:v>2026-09-14T20:40:12.000Z</x:v>
      </x:c>
      <x:c r="J2760" s="1" t="n">
        <x:f>IF(ISNUMBER(F2760),E2760,0)</x:f>
        <x:v>0</x:v>
      </x:c>
      <x:c r="K2760" s="1"/>
      <x:c r="L2760" s="1"/>
      <x:c r="M2760" s="1"/>
    </x:row>
    <x:row r="2761" ht="18.75" customHeight="1">
      <x:c r="A2761" s="1" t="str">
        <x:v>https://blog.skyairline.com/lami-e-ipanema/</x:v>
      </x:c>
      <x:c r="B2761" s="1" t="str">
        <x:v>playa más cercana a mi ubicación</x:v>
      </x:c>
      <x:c r="C2761" s="1" t="str">
        <x:v>bra</x:v>
      </x:c>
      <x:c r="D2761" s="1" t="str">
        <x:v>Sin marca</x:v>
      </x:c>
      <x:c r="E2761" s="35" t="n">
        <x:v>1</x:v>
      </x:c>
      <x:c r="F2761" s="36"/>
      <x:c r="G2761" s="36" t="str">
        <x:f>IF(ISNUMBER(F2761),E2761*F2761,"")</x:f>
      </x:c>
      <x:c r="H2761" s="37"/>
      <x:c r="I2761" s="37"/>
      <x:c r="J2761" s="1" t="n">
        <x:f>IF(ISNUMBER(F2761),E2761,0)</x:f>
        <x:v>0</x:v>
      </x:c>
      <x:c r="K2761" s="1"/>
      <x:c r="L2761" s="1"/>
      <x:c r="M2761" s="1"/>
    </x:row>
    <x:row r="2762" ht="18.75" customHeight="1">
      <x:c r="A2762" s="1" t="str">
        <x:v>https://blog.skyairline.com/las-grutas/</x:v>
      </x:c>
      <x:c r="B2762" s="1" t="str">
        <x:v>diciembre</x:v>
      </x:c>
      <x:c r="C2762" s="1" t="str">
        <x:v>arg</x:v>
      </x:c>
      <x:c r="D2762" s="1" t="str">
        <x:v>Sin marca</x:v>
      </x:c>
      <x:c r="E2762" s="35" t="n">
        <x:v>1</x:v>
      </x:c>
      <x:c r="F2762" s="36"/>
      <x:c r="G2762" s="36" t="str">
        <x:f>IF(ISNUMBER(F2762),E2762*F2762,"")</x:f>
      </x:c>
      <x:c r="H2762" s="37"/>
      <x:c r="I2762" s="37"/>
      <x:c r="J2762" s="1" t="n">
        <x:f>IF(ISNUMBER(F2762),E2762,0)</x:f>
        <x:v>0</x:v>
      </x:c>
      <x:c r="K2762" s="1"/>
      <x:c r="L2762" s="1"/>
      <x:c r="M2762" s="1"/>
    </x:row>
    <x:row r="2763" ht="18.75" customHeight="1">
      <x:c r="A2763" s="1" t="str">
        <x:v>https://blog.skyairline.com/las-trancas-chillan-que-hacer-durante-el-invierno-y-el-verano/</x:v>
      </x:c>
      <x:c r="B2763" s="1" t="str">
        <x:v>que hacer en las trancas chillán en invierno</x:v>
      </x:c>
      <x:c r="C2763" s="1" t="str">
        <x:v>chl</x:v>
      </x:c>
      <x:c r="D2763" s="1" t="str">
        <x:v>Sin marca</x:v>
      </x:c>
      <x:c r="E2763" s="35" t="n">
        <x:v>1</x:v>
      </x:c>
      <x:c r="F2763" s="36" t="n">
        <x:v>0.85</x:v>
      </x:c>
      <x:c r="G2763" s="36" t="n">
        <x:f>IF(ISNUMBER(F2763),E2763*F2763,"")</x:f>
        <x:v>0.85</x:v>
      </x:c>
      <x:c r="H2763" s="37" t="d">
        <x:v>2026-10-15T00:00:00.000Z</x:v>
      </x:c>
      <x:c r="I2763" s="37" t="d">
        <x:v>2026-09-15T20:10:29.000Z</x:v>
      </x:c>
      <x:c r="J2763" s="1" t="n">
        <x:f>IF(ISNUMBER(F2763),E2763,0)</x:f>
        <x:v>1</x:v>
      </x:c>
      <x:c r="K2763" s="1"/>
      <x:c r="L2763" s="1"/>
      <x:c r="M2763" s="1"/>
    </x:row>
    <x:row r="2764" ht="18.75" customHeight="1">
      <x:c r="A2764" s="1" t="str">
        <x:v>https://blog.skyairline.com/leblon-rio-de-janeiro/</x:v>
      </x:c>
      <x:c r="B2764" s="1" t="str">
        <x:v>leblon</x:v>
      </x:c>
      <x:c r="C2764" s="1" t="str">
        <x:v>bra</x:v>
      </x:c>
      <x:c r="D2764" s="1" t="str">
        <x:v>Sin marca</x:v>
      </x:c>
      <x:c r="E2764" s="35" t="n">
        <x:v>1</x:v>
      </x:c>
      <x:c r="F2764" s="36"/>
      <x:c r="G2764" s="36" t="str">
        <x:f>IF(ISNUMBER(F2764),E2764*F2764,"")</x:f>
      </x:c>
      <x:c r="H2764" s="37"/>
      <x:c r="I2764" s="37"/>
      <x:c r="J2764" s="1" t="n">
        <x:f>IF(ISNUMBER(F2764),E2764,0)</x:f>
        <x:v>0</x:v>
      </x:c>
      <x:c r="K2764" s="1"/>
      <x:c r="L2764" s="1"/>
      <x:c r="M2764" s="1"/>
    </x:row>
    <x:row r="2765" ht="18.75" customHeight="1">
      <x:c r="A2765" s="1" t="str">
        <x:v>https://blog.skyairline.com/liquidos-en-avion/</x:v>
      </x:c>
      <x:c r="B2765" s="1" t="str">
        <x:v>cantidad de perfume permitido en avion</x:v>
      </x:c>
      <x:c r="C2765" s="1" t="str">
        <x:v>chl</x:v>
      </x:c>
      <x:c r="D2765" s="1" t="str">
        <x:v>Sin marca</x:v>
      </x:c>
      <x:c r="E2765" s="35" t="n">
        <x:v>1</x:v>
      </x:c>
      <x:c r="F2765" s="36"/>
      <x:c r="G2765" s="36" t="str">
        <x:f>IF(ISNUMBER(F2765),E2765*F2765,"")</x:f>
      </x:c>
      <x:c r="H2765" s="37"/>
      <x:c r="I2765" s="37"/>
      <x:c r="J2765" s="1" t="n">
        <x:f>IF(ISNUMBER(F2765),E2765,0)</x:f>
        <x:v>0</x:v>
      </x:c>
      <x:c r="K2765" s="1"/>
      <x:c r="L2765" s="1"/>
      <x:c r="M2765" s="1"/>
    </x:row>
    <x:row r="2766" ht="18.75" customHeight="1">
      <x:c r="A2766" s="1" t="str">
        <x:v>https://blog.skyairline.com/liquidos-en-avion/</x:v>
      </x:c>
      <x:c r="B2766" s="1" t="str">
        <x:v>cremas en equipaje de mano</x:v>
      </x:c>
      <x:c r="C2766" s="1" t="str">
        <x:v>chl</x:v>
      </x:c>
      <x:c r="D2766" s="1" t="str">
        <x:v>Sin marca</x:v>
      </x:c>
      <x:c r="E2766" s="35" t="n">
        <x:v>1</x:v>
      </x:c>
      <x:c r="F2766" s="36"/>
      <x:c r="G2766" s="36" t="str">
        <x:f>IF(ISNUMBER(F2766),E2766*F2766,"")</x:f>
      </x:c>
      <x:c r="H2766" s="37"/>
      <x:c r="I2766" s="37"/>
      <x:c r="J2766" s="1" t="n">
        <x:f>IF(ISNUMBER(F2766),E2766,0)</x:f>
        <x:v>0</x:v>
      </x:c>
      <x:c r="K2766" s="1"/>
      <x:c r="L2766" s="1"/>
      <x:c r="M2766" s="1"/>
    </x:row>
    <x:row r="2767" ht="18.75" customHeight="1">
      <x:c r="A2767" s="1" t="str">
        <x:v>https://blog.skyairline.com/liquidos-en-avion/</x:v>
      </x:c>
      <x:c r="B2767" s="1" t="str">
        <x:v>cuanto alcohol puedo llevar en avion</x:v>
      </x:c>
      <x:c r="C2767" s="1" t="str">
        <x:v>chl</x:v>
      </x:c>
      <x:c r="D2767" s="1" t="str">
        <x:v>Sin marca</x:v>
      </x:c>
      <x:c r="E2767" s="35" t="n">
        <x:v>1</x:v>
      </x:c>
      <x:c r="F2767" s="36"/>
      <x:c r="G2767" s="36" t="str">
        <x:f>IF(ISNUMBER(F2767),E2767*F2767,"")</x:f>
      </x:c>
      <x:c r="H2767" s="37"/>
      <x:c r="I2767" s="37"/>
      <x:c r="J2767" s="1" t="n">
        <x:f>IF(ISNUMBER(F2767),E2767,0)</x:f>
        <x:v>0</x:v>
      </x:c>
      <x:c r="K2767" s="1"/>
      <x:c r="L2767" s="1"/>
      <x:c r="M2767" s="1"/>
    </x:row>
    <x:row r="2768" ht="18.75" customHeight="1">
      <x:c r="A2768" s="1" t="str">
        <x:v>https://blog.skyairline.com/liquidos-en-avion/</x:v>
      </x:c>
      <x:c r="B2768" s="1" t="str">
        <x:v>cuanto es el maximo de liquidos en avion</x:v>
      </x:c>
      <x:c r="C2768" s="1" t="str">
        <x:v>chl</x:v>
      </x:c>
      <x:c r="D2768" s="1" t="str">
        <x:v>Sin marca</x:v>
      </x:c>
      <x:c r="E2768" s="35" t="n">
        <x:v>1</x:v>
      </x:c>
      <x:c r="F2768" s="36"/>
      <x:c r="G2768" s="36" t="str">
        <x:f>IF(ISNUMBER(F2768),E2768*F2768,"")</x:f>
      </x:c>
      <x:c r="H2768" s="37"/>
      <x:c r="I2768" s="37"/>
      <x:c r="J2768" s="1" t="n">
        <x:f>IF(ISNUMBER(F2768),E2768,0)</x:f>
        <x:v>0</x:v>
      </x:c>
      <x:c r="K2768" s="1"/>
      <x:c r="L2768" s="1"/>
      <x:c r="M2768" s="1"/>
    </x:row>
    <x:row r="2769" ht="18.75" customHeight="1">
      <x:c r="A2769" s="1" t="str">
        <x:v>https://blog.skyairline.com/liquidos-en-avion/</x:v>
      </x:c>
      <x:c r="B2769" s="1" t="str">
        <x:v>cuanto se puede llevar de liquido en el avion</x:v>
      </x:c>
      <x:c r="C2769" s="1" t="str">
        <x:v>chl</x:v>
      </x:c>
      <x:c r="D2769" s="1" t="str">
        <x:v>Sin marca</x:v>
      </x:c>
      <x:c r="E2769" s="35" t="n">
        <x:v>1</x:v>
      </x:c>
      <x:c r="F2769" s="36"/>
      <x:c r="G2769" s="36" t="str">
        <x:f>IF(ISNUMBER(F2769),E2769*F2769,"")</x:f>
      </x:c>
      <x:c r="H2769" s="37"/>
      <x:c r="I2769" s="37"/>
      <x:c r="J2769" s="1" t="n">
        <x:f>IF(ISNUMBER(F2769),E2769,0)</x:f>
        <x:v>0</x:v>
      </x:c>
      <x:c r="K2769" s="1"/>
      <x:c r="L2769" s="1"/>
      <x:c r="M2769" s="1"/>
    </x:row>
    <x:row r="2770" ht="18.75" customHeight="1">
      <x:c r="A2770" s="1" t="str">
        <x:v>https://blog.skyairline.com/liquidos-en-avion/</x:v>
      </x:c>
      <x:c r="B2770" s="1" t="str">
        <x:v>cuanto shampoo se puede llevar en el avion</x:v>
      </x:c>
      <x:c r="C2770" s="1" t="str">
        <x:v>chl</x:v>
      </x:c>
      <x:c r="D2770" s="1" t="str">
        <x:v>Sin marca</x:v>
      </x:c>
      <x:c r="E2770" s="35" t="n">
        <x:v>1</x:v>
      </x:c>
      <x:c r="F2770" s="36"/>
      <x:c r="G2770" s="36" t="str">
        <x:f>IF(ISNUMBER(F2770),E2770*F2770,"")</x:f>
      </x:c>
      <x:c r="H2770" s="37"/>
      <x:c r="I2770" s="37"/>
      <x:c r="J2770" s="1" t="n">
        <x:f>IF(ISNUMBER(F2770),E2770,0)</x:f>
        <x:v>0</x:v>
      </x:c>
      <x:c r="K2770" s="1"/>
      <x:c r="L2770" s="1"/>
      <x:c r="M2770" s="1"/>
    </x:row>
    <x:row r="2771" ht="18.75" customHeight="1">
      <x:c r="A2771" s="1" t="str">
        <x:v>https://blog.skyairline.com/liquidos-en-avion/</x:v>
      </x:c>
      <x:c r="B2771" s="1" t="str">
        <x:v>cuantos liquido se puede llevar en el avion</x:v>
      </x:c>
      <x:c r="C2771" s="1" t="str">
        <x:v>chl</x:v>
      </x:c>
      <x:c r="D2771" s="1" t="str">
        <x:v>Sin marca</x:v>
      </x:c>
      <x:c r="E2771" s="35" t="n">
        <x:v>1</x:v>
      </x:c>
      <x:c r="F2771" s="36"/>
      <x:c r="G2771" s="36" t="str">
        <x:f>IF(ISNUMBER(F2771),E2771*F2771,"")</x:f>
      </x:c>
      <x:c r="H2771" s="37"/>
      <x:c r="I2771" s="37"/>
      <x:c r="J2771" s="1" t="n">
        <x:f>IF(ISNUMBER(F2771),E2771,0)</x:f>
        <x:v>0</x:v>
      </x:c>
      <x:c r="K2771" s="1"/>
      <x:c r="L2771" s="1"/>
      <x:c r="M2771" s="1"/>
    </x:row>
    <x:row r="2772" ht="18.75" customHeight="1">
      <x:c r="A2772" s="1" t="str">
        <x:v>https://blog.skyairline.com/liquidos-en-avion/</x:v>
      </x:c>
      <x:c r="B2772" s="1" t="str">
        <x:v>cuantos mililitros se puede llevar en el avion</x:v>
      </x:c>
      <x:c r="C2772" s="1" t="str">
        <x:v>chl</x:v>
      </x:c>
      <x:c r="D2772" s="1" t="str">
        <x:v>Sin marca</x:v>
      </x:c>
      <x:c r="E2772" s="35" t="n">
        <x:v>1</x:v>
      </x:c>
      <x:c r="F2772" s="36"/>
      <x:c r="G2772" s="36" t="str">
        <x:f>IF(ISNUMBER(F2772),E2772*F2772,"")</x:f>
      </x:c>
      <x:c r="H2772" s="37"/>
      <x:c r="I2772" s="37"/>
      <x:c r="J2772" s="1" t="n">
        <x:f>IF(ISNUMBER(F2772),E2772,0)</x:f>
        <x:v>0</x:v>
      </x:c>
      <x:c r="K2772" s="1"/>
      <x:c r="L2772" s="1"/>
      <x:c r="M2772" s="1"/>
    </x:row>
    <x:row r="2773" ht="18.75" customHeight="1">
      <x:c r="A2773" s="1" t="str">
        <x:v>https://blog.skyairline.com/liquidos-en-avion/</x:v>
      </x:c>
      <x:c r="B2773" s="1" t="str">
        <x:v>cuantos ml permiten en el avion</x:v>
      </x:c>
      <x:c r="C2773" s="1" t="str">
        <x:v>per</x:v>
      </x:c>
      <x:c r="D2773" s="1" t="str">
        <x:v>Sin marca</x:v>
      </x:c>
      <x:c r="E2773" s="35" t="n">
        <x:v>1</x:v>
      </x:c>
      <x:c r="F2773" s="36"/>
      <x:c r="G2773" s="36" t="str">
        <x:f>IF(ISNUMBER(F2773),E2773*F2773,"")</x:f>
      </x:c>
      <x:c r="H2773" s="37"/>
      <x:c r="I2773" s="37"/>
      <x:c r="J2773" s="1" t="n">
        <x:f>IF(ISNUMBER(F2773),E2773,0)</x:f>
        <x:v>0</x:v>
      </x:c>
      <x:c r="K2773" s="1"/>
      <x:c r="L2773" s="1"/>
      <x:c r="M2773" s="1"/>
    </x:row>
    <x:row r="2774" ht="18.75" customHeight="1">
      <x:c r="A2774" s="1" t="str">
        <x:v>https://blog.skyairline.com/liquidos-en-avion/</x:v>
      </x:c>
      <x:c r="B2774" s="1" t="str">
        <x:v>cuantos ml puedes llevar en el avion</x:v>
      </x:c>
      <x:c r="C2774" s="1" t="str">
        <x:v>chl</x:v>
      </x:c>
      <x:c r="D2774" s="1" t="str">
        <x:v>Sin marca</x:v>
      </x:c>
      <x:c r="E2774" s="35" t="n">
        <x:v>1</x:v>
      </x:c>
      <x:c r="F2774" s="36"/>
      <x:c r="G2774" s="36" t="str">
        <x:f>IF(ISNUMBER(F2774),E2774*F2774,"")</x:f>
      </x:c>
      <x:c r="H2774" s="37"/>
      <x:c r="I2774" s="37"/>
      <x:c r="J2774" s="1" t="n">
        <x:f>IF(ISNUMBER(F2774),E2774,0)</x:f>
        <x:v>0</x:v>
      </x:c>
      <x:c r="K2774" s="1"/>
      <x:c r="L2774" s="1"/>
      <x:c r="M2774" s="1"/>
    </x:row>
    <x:row r="2775" ht="18.75" customHeight="1">
      <x:c r="A2775" s="1" t="str">
        <x:v>https://blog.skyairline.com/liquidos-en-avion/</x:v>
      </x:c>
      <x:c r="B2775" s="1" t="str">
        <x:v>cuantos ml se pueden llevar en cabina</x:v>
      </x:c>
      <x:c r="C2775" s="1" t="str">
        <x:v>chl</x:v>
      </x:c>
      <x:c r="D2775" s="1" t="str">
        <x:v>Sin marca</x:v>
      </x:c>
      <x:c r="E2775" s="35" t="n">
        <x:v>1</x:v>
      </x:c>
      <x:c r="F2775" s="36"/>
      <x:c r="G2775" s="36" t="str">
        <x:f>IF(ISNUMBER(F2775),E2775*F2775,"")</x:f>
      </x:c>
      <x:c r="H2775" s="37"/>
      <x:c r="I2775" s="37"/>
      <x:c r="J2775" s="1" t="n">
        <x:f>IF(ISNUMBER(F2775),E2775,0)</x:f>
        <x:v>0</x:v>
      </x:c>
      <x:c r="K2775" s="1"/>
      <x:c r="L2775" s="1"/>
      <x:c r="M2775" s="1"/>
    </x:row>
    <x:row r="2776" ht="18.75" customHeight="1">
      <x:c r="A2776" s="1" t="str">
        <x:v>https://blog.skyairline.com/liquidos-en-avion/</x:v>
      </x:c>
      <x:c r="B2776" s="1" t="str">
        <x:v>desodorante aerosol avion</x:v>
      </x:c>
      <x:c r="C2776" s="1" t="str">
        <x:v>chl</x:v>
      </x:c>
      <x:c r="D2776" s="1" t="str">
        <x:v>Sin marca</x:v>
      </x:c>
      <x:c r="E2776" s="35" t="n">
        <x:v>1</x:v>
      </x:c>
      <x:c r="F2776" s="36"/>
      <x:c r="G2776" s="36" t="str">
        <x:f>IF(ISNUMBER(F2776),E2776*F2776,"")</x:f>
      </x:c>
      <x:c r="H2776" s="37"/>
      <x:c r="I2776" s="37"/>
      <x:c r="J2776" s="1" t="n">
        <x:f>IF(ISNUMBER(F2776),E2776,0)</x:f>
        <x:v>0</x:v>
      </x:c>
      <x:c r="K2776" s="1"/>
      <x:c r="L2776" s="1"/>
      <x:c r="M2776" s="1"/>
    </x:row>
    <x:row r="2777" ht="18.75" customHeight="1">
      <x:c r="A2777" s="1" t="str">
        <x:v>https://blog.skyairline.com/liquidos-en-avion/</x:v>
      </x:c>
      <x:c r="B2777" s="1" t="str">
        <x:v>desodorante en aerosol se puede llevar en el avion</x:v>
      </x:c>
      <x:c r="C2777" s="1" t="str">
        <x:v>chl</x:v>
      </x:c>
      <x:c r="D2777" s="1" t="str">
        <x:v>Sin marca</x:v>
      </x:c>
      <x:c r="E2777" s="35" t="n">
        <x:v>1</x:v>
      </x:c>
      <x:c r="F2777" s="36"/>
      <x:c r="G2777" s="36" t="str">
        <x:f>IF(ISNUMBER(F2777),E2777*F2777,"")</x:f>
      </x:c>
      <x:c r="H2777" s="37"/>
      <x:c r="I2777" s="37"/>
      <x:c r="J2777" s="1" t="n">
        <x:f>IF(ISNUMBER(F2777),E2777,0)</x:f>
        <x:v>0</x:v>
      </x:c>
      <x:c r="K2777" s="1"/>
      <x:c r="L2777" s="1"/>
      <x:c r="M2777" s="1"/>
    </x:row>
    <x:row r="2778" ht="18.75" customHeight="1">
      <x:c r="A2778" s="1" t="str">
        <x:v>https://blog.skyairline.com/liquidos-en-avion/</x:v>
      </x:c>
      <x:c r="B2778" s="1" t="str">
        <x:v>en vuelo nacional puedo llevar mas de 100 ml</x:v>
      </x:c>
      <x:c r="C2778" s="1" t="str">
        <x:v>chl</x:v>
      </x:c>
      <x:c r="D2778" s="1" t="str">
        <x:v>Sin marca</x:v>
      </x:c>
      <x:c r="E2778" s="35" t="n">
        <x:v>1</x:v>
      </x:c>
      <x:c r="F2778" s="36"/>
      <x:c r="G2778" s="36" t="str">
        <x:f>IF(ISNUMBER(F2778),E2778*F2778,"")</x:f>
      </x:c>
      <x:c r="H2778" s="37"/>
      <x:c r="I2778" s="37"/>
      <x:c r="J2778" s="1" t="n">
        <x:f>IF(ISNUMBER(F2778),E2778,0)</x:f>
        <x:v>0</x:v>
      </x:c>
      <x:c r="K2778" s="1"/>
      <x:c r="L2778" s="1"/>
      <x:c r="M2778" s="1"/>
    </x:row>
    <x:row r="2779" ht="18.75" customHeight="1">
      <x:c r="A2779" s="1" t="str">
        <x:v>https://blog.skyairline.com/liquidos-en-avion/</x:v>
      </x:c>
      <x:c r="B2779" s="1" t="str">
        <x:v>en vuelos nacionales se puede llevar perfumes</x:v>
      </x:c>
      <x:c r="C2779" s="1" t="str">
        <x:v>chl</x:v>
      </x:c>
      <x:c r="D2779" s="1" t="str">
        <x:v>Sin marca</x:v>
      </x:c>
      <x:c r="E2779" s="35" t="n">
        <x:v>1</x:v>
      </x:c>
      <x:c r="F2779" s="36"/>
      <x:c r="G2779" s="36" t="str">
        <x:f>IF(ISNUMBER(F2779),E2779*F2779,"")</x:f>
      </x:c>
      <x:c r="H2779" s="37"/>
      <x:c r="I2779" s="37"/>
      <x:c r="J2779" s="1" t="n">
        <x:f>IF(ISNUMBER(F2779),E2779,0)</x:f>
        <x:v>0</x:v>
      </x:c>
      <x:c r="K2779" s="1"/>
      <x:c r="L2779" s="1"/>
      <x:c r="M2779" s="1"/>
    </x:row>
    <x:row r="2780" ht="18.75" customHeight="1">
      <x:c r="A2780" s="1" t="str">
        <x:v>https://blog.skyairline.com/liquidos-en-avion/</x:v>
      </x:c>
      <x:c r="B2780" s="1" t="str">
        <x:v>envases de cuantos ml se puede subir al avion</x:v>
      </x:c>
      <x:c r="C2780" s="1" t="str">
        <x:v>per</x:v>
      </x:c>
      <x:c r="D2780" s="1" t="str">
        <x:v>Sin marca</x:v>
      </x:c>
      <x:c r="E2780" s="35" t="n">
        <x:v>1</x:v>
      </x:c>
      <x:c r="F2780" s="36"/>
      <x:c r="G2780" s="36" t="str">
        <x:f>IF(ISNUMBER(F2780),E2780*F2780,"")</x:f>
      </x:c>
      <x:c r="H2780" s="37"/>
      <x:c r="I2780" s="37"/>
      <x:c r="J2780" s="1" t="n">
        <x:f>IF(ISNUMBER(F2780),E2780,0)</x:f>
        <x:v>0</x:v>
      </x:c>
      <x:c r="K2780" s="1"/>
      <x:c r="L2780" s="1"/>
      <x:c r="M2780" s="1"/>
    </x:row>
    <x:row r="2781" ht="18.75" customHeight="1">
      <x:c r="A2781" s="1" t="str">
        <x:v>https://blog.skyairline.com/liquidos-en-avion/</x:v>
      </x:c>
      <x:c r="B2781" s="1" t="str">
        <x:v>es nacional</x:v>
      </x:c>
      <x:c r="C2781" s="1" t="str">
        <x:v>per</x:v>
      </x:c>
      <x:c r="D2781" s="1" t="str">
        <x:v>Sin marca</x:v>
      </x:c>
      <x:c r="E2781" s="35" t="n">
        <x:v>1</x:v>
      </x:c>
      <x:c r="F2781" s="36"/>
      <x:c r="G2781" s="36" t="str">
        <x:f>IF(ISNUMBER(F2781),E2781*F2781,"")</x:f>
      </x:c>
      <x:c r="H2781" s="37"/>
      <x:c r="I2781" s="37"/>
      <x:c r="J2781" s="1" t="n">
        <x:f>IF(ISNUMBER(F2781),E2781,0)</x:f>
        <x:v>0</x:v>
      </x:c>
      <x:c r="K2781" s="1"/>
      <x:c r="L2781" s="1"/>
      <x:c r="M2781" s="1"/>
    </x:row>
    <x:row r="2782" ht="18.75" customHeight="1">
      <x:c r="A2782" s="1" t="str">
        <x:v>https://blog.skyairline.com/liquidos-en-avion/</x:v>
      </x:c>
      <x:c r="B2782" s="1" t="str">
        <x:v>es un vuelo nacional</x:v>
      </x:c>
      <x:c r="C2782" s="1" t="str">
        <x:v>per</x:v>
      </x:c>
      <x:c r="D2782" s="1" t="str">
        <x:v>Sin marca</x:v>
      </x:c>
      <x:c r="E2782" s="35" t="n">
        <x:v>1</x:v>
      </x:c>
      <x:c r="F2782" s="36"/>
      <x:c r="G2782" s="36" t="str">
        <x:f>IF(ISNUMBER(F2782),E2782*F2782,"")</x:f>
      </x:c>
      <x:c r="H2782" s="37"/>
      <x:c r="I2782" s="37"/>
      <x:c r="J2782" s="1" t="n">
        <x:f>IF(ISNUMBER(F2782),E2782,0)</x:f>
        <x:v>0</x:v>
      </x:c>
      <x:c r="K2782" s="1"/>
      <x:c r="L2782" s="1"/>
      <x:c r="M2782" s="1"/>
    </x:row>
    <x:row r="2783" ht="18.75" customHeight="1">
      <x:c r="A2783" s="1" t="str">
        <x:v>https://blog.skyairline.com/liquidos-en-avion/</x:v>
      </x:c>
      <x:c r="B2783" s="1" t="str">
        <x:v>estas muy seguro?</x:v>
      </x:c>
      <x:c r="C2783" s="1" t="str">
        <x:v>per</x:v>
      </x:c>
      <x:c r="D2783" s="1" t="str">
        <x:v>Sin marca</x:v>
      </x:c>
      <x:c r="E2783" s="35" t="n">
        <x:v>1</x:v>
      </x:c>
      <x:c r="F2783" s="36"/>
      <x:c r="G2783" s="36" t="str">
        <x:f>IF(ISNUMBER(F2783),E2783*F2783,"")</x:f>
      </x:c>
      <x:c r="H2783" s="37"/>
      <x:c r="I2783" s="37"/>
      <x:c r="J2783" s="1" t="n">
        <x:f>IF(ISNUMBER(F2783),E2783,0)</x:f>
        <x:v>0</x:v>
      </x:c>
      <x:c r="K2783" s="1"/>
      <x:c r="L2783" s="1"/>
      <x:c r="M2783" s="1"/>
    </x:row>
    <x:row r="2784" ht="18.75" customHeight="1">
      <x:c r="A2784" s="1" t="str">
        <x:v>https://blog.skyairline.com/liquidos-en-avion/</x:v>
      </x:c>
      <x:c r="B2784" s="1" t="str">
        <x:v>laca en aerosol</x:v>
      </x:c>
      <x:c r="C2784" s="1" t="str">
        <x:v>per</x:v>
      </x:c>
      <x:c r="D2784" s="1" t="str">
        <x:v>Sin marca</x:v>
      </x:c>
      <x:c r="E2784" s="35" t="n">
        <x:v>1</x:v>
      </x:c>
      <x:c r="F2784" s="36" t="n">
        <x:v>0.02</x:v>
      </x:c>
      <x:c r="G2784" s="36" t="n">
        <x:f>IF(ISNUMBER(F2784),E2784*F2784,"")</x:f>
        <x:v>0.02</x:v>
      </x:c>
      <x:c r="H2784" s="37" t="d">
        <x:v>2026-10-15T00:00:00.000Z</x:v>
      </x:c>
      <x:c r="I2784" s="37" t="d">
        <x:v>2026-09-17T10:31:22.000Z</x:v>
      </x:c>
      <x:c r="J2784" s="1" t="n">
        <x:f>IF(ISNUMBER(F2784),E2784,0)</x:f>
        <x:v>1</x:v>
      </x:c>
      <x:c r="K2784" s="1"/>
      <x:c r="L2784" s="1"/>
      <x:c r="M2784" s="1"/>
    </x:row>
    <x:row r="2785" ht="18.75" customHeight="1">
      <x:c r="A2785" s="1" t="str">
        <x:v>https://blog.skyairline.com/liquidos-en-avion/</x:v>
      </x:c>
      <x:c r="B2785" s="1" t="str">
        <x:v>liquido permitido en avion</x:v>
      </x:c>
      <x:c r="C2785" s="1" t="str">
        <x:v>chl</x:v>
      </x:c>
      <x:c r="D2785" s="1" t="str">
        <x:v>Sin marca</x:v>
      </x:c>
      <x:c r="E2785" s="35" t="n">
        <x:v>1</x:v>
      </x:c>
      <x:c r="F2785" s="36"/>
      <x:c r="G2785" s="36" t="str">
        <x:f>IF(ISNUMBER(F2785),E2785*F2785,"")</x:f>
      </x:c>
      <x:c r="H2785" s="37"/>
      <x:c r="I2785" s="37"/>
      <x:c r="J2785" s="1" t="n">
        <x:f>IF(ISNUMBER(F2785),E2785,0)</x:f>
        <x:v>0</x:v>
      </x:c>
      <x:c r="K2785" s="1"/>
      <x:c r="L2785" s="1"/>
      <x:c r="M2785" s="1"/>
    </x:row>
    <x:row r="2786" ht="18.75" customHeight="1">
      <x:c r="A2786" s="1" t="str">
        <x:v>https://blog.skyairline.com/liquidos-en-avion/</x:v>
      </x:c>
      <x:c r="B2786" s="1" t="str">
        <x:v>liquidos en avion</x:v>
      </x:c>
      <x:c r="C2786" s="1" t="str">
        <x:v>chl</x:v>
      </x:c>
      <x:c r="D2786" s="1" t="str">
        <x:v>Sin marca</x:v>
      </x:c>
      <x:c r="E2786" s="35" t="n">
        <x:v>1</x:v>
      </x:c>
      <x:c r="F2786" s="36"/>
      <x:c r="G2786" s="36" t="str">
        <x:f>IF(ISNUMBER(F2786),E2786*F2786,"")</x:f>
      </x:c>
      <x:c r="H2786" s="37" t="d">
        <x:v>2026-10-15T00:00:00.000Z</x:v>
      </x:c>
      <x:c r="I2786" s="37" t="d">
        <x:v>2026-10-15T16:14:32.000Z</x:v>
      </x:c>
      <x:c r="J2786" s="1" t="n">
        <x:f>IF(ISNUMBER(F2786),E2786,0)</x:f>
        <x:v>0</x:v>
      </x:c>
      <x:c r="K2786" s="1"/>
      <x:c r="L2786" s="1"/>
      <x:c r="M2786" s="1"/>
    </x:row>
    <x:row r="2787" ht="18.75" customHeight="1">
      <x:c r="A2787" s="1" t="str">
        <x:v>https://blog.skyairline.com/liquidos-en-avion/</x:v>
      </x:c>
      <x:c r="B2787" s="1" t="str">
        <x:v>liquidos en equipaje de mano</x:v>
      </x:c>
      <x:c r="C2787" s="1" t="str">
        <x:v>chl</x:v>
      </x:c>
      <x:c r="D2787" s="1" t="str">
        <x:v>Sin marca</x:v>
      </x:c>
      <x:c r="E2787" s="35" t="n">
        <x:v>1</x:v>
      </x:c>
      <x:c r="F2787" s="36"/>
      <x:c r="G2787" s="36" t="str">
        <x:f>IF(ISNUMBER(F2787),E2787*F2787,"")</x:f>
      </x:c>
      <x:c r="H2787" s="37" t="d">
        <x:v>2026-10-15T00:00:00.000Z</x:v>
      </x:c>
      <x:c r="I2787" s="37" t="d">
        <x:v>2026-09-14T00:31:50.000Z</x:v>
      </x:c>
      <x:c r="J2787" s="1" t="n">
        <x:f>IF(ISNUMBER(F2787),E2787,0)</x:f>
        <x:v>0</x:v>
      </x:c>
      <x:c r="K2787" s="1"/>
      <x:c r="L2787" s="1"/>
      <x:c r="M2787" s="1"/>
    </x:row>
    <x:row r="2788" ht="18.75" customHeight="1">
      <x:c r="A2788" s="1" t="str">
        <x:v>https://blog.skyairline.com/liquidos-en-avion/</x:v>
      </x:c>
      <x:c r="B2788" s="1" t="str">
        <x:v>liquidos en vuelos nacionales</x:v>
      </x:c>
      <x:c r="C2788" s="1" t="str">
        <x:v>chl</x:v>
      </x:c>
      <x:c r="D2788" s="1" t="str">
        <x:v>Sin marca</x:v>
      </x:c>
      <x:c r="E2788" s="35" t="n">
        <x:v>1</x:v>
      </x:c>
      <x:c r="F2788" s="36"/>
      <x:c r="G2788" s="36" t="str">
        <x:f>IF(ISNUMBER(F2788),E2788*F2788,"")</x:f>
      </x:c>
      <x:c r="H2788" s="37"/>
      <x:c r="I2788" s="37"/>
      <x:c r="J2788" s="1" t="n">
        <x:f>IF(ISNUMBER(F2788),E2788,0)</x:f>
        <x:v>0</x:v>
      </x:c>
      <x:c r="K2788" s="1"/>
      <x:c r="L2788" s="1"/>
      <x:c r="M2788" s="1"/>
    </x:row>
    <x:row r="2789" ht="18.75" customHeight="1">
      <x:c r="A2789" s="1" t="str">
        <x:v>https://blog.skyairline.com/liquidos-en-avion/</x:v>
      </x:c>
      <x:c r="B2789" s="1" t="str">
        <x:v>llevar botella de agua en avion</x:v>
      </x:c>
      <x:c r="C2789" s="1" t="str">
        <x:v>chl</x:v>
      </x:c>
      <x:c r="D2789" s="1" t="str">
        <x:v>Sin marca</x:v>
      </x:c>
      <x:c r="E2789" s="35" t="n">
        <x:v>1</x:v>
      </x:c>
      <x:c r="F2789" s="36"/>
      <x:c r="G2789" s="36" t="str">
        <x:f>IF(ISNUMBER(F2789),E2789*F2789,"")</x:f>
      </x:c>
      <x:c r="H2789" s="37"/>
      <x:c r="I2789" s="37"/>
      <x:c r="J2789" s="1" t="n">
        <x:f>IF(ISNUMBER(F2789),E2789,0)</x:f>
        <x:v>0</x:v>
      </x:c>
      <x:c r="K2789" s="1"/>
      <x:c r="L2789" s="1"/>
      <x:c r="M2789" s="1"/>
    </x:row>
    <x:row r="2790" ht="18.75" customHeight="1">
      <x:c r="A2790" s="1" t="str">
        <x:v>https://blog.skyairline.com/liquidos-en-avion/</x:v>
      </x:c>
      <x:c r="B2790" s="1" t="str">
        <x:v>llevar liquidos en avion</x:v>
      </x:c>
      <x:c r="C2790" s="1" t="str">
        <x:v>chl</x:v>
      </x:c>
      <x:c r="D2790" s="1" t="str">
        <x:v>Sin marca</x:v>
      </x:c>
      <x:c r="E2790" s="35" t="n">
        <x:v>1</x:v>
      </x:c>
      <x:c r="F2790" s="36"/>
      <x:c r="G2790" s="36" t="str">
        <x:f>IF(ISNUMBER(F2790),E2790*F2790,"")</x:f>
      </x:c>
      <x:c r="H2790" s="37"/>
      <x:c r="I2790" s="37"/>
      <x:c r="J2790" s="1" t="n">
        <x:f>IF(ISNUMBER(F2790),E2790,0)</x:f>
        <x:v>0</x:v>
      </x:c>
      <x:c r="K2790" s="1"/>
      <x:c r="L2790" s="1"/>
      <x:c r="M2790" s="1"/>
    </x:row>
    <x:row r="2791" ht="18.75" customHeight="1">
      <x:c r="A2791" s="1" t="str">
        <x:v>https://blog.skyairline.com/liquidos-en-avion/</x:v>
      </x:c>
      <x:c r="B2791" s="1" t="str">
        <x:v>líquidos en equipaje facturado</x:v>
      </x:c>
      <x:c r="C2791" s="1" t="str">
        <x:v>ita</x:v>
      </x:c>
      <x:c r="D2791" s="1" t="str">
        <x:v>Sin marca</x:v>
      </x:c>
      <x:c r="E2791" s="35" t="n">
        <x:v>1</x:v>
      </x:c>
      <x:c r="F2791" s="36"/>
      <x:c r="G2791" s="36" t="str">
        <x:f>IF(ISNUMBER(F2791),E2791*F2791,"")</x:f>
      </x:c>
      <x:c r="H2791" s="37"/>
      <x:c r="I2791" s="37"/>
      <x:c r="J2791" s="1" t="n">
        <x:f>IF(ISNUMBER(F2791),E2791,0)</x:f>
        <x:v>0</x:v>
      </x:c>
      <x:c r="K2791" s="1"/>
      <x:c r="L2791" s="1"/>
      <x:c r="M2791" s="1"/>
    </x:row>
    <x:row r="2792" ht="18.75" customHeight="1">
      <x:c r="A2792" s="1" t="str">
        <x:v>https://blog.skyairline.com/liquidos-en-avion/</x:v>
      </x:c>
      <x:c r="B2792" s="1" t="str">
        <x:v>líquidos permitidos en equipaje de mano</x:v>
      </x:c>
      <x:c r="C2792" s="1" t="str">
        <x:v>chl</x:v>
      </x:c>
      <x:c r="D2792" s="1" t="str">
        <x:v>Sin marca</x:v>
      </x:c>
      <x:c r="E2792" s="35" t="n">
        <x:v>1</x:v>
      </x:c>
      <x:c r="F2792" s="36"/>
      <x:c r="G2792" s="36" t="str">
        <x:f>IF(ISNUMBER(F2792),E2792*F2792,"")</x:f>
      </x:c>
      <x:c r="H2792" s="37"/>
      <x:c r="I2792" s="37"/>
      <x:c r="J2792" s="1" t="n">
        <x:f>IF(ISNUMBER(F2792),E2792,0)</x:f>
        <x:v>0</x:v>
      </x:c>
      <x:c r="K2792" s="1"/>
      <x:c r="L2792" s="1"/>
      <x:c r="M2792" s="1"/>
    </x:row>
    <x:row r="2793" ht="18.75" customHeight="1">
      <x:c r="A2793" s="1" t="str">
        <x:v>https://blog.skyairline.com/liquidos-en-avion/</x:v>
      </x:c>
      <x:c r="B2793" s="1" t="str">
        <x:v>max liquidos avion</x:v>
      </x:c>
      <x:c r="C2793" s="1" t="str">
        <x:v>chl</x:v>
      </x:c>
      <x:c r="D2793" s="1" t="str">
        <x:v>Sin marca</x:v>
      </x:c>
      <x:c r="E2793" s="35" t="n">
        <x:v>1</x:v>
      </x:c>
      <x:c r="F2793" s="36"/>
      <x:c r="G2793" s="36" t="str">
        <x:f>IF(ISNUMBER(F2793),E2793*F2793,"")</x:f>
      </x:c>
      <x:c r="H2793" s="37"/>
      <x:c r="I2793" s="37"/>
      <x:c r="J2793" s="1" t="n">
        <x:f>IF(ISNUMBER(F2793),E2793,0)</x:f>
        <x:v>0</x:v>
      </x:c>
      <x:c r="K2793" s="1"/>
      <x:c r="L2793" s="1"/>
      <x:c r="M2793" s="1"/>
    </x:row>
    <x:row r="2794" ht="18.75" customHeight="1">
      <x:c r="A2794" s="1" t="str">
        <x:v>https://blog.skyairline.com/liquidos-en-avion/</x:v>
      </x:c>
      <x:c r="B2794" s="1" t="str">
        <x:v>nacional</x:v>
      </x:c>
      <x:c r="C2794" s="1" t="str">
        <x:v>chl</x:v>
      </x:c>
      <x:c r="D2794" s="1" t="str">
        <x:v>Sin marca</x:v>
      </x:c>
      <x:c r="E2794" s="35" t="n">
        <x:v>1</x:v>
      </x:c>
      <x:c r="F2794" s="36" t="n">
        <x:v>0.03</x:v>
      </x:c>
      <x:c r="G2794" s="36" t="n">
        <x:f>IF(ISNUMBER(F2794),E2794*F2794,"")</x:f>
        <x:v>0.03</x:v>
      </x:c>
      <x:c r="H2794" s="37" t="d">
        <x:v>2026-10-15T00:00:00.000Z</x:v>
      </x:c>
      <x:c r="I2794" s="37" t="d">
        <x:v>2026-09-17T07:55:48.000Z</x:v>
      </x:c>
      <x:c r="J2794" s="1" t="n">
        <x:f>IF(ISNUMBER(F2794),E2794,0)</x:f>
        <x:v>1</x:v>
      </x:c>
      <x:c r="K2794" s="1"/>
      <x:c r="L2794" s="1"/>
      <x:c r="M2794" s="1"/>
    </x:row>
    <x:row r="2795" ht="18.75" customHeight="1">
      <x:c r="A2795" s="1" t="str">
        <x:v>https://blog.skyairline.com/liquidos-en-avion/</x:v>
      </x:c>
      <x:c r="B2795" s="1" t="str">
        <x:v>nacional</x:v>
      </x:c>
      <x:c r="C2795" s="1" t="str">
        <x:v>per</x:v>
      </x:c>
      <x:c r="D2795" s="1" t="str">
        <x:v>Sin marca</x:v>
      </x:c>
      <x:c r="E2795" s="35" t="n">
        <x:v>1</x:v>
      </x:c>
      <x:c r="F2795" s="36"/>
      <x:c r="G2795" s="36" t="str">
        <x:f>IF(ISNUMBER(F2795),E2795*F2795,"")</x:f>
      </x:c>
      <x:c r="H2795" s="37" t="d">
        <x:v>2026-10-15T00:00:00.000Z</x:v>
      </x:c>
      <x:c r="I2795" s="37" t="d">
        <x:v>2026-09-13T23:24:08.000Z</x:v>
      </x:c>
      <x:c r="J2795" s="1" t="n">
        <x:f>IF(ISNUMBER(F2795),E2795,0)</x:f>
        <x:v>0</x:v>
      </x:c>
      <x:c r="K2795" s="1"/>
      <x:c r="L2795" s="1"/>
      <x:c r="M2795" s="1"/>
    </x:row>
    <x:row r="2796" ht="18.75" customHeight="1">
      <x:c r="A2796" s="1" t="str">
        <x:v>https://blog.skyairline.com/liquidos-en-avion/</x:v>
      </x:c>
      <x:c r="B2796" s="1" t="str">
        <x:v>normas</x:v>
      </x:c>
      <x:c r="C2796" s="1" t="str">
        <x:v>chl</x:v>
      </x:c>
      <x:c r="D2796" s="1" t="str">
        <x:v>Sin marca</x:v>
      </x:c>
      <x:c r="E2796" s="35" t="n">
        <x:v>1</x:v>
      </x:c>
      <x:c r="F2796" s="36" t="n">
        <x:v>0.02</x:v>
      </x:c>
      <x:c r="G2796" s="36" t="n">
        <x:f>IF(ISNUMBER(F2796),E2796*F2796,"")</x:f>
        <x:v>0.02</x:v>
      </x:c>
      <x:c r="H2796" s="37" t="d">
        <x:v>2026-10-15T00:00:00.000Z</x:v>
      </x:c>
      <x:c r="I2796" s="37" t="d">
        <x:v>2026-09-14T07:52:36.000Z</x:v>
      </x:c>
      <x:c r="J2796" s="1" t="n">
        <x:f>IF(ISNUMBER(F2796),E2796,0)</x:f>
        <x:v>1</x:v>
      </x:c>
      <x:c r="K2796" s="1"/>
      <x:c r="L2796" s="1"/>
      <x:c r="M2796" s="1"/>
    </x:row>
    <x:row r="2797" ht="18.75" customHeight="1">
      <x:c r="A2797" s="1" t="str">
        <x:v>https://blog.skyairline.com/liquidos-en-avion/</x:v>
      </x:c>
      <x:c r="B2797" s="1" t="str">
        <x:v>perfume de cuantos ml puedo llevar en el avion</x:v>
      </x:c>
      <x:c r="C2797" s="1" t="str">
        <x:v>per</x:v>
      </x:c>
      <x:c r="D2797" s="1" t="str">
        <x:v>Sin marca</x:v>
      </x:c>
      <x:c r="E2797" s="35" t="n">
        <x:v>1</x:v>
      </x:c>
      <x:c r="F2797" s="36"/>
      <x:c r="G2797" s="36" t="str">
        <x:f>IF(ISNUMBER(F2797),E2797*F2797,"")</x:f>
      </x:c>
      <x:c r="H2797" s="37"/>
      <x:c r="I2797" s="37"/>
      <x:c r="J2797" s="1" t="n">
        <x:f>IF(ISNUMBER(F2797),E2797,0)</x:f>
        <x:v>0</x:v>
      </x:c>
      <x:c r="K2797" s="1"/>
      <x:c r="L2797" s="1"/>
      <x:c r="M2797" s="1"/>
    </x:row>
    <x:row r="2798" ht="18.75" customHeight="1">
      <x:c r="A2798" s="1" t="str">
        <x:v>https://blog.skyairline.com/liquidos-en-avion/</x:v>
      </x:c>
      <x:c r="B2798" s="1" t="str">
        <x:v>perfumes en avion</x:v>
      </x:c>
      <x:c r="C2798" s="1" t="str">
        <x:v>per</x:v>
      </x:c>
      <x:c r="D2798" s="1" t="str">
        <x:v>Sin marca</x:v>
      </x:c>
      <x:c r="E2798" s="35" t="n">
        <x:v>1</x:v>
      </x:c>
      <x:c r="F2798" s="36"/>
      <x:c r="G2798" s="36" t="str">
        <x:f>IF(ISNUMBER(F2798),E2798*F2798,"")</x:f>
      </x:c>
      <x:c r="H2798" s="37"/>
      <x:c r="I2798" s="37"/>
      <x:c r="J2798" s="1" t="n">
        <x:f>IF(ISNUMBER(F2798),E2798,0)</x:f>
        <x:v>0</x:v>
      </x:c>
      <x:c r="K2798" s="1"/>
      <x:c r="L2798" s="1"/>
      <x:c r="M2798" s="1"/>
    </x:row>
    <x:row r="2799" ht="18.75" customHeight="1">
      <x:c r="A2799" s="1" t="str">
        <x:v>https://blog.skyairline.com/liquidos-en-avion/</x:v>
      </x:c>
      <x:c r="B2799" s="1" t="str">
        <x:v>por sky</x:v>
      </x:c>
      <x:c r="C2799" s="1" t="str">
        <x:v>ury</x:v>
      </x:c>
      <x:c r="D2799" s="1" t="str">
        <x:v>Marca</x:v>
      </x:c>
      <x:c r="E2799" s="35" t="n">
        <x:v>1</x:v>
      </x:c>
      <x:c r="F2799" s="36"/>
      <x:c r="G2799" s="36" t="str">
        <x:f>IF(ISNUMBER(F2799),E2799*F2799,"")</x:f>
      </x:c>
      <x:c r="H2799" s="37"/>
      <x:c r="I2799" s="37"/>
      <x:c r="J2799" s="1" t="n">
        <x:f>IF(ISNUMBER(F2799),E2799,0)</x:f>
        <x:v>0</x:v>
      </x:c>
      <x:c r="K2799" s="1"/>
      <x:c r="L2799" s="1"/>
      <x:c r="M2799" s="1"/>
    </x:row>
    <x:row r="2800" ht="18.75" customHeight="1">
      <x:c r="A2800" s="1" t="str">
        <x:v>https://blog.skyairline.com/liquidos-en-avion/</x:v>
      </x:c>
      <x:c r="B2800" s="1" t="str">
        <x:v>puedo llevar alcohol en equipaje de mano</x:v>
      </x:c>
      <x:c r="C2800" s="1" t="str">
        <x:v>chl</x:v>
      </x:c>
      <x:c r="D2800" s="1" t="str">
        <x:v>Sin marca</x:v>
      </x:c>
      <x:c r="E2800" s="35" t="n">
        <x:v>1</x:v>
      </x:c>
      <x:c r="F2800" s="36"/>
      <x:c r="G2800" s="36" t="str">
        <x:f>IF(ISNUMBER(F2800),E2800*F2800,"")</x:f>
      </x:c>
      <x:c r="H2800" s="37"/>
      <x:c r="I2800" s="37"/>
      <x:c r="J2800" s="1" t="n">
        <x:f>IF(ISNUMBER(F2800),E2800,0)</x:f>
        <x:v>0</x:v>
      </x:c>
      <x:c r="K2800" s="1"/>
      <x:c r="L2800" s="1"/>
      <x:c r="M2800" s="1"/>
    </x:row>
    <x:row r="2801" ht="18.75" customHeight="1">
      <x:c r="A2801" s="1" t="str">
        <x:v>https://blog.skyairline.com/liquidos-en-avion/</x:v>
      </x:c>
      <x:c r="B2801" s="1" t="str">
        <x:v>puedo llevar cerveza en el equipaje de mano</x:v>
      </x:c>
      <x:c r="C2801" s="1" t="str">
        <x:v>chl</x:v>
      </x:c>
      <x:c r="D2801" s="1" t="str">
        <x:v>Sin marca</x:v>
      </x:c>
      <x:c r="E2801" s="35" t="n">
        <x:v>1</x:v>
      </x:c>
      <x:c r="F2801" s="36"/>
      <x:c r="G2801" s="36" t="str">
        <x:f>IF(ISNUMBER(F2801),E2801*F2801,"")</x:f>
      </x:c>
      <x:c r="H2801" s="37"/>
      <x:c r="I2801" s="37"/>
      <x:c r="J2801" s="1" t="n">
        <x:f>IF(ISNUMBER(F2801),E2801,0)</x:f>
        <x:v>0</x:v>
      </x:c>
      <x:c r="K2801" s="1"/>
      <x:c r="L2801" s="1"/>
      <x:c r="M2801" s="1"/>
    </x:row>
    <x:row r="2802" ht="18.75" customHeight="1">
      <x:c r="A2802" s="1" t="str">
        <x:v>https://blog.skyairline.com/liquidos-en-avion/</x:v>
      </x:c>
      <x:c r="B2802" s="1" t="str">
        <x:v>puedo llevar crema en el avion</x:v>
      </x:c>
      <x:c r="C2802" s="1" t="str">
        <x:v>chl</x:v>
      </x:c>
      <x:c r="D2802" s="1" t="str">
        <x:v>Sin marca</x:v>
      </x:c>
      <x:c r="E2802" s="35" t="n">
        <x:v>1</x:v>
      </x:c>
      <x:c r="F2802" s="36"/>
      <x:c r="G2802" s="36" t="str">
        <x:f>IF(ISNUMBER(F2802),E2802*F2802,"")</x:f>
      </x:c>
      <x:c r="H2802" s="37"/>
      <x:c r="I2802" s="37"/>
      <x:c r="J2802" s="1" t="n">
        <x:f>IF(ISNUMBER(F2802),E2802,0)</x:f>
        <x:v>0</x:v>
      </x:c>
      <x:c r="K2802" s="1"/>
      <x:c r="L2802" s="1"/>
      <x:c r="M2802" s="1"/>
    </x:row>
    <x:row r="2803" ht="18.75" customHeight="1">
      <x:c r="A2803" s="1" t="str">
        <x:v>https://blog.skyairline.com/liquidos-en-avion/</x:v>
      </x:c>
      <x:c r="B2803" s="1" t="str">
        <x:v>puedo llevar cremas en el avion</x:v>
      </x:c>
      <x:c r="C2803" s="1" t="str">
        <x:v>chl</x:v>
      </x:c>
      <x:c r="D2803" s="1" t="str">
        <x:v>Sin marca</x:v>
      </x:c>
      <x:c r="E2803" s="35" t="n">
        <x:v>1</x:v>
      </x:c>
      <x:c r="F2803" s="36"/>
      <x:c r="G2803" s="36" t="str">
        <x:f>IF(ISNUMBER(F2803),E2803*F2803,"")</x:f>
      </x:c>
      <x:c r="H2803" s="37"/>
      <x:c r="I2803" s="37"/>
      <x:c r="J2803" s="1" t="n">
        <x:f>IF(ISNUMBER(F2803),E2803,0)</x:f>
        <x:v>0</x:v>
      </x:c>
      <x:c r="K2803" s="1"/>
      <x:c r="L2803" s="1"/>
      <x:c r="M2803" s="1"/>
    </x:row>
    <x:row r="2804" ht="18.75" customHeight="1">
      <x:c r="A2804" s="1" t="str">
        <x:v>https://blog.skyairline.com/liquidos-en-avion/</x:v>
      </x:c>
      <x:c r="B2804" s="1" t="str">
        <x:v>puedo llevar desodorante en aerosol en el avion</x:v>
      </x:c>
      <x:c r="C2804" s="1" t="str">
        <x:v>chl</x:v>
      </x:c>
      <x:c r="D2804" s="1" t="str">
        <x:v>Sin marca</x:v>
      </x:c>
      <x:c r="E2804" s="35" t="n">
        <x:v>1</x:v>
      </x:c>
      <x:c r="F2804" s="36" t="n">
        <x:v>0.06</x:v>
      </x:c>
      <x:c r="G2804" s="36" t="n">
        <x:f>IF(ISNUMBER(F2804),E2804*F2804,"")</x:f>
        <x:v>0.06</x:v>
      </x:c>
      <x:c r="H2804" s="37" t="d">
        <x:v>2026-10-15T00:00:00.000Z</x:v>
      </x:c>
      <x:c r="I2804" s="37" t="d">
        <x:v>2026-09-16T05:25:44.000Z</x:v>
      </x:c>
      <x:c r="J2804" s="1" t="n">
        <x:f>IF(ISNUMBER(F2804),E2804,0)</x:f>
        <x:v>1</x:v>
      </x:c>
      <x:c r="K2804" s="1"/>
      <x:c r="L2804" s="1"/>
      <x:c r="M2804" s="1"/>
    </x:row>
    <x:row r="2805" ht="18.75" customHeight="1">
      <x:c r="A2805" s="1" t="str">
        <x:v>https://blog.skyairline.com/liquidos-en-avion/</x:v>
      </x:c>
      <x:c r="B2805" s="1" t="str">
        <x:v>puedo llevar desodorante en aerosol en el avion</x:v>
      </x:c>
      <x:c r="C2805" s="1" t="str">
        <x:v>per</x:v>
      </x:c>
      <x:c r="D2805" s="1" t="str">
        <x:v>Sin marca</x:v>
      </x:c>
      <x:c r="E2805" s="35" t="n">
        <x:v>1</x:v>
      </x:c>
      <x:c r="F2805" s="36"/>
      <x:c r="G2805" s="36" t="str">
        <x:f>IF(ISNUMBER(F2805),E2805*F2805,"")</x:f>
      </x:c>
      <x:c r="H2805" s="37" t="d">
        <x:v>2026-10-15T00:00:00.000Z</x:v>
      </x:c>
      <x:c r="I2805" s="37" t="d">
        <x:v>2026-09-17T17:42:31.000Z</x:v>
      </x:c>
      <x:c r="J2805" s="1" t="n">
        <x:f>IF(ISNUMBER(F2805),E2805,0)</x:f>
        <x:v>0</x:v>
      </x:c>
      <x:c r="K2805" s="1"/>
      <x:c r="L2805" s="1"/>
      <x:c r="M2805" s="1"/>
    </x:row>
    <x:row r="2806" ht="18.75" customHeight="1">
      <x:c r="A2806" s="1" t="str">
        <x:v>https://blog.skyairline.com/liquidos-en-avion/</x:v>
      </x:c>
      <x:c r="B2806" s="1" t="str">
        <x:v>puedo llevar desodorante spray en el avion</x:v>
      </x:c>
      <x:c r="C2806" s="1" t="str">
        <x:v>per</x:v>
      </x:c>
      <x:c r="D2806" s="1" t="str">
        <x:v>Sin marca</x:v>
      </x:c>
      <x:c r="E2806" s="35" t="n">
        <x:v>1</x:v>
      </x:c>
      <x:c r="F2806" s="36"/>
      <x:c r="G2806" s="36" t="str">
        <x:f>IF(ISNUMBER(F2806),E2806*F2806,"")</x:f>
      </x:c>
      <x:c r="H2806" s="37"/>
      <x:c r="I2806" s="37"/>
      <x:c r="J2806" s="1" t="n">
        <x:f>IF(ISNUMBER(F2806),E2806,0)</x:f>
        <x:v>0</x:v>
      </x:c>
      <x:c r="K2806" s="1"/>
      <x:c r="L2806" s="1"/>
      <x:c r="M2806" s="1"/>
    </x:row>
    <x:row r="2807" ht="18.75" customHeight="1">
      <x:c r="A2807" s="1" t="str">
        <x:v>https://blog.skyairline.com/liquidos-en-avion/</x:v>
      </x:c>
      <x:c r="B2807" s="1" t="str">
        <x:v>puedo llevar líquidos en el equipaje de mano</x:v>
      </x:c>
      <x:c r="C2807" s="1" t="str">
        <x:v>chl</x:v>
      </x:c>
      <x:c r="D2807" s="1" t="str">
        <x:v>Sin marca</x:v>
      </x:c>
      <x:c r="E2807" s="35" t="n">
        <x:v>1</x:v>
      </x:c>
      <x:c r="F2807" s="36"/>
      <x:c r="G2807" s="36" t="str">
        <x:f>IF(ISNUMBER(F2807),E2807*F2807,"")</x:f>
      </x:c>
      <x:c r="H2807" s="37"/>
      <x:c r="I2807" s="37"/>
      <x:c r="J2807" s="1" t="n">
        <x:f>IF(ISNUMBER(F2807),E2807,0)</x:f>
        <x:v>0</x:v>
      </x:c>
      <x:c r="K2807" s="1"/>
      <x:c r="L2807" s="1"/>
      <x:c r="M2807" s="1"/>
    </x:row>
    <x:row r="2808" ht="18.75" customHeight="1">
      <x:c r="A2808" s="1" t="str">
        <x:v>https://blog.skyairline.com/liquidos-en-avion/</x:v>
      </x:c>
      <x:c r="B2808" s="1" t="str">
        <x:v>puedo llevar mas de 100 ml en vuelos nacionales</x:v>
      </x:c>
      <x:c r="C2808" s="1" t="str">
        <x:v>chl</x:v>
      </x:c>
      <x:c r="D2808" s="1" t="str">
        <x:v>Sin marca</x:v>
      </x:c>
      <x:c r="E2808" s="35" t="n">
        <x:v>1</x:v>
      </x:c>
      <x:c r="F2808" s="36"/>
      <x:c r="G2808" s="36" t="str">
        <x:f>IF(ISNUMBER(F2808),E2808*F2808,"")</x:f>
      </x:c>
      <x:c r="H2808" s="37"/>
      <x:c r="I2808" s="37"/>
      <x:c r="J2808" s="1" t="n">
        <x:f>IF(ISNUMBER(F2808),E2808,0)</x:f>
        <x:v>0</x:v>
      </x:c>
      <x:c r="K2808" s="1"/>
      <x:c r="L2808" s="1"/>
      <x:c r="M2808" s="1"/>
    </x:row>
    <x:row r="2809" ht="18.75" customHeight="1">
      <x:c r="A2809" s="1" t="str">
        <x:v>https://blog.skyairline.com/liquidos-en-avion/</x:v>
      </x:c>
      <x:c r="B2809" s="1" t="str">
        <x:v>puedo llevar perfume en el avion</x:v>
      </x:c>
      <x:c r="C2809" s="1" t="str">
        <x:v>chl</x:v>
      </x:c>
      <x:c r="D2809" s="1" t="str">
        <x:v>Sin marca</x:v>
      </x:c>
      <x:c r="E2809" s="35" t="n">
        <x:v>1</x:v>
      </x:c>
      <x:c r="F2809" s="36"/>
      <x:c r="G2809" s="36" t="str">
        <x:f>IF(ISNUMBER(F2809),E2809*F2809,"")</x:f>
      </x:c>
      <x:c r="H2809" s="37"/>
      <x:c r="I2809" s="37"/>
      <x:c r="J2809" s="1" t="n">
        <x:f>IF(ISNUMBER(F2809),E2809,0)</x:f>
        <x:v>0</x:v>
      </x:c>
      <x:c r="K2809" s="1"/>
      <x:c r="L2809" s="1"/>
      <x:c r="M2809" s="1"/>
    </x:row>
    <x:row r="2810" ht="18.75" customHeight="1">
      <x:c r="A2810" s="1" t="str">
        <x:v>https://blog.skyairline.com/liquidos-en-avion/</x:v>
      </x:c>
      <x:c r="B2810" s="1" t="str">
        <x:v>puedo llevar shampoo en el avion</x:v>
      </x:c>
      <x:c r="C2810" s="1" t="str">
        <x:v>chl</x:v>
      </x:c>
      <x:c r="D2810" s="1" t="str">
        <x:v>Sin marca</x:v>
      </x:c>
      <x:c r="E2810" s="35" t="n">
        <x:v>1</x:v>
      </x:c>
      <x:c r="F2810" s="36"/>
      <x:c r="G2810" s="36" t="str">
        <x:f>IF(ISNUMBER(F2810),E2810*F2810,"")</x:f>
      </x:c>
      <x:c r="H2810" s="37"/>
      <x:c r="I2810" s="37"/>
      <x:c r="J2810" s="1" t="n">
        <x:f>IF(ISNUMBER(F2810),E2810,0)</x:f>
        <x:v>0</x:v>
      </x:c>
      <x:c r="K2810" s="1"/>
      <x:c r="L2810" s="1"/>
      <x:c r="M2810" s="1"/>
    </x:row>
    <x:row r="2811" ht="18.75" customHeight="1">
      <x:c r="A2811" s="1" t="str">
        <x:v>https://blog.skyairline.com/liquidos-en-avion/</x:v>
      </x:c>
      <x:c r="B2811" s="1" t="str">
        <x:v>puedo llevar shampoo y acondicionador en el avion</x:v>
      </x:c>
      <x:c r="C2811" s="1" t="str">
        <x:v>chl</x:v>
      </x:c>
      <x:c r="D2811" s="1" t="str">
        <x:v>Sin marca</x:v>
      </x:c>
      <x:c r="E2811" s="35" t="n">
        <x:v>1</x:v>
      </x:c>
      <x:c r="F2811" s="36"/>
      <x:c r="G2811" s="36" t="str">
        <x:f>IF(ISNUMBER(F2811),E2811*F2811,"")</x:f>
      </x:c>
      <x:c r="H2811" s="37"/>
      <x:c r="I2811" s="37"/>
      <x:c r="J2811" s="1" t="n">
        <x:f>IF(ISNUMBER(F2811),E2811,0)</x:f>
        <x:v>0</x:v>
      </x:c>
      <x:c r="K2811" s="1"/>
      <x:c r="L2811" s="1"/>
      <x:c r="M2811" s="1"/>
    </x:row>
    <x:row r="2812" ht="18.75" customHeight="1">
      <x:c r="A2812" s="1" t="str">
        <x:v>https://blog.skyairline.com/liquidos-en-avion/</x:v>
      </x:c>
      <x:c r="B2812" s="1" t="str">
        <x:v>puedo llevar un perfume de 100 ml en cabina</x:v>
      </x:c>
      <x:c r="C2812" s="1" t="str">
        <x:v>chl</x:v>
      </x:c>
      <x:c r="D2812" s="1" t="str">
        <x:v>Sin marca</x:v>
      </x:c>
      <x:c r="E2812" s="35" t="n">
        <x:v>1</x:v>
      </x:c>
      <x:c r="F2812" s="36"/>
      <x:c r="G2812" s="36" t="str">
        <x:f>IF(ISNUMBER(F2812),E2812*F2812,"")</x:f>
      </x:c>
      <x:c r="H2812" s="37"/>
      <x:c r="I2812" s="37"/>
      <x:c r="J2812" s="1" t="n">
        <x:f>IF(ISNUMBER(F2812),E2812,0)</x:f>
        <x:v>0</x:v>
      </x:c>
      <x:c r="K2812" s="1"/>
      <x:c r="L2812" s="1"/>
      <x:c r="M2812" s="1"/>
    </x:row>
    <x:row r="2813" ht="18.75" customHeight="1">
      <x:c r="A2813" s="1" t="str">
        <x:v>https://blog.skyairline.com/liquidos-en-avion/</x:v>
      </x:c>
      <x:c r="B2813" s="1" t="str">
        <x:v>que botellas se pueden llevar en el avion</x:v>
      </x:c>
      <x:c r="C2813" s="1" t="str">
        <x:v>chl</x:v>
      </x:c>
      <x:c r="D2813" s="1" t="str">
        <x:v>Sin marca</x:v>
      </x:c>
      <x:c r="E2813" s="35" t="n">
        <x:v>1</x:v>
      </x:c>
      <x:c r="F2813" s="36"/>
      <x:c r="G2813" s="36" t="str">
        <x:f>IF(ISNUMBER(F2813),E2813*F2813,"")</x:f>
      </x:c>
      <x:c r="H2813" s="37" t="d">
        <x:v>2026-10-15T00:00:00.000Z</x:v>
      </x:c>
      <x:c r="I2813" s="37" t="d">
        <x:v>2026-09-17T10:35:58.000Z</x:v>
      </x:c>
      <x:c r="J2813" s="1" t="n">
        <x:f>IF(ISNUMBER(F2813),E2813,0)</x:f>
        <x:v>0</x:v>
      </x:c>
      <x:c r="K2813" s="1"/>
      <x:c r="L2813" s="1"/>
      <x:c r="M2813" s="1"/>
    </x:row>
    <x:row r="2814" ht="18.75" customHeight="1">
      <x:c r="A2814" s="1" t="str">
        <x:v>https://blog.skyairline.com/liquidos-en-avion/</x:v>
      </x:c>
      <x:c r="B2814" s="1" t="str">
        <x:v>que tipo de desodorante se puede llevar en el avion</x:v>
      </x:c>
      <x:c r="C2814" s="1" t="str">
        <x:v>chl</x:v>
      </x:c>
      <x:c r="D2814" s="1" t="str">
        <x:v>Sin marca</x:v>
      </x:c>
      <x:c r="E2814" s="35" t="n">
        <x:v>1</x:v>
      </x:c>
      <x:c r="F2814" s="36"/>
      <x:c r="G2814" s="36" t="str">
        <x:f>IF(ISNUMBER(F2814),E2814*F2814,"")</x:f>
      </x:c>
      <x:c r="H2814" s="37"/>
      <x:c r="I2814" s="37"/>
      <x:c r="J2814" s="1" t="n">
        <x:f>IF(ISNUMBER(F2814),E2814,0)</x:f>
        <x:v>0</x:v>
      </x:c>
      <x:c r="K2814" s="1"/>
      <x:c r="L2814" s="1"/>
      <x:c r="M2814" s="1"/>
    </x:row>
    <x:row r="2815" ht="18.75" customHeight="1">
      <x:c r="A2815" s="1" t="str">
        <x:v>https://blog.skyairline.com/liquidos-en-avion/</x:v>
      </x:c>
      <x:c r="B2815" s="1" t="str">
        <x:v>se puede llevar botella de agua en el avion</x:v>
      </x:c>
      <x:c r="C2815" s="1" t="str">
        <x:v>chl</x:v>
      </x:c>
      <x:c r="D2815" s="1" t="str">
        <x:v>Sin marca</x:v>
      </x:c>
      <x:c r="E2815" s="35" t="n">
        <x:v>1</x:v>
      </x:c>
      <x:c r="F2815" s="36"/>
      <x:c r="G2815" s="36" t="str">
        <x:f>IF(ISNUMBER(F2815),E2815*F2815,"")</x:f>
      </x:c>
      <x:c r="H2815" s="37"/>
      <x:c r="I2815" s="37"/>
      <x:c r="J2815" s="1" t="n">
        <x:f>IF(ISNUMBER(F2815),E2815,0)</x:f>
        <x:v>0</x:v>
      </x:c>
      <x:c r="K2815" s="1"/>
      <x:c r="L2815" s="1"/>
      <x:c r="M2815" s="1"/>
    </x:row>
    <x:row r="2816" ht="18.75" customHeight="1">
      <x:c r="A2816" s="1" t="str">
        <x:v>https://blog.skyairline.com/liquidos-en-avion/</x:v>
      </x:c>
      <x:c r="B2816" s="1" t="str">
        <x:v>se puede llevar colonia en el avion</x:v>
      </x:c>
      <x:c r="C2816" s="1" t="str">
        <x:v>chl</x:v>
      </x:c>
      <x:c r="D2816" s="1" t="str">
        <x:v>Sin marca</x:v>
      </x:c>
      <x:c r="E2816" s="35" t="n">
        <x:v>1</x:v>
      </x:c>
      <x:c r="F2816" s="36"/>
      <x:c r="G2816" s="36" t="str">
        <x:f>IF(ISNUMBER(F2816),E2816*F2816,"")</x:f>
      </x:c>
      <x:c r="H2816" s="37"/>
      <x:c r="I2816" s="37"/>
      <x:c r="J2816" s="1" t="n">
        <x:f>IF(ISNUMBER(F2816),E2816,0)</x:f>
        <x:v>0</x:v>
      </x:c>
      <x:c r="K2816" s="1"/>
      <x:c r="L2816" s="1"/>
      <x:c r="M2816" s="1"/>
    </x:row>
    <x:row r="2817" ht="18.75" customHeight="1">
      <x:c r="A2817" s="1" t="str">
        <x:v>https://blog.skyairline.com/liquidos-en-avion/</x:v>
      </x:c>
      <x:c r="B2817" s="1" t="str">
        <x:v>se puede llevar comida en vuelos nacionales chile</x:v>
      </x:c>
      <x:c r="C2817" s="1" t="str">
        <x:v>chl</x:v>
      </x:c>
      <x:c r="D2817" s="1" t="str">
        <x:v>Sin marca</x:v>
      </x:c>
      <x:c r="E2817" s="35" t="n">
        <x:v>1</x:v>
      </x:c>
      <x:c r="F2817" s="36"/>
      <x:c r="G2817" s="36" t="str">
        <x:f>IF(ISNUMBER(F2817),E2817*F2817,"")</x:f>
      </x:c>
      <x:c r="H2817" s="37" t="d">
        <x:v>2026-10-15T00:00:00.000Z</x:v>
      </x:c>
      <x:c r="I2817" s="37" t="d">
        <x:v>2026-09-14T22:52:34.000Z</x:v>
      </x:c>
      <x:c r="J2817" s="1" t="n">
        <x:f>IF(ISNUMBER(F2817),E2817,0)</x:f>
        <x:v>0</x:v>
      </x:c>
      <x:c r="K2817" s="1"/>
      <x:c r="L2817" s="1"/>
      <x:c r="M2817" s="1"/>
    </x:row>
    <x:row r="2818" ht="18.75" customHeight="1">
      <x:c r="A2818" s="1" t="str">
        <x:v>https://blog.skyairline.com/liquidos-en-avion/</x:v>
      </x:c>
      <x:c r="B2818" s="1" t="str">
        <x:v>se puede llevar cosmeticos en el avion</x:v>
      </x:c>
      <x:c r="C2818" s="1" t="str">
        <x:v>per</x:v>
      </x:c>
      <x:c r="D2818" s="1" t="str">
        <x:v>Sin marca</x:v>
      </x:c>
      <x:c r="E2818" s="35" t="n">
        <x:v>1</x:v>
      </x:c>
      <x:c r="F2818" s="36"/>
      <x:c r="G2818" s="36" t="str">
        <x:f>IF(ISNUMBER(F2818),E2818*F2818,"")</x:f>
      </x:c>
      <x:c r="H2818" s="37"/>
      <x:c r="I2818" s="37"/>
      <x:c r="J2818" s="1" t="n">
        <x:f>IF(ISNUMBER(F2818),E2818,0)</x:f>
        <x:v>0</x:v>
      </x:c>
      <x:c r="K2818" s="1"/>
      <x:c r="L2818" s="1"/>
      <x:c r="M2818" s="1"/>
    </x:row>
    <x:row r="2819" ht="18.75" customHeight="1">
      <x:c r="A2819" s="1" t="str">
        <x:v>https://blog.skyairline.com/liquidos-en-avion/</x:v>
      </x:c>
      <x:c r="B2819" s="1" t="str">
        <x:v>se puede llevar cremas en el equipaje de mano</x:v>
      </x:c>
      <x:c r="C2819" s="1" t="str">
        <x:v>chl</x:v>
      </x:c>
      <x:c r="D2819" s="1" t="str">
        <x:v>Sin marca</x:v>
      </x:c>
      <x:c r="E2819" s="35" t="n">
        <x:v>1</x:v>
      </x:c>
      <x:c r="F2819" s="36"/>
      <x:c r="G2819" s="36" t="str">
        <x:f>IF(ISNUMBER(F2819),E2819*F2819,"")</x:f>
      </x:c>
      <x:c r="H2819" s="37"/>
      <x:c r="I2819" s="37"/>
      <x:c r="J2819" s="1" t="n">
        <x:f>IF(ISNUMBER(F2819),E2819,0)</x:f>
        <x:v>0</x:v>
      </x:c>
      <x:c r="K2819" s="1"/>
      <x:c r="L2819" s="1"/>
      <x:c r="M2819" s="1"/>
    </x:row>
    <x:row r="2820" ht="18.75" customHeight="1">
      <x:c r="A2820" s="1" t="str">
        <x:v>https://blog.skyairline.com/liquidos-en-avion/</x:v>
      </x:c>
      <x:c r="B2820" s="1" t="str">
        <x:v>se puede llevar desodorante en spray en avion</x:v>
      </x:c>
      <x:c r="C2820" s="1" t="str">
        <x:v>per</x:v>
      </x:c>
      <x:c r="D2820" s="1" t="str">
        <x:v>Sin marca</x:v>
      </x:c>
      <x:c r="E2820" s="35" t="n">
        <x:v>1</x:v>
      </x:c>
      <x:c r="F2820" s="36"/>
      <x:c r="G2820" s="36" t="str">
        <x:f>IF(ISNUMBER(F2820),E2820*F2820,"")</x:f>
      </x:c>
      <x:c r="H2820" s="37"/>
      <x:c r="I2820" s="37"/>
      <x:c r="J2820" s="1" t="n">
        <x:f>IF(ISNUMBER(F2820),E2820,0)</x:f>
        <x:v>0</x:v>
      </x:c>
      <x:c r="K2820" s="1"/>
      <x:c r="L2820" s="1"/>
      <x:c r="M2820" s="1"/>
    </x:row>
    <x:row r="2821" ht="18.75" customHeight="1">
      <x:c r="A2821" s="1" t="str">
        <x:v>https://blog.skyairline.com/liquidos-en-avion/</x:v>
      </x:c>
      <x:c r="B2821" s="1" t="str">
        <x:v>se puede llevar desodorante roll on en el avion</x:v>
      </x:c>
      <x:c r="C2821" s="1" t="str">
        <x:v>chl</x:v>
      </x:c>
      <x:c r="D2821" s="1" t="str">
        <x:v>Sin marca</x:v>
      </x:c>
      <x:c r="E2821" s="35" t="n">
        <x:v>1</x:v>
      </x:c>
      <x:c r="F2821" s="36"/>
      <x:c r="G2821" s="36" t="str">
        <x:f>IF(ISNUMBER(F2821),E2821*F2821,"")</x:f>
      </x:c>
      <x:c r="H2821" s="37"/>
      <x:c r="I2821" s="37"/>
      <x:c r="J2821" s="1" t="n">
        <x:f>IF(ISNUMBER(F2821),E2821,0)</x:f>
        <x:v>0</x:v>
      </x:c>
      <x:c r="K2821" s="1"/>
      <x:c r="L2821" s="1"/>
      <x:c r="M2821" s="1"/>
    </x:row>
    <x:row r="2822" ht="18.75" customHeight="1">
      <x:c r="A2822" s="1" t="str">
        <x:v>https://blog.skyairline.com/liquidos-en-avion/</x:v>
      </x:c>
      <x:c r="B2822" s="1" t="str">
        <x:v>se puede llevar desodorante spray en la maleta facturada</x:v>
      </x:c>
      <x:c r="C2822" s="1" t="str">
        <x:v>per</x:v>
      </x:c>
      <x:c r="D2822" s="1" t="str">
        <x:v>Sin marca</x:v>
      </x:c>
      <x:c r="E2822" s="35" t="n">
        <x:v>1</x:v>
      </x:c>
      <x:c r="F2822" s="36"/>
      <x:c r="G2822" s="36" t="str">
        <x:f>IF(ISNUMBER(F2822),E2822*F2822,"")</x:f>
      </x:c>
      <x:c r="H2822" s="37"/>
      <x:c r="I2822" s="37"/>
      <x:c r="J2822" s="1" t="n">
        <x:f>IF(ISNUMBER(F2822),E2822,0)</x:f>
        <x:v>0</x:v>
      </x:c>
      <x:c r="K2822" s="1"/>
      <x:c r="L2822" s="1"/>
      <x:c r="M2822" s="1"/>
    </x:row>
    <x:row r="2823" ht="18.75" customHeight="1">
      <x:c r="A2823" s="1" t="str">
        <x:v>https://blog.skyairline.com/liquidos-en-avion/</x:v>
      </x:c>
      <x:c r="B2823" s="1" t="str">
        <x:v>se puede llevar jabon en barra en el avion</x:v>
      </x:c>
      <x:c r="C2823" s="1" t="str">
        <x:v>per</x:v>
      </x:c>
      <x:c r="D2823" s="1" t="str">
        <x:v>Sin marca</x:v>
      </x:c>
      <x:c r="E2823" s="35" t="n">
        <x:v>1</x:v>
      </x:c>
      <x:c r="F2823" s="36"/>
      <x:c r="G2823" s="36" t="str">
        <x:f>IF(ISNUMBER(F2823),E2823*F2823,"")</x:f>
      </x:c>
      <x:c r="H2823" s="37"/>
      <x:c r="I2823" s="37"/>
      <x:c r="J2823" s="1" t="n">
        <x:f>IF(ISNUMBER(F2823),E2823,0)</x:f>
        <x:v>0</x:v>
      </x:c>
      <x:c r="K2823" s="1"/>
      <x:c r="L2823" s="1"/>
      <x:c r="M2823" s="1"/>
    </x:row>
    <x:row r="2824" ht="18.75" customHeight="1">
      <x:c r="A2824" s="1" t="str">
        <x:v>https://blog.skyairline.com/liquidos-en-avion/</x:v>
      </x:c>
      <x:c r="B2824" s="1" t="str">
        <x:v>se puede llevar jabon liquido en el avion</x:v>
      </x:c>
      <x:c r="C2824" s="1" t="str">
        <x:v>chl</x:v>
      </x:c>
      <x:c r="D2824" s="1" t="str">
        <x:v>Sin marca</x:v>
      </x:c>
      <x:c r="E2824" s="35" t="n">
        <x:v>1</x:v>
      </x:c>
      <x:c r="F2824" s="36"/>
      <x:c r="G2824" s="36" t="str">
        <x:f>IF(ISNUMBER(F2824),E2824*F2824,"")</x:f>
      </x:c>
      <x:c r="H2824" s="37"/>
      <x:c r="I2824" s="37"/>
      <x:c r="J2824" s="1" t="n">
        <x:f>IF(ISNUMBER(F2824),E2824,0)</x:f>
        <x:v>0</x:v>
      </x:c>
      <x:c r="K2824" s="1"/>
      <x:c r="L2824" s="1"/>
      <x:c r="M2824" s="1"/>
    </x:row>
    <x:row r="2825" ht="18.75" customHeight="1">
      <x:c r="A2825" s="1" t="str">
        <x:v>https://blog.skyairline.com/liquidos-en-avion/</x:v>
      </x:c>
      <x:c r="B2825" s="1" t="str">
        <x:v>se puede llevar pasta de dientes en el avión</x:v>
      </x:c>
      <x:c r="C2825" s="1" t="str">
        <x:v>chl</x:v>
      </x:c>
      <x:c r="D2825" s="1" t="str">
        <x:v>Sin marca</x:v>
      </x:c>
      <x:c r="E2825" s="35" t="n">
        <x:v>1</x:v>
      </x:c>
      <x:c r="F2825" s="36"/>
      <x:c r="G2825" s="36" t="str">
        <x:f>IF(ISNUMBER(F2825),E2825*F2825,"")</x:f>
      </x:c>
      <x:c r="H2825" s="37"/>
      <x:c r="I2825" s="37"/>
      <x:c r="J2825" s="1" t="n">
        <x:f>IF(ISNUMBER(F2825),E2825,0)</x:f>
        <x:v>0</x:v>
      </x:c>
      <x:c r="K2825" s="1"/>
      <x:c r="L2825" s="1"/>
      <x:c r="M2825" s="1"/>
    </x:row>
    <x:row r="2826" ht="18.75" customHeight="1">
      <x:c r="A2826" s="1" t="str">
        <x:v>https://blog.skyairline.com/liquidos-en-avion/</x:v>
      </x:c>
      <x:c r="B2826" s="1" t="str">
        <x:v>se puede llevar perfume en el avión</x:v>
      </x:c>
      <x:c r="C2826" s="1" t="str">
        <x:v>per</x:v>
      </x:c>
      <x:c r="D2826" s="1" t="str">
        <x:v>Sin marca</x:v>
      </x:c>
      <x:c r="E2826" s="35" t="n">
        <x:v>1</x:v>
      </x:c>
      <x:c r="F2826" s="36"/>
      <x:c r="G2826" s="36" t="str">
        <x:f>IF(ISNUMBER(F2826),E2826*F2826,"")</x:f>
      </x:c>
      <x:c r="H2826" s="37" t="d">
        <x:v>2026-10-15T00:00:00.000Z</x:v>
      </x:c>
      <x:c r="I2826" s="37" t="d">
        <x:v>2026-09-12T17:29:47.000Z</x:v>
      </x:c>
      <x:c r="J2826" s="1" t="n">
        <x:f>IF(ISNUMBER(F2826),E2826,0)</x:f>
        <x:v>0</x:v>
      </x:c>
      <x:c r="K2826" s="1"/>
      <x:c r="L2826" s="1"/>
      <x:c r="M2826" s="1"/>
    </x:row>
    <x:row r="2827" ht="18.75" customHeight="1">
      <x:c r="A2827" s="1" t="str">
        <x:v>https://blog.skyairline.com/liquidos-en-avion/</x:v>
      </x:c>
      <x:c r="B2827" s="1" t="str">
        <x:v>se puede llevar perfume en el avión nacional</x:v>
      </x:c>
      <x:c r="C2827" s="1" t="str">
        <x:v>per</x:v>
      </x:c>
      <x:c r="D2827" s="1" t="str">
        <x:v>Sin marca</x:v>
      </x:c>
      <x:c r="E2827" s="35" t="n">
        <x:v>1</x:v>
      </x:c>
      <x:c r="F2827" s="36"/>
      <x:c r="G2827" s="36" t="str">
        <x:f>IF(ISNUMBER(F2827),E2827*F2827,"")</x:f>
      </x:c>
      <x:c r="H2827" s="37" t="d">
        <x:v>2026-10-15T00:00:00.000Z</x:v>
      </x:c>
      <x:c r="I2827" s="37" t="d">
        <x:v>2026-09-16T13:03:18.000Z</x:v>
      </x:c>
      <x:c r="J2827" s="1" t="n">
        <x:f>IF(ISNUMBER(F2827),E2827,0)</x:f>
        <x:v>0</x:v>
      </x:c>
      <x:c r="K2827" s="1"/>
      <x:c r="L2827" s="1"/>
      <x:c r="M2827" s="1"/>
    </x:row>
    <x:row r="2828" ht="18.75" customHeight="1">
      <x:c r="A2828" s="1" t="str">
        <x:v>https://blog.skyairline.com/liquidos-en-avion/</x:v>
      </x:c>
      <x:c r="B2828" s="1" t="str">
        <x:v>se puede llevar perfume en equipaje de mano</x:v>
      </x:c>
      <x:c r="C2828" s="1" t="str">
        <x:v>chl</x:v>
      </x:c>
      <x:c r="D2828" s="1" t="str">
        <x:v>Sin marca</x:v>
      </x:c>
      <x:c r="E2828" s="35" t="n">
        <x:v>1</x:v>
      </x:c>
      <x:c r="F2828" s="36"/>
      <x:c r="G2828" s="36" t="str">
        <x:f>IF(ISNUMBER(F2828),E2828*F2828,"")</x:f>
      </x:c>
      <x:c r="H2828" s="37" t="d">
        <x:v>2026-10-15T00:00:00.000Z</x:v>
      </x:c>
      <x:c r="I2828" s="37" t="d">
        <x:v>2026-09-15T18:00:54.000Z</x:v>
      </x:c>
      <x:c r="J2828" s="1" t="n">
        <x:f>IF(ISNUMBER(F2828),E2828,0)</x:f>
        <x:v>0</x:v>
      </x:c>
      <x:c r="K2828" s="1"/>
      <x:c r="L2828" s="1"/>
      <x:c r="M2828" s="1"/>
    </x:row>
    <x:row r="2829" ht="18.75" customHeight="1">
      <x:c r="A2829" s="1" t="str">
        <x:v>https://blog.skyairline.com/liquidos-en-avion/</x:v>
      </x:c>
      <x:c r="B2829" s="1" t="str">
        <x:v>se puede llevar perfume en equipaje de mano</x:v>
      </x:c>
      <x:c r="C2829" s="1" t="str">
        <x:v>per</x:v>
      </x:c>
      <x:c r="D2829" s="1" t="str">
        <x:v>Sin marca</x:v>
      </x:c>
      <x:c r="E2829" s="35" t="n">
        <x:v>1</x:v>
      </x:c>
      <x:c r="F2829" s="36"/>
      <x:c r="G2829" s="36" t="str">
        <x:f>IF(ISNUMBER(F2829),E2829*F2829,"")</x:f>
      </x:c>
      <x:c r="H2829" s="37"/>
      <x:c r="I2829" s="37"/>
      <x:c r="J2829" s="1" t="n">
        <x:f>IF(ISNUMBER(F2829),E2829,0)</x:f>
        <x:v>0</x:v>
      </x:c>
      <x:c r="K2829" s="1"/>
      <x:c r="L2829" s="1"/>
      <x:c r="M2829" s="1"/>
    </x:row>
    <x:row r="2830" ht="18.75" customHeight="1">
      <x:c r="A2830" s="1" t="str">
        <x:v>https://blog.skyairline.com/liquidos-en-avion/</x:v>
      </x:c>
      <x:c r="B2830" s="1" t="str">
        <x:v>se puede llevar repelente en aerosol en el avion</x:v>
      </x:c>
      <x:c r="C2830" s="1" t="str">
        <x:v>per</x:v>
      </x:c>
      <x:c r="D2830" s="1" t="str">
        <x:v>Sin marca</x:v>
      </x:c>
      <x:c r="E2830" s="35" t="n">
        <x:v>1</x:v>
      </x:c>
      <x:c r="F2830" s="36"/>
      <x:c r="G2830" s="36" t="str">
        <x:f>IF(ISNUMBER(F2830),E2830*F2830,"")</x:f>
      </x:c>
      <x:c r="H2830" s="37"/>
      <x:c r="I2830" s="37"/>
      <x:c r="J2830" s="1" t="n">
        <x:f>IF(ISNUMBER(F2830),E2830,0)</x:f>
        <x:v>0</x:v>
      </x:c>
      <x:c r="K2830" s="1"/>
      <x:c r="L2830" s="1"/>
      <x:c r="M2830" s="1"/>
    </x:row>
    <x:row r="2831" ht="18.75" customHeight="1">
      <x:c r="A2831" s="1" t="str">
        <x:v>https://blog.skyairline.com/liquidos-en-avion/</x:v>
      </x:c>
      <x:c r="B2831" s="1" t="str">
        <x:v>se puede llevar shampoo en el avion</x:v>
      </x:c>
      <x:c r="C2831" s="1" t="str">
        <x:v>chl</x:v>
      </x:c>
      <x:c r="D2831" s="1" t="str">
        <x:v>Sin marca</x:v>
      </x:c>
      <x:c r="E2831" s="35" t="n">
        <x:v>1</x:v>
      </x:c>
      <x:c r="F2831" s="36"/>
      <x:c r="G2831" s="36" t="str">
        <x:f>IF(ISNUMBER(F2831),E2831*F2831,"")</x:f>
      </x:c>
      <x:c r="H2831" s="37"/>
      <x:c r="I2831" s="37"/>
      <x:c r="J2831" s="1" t="n">
        <x:f>IF(ISNUMBER(F2831),E2831,0)</x:f>
        <x:v>0</x:v>
      </x:c>
      <x:c r="K2831" s="1"/>
      <x:c r="L2831" s="1"/>
      <x:c r="M2831" s="1"/>
    </x:row>
    <x:row r="2832" ht="18.75" customHeight="1">
      <x:c r="A2832" s="1" t="str">
        <x:v>https://blog.skyairline.com/liquidos-en-avion/</x:v>
      </x:c>
      <x:c r="B2832" s="1" t="str">
        <x:v>se puede llevar shampoo en el equipaje de mano</x:v>
      </x:c>
      <x:c r="C2832" s="1" t="str">
        <x:v>chl</x:v>
      </x:c>
      <x:c r="D2832" s="1" t="str">
        <x:v>Sin marca</x:v>
      </x:c>
      <x:c r="E2832" s="35" t="n">
        <x:v>1</x:v>
      </x:c>
      <x:c r="F2832" s="36"/>
      <x:c r="G2832" s="36" t="str">
        <x:f>IF(ISNUMBER(F2832),E2832*F2832,"")</x:f>
      </x:c>
      <x:c r="H2832" s="37"/>
      <x:c r="I2832" s="37"/>
      <x:c r="J2832" s="1" t="n">
        <x:f>IF(ISNUMBER(F2832),E2832,0)</x:f>
        <x:v>0</x:v>
      </x:c>
      <x:c r="K2832" s="1"/>
      <x:c r="L2832" s="1"/>
      <x:c r="M2832" s="1"/>
    </x:row>
    <x:row r="2833" ht="18.75" customHeight="1">
      <x:c r="A2833" s="1" t="str">
        <x:v>https://blog.skyairline.com/liquidos-en-avion/</x:v>
      </x:c>
      <x:c r="B2833" s="1" t="str">
        <x:v>se puede llevar talco en el avión</x:v>
      </x:c>
      <x:c r="C2833" s="1" t="str">
        <x:v>chl</x:v>
      </x:c>
      <x:c r="D2833" s="1" t="str">
        <x:v>Sin marca</x:v>
      </x:c>
      <x:c r="E2833" s="35" t="n">
        <x:v>1</x:v>
      </x:c>
      <x:c r="F2833" s="36"/>
      <x:c r="G2833" s="36" t="str">
        <x:f>IF(ISNUMBER(F2833),E2833*F2833,"")</x:f>
      </x:c>
      <x:c r="H2833" s="37"/>
      <x:c r="I2833" s="37"/>
      <x:c r="J2833" s="1" t="n">
        <x:f>IF(ISNUMBER(F2833),E2833,0)</x:f>
        <x:v>0</x:v>
      </x:c>
      <x:c r="K2833" s="1"/>
      <x:c r="L2833" s="1"/>
      <x:c r="M2833" s="1"/>
    </x:row>
    <x:row r="2834" ht="18.75" customHeight="1">
      <x:c r="A2834" s="1" t="str">
        <x:v>https://blog.skyairline.com/liquidos-en-avion/</x:v>
      </x:c>
      <x:c r="B2834" s="1" t="str">
        <x:v>se puede llevar vino en el avión</x:v>
      </x:c>
      <x:c r="C2834" s="1" t="str">
        <x:v>chl</x:v>
      </x:c>
      <x:c r="D2834" s="1" t="str">
        <x:v>Sin marca</x:v>
      </x:c>
      <x:c r="E2834" s="35" t="n">
        <x:v>1</x:v>
      </x:c>
      <x:c r="F2834" s="36" t="n">
        <x:v>0.08</x:v>
      </x:c>
      <x:c r="G2834" s="36" t="n">
        <x:f>IF(ISNUMBER(F2834),E2834*F2834,"")</x:f>
        <x:v>0.08</x:v>
      </x:c>
      <x:c r="H2834" s="37" t="d">
        <x:v>2026-10-15T00:00:00.000Z</x:v>
      </x:c>
      <x:c r="I2834" s="37" t="d">
        <x:v>2026-09-13T11:38:16.000Z</x:v>
      </x:c>
      <x:c r="J2834" s="1" t="n">
        <x:f>IF(ISNUMBER(F2834),E2834,0)</x:f>
        <x:v>1</x:v>
      </x:c>
      <x:c r="K2834" s="1"/>
      <x:c r="L2834" s="1"/>
      <x:c r="M2834" s="1"/>
    </x:row>
    <x:row r="2835" ht="18.75" customHeight="1">
      <x:c r="A2835" s="1" t="str">
        <x:v>https://blog.skyairline.com/liquidos-en-avion/</x:v>
      </x:c>
      <x:c r="B2835" s="1" t="str">
        <x:v>se puede llevar vino en el avión internacional</x:v>
      </x:c>
      <x:c r="C2835" s="1" t="str">
        <x:v>chl</x:v>
      </x:c>
      <x:c r="D2835" s="1" t="str">
        <x:v>Sin marca</x:v>
      </x:c>
      <x:c r="E2835" s="35" t="n">
        <x:v>1</x:v>
      </x:c>
      <x:c r="F2835" s="36"/>
      <x:c r="G2835" s="36" t="str">
        <x:f>IF(ISNUMBER(F2835),E2835*F2835,"")</x:f>
      </x:c>
      <x:c r="H2835" s="37" t="d">
        <x:v>2026-10-15T00:00:00.000Z</x:v>
      </x:c>
      <x:c r="I2835" s="37" t="d">
        <x:v>2026-09-16T16:15:31.000Z</x:v>
      </x:c>
      <x:c r="J2835" s="1" t="n">
        <x:f>IF(ISNUMBER(F2835),E2835,0)</x:f>
        <x:v>0</x:v>
      </x:c>
      <x:c r="K2835" s="1"/>
      <x:c r="L2835" s="1"/>
      <x:c r="M2835" s="1"/>
    </x:row>
    <x:row r="2836" ht="18.75" customHeight="1">
      <x:c r="A2836" s="1" t="str">
        <x:v>https://blog.skyairline.com/liquidos-en-avion/</x:v>
      </x:c>
      <x:c r="B2836" s="1" t="str">
        <x:v>se puede llevar whisky en avion</x:v>
      </x:c>
      <x:c r="C2836" s="1" t="str">
        <x:v>chl</x:v>
      </x:c>
      <x:c r="D2836" s="1" t="str">
        <x:v>Sin marca</x:v>
      </x:c>
      <x:c r="E2836" s="35" t="n">
        <x:v>1</x:v>
      </x:c>
      <x:c r="F2836" s="36"/>
      <x:c r="G2836" s="36" t="str">
        <x:f>IF(ISNUMBER(F2836),E2836*F2836,"")</x:f>
      </x:c>
      <x:c r="H2836" s="37"/>
      <x:c r="I2836" s="37"/>
      <x:c r="J2836" s="1" t="n">
        <x:f>IF(ISNUMBER(F2836),E2836,0)</x:f>
        <x:v>0</x:v>
      </x:c>
      <x:c r="K2836" s="1"/>
      <x:c r="L2836" s="1"/>
      <x:c r="M2836" s="1"/>
    </x:row>
    <x:row r="2837" ht="18.75" customHeight="1">
      <x:c r="A2837" s="1" t="str">
        <x:v>https://blog.skyairline.com/liquidos-en-avion/</x:v>
      </x:c>
      <x:c r="B2837" s="1" t="str">
        <x:v>se puede subir desodorante en aerosol al avion</x:v>
      </x:c>
      <x:c r="C2837" s="1" t="str">
        <x:v>per</x:v>
      </x:c>
      <x:c r="D2837" s="1" t="str">
        <x:v>Sin marca</x:v>
      </x:c>
      <x:c r="E2837" s="35" t="n">
        <x:v>1</x:v>
      </x:c>
      <x:c r="F2837" s="36"/>
      <x:c r="G2837" s="36" t="str">
        <x:f>IF(ISNUMBER(F2837),E2837*F2837,"")</x:f>
      </x:c>
      <x:c r="H2837" s="37"/>
      <x:c r="I2837" s="37"/>
      <x:c r="J2837" s="1" t="n">
        <x:f>IF(ISNUMBER(F2837),E2837,0)</x:f>
        <x:v>0</x:v>
      </x:c>
      <x:c r="K2837" s="1"/>
      <x:c r="L2837" s="1"/>
      <x:c r="M2837" s="1"/>
    </x:row>
    <x:row r="2838" ht="18.75" customHeight="1">
      <x:c r="A2838" s="1" t="str">
        <x:v>https://blog.skyairline.com/liquidos-en-avion/</x:v>
      </x:c>
      <x:c r="B2838" s="1" t="str">
        <x:v>se puede transportar alcohol en el aeropuerto</x:v>
      </x:c>
      <x:c r="C2838" s="1" t="str">
        <x:v>chl</x:v>
      </x:c>
      <x:c r="D2838" s="1" t="str">
        <x:v>Sin marca</x:v>
      </x:c>
      <x:c r="E2838" s="35" t="n">
        <x:v>1</x:v>
      </x:c>
      <x:c r="F2838" s="36"/>
      <x:c r="G2838" s="36" t="str">
        <x:f>IF(ISNUMBER(F2838),E2838*F2838,"")</x:f>
      </x:c>
      <x:c r="H2838" s="37"/>
      <x:c r="I2838" s="37"/>
      <x:c r="J2838" s="1" t="n">
        <x:f>IF(ISNUMBER(F2838),E2838,0)</x:f>
        <x:v>0</x:v>
      </x:c>
      <x:c r="K2838" s="1"/>
      <x:c r="L2838" s="1"/>
      <x:c r="M2838" s="1"/>
    </x:row>
    <x:row r="2839" ht="18.75" customHeight="1">
      <x:c r="A2839" s="1" t="str">
        <x:v>https://blog.skyairline.com/liquidos-en-avion/</x:v>
      </x:c>
      <x:c r="B2839" s="1" t="str">
        <x:v>se pueden llevar perfumes en el avion</x:v>
      </x:c>
      <x:c r="C2839" s="1" t="str">
        <x:v>per</x:v>
      </x:c>
      <x:c r="D2839" s="1" t="str">
        <x:v>Sin marca</x:v>
      </x:c>
      <x:c r="E2839" s="35" t="n">
        <x:v>1</x:v>
      </x:c>
      <x:c r="F2839" s="36"/>
      <x:c r="G2839" s="36" t="str">
        <x:f>IF(ISNUMBER(F2839),E2839*F2839,"")</x:f>
      </x:c>
      <x:c r="H2839" s="37"/>
      <x:c r="I2839" s="37"/>
      <x:c r="J2839" s="1" t="n">
        <x:f>IF(ISNUMBER(F2839),E2839,0)</x:f>
        <x:v>0</x:v>
      </x:c>
      <x:c r="K2839" s="1"/>
      <x:c r="L2839" s="1"/>
      <x:c r="M2839" s="1"/>
    </x:row>
    <x:row r="2840" ht="18.75" customHeight="1">
      <x:c r="A2840" s="1" t="str">
        <x:v>https://blog.skyairline.com/liquidos-en-avion/</x:v>
      </x:c>
      <x:c r="B2840" s="1" t="str">
        <x:v>si explícame todo</x:v>
      </x:c>
      <x:c r="C2840" s="1" t="str">
        <x:v>arg</x:v>
      </x:c>
      <x:c r="D2840" s="1" t="str">
        <x:v>Sin marca</x:v>
      </x:c>
      <x:c r="E2840" s="35" t="n">
        <x:v>1</x:v>
      </x:c>
      <x:c r="F2840" s="36"/>
      <x:c r="G2840" s="36" t="str">
        <x:f>IF(ISNUMBER(F2840),E2840*F2840,"")</x:f>
      </x:c>
      <x:c r="H2840" s="37"/>
      <x:c r="I2840" s="37"/>
      <x:c r="J2840" s="1" t="n">
        <x:f>IF(ISNUMBER(F2840),E2840,0)</x:f>
        <x:v>0</x:v>
      </x:c>
      <x:c r="K2840" s="1"/>
      <x:c r="L2840" s="1"/>
      <x:c r="M2840" s="1"/>
    </x:row>
    <x:row r="2841" ht="18.75" customHeight="1">
      <x:c r="A2841" s="1" t="str">
        <x:v>https://blog.skyairline.com/liquidos-en-avion/</x:v>
      </x:c>
      <x:c r="B2841" s="1" t="str">
        <x:v>sky</x:v>
      </x:c>
      <x:c r="C2841" s="1" t="str">
        <x:v>per</x:v>
      </x:c>
      <x:c r="D2841" s="1" t="str">
        <x:v>Marca</x:v>
      </x:c>
      <x:c r="E2841" s="35" t="n">
        <x:v>1</x:v>
      </x:c>
      <x:c r="F2841" s="36" t="n">
        <x:v>0.16</x:v>
      </x:c>
      <x:c r="G2841" s="36" t="n">
        <x:f>IF(ISNUMBER(F2841),E2841*F2841,"")</x:f>
        <x:v>0.16</x:v>
      </x:c>
      <x:c r="H2841" s="37" t="d">
        <x:v>2026-10-15T00:00:00.000Z</x:v>
      </x:c>
      <x:c r="I2841" s="37" t="d">
        <x:v>2026-09-15T03:38:50.000Z</x:v>
      </x:c>
      <x:c r="J2841" s="1" t="n">
        <x:f>IF(ISNUMBER(F2841),E2841,0)</x:f>
        <x:v>1</x:v>
      </x:c>
      <x:c r="K2841" s="1"/>
      <x:c r="L2841" s="1"/>
      <x:c r="M2841" s="1"/>
    </x:row>
    <x:row r="2842" ht="18.75" customHeight="1">
      <x:c r="A2842" s="1" t="str">
        <x:v>https://blog.skyairline.com/liquidos-en-avion/</x:v>
      </x:c>
      <x:c r="B2842" s="1" t="str">
        <x:v>sky desodorante</x:v>
      </x:c>
      <x:c r="C2842" s="1" t="str">
        <x:v>per</x:v>
      </x:c>
      <x:c r="D2842" s="1" t="str">
        <x:v>Marca</x:v>
      </x:c>
      <x:c r="E2842" s="35" t="n">
        <x:v>1</x:v>
      </x:c>
      <x:c r="F2842" s="36"/>
      <x:c r="G2842" s="36" t="str">
        <x:f>IF(ISNUMBER(F2842),E2842*F2842,"")</x:f>
      </x:c>
      <x:c r="H2842" s="37"/>
      <x:c r="I2842" s="37"/>
      <x:c r="J2842" s="1" t="n">
        <x:f>IF(ISNUMBER(F2842),E2842,0)</x:f>
        <x:v>0</x:v>
      </x:c>
      <x:c r="K2842" s="1"/>
      <x:c r="L2842" s="1"/>
      <x:c r="M2842" s="1"/>
    </x:row>
    <x:row r="2843" ht="18.75" customHeight="1">
      <x:c r="A2843" s="1" t="str">
        <x:v>https://blog.skyairline.com/liquidos-en-avion/</x:v>
      </x:c>
      <x:c r="B2843" s="1" t="str">
        <x:v>sky equipaje de mano</x:v>
      </x:c>
      <x:c r="C2843" s="1" t="str">
        <x:v>chl</x:v>
      </x:c>
      <x:c r="D2843" s="1" t="str">
        <x:v>Marca</x:v>
      </x:c>
      <x:c r="E2843" s="35" t="n">
        <x:v>1</x:v>
      </x:c>
      <x:c r="F2843" s="36" t="n">
        <x:v>1.31</x:v>
      </x:c>
      <x:c r="G2843" s="36" t="n">
        <x:f>IF(ISNUMBER(F2843),E2843*F2843,"")</x:f>
        <x:v>1.31</x:v>
      </x:c>
      <x:c r="H2843" s="37" t="d">
        <x:v>2026-10-15T00:00:00.000Z</x:v>
      </x:c>
      <x:c r="I2843" s="37" t="d">
        <x:v>2026-09-17T08:53:51.000Z</x:v>
      </x:c>
      <x:c r="J2843" s="1" t="n">
        <x:f>IF(ISNUMBER(F2843),E2843,0)</x:f>
        <x:v>1</x:v>
      </x:c>
      <x:c r="K2843" s="1"/>
      <x:c r="L2843" s="1"/>
      <x:c r="M2843" s="1"/>
    </x:row>
    <x:row r="2844" ht="18.75" customHeight="1">
      <x:c r="A2844" s="1" t="str">
        <x:v>https://blog.skyairline.com/liquidos-en-avion/</x:v>
      </x:c>
      <x:c r="B2844" s="1" t="str">
        <x:v>sky vuelo nacional</x:v>
      </x:c>
      <x:c r="C2844" s="1" t="str">
        <x:v>per</x:v>
      </x:c>
      <x:c r="D2844" s="1" t="str">
        <x:v>Marca</x:v>
      </x:c>
      <x:c r="E2844" s="35" t="n">
        <x:v>1</x:v>
      </x:c>
      <x:c r="F2844" s="36"/>
      <x:c r="G2844" s="36" t="str">
        <x:f>IF(ISNUMBER(F2844),E2844*F2844,"")</x:f>
      </x:c>
      <x:c r="H2844" s="37"/>
      <x:c r="I2844" s="37"/>
      <x:c r="J2844" s="1" t="n">
        <x:f>IF(ISNUMBER(F2844),E2844,0)</x:f>
        <x:v>0</x:v>
      </x:c>
      <x:c r="K2844" s="1"/>
      <x:c r="L2844" s="1"/>
      <x:c r="M2844" s="1"/>
    </x:row>
    <x:row r="2845" ht="18.75" customHeight="1">
      <x:c r="A2845" s="1" t="str">
        <x:v>https://blog.skyairline.com/liquidos-en-avion/</x:v>
      </x:c>
      <x:c r="B2845" s="1" t="str">
        <x:v>tamaño perfume avion</x:v>
      </x:c>
      <x:c r="C2845" s="1" t="str">
        <x:v>chl</x:v>
      </x:c>
      <x:c r="D2845" s="1" t="str">
        <x:v>Sin marca</x:v>
      </x:c>
      <x:c r="E2845" s="35" t="n">
        <x:v>1</x:v>
      </x:c>
      <x:c r="F2845" s="36"/>
      <x:c r="G2845" s="36" t="str">
        <x:f>IF(ISNUMBER(F2845),E2845*F2845,"")</x:f>
      </x:c>
      <x:c r="H2845" s="37"/>
      <x:c r="I2845" s="37"/>
      <x:c r="J2845" s="1" t="n">
        <x:f>IF(ISNUMBER(F2845),E2845,0)</x:f>
        <x:v>0</x:v>
      </x:c>
      <x:c r="K2845" s="1"/>
      <x:c r="L2845" s="1"/>
      <x:c r="M2845" s="1"/>
    </x:row>
    <x:row r="2846" ht="18.75" customHeight="1">
      <x:c r="A2846" s="1" t="str">
        <x:v>https://blog.skyairline.com/lugares-gratuitos-en-valdivia/</x:v>
      </x:c>
      <x:c r="B2846" s="1" t="str">
        <x:v>valdivia</x:v>
      </x:c>
      <x:c r="C2846" s="1" t="str">
        <x:v>chl</x:v>
      </x:c>
      <x:c r="D2846" s="1" t="str">
        <x:v>Sin marca</x:v>
      </x:c>
      <x:c r="E2846" s="35" t="n">
        <x:v>1</x:v>
      </x:c>
      <x:c r="F2846" s="36" t="n">
        <x:v>0.5</x:v>
      </x:c>
      <x:c r="G2846" s="36" t="n">
        <x:f>IF(ISNUMBER(F2846),E2846*F2846,"")</x:f>
        <x:v>0.5</x:v>
      </x:c>
      <x:c r="H2846" s="37" t="d">
        <x:v>2026-10-15T00:00:00.000Z</x:v>
      </x:c>
      <x:c r="I2846" s="37" t="d">
        <x:v>2026-09-15T11:38:32.000Z</x:v>
      </x:c>
      <x:c r="J2846" s="1" t="n">
        <x:f>IF(ISNUMBER(F2846),E2846,0)</x:f>
        <x:v>1</x:v>
      </x:c>
      <x:c r="K2846" s="1"/>
      <x:c r="L2846" s="1"/>
      <x:c r="M2846" s="1"/>
    </x:row>
    <x:row r="2847" ht="18.75" customHeight="1">
      <x:c r="A2847" s="1" t="str">
        <x:v>https://blog.skyairline.com/lugares-nieve-chile/</x:v>
      </x:c>
      <x:c r="B2847" s="1" t="str">
        <x:v>chile con nieve</x:v>
      </x:c>
      <x:c r="C2847" s="1" t="str">
        <x:v>col</x:v>
      </x:c>
      <x:c r="D2847" s="1" t="str">
        <x:v>Sin marca</x:v>
      </x:c>
      <x:c r="E2847" s="35" t="n">
        <x:v>1</x:v>
      </x:c>
      <x:c r="F2847" s="36"/>
      <x:c r="G2847" s="36" t="str">
        <x:f>IF(ISNUMBER(F2847),E2847*F2847,"")</x:f>
      </x:c>
      <x:c r="H2847" s="37"/>
      <x:c r="I2847" s="37"/>
      <x:c r="J2847" s="1" t="n">
        <x:f>IF(ISNUMBER(F2847),E2847,0)</x:f>
        <x:v>0</x:v>
      </x:c>
      <x:c r="K2847" s="1"/>
      <x:c r="L2847" s="1"/>
      <x:c r="M2847" s="1"/>
    </x:row>
    <x:row r="2848" ht="18.75" customHeight="1">
      <x:c r="A2848" s="1" t="str">
        <x:v>https://blog.skyairline.com/lugares-nieve-chile/</x:v>
      </x:c>
      <x:c r="B2848" s="1" t="str">
        <x:v>chile donde hay nieve</x:v>
      </x:c>
      <x:c r="C2848" s="1" t="str">
        <x:v>gtm</x:v>
      </x:c>
      <x:c r="D2848" s="1" t="str">
        <x:v>Sin marca</x:v>
      </x:c>
      <x:c r="E2848" s="35" t="n">
        <x:v>1</x:v>
      </x:c>
      <x:c r="F2848" s="36"/>
      <x:c r="G2848" s="36" t="str">
        <x:f>IF(ISNUMBER(F2848),E2848*F2848,"")</x:f>
      </x:c>
      <x:c r="H2848" s="37"/>
      <x:c r="I2848" s="37"/>
      <x:c r="J2848" s="1" t="n">
        <x:f>IF(ISNUMBER(F2848),E2848,0)</x:f>
        <x:v>0</x:v>
      </x:c>
      <x:c r="K2848" s="1"/>
      <x:c r="L2848" s="1"/>
      <x:c r="M2848" s="1"/>
    </x:row>
    <x:row r="2849" ht="18.75" customHeight="1">
      <x:c r="A2849" s="1" t="str">
        <x:v>https://blog.skyairline.com/lugares-nieve-chile/</x:v>
      </x:c>
      <x:c r="B2849" s="1" t="str">
        <x:v>chile lugares con nieve</x:v>
      </x:c>
      <x:c r="C2849" s="1" t="str">
        <x:v>per</x:v>
      </x:c>
      <x:c r="D2849" s="1" t="str">
        <x:v>Sin marca</x:v>
      </x:c>
      <x:c r="E2849" s="35" t="n">
        <x:v>1</x:v>
      </x:c>
      <x:c r="F2849" s="36"/>
      <x:c r="G2849" s="36" t="str">
        <x:f>IF(ISNUMBER(F2849),E2849*F2849,"")</x:f>
      </x:c>
      <x:c r="H2849" s="37"/>
      <x:c r="I2849" s="37"/>
      <x:c r="J2849" s="1" t="n">
        <x:f>IF(ISNUMBER(F2849),E2849,0)</x:f>
        <x:v>0</x:v>
      </x:c>
      <x:c r="K2849" s="1"/>
      <x:c r="L2849" s="1"/>
      <x:c r="M2849" s="1"/>
    </x:row>
    <x:row r="2850" ht="18.75" customHeight="1">
      <x:c r="A2850" s="1" t="str">
        <x:v>https://blog.skyairline.com/lugares-nieve-chile/</x:v>
      </x:c>
      <x:c r="B2850" s="1" t="str">
        <x:v>chile nieve</x:v>
      </x:c>
      <x:c r="C2850" s="1" t="str">
        <x:v>per</x:v>
      </x:c>
      <x:c r="D2850" s="1" t="str">
        <x:v>Sin marca</x:v>
      </x:c>
      <x:c r="E2850" s="35" t="n">
        <x:v>1</x:v>
      </x:c>
      <x:c r="F2850" s="36" t="n">
        <x:v>0.57</x:v>
      </x:c>
      <x:c r="G2850" s="36" t="n">
        <x:f>IF(ISNUMBER(F2850),E2850*F2850,"")</x:f>
        <x:v>0.57</x:v>
      </x:c>
      <x:c r="H2850" s="37" t="d">
        <x:v>2026-10-15T00:00:00.000Z</x:v>
      </x:c>
      <x:c r="I2850" s="37" t="d">
        <x:v>2026-09-13T11:43:50.000Z</x:v>
      </x:c>
      <x:c r="J2850" s="1" t="n">
        <x:f>IF(ISNUMBER(F2850),E2850,0)</x:f>
        <x:v>1</x:v>
      </x:c>
      <x:c r="K2850" s="1"/>
      <x:c r="L2850" s="1"/>
      <x:c r="M2850" s="1"/>
    </x:row>
    <x:row r="2851" ht="18.75" customHeight="1">
      <x:c r="A2851" s="1" t="str">
        <x:v>https://blog.skyairline.com/lugares-nieve-chile/</x:v>
      </x:c>
      <x:c r="B2851" s="1" t="str">
        <x:v>chile nieve donde</x:v>
      </x:c>
      <x:c r="C2851" s="1" t="str">
        <x:v>per</x:v>
      </x:c>
      <x:c r="D2851" s="1" t="str">
        <x:v>Sin marca</x:v>
      </x:c>
      <x:c r="E2851" s="35" t="n">
        <x:v>1</x:v>
      </x:c>
      <x:c r="F2851" s="36"/>
      <x:c r="G2851" s="36" t="str">
        <x:f>IF(ISNUMBER(F2851),E2851*F2851,"")</x:f>
      </x:c>
      <x:c r="H2851" s="37"/>
      <x:c r="I2851" s="37"/>
      <x:c r="J2851" s="1" t="n">
        <x:f>IF(ISNUMBER(F2851),E2851,0)</x:f>
        <x:v>0</x:v>
      </x:c>
      <x:c r="K2851" s="1"/>
      <x:c r="L2851" s="1"/>
      <x:c r="M2851" s="1"/>
    </x:row>
    <x:row r="2852" ht="18.75" customHeight="1">
      <x:c r="A2852" s="1" t="str">
        <x:v>https://blog.skyairline.com/lugares-nieve-chile/</x:v>
      </x:c>
      <x:c r="B2852" s="1" t="str">
        <x:v>chile zona de nieve</x:v>
      </x:c>
      <x:c r="C2852" s="1" t="str">
        <x:v>per</x:v>
      </x:c>
      <x:c r="D2852" s="1" t="str">
        <x:v>Sin marca</x:v>
      </x:c>
      <x:c r="E2852" s="35" t="n">
        <x:v>1</x:v>
      </x:c>
      <x:c r="F2852" s="36"/>
      <x:c r="G2852" s="36" t="str">
        <x:f>IF(ISNUMBER(F2852),E2852*F2852,"")</x:f>
      </x:c>
      <x:c r="H2852" s="37"/>
      <x:c r="I2852" s="37"/>
      <x:c r="J2852" s="1" t="n">
        <x:f>IF(ISNUMBER(F2852),E2852,0)</x:f>
        <x:v>0</x:v>
      </x:c>
      <x:c r="K2852" s="1"/>
      <x:c r="L2852" s="1"/>
      <x:c r="M2852" s="1"/>
    </x:row>
    <x:row r="2853" ht="18.75" customHeight="1">
      <x:c r="A2853" s="1" t="str">
        <x:v>https://blog.skyairline.com/lugares-nieve-chile/</x:v>
      </x:c>
      <x:c r="B2853" s="1" t="str">
        <x:v>como se llama el lugar donde hay nieve en chile</x:v>
      </x:c>
      <x:c r="C2853" s="1" t="str">
        <x:v>per</x:v>
      </x:c>
      <x:c r="D2853" s="1" t="str">
        <x:v>Sin marca</x:v>
      </x:c>
      <x:c r="E2853" s="35" t="n">
        <x:v>1</x:v>
      </x:c>
      <x:c r="F2853" s="36"/>
      <x:c r="G2853" s="36" t="str">
        <x:f>IF(ISNUMBER(F2853),E2853*F2853,"")</x:f>
      </x:c>
      <x:c r="H2853" s="37"/>
      <x:c r="I2853" s="37"/>
      <x:c r="J2853" s="1" t="n">
        <x:f>IF(ISNUMBER(F2853),E2853,0)</x:f>
        <x:v>0</x:v>
      </x:c>
      <x:c r="K2853" s="1"/>
      <x:c r="L2853" s="1"/>
      <x:c r="M2853" s="1"/>
    </x:row>
    <x:row r="2854" ht="18.75" customHeight="1">
      <x:c r="A2854" s="1" t="str">
        <x:v>https://blog.skyairline.com/lugares-nieve-chile/</x:v>
      </x:c>
      <x:c r="B2854" s="1" t="str">
        <x:v>en chile hay nieve</x:v>
      </x:c>
      <x:c r="C2854" s="1" t="str">
        <x:v>per</x:v>
      </x:c>
      <x:c r="D2854" s="1" t="str">
        <x:v>Sin marca</x:v>
      </x:c>
      <x:c r="E2854" s="35" t="n">
        <x:v>1</x:v>
      </x:c>
      <x:c r="F2854" s="36"/>
      <x:c r="G2854" s="36" t="str">
        <x:f>IF(ISNUMBER(F2854),E2854*F2854,"")</x:f>
      </x:c>
      <x:c r="H2854" s="37" t="d">
        <x:v>2026-10-15T00:00:00.000Z</x:v>
      </x:c>
      <x:c r="I2854" s="37" t="d">
        <x:v>2026-09-16T14:58:13.999Z</x:v>
      </x:c>
      <x:c r="J2854" s="1" t="n">
        <x:f>IF(ISNUMBER(F2854),E2854,0)</x:f>
        <x:v>0</x:v>
      </x:c>
      <x:c r="K2854" s="1"/>
      <x:c r="L2854" s="1"/>
      <x:c r="M2854" s="1"/>
    </x:row>
    <x:row r="2855" ht="18.75" customHeight="1">
      <x:c r="A2855" s="1" t="str">
        <x:v>https://blog.skyairline.com/lugares-nieve-chile/</x:v>
      </x:c>
      <x:c r="B2855" s="1" t="str">
        <x:v>en noviembre hay nieve en chile</x:v>
      </x:c>
      <x:c r="C2855" s="1" t="str">
        <x:v>per</x:v>
      </x:c>
      <x:c r="D2855" s="1" t="str">
        <x:v>Sin marca</x:v>
      </x:c>
      <x:c r="E2855" s="35" t="n">
        <x:v>1</x:v>
      </x:c>
      <x:c r="F2855" s="36"/>
      <x:c r="G2855" s="36" t="str">
        <x:f>IF(ISNUMBER(F2855),E2855*F2855,"")</x:f>
      </x:c>
      <x:c r="H2855" s="37" t="d">
        <x:v>2026-10-15T00:00:00.000Z</x:v>
      </x:c>
      <x:c r="I2855" s="37" t="d">
        <x:v>2026-09-13T12:01:26.000Z</x:v>
      </x:c>
      <x:c r="J2855" s="1" t="n">
        <x:f>IF(ISNUMBER(F2855),E2855,0)</x:f>
        <x:v>0</x:v>
      </x:c>
      <x:c r="K2855" s="1"/>
      <x:c r="L2855" s="1"/>
      <x:c r="M2855" s="1"/>
    </x:row>
    <x:row r="2856" ht="18.75" customHeight="1">
      <x:c r="A2856" s="1" t="str">
        <x:v>https://blog.skyairline.com/lugares-nieve-chile/</x:v>
      </x:c>
      <x:c r="B2856" s="1" t="str">
        <x:v>lugar de chile donde hay nieve</x:v>
      </x:c>
      <x:c r="C2856" s="1" t="str">
        <x:v>per</x:v>
      </x:c>
      <x:c r="D2856" s="1" t="str">
        <x:v>Sin marca</x:v>
      </x:c>
      <x:c r="E2856" s="35" t="n">
        <x:v>1</x:v>
      </x:c>
      <x:c r="F2856" s="36"/>
      <x:c r="G2856" s="36" t="str">
        <x:f>IF(ISNUMBER(F2856),E2856*F2856,"")</x:f>
      </x:c>
      <x:c r="H2856" s="37"/>
      <x:c r="I2856" s="37"/>
      <x:c r="J2856" s="1" t="n">
        <x:f>IF(ISNUMBER(F2856),E2856,0)</x:f>
        <x:v>0</x:v>
      </x:c>
      <x:c r="K2856" s="1"/>
      <x:c r="L2856" s="1"/>
      <x:c r="M2856" s="1"/>
    </x:row>
    <x:row r="2857" ht="18.75" customHeight="1">
      <x:c r="A2857" s="1" t="str">
        <x:v>https://blog.skyairline.com/lugares-nieve-chile/</x:v>
      </x:c>
      <x:c r="B2857" s="1" t="str">
        <x:v>lugares con nieve en chile</x:v>
      </x:c>
      <x:c r="C2857" s="1" t="str">
        <x:v>chl</x:v>
      </x:c>
      <x:c r="D2857" s="1" t="str">
        <x:v>Sin marca</x:v>
      </x:c>
      <x:c r="E2857" s="35" t="n">
        <x:v>1</x:v>
      </x:c>
      <x:c r="F2857" s="36" t="n">
        <x:v>0.61</x:v>
      </x:c>
      <x:c r="G2857" s="36" t="n">
        <x:f>IF(ISNUMBER(F2857),E2857*F2857,"")</x:f>
        <x:v>0.61</x:v>
      </x:c>
      <x:c r="H2857" s="37" t="d">
        <x:v>2026-10-15T00:00:00.000Z</x:v>
      </x:c>
      <x:c r="I2857" s="37" t="d">
        <x:v>2026-09-14T23:45:32.000Z</x:v>
      </x:c>
      <x:c r="J2857" s="1" t="n">
        <x:f>IF(ISNUMBER(F2857),E2857,0)</x:f>
        <x:v>1</x:v>
      </x:c>
      <x:c r="K2857" s="1"/>
      <x:c r="L2857" s="1"/>
      <x:c r="M2857" s="1"/>
    </x:row>
    <x:row r="2858" ht="18.75" customHeight="1">
      <x:c r="A2858" s="1" t="str">
        <x:v>https://blog.skyairline.com/lugares-nieve-chile/</x:v>
      </x:c>
      <x:c r="B2858" s="1" t="str">
        <x:v>lugares de nieve en chile</x:v>
      </x:c>
      <x:c r="C2858" s="1" t="str">
        <x:v>chl</x:v>
      </x:c>
      <x:c r="D2858" s="1" t="str">
        <x:v>Sin marca</x:v>
      </x:c>
      <x:c r="E2858" s="35" t="n">
        <x:v>1</x:v>
      </x:c>
      <x:c r="F2858" s="36" t="n">
        <x:v>0.03</x:v>
      </x:c>
      <x:c r="G2858" s="36" t="n">
        <x:f>IF(ISNUMBER(F2858),E2858*F2858,"")</x:f>
        <x:v>0.03</x:v>
      </x:c>
      <x:c r="H2858" s="37" t="d">
        <x:v>2026-10-15T00:00:00.000Z</x:v>
      </x:c>
      <x:c r="I2858" s="37" t="d">
        <x:v>2026-09-14T20:41:33.000Z</x:v>
      </x:c>
      <x:c r="J2858" s="1" t="n">
        <x:f>IF(ISNUMBER(F2858),E2858,0)</x:f>
        <x:v>1</x:v>
      </x:c>
      <x:c r="K2858" s="1"/>
      <x:c r="L2858" s="1"/>
      <x:c r="M2858" s="1"/>
    </x:row>
    <x:row r="2859" ht="18.75" customHeight="1">
      <x:c r="A2859" s="1" t="str">
        <x:v>https://blog.skyairline.com/lugares-para-comer-en-rio-de-janeiro/</x:v>
      </x:c>
      <x:c r="B2859" s="1" t="str">
        <x:v>donde comer en rio de janeiro</x:v>
      </x:c>
      <x:c r="C2859" s="1" t="str">
        <x:v>chl</x:v>
      </x:c>
      <x:c r="D2859" s="1" t="str">
        <x:v>Sin marca</x:v>
      </x:c>
      <x:c r="E2859" s="35" t="n">
        <x:v>1</x:v>
      </x:c>
      <x:c r="F2859" s="36" t="n">
        <x:v>0.13</x:v>
      </x:c>
      <x:c r="G2859" s="36" t="n">
        <x:f>IF(ISNUMBER(F2859),E2859*F2859,"")</x:f>
        <x:v>0.13</x:v>
      </x:c>
      <x:c r="H2859" s="37" t="d">
        <x:v>2026-10-15T00:00:00.000Z</x:v>
      </x:c>
      <x:c r="I2859" s="37" t="d">
        <x:v>2026-09-14T19:27:59.000Z</x:v>
      </x:c>
      <x:c r="J2859" s="1" t="n">
        <x:f>IF(ISNUMBER(F2859),E2859,0)</x:f>
        <x:v>1</x:v>
      </x:c>
      <x:c r="K2859" s="1"/>
      <x:c r="L2859" s="1"/>
      <x:c r="M2859" s="1"/>
    </x:row>
    <x:row r="2860" ht="18.75" customHeight="1">
      <x:c r="A2860" s="1" t="str">
        <x:v>https://blog.skyairline.com/lugares-para-visitar-en-buenos-aires/</x:v>
      </x:c>
      <x:c r="B2860" s="1" t="str">
        <x:v>buenos aires lugares turisticos</x:v>
      </x:c>
      <x:c r="C2860" s="1" t="str">
        <x:v>per</x:v>
      </x:c>
      <x:c r="D2860" s="1" t="str">
        <x:v>Sin marca</x:v>
      </x:c>
      <x:c r="E2860" s="35" t="n">
        <x:v>1</x:v>
      </x:c>
      <x:c r="F2860" s="36" t="n">
        <x:v>0.42</x:v>
      </x:c>
      <x:c r="G2860" s="36" t="n">
        <x:f>IF(ISNUMBER(F2860),E2860*F2860,"")</x:f>
        <x:v>0.42</x:v>
      </x:c>
      <x:c r="H2860" s="37" t="d">
        <x:v>2026-10-15T00:00:00.000Z</x:v>
      </x:c>
      <x:c r="I2860" s="37" t="d">
        <x:v>2026-09-17T23:52:07.000Z</x:v>
      </x:c>
      <x:c r="J2860" s="1" t="n">
        <x:f>IF(ISNUMBER(F2860),E2860,0)</x:f>
        <x:v>1</x:v>
      </x:c>
      <x:c r="K2860" s="1"/>
      <x:c r="L2860" s="1"/>
      <x:c r="M2860" s="1"/>
    </x:row>
    <x:row r="2861" ht="18.75" customHeight="1">
      <x:c r="A2861" s="1" t="str">
        <x:v>https://blog.skyairline.com/lugares-para-visitar-en-puerto-montt/</x:v>
      </x:c>
      <x:c r="B2861" s="1" t="str">
        <x:v>lugares verdes para visitar</x:v>
      </x:c>
      <x:c r="C2861" s="1" t="str">
        <x:v>chl</x:v>
      </x:c>
      <x:c r="D2861" s="1" t="str">
        <x:v>Sin marca</x:v>
      </x:c>
      <x:c r="E2861" s="35" t="n">
        <x:v>1</x:v>
      </x:c>
      <x:c r="F2861" s="36"/>
      <x:c r="G2861" s="36" t="str">
        <x:f>IF(ISNUMBER(F2861),E2861*F2861,"")</x:f>
      </x:c>
      <x:c r="H2861" s="37" t="d">
        <x:v>2026-10-15T00:00:00.000Z</x:v>
      </x:c>
      <x:c r="I2861" s="37" t="d">
        <x:v>2026-09-15T16:49:57.000Z</x:v>
      </x:c>
      <x:c r="J2861" s="1" t="n">
        <x:f>IF(ISNUMBER(F2861),E2861,0)</x:f>
        <x:v>0</x:v>
      </x:c>
      <x:c r="K2861" s="1"/>
      <x:c r="L2861" s="1"/>
      <x:c r="M2861" s="1"/>
    </x:row>
    <x:row r="2862" ht="18.75" customHeight="1">
      <x:c r="A2862" s="1" t="str">
        <x:v>https://blog.skyairline.com/lugares-polanco/</x:v>
      </x:c>
      <x:c r="B2862" s="1" t="str">
        <x:v>ómnibus de montevideo a san gregorio de polanco</x:v>
      </x:c>
      <x:c r="C2862" s="1" t="str">
        <x:v>ury</x:v>
      </x:c>
      <x:c r="D2862" s="1" t="str">
        <x:v>Sin marca</x:v>
      </x:c>
      <x:c r="E2862" s="35" t="n">
        <x:v>1</x:v>
      </x:c>
      <x:c r="F2862" s="36"/>
      <x:c r="G2862" s="36" t="str">
        <x:f>IF(ISNUMBER(F2862),E2862*F2862,"")</x:f>
      </x:c>
      <x:c r="H2862" s="37"/>
      <x:c r="I2862" s="37"/>
      <x:c r="J2862" s="1" t="n">
        <x:f>IF(ISNUMBER(F2862),E2862,0)</x:f>
        <x:v>0</x:v>
      </x:c>
      <x:c r="K2862" s="1"/>
      <x:c r="L2862" s="1"/>
      <x:c r="M2862" s="1"/>
    </x:row>
    <x:row r="2863" ht="18.75" customHeight="1">
      <x:c r="A2863" s="1" t="str">
        <x:v>https://blog.skyairline.com/lugares-turisticos-2/</x:v>
      </x:c>
      <x:c r="B2863" s="1" t="str">
        <x:v>lugares turísticos en tacna</x:v>
      </x:c>
      <x:c r="C2863" s="1" t="str">
        <x:v>chl</x:v>
      </x:c>
      <x:c r="D2863" s="1" t="str">
        <x:v>Sin marca</x:v>
      </x:c>
      <x:c r="E2863" s="35" t="n">
        <x:v>1</x:v>
      </x:c>
      <x:c r="F2863" s="36" t="n">
        <x:v>0.08</x:v>
      </x:c>
      <x:c r="G2863" s="36" t="n">
        <x:f>IF(ISNUMBER(F2863),E2863*F2863,"")</x:f>
        <x:v>0.08</x:v>
      </x:c>
      <x:c r="H2863" s="37" t="d">
        <x:v>2026-10-15T00:00:00.000Z</x:v>
      </x:c>
      <x:c r="I2863" s="37" t="d">
        <x:v>2026-09-16T08:28:44.000Z</x:v>
      </x:c>
      <x:c r="J2863" s="1" t="n">
        <x:f>IF(ISNUMBER(F2863),E2863,0)</x:f>
        <x:v>1</x:v>
      </x:c>
      <x:c r="K2863" s="1"/>
      <x:c r="L2863" s="1"/>
      <x:c r="M2863" s="1"/>
    </x:row>
    <x:row r="2864" ht="18.75" customHeight="1">
      <x:c r="A2864" s="1" t="str">
        <x:v>https://blog.skyairline.com/lugares-turisticos-2/</x:v>
      </x:c>
      <x:c r="B2864" s="1" t="str">
        <x:v>plaza de armas de tacna</x:v>
      </x:c>
      <x:c r="C2864" s="1" t="str">
        <x:v>per</x:v>
      </x:c>
      <x:c r="D2864" s="1" t="str">
        <x:v>Sin marca</x:v>
      </x:c>
      <x:c r="E2864" s="35" t="n">
        <x:v>1</x:v>
      </x:c>
      <x:c r="F2864" s="36"/>
      <x:c r="G2864" s="36" t="str">
        <x:f>IF(ISNUMBER(F2864),E2864*F2864,"")</x:f>
      </x:c>
      <x:c r="H2864" s="37" t="d">
        <x:v>2026-10-15T00:00:00.000Z</x:v>
      </x:c>
      <x:c r="I2864" s="37" t="d">
        <x:v>2026-09-13T06:43:45.000Z</x:v>
      </x:c>
      <x:c r="J2864" s="1" t="n">
        <x:f>IF(ISNUMBER(F2864),E2864,0)</x:f>
        <x:v>0</x:v>
      </x:c>
      <x:c r="K2864" s="1"/>
      <x:c r="L2864" s="1"/>
      <x:c r="M2864" s="1"/>
    </x:row>
    <x:row r="2865" ht="18.75" customHeight="1">
      <x:c r="A2865" s="1" t="str">
        <x:v>https://blog.skyairline.com/lugares-turisticos-2/</x:v>
      </x:c>
      <x:c r="B2865" s="1" t="str">
        <x:v>plaza de tacna peru</x:v>
      </x:c>
      <x:c r="C2865" s="1" t="str">
        <x:v>chl</x:v>
      </x:c>
      <x:c r="D2865" s="1" t="str">
        <x:v>Sin marca</x:v>
      </x:c>
      <x:c r="E2865" s="35" t="n">
        <x:v>1</x:v>
      </x:c>
      <x:c r="F2865" s="36"/>
      <x:c r="G2865" s="36" t="str">
        <x:f>IF(ISNUMBER(F2865),E2865*F2865,"")</x:f>
      </x:c>
      <x:c r="H2865" s="37" t="d">
        <x:v>2026-10-15T00:00:00.000Z</x:v>
      </x:c>
      <x:c r="I2865" s="37" t="d">
        <x:v>2026-09-13T04:25:21.000Z</x:v>
      </x:c>
      <x:c r="J2865" s="1" t="n">
        <x:f>IF(ISNUMBER(F2865),E2865,0)</x:f>
        <x:v>0</x:v>
      </x:c>
      <x:c r="K2865" s="1"/>
      <x:c r="L2865" s="1"/>
      <x:c r="M2865" s="1"/>
    </x:row>
    <x:row r="2866" ht="18.75" customHeight="1">
      <x:c r="A2866" s="1" t="str">
        <x:v>https://blog.skyairline.com/lugares-turisticos-cajamarca/</x:v>
      </x:c>
      <x:c r="B2866" s="1" t="str">
        <x:v>cajamarca peru lugares turisticos</x:v>
      </x:c>
      <x:c r="C2866" s="1" t="str">
        <x:v>col</x:v>
      </x:c>
      <x:c r="D2866" s="1" t="str">
        <x:v>Sin marca</x:v>
      </x:c>
      <x:c r="E2866" s="35" t="n">
        <x:v>1</x:v>
      </x:c>
      <x:c r="F2866" s="36"/>
      <x:c r="G2866" s="36" t="str">
        <x:f>IF(ISNUMBER(F2866),E2866*F2866,"")</x:f>
      </x:c>
      <x:c r="H2866" s="37"/>
      <x:c r="I2866" s="37"/>
      <x:c r="J2866" s="1" t="n">
        <x:f>IF(ISNUMBER(F2866),E2866,0)</x:f>
        <x:v>0</x:v>
      </x:c>
      <x:c r="K2866" s="1"/>
      <x:c r="L2866" s="1"/>
      <x:c r="M2866" s="1"/>
    </x:row>
    <x:row r="2867" ht="18.75" customHeight="1">
      <x:c r="A2867" s="1" t="str">
        <x:v>https://blog.skyairline.com/lugares-turisticos-de-latinoamerica/</x:v>
      </x:c>
      <x:c r="B2867" s="1" t="str">
        <x:v>10 lugares turísticos de américa</x:v>
      </x:c>
      <x:c r="C2867" s="1" t="str">
        <x:v>hnd</x:v>
      </x:c>
      <x:c r="D2867" s="1" t="str">
        <x:v>Sin marca</x:v>
      </x:c>
      <x:c r="E2867" s="35" t="n">
        <x:v>1</x:v>
      </x:c>
      <x:c r="F2867" s="36"/>
      <x:c r="G2867" s="36" t="str">
        <x:f>IF(ISNUMBER(F2867),E2867*F2867,"")</x:f>
      </x:c>
      <x:c r="H2867" s="37"/>
      <x:c r="I2867" s="37"/>
      <x:c r="J2867" s="1" t="n">
        <x:f>IF(ISNUMBER(F2867),E2867,0)</x:f>
        <x:v>0</x:v>
      </x:c>
      <x:c r="K2867" s="1"/>
      <x:c r="L2867" s="1"/>
      <x:c r="M2867" s="1"/>
    </x:row>
    <x:row r="2868" ht="18.75" customHeight="1">
      <x:c r="A2868" s="1" t="str">
        <x:v>https://blog.skyairline.com/lugares-turisticos-de-piura/</x:v>
      </x:c>
      <x:c r="B2868" s="1" t="str">
        <x:v>7 dias</x:v>
      </x:c>
      <x:c r="C2868" s="1" t="str">
        <x:v>chl</x:v>
      </x:c>
      <x:c r="D2868" s="1" t="str">
        <x:v>Sin marca</x:v>
      </x:c>
      <x:c r="E2868" s="35" t="n">
        <x:v>1</x:v>
      </x:c>
      <x:c r="F2868" s="36"/>
      <x:c r="G2868" s="36" t="str">
        <x:f>IF(ISNUMBER(F2868),E2868*F2868,"")</x:f>
      </x:c>
      <x:c r="H2868" s="37" t="d">
        <x:v>2026-10-15T00:00:00.000Z</x:v>
      </x:c>
      <x:c r="I2868" s="37" t="d">
        <x:v>2026-09-15T09:30:00.000Z</x:v>
      </x:c>
      <x:c r="J2868" s="1" t="n">
        <x:f>IF(ISNUMBER(F2868),E2868,0)</x:f>
        <x:v>0</x:v>
      </x:c>
      <x:c r="K2868" s="1"/>
      <x:c r="L2868" s="1"/>
      <x:c r="M2868" s="1"/>
    </x:row>
    <x:row r="2869" ht="18.75" customHeight="1">
      <x:c r="A2869" s="1" t="str">
        <x:v>https://blog.skyairline.com/lugares-turisticos-de-piura/</x:v>
      </x:c>
      <x:c r="B2869" s="1" t="str">
        <x:v>playa piura peru</x:v>
      </x:c>
      <x:c r="C2869" s="1" t="str">
        <x:v>chl</x:v>
      </x:c>
      <x:c r="D2869" s="1" t="str">
        <x:v>Sin marca</x:v>
      </x:c>
      <x:c r="E2869" s="35" t="n">
        <x:v>1</x:v>
      </x:c>
      <x:c r="F2869" s="36"/>
      <x:c r="G2869" s="36" t="str">
        <x:f>IF(ISNUMBER(F2869),E2869*F2869,"")</x:f>
      </x:c>
      <x:c r="H2869" s="37"/>
      <x:c r="I2869" s="37"/>
      <x:c r="J2869" s="1" t="n">
        <x:f>IF(ISNUMBER(F2869),E2869,0)</x:f>
        <x:v>0</x:v>
      </x:c>
      <x:c r="K2869" s="1"/>
      <x:c r="L2869" s="1"/>
      <x:c r="M2869" s="1"/>
    </x:row>
    <x:row r="2870" ht="18.75" customHeight="1">
      <x:c r="A2870" s="1" t="str">
        <x:v>https://blog.skyairline.com/maceio/</x:v>
      </x:c>
      <x:c r="B2870" s="1" t="str">
        <x:v>donde queda maceio</x:v>
      </x:c>
      <x:c r="C2870" s="1" t="str">
        <x:v>chl</x:v>
      </x:c>
      <x:c r="D2870" s="1" t="str">
        <x:v>Sin marca</x:v>
      </x:c>
      <x:c r="E2870" s="35" t="n">
        <x:v>1</x:v>
      </x:c>
      <x:c r="F2870" s="36" t="n">
        <x:v>1.87</x:v>
      </x:c>
      <x:c r="G2870" s="36" t="n">
        <x:f>IF(ISNUMBER(F2870),E2870*F2870,"")</x:f>
        <x:v>1.87</x:v>
      </x:c>
      <x:c r="H2870" s="37" t="d">
        <x:v>2026-10-15T00:00:00.000Z</x:v>
      </x:c>
      <x:c r="I2870" s="37" t="d">
        <x:v>2026-09-15T10:24:53.000Z</x:v>
      </x:c>
      <x:c r="J2870" s="1" t="n">
        <x:f>IF(ISNUMBER(F2870),E2870,0)</x:f>
        <x:v>1</x:v>
      </x:c>
      <x:c r="K2870" s="1"/>
      <x:c r="L2870" s="1"/>
      <x:c r="M2870" s="1"/>
    </x:row>
    <x:row r="2871" ht="18.75" customHeight="1">
      <x:c r="A2871" s="1" t="str">
        <x:v>https://blog.skyairline.com/mano-del-desierto/</x:v>
      </x:c>
      <x:c r="B2871" s="1" t="str">
        <x:v>mano del desierto</x:v>
      </x:c>
      <x:c r="C2871" s="1" t="str">
        <x:v>chl</x:v>
      </x:c>
      <x:c r="D2871" s="1" t="str">
        <x:v>Sin marca</x:v>
      </x:c>
      <x:c r="E2871" s="35" t="n">
        <x:v>1</x:v>
      </x:c>
      <x:c r="F2871" s="36" t="n">
        <x:v>0.37</x:v>
      </x:c>
      <x:c r="G2871" s="36" t="n">
        <x:f>IF(ISNUMBER(F2871),E2871*F2871,"")</x:f>
        <x:v>0.37</x:v>
      </x:c>
      <x:c r="H2871" s="37" t="d">
        <x:v>2026-10-15T00:00:00.000Z</x:v>
      </x:c>
      <x:c r="I2871" s="37" t="d">
        <x:v>2026-09-16T07:58:20.000Z</x:v>
      </x:c>
      <x:c r="J2871" s="1" t="n">
        <x:f>IF(ISNUMBER(F2871),E2871,0)</x:f>
        <x:v>1</x:v>
      </x:c>
      <x:c r="K2871" s="1"/>
      <x:c r="L2871" s="1"/>
      <x:c r="M2871" s="1"/>
    </x:row>
    <x:row r="2872" ht="18.75" customHeight="1">
      <x:c r="A2872" s="1" t="str">
        <x:v>https://blog.skyairline.com/maquillaje-en-avion/</x:v>
      </x:c>
      <x:c r="B2872" s="1" t="str">
        <x:v>el maquillaje cuenta como liquido en avion</x:v>
      </x:c>
      <x:c r="C2872" s="1" t="str">
        <x:v>chl</x:v>
      </x:c>
      <x:c r="D2872" s="1" t="str">
        <x:v>Sin marca</x:v>
      </x:c>
      <x:c r="E2872" s="35" t="n">
        <x:v>1</x:v>
      </x:c>
      <x:c r="F2872" s="36"/>
      <x:c r="G2872" s="36" t="str">
        <x:f>IF(ISNUMBER(F2872),E2872*F2872,"")</x:f>
      </x:c>
      <x:c r="H2872" s="37"/>
      <x:c r="I2872" s="37"/>
      <x:c r="J2872" s="1" t="n">
        <x:f>IF(ISNUMBER(F2872),E2872,0)</x:f>
        <x:v>0</x:v>
      </x:c>
      <x:c r="K2872" s="1"/>
      <x:c r="L2872" s="1"/>
      <x:c r="M2872" s="1"/>
    </x:row>
    <x:row r="2873" ht="18.75" customHeight="1">
      <x:c r="A2873" s="1" t="str">
        <x:v>https://blog.skyairline.com/maquillaje-en-avion/</x:v>
      </x:c>
      <x:c r="B2873" s="1" t="str">
        <x:v>maquillaje cuenta como liquido en avion</x:v>
      </x:c>
      <x:c r="C2873" s="1" t="str">
        <x:v>chl</x:v>
      </x:c>
      <x:c r="D2873" s="1" t="str">
        <x:v>Sin marca</x:v>
      </x:c>
      <x:c r="E2873" s="35" t="n">
        <x:v>1</x:v>
      </x:c>
      <x:c r="F2873" s="36"/>
      <x:c r="G2873" s="36" t="str">
        <x:f>IF(ISNUMBER(F2873),E2873*F2873,"")</x:f>
      </x:c>
      <x:c r="H2873" s="37"/>
      <x:c r="I2873" s="37"/>
      <x:c r="J2873" s="1" t="n">
        <x:f>IF(ISNUMBER(F2873),E2873,0)</x:f>
        <x:v>0</x:v>
      </x:c>
      <x:c r="K2873" s="1"/>
      <x:c r="L2873" s="1"/>
      <x:c r="M2873" s="1"/>
    </x:row>
    <x:row r="2874" ht="18.75" customHeight="1">
      <x:c r="A2874" s="1" t="str">
        <x:v>https://blog.skyairline.com/maquillaje-en-avion/</x:v>
      </x:c>
      <x:c r="B2874" s="1" t="str">
        <x:v>maquillaje puedo llevar en el avion</x:v>
      </x:c>
      <x:c r="C2874" s="1" t="str">
        <x:v>chl</x:v>
      </x:c>
      <x:c r="D2874" s="1" t="str">
        <x:v>Sin marca</x:v>
      </x:c>
      <x:c r="E2874" s="35" t="n">
        <x:v>1</x:v>
      </x:c>
      <x:c r="F2874" s="36"/>
      <x:c r="G2874" s="36" t="str">
        <x:f>IF(ISNUMBER(F2874),E2874*F2874,"")</x:f>
      </x:c>
      <x:c r="H2874" s="37"/>
      <x:c r="I2874" s="37"/>
      <x:c r="J2874" s="1" t="n">
        <x:f>IF(ISNUMBER(F2874),E2874,0)</x:f>
        <x:v>0</x:v>
      </x:c>
      <x:c r="K2874" s="1"/>
      <x:c r="L2874" s="1"/>
      <x:c r="M2874" s="1"/>
    </x:row>
    <x:row r="2875" ht="18.75" customHeight="1">
      <x:c r="A2875" s="1" t="str">
        <x:v>https://blog.skyairline.com/maquillaje-en-avion/</x:v>
      </x:c>
      <x:c r="B2875" s="1" t="str">
        <x:v>puedo llevar enchinador de pestañas en equipaje de mano</x:v>
      </x:c>
      <x:c r="C2875" s="1" t="str">
        <x:v>mex</x:v>
      </x:c>
      <x:c r="D2875" s="1" t="str">
        <x:v>Sin marca</x:v>
      </x:c>
      <x:c r="E2875" s="35" t="n">
        <x:v>1</x:v>
      </x:c>
      <x:c r="F2875" s="36"/>
      <x:c r="G2875" s="36" t="str">
        <x:f>IF(ISNUMBER(F2875),E2875*F2875,"")</x:f>
      </x:c>
      <x:c r="H2875" s="37"/>
      <x:c r="I2875" s="37"/>
      <x:c r="J2875" s="1" t="n">
        <x:f>IF(ISNUMBER(F2875),E2875,0)</x:f>
        <x:v>0</x:v>
      </x:c>
      <x:c r="K2875" s="1"/>
      <x:c r="L2875" s="1"/>
      <x:c r="M2875" s="1"/>
    </x:row>
    <x:row r="2876" ht="18.75" customHeight="1">
      <x:c r="A2876" s="1" t="str">
        <x:v>https://blog.skyairline.com/maquillaje-en-avion/</x:v>
      </x:c>
      <x:c r="B2876" s="1" t="str">
        <x:v>puedo llevar mi maquillaje en el equipaje de mano</x:v>
      </x:c>
      <x:c r="C2876" s="1" t="str">
        <x:v>chl</x:v>
      </x:c>
      <x:c r="D2876" s="1" t="str">
        <x:v>Sin marca</x:v>
      </x:c>
      <x:c r="E2876" s="35" t="n">
        <x:v>1</x:v>
      </x:c>
      <x:c r="F2876" s="36"/>
      <x:c r="G2876" s="36" t="str">
        <x:f>IF(ISNUMBER(F2876),E2876*F2876,"")</x:f>
      </x:c>
      <x:c r="H2876" s="37"/>
      <x:c r="I2876" s="37"/>
      <x:c r="J2876" s="1" t="n">
        <x:f>IF(ISNUMBER(F2876),E2876,0)</x:f>
        <x:v>0</x:v>
      </x:c>
      <x:c r="K2876" s="1"/>
      <x:c r="L2876" s="1"/>
      <x:c r="M2876" s="1"/>
    </x:row>
    <x:row r="2877" ht="18.75" customHeight="1">
      <x:c r="A2877" s="1" t="str">
        <x:v>https://blog.skyairline.com/maquillaje-en-avion/</x:v>
      </x:c>
      <x:c r="B2877" s="1" t="str">
        <x:v>puedo llevar un perfilador de cejas en el avion</x:v>
      </x:c>
      <x:c r="C2877" s="1" t="str">
        <x:v>chl</x:v>
      </x:c>
      <x:c r="D2877" s="1" t="str">
        <x:v>Sin marca</x:v>
      </x:c>
      <x:c r="E2877" s="35" t="n">
        <x:v>1</x:v>
      </x:c>
      <x:c r="F2877" s="36"/>
      <x:c r="G2877" s="36" t="str">
        <x:f>IF(ISNUMBER(F2877),E2877*F2877,"")</x:f>
      </x:c>
      <x:c r="H2877" s="37"/>
      <x:c r="I2877" s="37"/>
      <x:c r="J2877" s="1" t="n">
        <x:f>IF(ISNUMBER(F2877),E2877,0)</x:f>
        <x:v>0</x:v>
      </x:c>
      <x:c r="K2877" s="1"/>
      <x:c r="L2877" s="1"/>
      <x:c r="M2877" s="1"/>
    </x:row>
    <x:row r="2878" ht="18.75" customHeight="1">
      <x:c r="A2878" s="1" t="str">
        <x:v>https://blog.skyairline.com/maquillaje-en-avion/</x:v>
      </x:c>
      <x:c r="B2878" s="1" t="str">
        <x:v>que maquillaje puedo llevar en el avion</x:v>
      </x:c>
      <x:c r="C2878" s="1" t="str">
        <x:v>per</x:v>
      </x:c>
      <x:c r="D2878" s="1" t="str">
        <x:v>Sin marca</x:v>
      </x:c>
      <x:c r="E2878" s="35" t="n">
        <x:v>1</x:v>
      </x:c>
      <x:c r="F2878" s="36"/>
      <x:c r="G2878" s="36" t="str">
        <x:f>IF(ISNUMBER(F2878),E2878*F2878,"")</x:f>
      </x:c>
      <x:c r="H2878" s="37" t="d">
        <x:v>2026-10-15T00:00:00.000Z</x:v>
      </x:c>
      <x:c r="I2878" s="37" t="d">
        <x:v>2026-10-15T18:33:15.000Z</x:v>
      </x:c>
      <x:c r="J2878" s="1" t="n">
        <x:f>IF(ISNUMBER(F2878),E2878,0)</x:f>
        <x:v>0</x:v>
      </x:c>
      <x:c r="K2878" s="1"/>
      <x:c r="L2878" s="1"/>
      <x:c r="M2878" s="1"/>
    </x:row>
    <x:row r="2879" ht="18.75" customHeight="1">
      <x:c r="A2879" s="1" t="str">
        <x:v>https://blog.skyairline.com/maquillaje-en-avion/</x:v>
      </x:c>
      <x:c r="B2879" s="1" t="str">
        <x:v>que maquillaje se puede llevar en el avion</x:v>
      </x:c>
      <x:c r="C2879" s="1" t="str">
        <x:v>chl</x:v>
      </x:c>
      <x:c r="D2879" s="1" t="str">
        <x:v>Sin marca</x:v>
      </x:c>
      <x:c r="E2879" s="35" t="n">
        <x:v>1</x:v>
      </x:c>
      <x:c r="F2879" s="36"/>
      <x:c r="G2879" s="36" t="str">
        <x:f>IF(ISNUMBER(F2879),E2879*F2879,"")</x:f>
      </x:c>
      <x:c r="H2879" s="37" t="d">
        <x:v>2026-10-15T00:00:00.000Z</x:v>
      </x:c>
      <x:c r="I2879" s="37" t="d">
        <x:v>2026-09-12T21:57:22.000Z</x:v>
      </x:c>
      <x:c r="J2879" s="1" t="n">
        <x:f>IF(ISNUMBER(F2879),E2879,0)</x:f>
        <x:v>0</x:v>
      </x:c>
      <x:c r="K2879" s="1"/>
      <x:c r="L2879" s="1"/>
      <x:c r="M2879" s="1"/>
    </x:row>
    <x:row r="2880" ht="18.75" customHeight="1">
      <x:c r="A2880" s="1" t="str">
        <x:v>https://blog.skyairline.com/maquillaje-en-avion/</x:v>
      </x:c>
      <x:c r="B2880" s="1" t="str">
        <x:v>que tipo de maquillaje puedo llevar en el avion</x:v>
      </x:c>
      <x:c r="C2880" s="1" t="str">
        <x:v>chl</x:v>
      </x:c>
      <x:c r="D2880" s="1" t="str">
        <x:v>Sin marca</x:v>
      </x:c>
      <x:c r="E2880" s="35" t="n">
        <x:v>1</x:v>
      </x:c>
      <x:c r="F2880" s="36"/>
      <x:c r="G2880" s="36" t="str">
        <x:f>IF(ISNUMBER(F2880),E2880*F2880,"")</x:f>
      </x:c>
      <x:c r="H2880" s="37"/>
      <x:c r="I2880" s="37"/>
      <x:c r="J2880" s="1" t="n">
        <x:f>IF(ISNUMBER(F2880),E2880,0)</x:f>
        <x:v>0</x:v>
      </x:c>
      <x:c r="K2880" s="1"/>
      <x:c r="L2880" s="1"/>
      <x:c r="M2880" s="1"/>
    </x:row>
    <x:row r="2881" ht="18.75" customHeight="1">
      <x:c r="A2881" s="1" t="str">
        <x:v>https://blog.skyairline.com/maquillaje-en-avion/</x:v>
      </x:c>
      <x:c r="B2881" s="1" t="str">
        <x:v>se puede llevar arqueador de pestañas en el avion</x:v>
      </x:c>
      <x:c r="C2881" s="1" t="str">
        <x:v>arg</x:v>
      </x:c>
      <x:c r="D2881" s="1" t="str">
        <x:v>Sin marca</x:v>
      </x:c>
      <x:c r="E2881" s="35" t="n">
        <x:v>1</x:v>
      </x:c>
      <x:c r="F2881" s="36"/>
      <x:c r="G2881" s="36" t="str">
        <x:f>IF(ISNUMBER(F2881),E2881*F2881,"")</x:f>
      </x:c>
      <x:c r="H2881" s="37"/>
      <x:c r="I2881" s="37"/>
      <x:c r="J2881" s="1" t="n">
        <x:f>IF(ISNUMBER(F2881),E2881,0)</x:f>
        <x:v>0</x:v>
      </x:c>
      <x:c r="K2881" s="1"/>
      <x:c r="L2881" s="1"/>
      <x:c r="M2881" s="1"/>
    </x:row>
    <x:row r="2882" ht="18.75" customHeight="1">
      <x:c r="A2882" s="1" t="str">
        <x:v>https://blog.skyairline.com/maquillaje-en-avion/</x:v>
      </x:c>
      <x:c r="B2882" s="1" t="str">
        <x:v>se puede llevar encrespador en el avion</x:v>
      </x:c>
      <x:c r="C2882" s="1" t="str">
        <x:v>chl</x:v>
      </x:c>
      <x:c r="D2882" s="1" t="str">
        <x:v>Sin marca</x:v>
      </x:c>
      <x:c r="E2882" s="35" t="n">
        <x:v>1</x:v>
      </x:c>
      <x:c r="F2882" s="36"/>
      <x:c r="G2882" s="36" t="str">
        <x:f>IF(ISNUMBER(F2882),E2882*F2882,"")</x:f>
      </x:c>
      <x:c r="H2882" s="37"/>
      <x:c r="I2882" s="37"/>
      <x:c r="J2882" s="1" t="n">
        <x:f>IF(ISNUMBER(F2882),E2882,0)</x:f>
        <x:v>0</x:v>
      </x:c>
      <x:c r="K2882" s="1"/>
      <x:c r="L2882" s="1"/>
      <x:c r="M2882" s="1"/>
    </x:row>
    <x:row r="2883" ht="18.75" customHeight="1">
      <x:c r="A2883" s="1" t="str">
        <x:v>https://blog.skyairline.com/maquillaje-en-avion/</x:v>
      </x:c>
      <x:c r="B2883" s="1" t="str">
        <x:v>se puede llevar maquillaje en el avion</x:v>
      </x:c>
      <x:c r="C2883" s="1" t="str">
        <x:v>per</x:v>
      </x:c>
      <x:c r="D2883" s="1" t="str">
        <x:v>Sin marca</x:v>
      </x:c>
      <x:c r="E2883" s="35" t="n">
        <x:v>1</x:v>
      </x:c>
      <x:c r="F2883" s="36"/>
      <x:c r="G2883" s="36" t="str">
        <x:f>IF(ISNUMBER(F2883),E2883*F2883,"")</x:f>
      </x:c>
      <x:c r="H2883" s="37"/>
      <x:c r="I2883" s="37"/>
      <x:c r="J2883" s="1" t="n">
        <x:f>IF(ISNUMBER(F2883),E2883,0)</x:f>
        <x:v>0</x:v>
      </x:c>
      <x:c r="K2883" s="1"/>
      <x:c r="L2883" s="1"/>
      <x:c r="M2883" s="1"/>
    </x:row>
    <x:row r="2884" ht="18.75" customHeight="1">
      <x:c r="A2884" s="1" t="str">
        <x:v>https://blog.skyairline.com/maquillaje-en-avion/</x:v>
      </x:c>
      <x:c r="B2884" s="1" t="str">
        <x:v>se puede llevar maquillaje en el equipaje de mano</x:v>
      </x:c>
      <x:c r="C2884" s="1" t="str">
        <x:v>per</x:v>
      </x:c>
      <x:c r="D2884" s="1" t="str">
        <x:v>Sin marca</x:v>
      </x:c>
      <x:c r="E2884" s="35" t="n">
        <x:v>1</x:v>
      </x:c>
      <x:c r="F2884" s="36"/>
      <x:c r="G2884" s="36" t="str">
        <x:f>IF(ISNUMBER(F2884),E2884*F2884,"")</x:f>
      </x:c>
      <x:c r="H2884" s="37" t="d">
        <x:v>2026-10-15T00:00:00.000Z</x:v>
      </x:c>
      <x:c r="I2884" s="37" t="d">
        <x:v>2026-09-14T11:09:14.000Z</x:v>
      </x:c>
      <x:c r="J2884" s="1" t="n">
        <x:f>IF(ISNUMBER(F2884),E2884,0)</x:f>
        <x:v>0</x:v>
      </x:c>
      <x:c r="K2884" s="1"/>
      <x:c r="L2884" s="1"/>
      <x:c r="M2884" s="1"/>
    </x:row>
    <x:row r="2885" ht="18.75" customHeight="1">
      <x:c r="A2885" s="1" t="str">
        <x:v>https://blog.skyairline.com/maquillaje-en-avion/</x:v>
      </x:c>
      <x:c r="B2885" s="1" t="str">
        <x:v>se puede llevar maquillaje en el equipaje de mano latam</x:v>
      </x:c>
      <x:c r="C2885" s="1" t="str">
        <x:v>chl</x:v>
      </x:c>
      <x:c r="D2885" s="1" t="str">
        <x:v>Sin marca</x:v>
      </x:c>
      <x:c r="E2885" s="35" t="n">
        <x:v>1</x:v>
      </x:c>
      <x:c r="F2885" s="36"/>
      <x:c r="G2885" s="36" t="str">
        <x:f>IF(ISNUMBER(F2885),E2885*F2885,"")</x:f>
      </x:c>
      <x:c r="H2885" s="37" t="d">
        <x:v>2026-10-15T00:00:00.000Z</x:v>
      </x:c>
      <x:c r="I2885" s="37" t="d">
        <x:v>2026-09-17T09:39:00.999Z</x:v>
      </x:c>
      <x:c r="J2885" s="1" t="n">
        <x:f>IF(ISNUMBER(F2885),E2885,0)</x:f>
        <x:v>0</x:v>
      </x:c>
      <x:c r="K2885" s="1"/>
      <x:c r="L2885" s="1"/>
      <x:c r="M2885" s="1"/>
    </x:row>
    <x:row r="2886" ht="18.75" customHeight="1">
      <x:c r="A2886" s="1" t="str">
        <x:v>https://blog.skyairline.com/maquillaje-en-avion/</x:v>
      </x:c>
      <x:c r="B2886" s="1" t="str">
        <x:v>se pueden llevar maquillajes en el avion</x:v>
      </x:c>
      <x:c r="C2886" s="1" t="str">
        <x:v>chl</x:v>
      </x:c>
      <x:c r="D2886" s="1" t="str">
        <x:v>Sin marca</x:v>
      </x:c>
      <x:c r="E2886" s="35" t="n">
        <x:v>1</x:v>
      </x:c>
      <x:c r="F2886" s="36"/>
      <x:c r="G2886" s="36" t="str">
        <x:f>IF(ISNUMBER(F2886),E2886*F2886,"")</x:f>
      </x:c>
      <x:c r="H2886" s="37"/>
      <x:c r="I2886" s="37"/>
      <x:c r="J2886" s="1" t="n">
        <x:f>IF(ISNUMBER(F2886),E2886,0)</x:f>
        <x:v>0</x:v>
      </x:c>
      <x:c r="K2886" s="1"/>
      <x:c r="L2886" s="1"/>
      <x:c r="M2886" s="1"/>
    </x:row>
    <x:row r="2887" ht="18.75" customHeight="1">
      <x:c r="A2887" s="1" t="str">
        <x:v>https://blog.skyairline.com/maquillaje-en-avion/</x:v>
      </x:c>
      <x:c r="B2887" s="1" t="str">
        <x:v>se pueden llevar toallitas desmaquillantes en el avion</x:v>
      </x:c>
      <x:c r="C2887" s="1" t="str">
        <x:v>per</x:v>
      </x:c>
      <x:c r="D2887" s="1" t="str">
        <x:v>Sin marca</x:v>
      </x:c>
      <x:c r="E2887" s="35" t="n">
        <x:v>1</x:v>
      </x:c>
      <x:c r="F2887" s="36"/>
      <x:c r="G2887" s="36" t="str">
        <x:f>IF(ISNUMBER(F2887),E2887*F2887,"")</x:f>
      </x:c>
      <x:c r="H2887" s="37"/>
      <x:c r="I2887" s="37"/>
      <x:c r="J2887" s="1" t="n">
        <x:f>IF(ISNUMBER(F2887),E2887,0)</x:f>
        <x:v>0</x:v>
      </x:c>
      <x:c r="K2887" s="1"/>
      <x:c r="L2887" s="1"/>
      <x:c r="M2887" s="1"/>
    </x:row>
    <x:row r="2888" ht="18.75" customHeight="1">
      <x:c r="A2888" s="1" t="str">
        <x:v>https://blog.skyairline.com/mas-de-17-mil-toneladas-viajaron-por-el-cielo-con-sky-carga-2/</x:v>
      </x:c>
      <x:c r="B2888" s="1" t="str">
        <x:v>sky cargo perú</x:v>
      </x:c>
      <x:c r="C2888" s="1" t="str">
        <x:v>per</x:v>
      </x:c>
      <x:c r="D2888" s="1" t="str">
        <x:v>Marca</x:v>
      </x:c>
      <x:c r="E2888" s="35" t="n">
        <x:v>1</x:v>
      </x:c>
      <x:c r="F2888" s="36" t="n">
        <x:v>0.48</x:v>
      </x:c>
      <x:c r="G2888" s="36" t="n">
        <x:f>IF(ISNUMBER(F2888),E2888*F2888,"")</x:f>
        <x:v>0.48</x:v>
      </x:c>
      <x:c r="H2888" s="37" t="d">
        <x:v>2026-10-15T00:00:00.000Z</x:v>
      </x:c>
      <x:c r="I2888" s="37" t="d">
        <x:v>2026-10-15T19:18:08.000Z</x:v>
      </x:c>
      <x:c r="J2888" s="1" t="n">
        <x:f>IF(ISNUMBER(F2888),E2888,0)</x:f>
        <x:v>1</x:v>
      </x:c>
      <x:c r="K2888" s="1"/>
      <x:c r="L2888" s="1"/>
      <x:c r="M2888" s="1"/>
    </x:row>
    <x:row r="2889" ht="18.75" customHeight="1">
      <x:c r="A2889" s="1" t="str">
        <x:v>https://blog.skyairline.com/mascotas-en-cabina/</x:v>
      </x:c>
      <x:c r="B2889" s="1" t="str">
        <x:v>aerolineas mascotas</x:v>
      </x:c>
      <x:c r="C2889" s="1" t="str">
        <x:v>chl</x:v>
      </x:c>
      <x:c r="D2889" s="1" t="str">
        <x:v>Sin marca</x:v>
      </x:c>
      <x:c r="E2889" s="35" t="n">
        <x:v>1</x:v>
      </x:c>
      <x:c r="F2889" s="36"/>
      <x:c r="G2889" s="36" t="str">
        <x:f>IF(ISNUMBER(F2889),E2889*F2889,"")</x:f>
      </x:c>
      <x:c r="H2889" s="37" t="d">
        <x:v>2026-10-15T00:00:00.000Z</x:v>
      </x:c>
      <x:c r="I2889" s="37" t="d">
        <x:v>2026-09-12T19:49:14.000Z</x:v>
      </x:c>
      <x:c r="J2889" s="1" t="n">
        <x:f>IF(ISNUMBER(F2889),E2889,0)</x:f>
        <x:v>0</x:v>
      </x:c>
      <x:c r="K2889" s="1"/>
      <x:c r="L2889" s="1"/>
      <x:c r="M2889" s="1"/>
    </x:row>
    <x:row r="2890" ht="18.75" customHeight="1">
      <x:c r="A2890" s="1" t="str">
        <x:v>https://blog.skyairline.com/mascotas-en-cabina/</x:v>
      </x:c>
      <x:c r="B2890" s="1" t="str">
        <x:v>cuanto cuesta</x:v>
      </x:c>
      <x:c r="C2890" s="1" t="str">
        <x:v>arg</x:v>
      </x:c>
      <x:c r="D2890" s="1" t="str">
        <x:v>Sin marca</x:v>
      </x:c>
      <x:c r="E2890" s="35" t="n">
        <x:v>1</x:v>
      </x:c>
      <x:c r="F2890" s="36"/>
      <x:c r="G2890" s="36" t="str">
        <x:f>IF(ISNUMBER(F2890),E2890*F2890,"")</x:f>
      </x:c>
      <x:c r="H2890" s="37"/>
      <x:c r="I2890" s="37"/>
      <x:c r="J2890" s="1" t="n">
        <x:f>IF(ISNUMBER(F2890),E2890,0)</x:f>
        <x:v>0</x:v>
      </x:c>
      <x:c r="K2890" s="1"/>
      <x:c r="L2890" s="1"/>
      <x:c r="M2890" s="1"/>
    </x:row>
    <x:row r="2891" ht="18.75" customHeight="1">
      <x:c r="A2891" s="1" t="str">
        <x:v>https://blog.skyairline.com/mascotas-en-cabina/</x:v>
      </x:c>
      <x:c r="B2891" s="1" t="str">
        <x:v>cuanto sale llevar un perro en avion</x:v>
      </x:c>
      <x:c r="C2891" s="1" t="str">
        <x:v>chl</x:v>
      </x:c>
      <x:c r="D2891" s="1" t="str">
        <x:v>Sin marca</x:v>
      </x:c>
      <x:c r="E2891" s="35" t="n">
        <x:v>1</x:v>
      </x:c>
      <x:c r="F2891" s="36"/>
      <x:c r="G2891" s="36" t="str">
        <x:f>IF(ISNUMBER(F2891),E2891*F2891,"")</x:f>
      </x:c>
      <x:c r="H2891" s="37"/>
      <x:c r="I2891" s="37"/>
      <x:c r="J2891" s="1" t="n">
        <x:f>IF(ISNUMBER(F2891),E2891,0)</x:f>
        <x:v>0</x:v>
      </x:c>
      <x:c r="K2891" s="1"/>
      <x:c r="L2891" s="1"/>
      <x:c r="M2891" s="1"/>
    </x:row>
    <x:row r="2892" ht="18.75" customHeight="1">
      <x:c r="A2892" s="1" t="str">
        <x:v>https://blog.skyairline.com/mascotas-en-cabina/</x:v>
      </x:c>
      <x:c r="B2892" s="1" t="str">
        <x:v>cuanto sale traer un perro en avion</x:v>
      </x:c>
      <x:c r="C2892" s="1" t="str">
        <x:v>chl</x:v>
      </x:c>
      <x:c r="D2892" s="1" t="str">
        <x:v>Sin marca</x:v>
      </x:c>
      <x:c r="E2892" s="35" t="n">
        <x:v>1</x:v>
      </x:c>
      <x:c r="F2892" s="36"/>
      <x:c r="G2892" s="36" t="str">
        <x:f>IF(ISNUMBER(F2892),E2892*F2892,"")</x:f>
      </x:c>
      <x:c r="H2892" s="37" t="d">
        <x:v>2026-10-15T00:00:00.000Z</x:v>
      </x:c>
      <x:c r="I2892" s="37" t="d">
        <x:v>2026-09-17T22:36:21.000Z</x:v>
      </x:c>
      <x:c r="J2892" s="1" t="n">
        <x:f>IF(ISNUMBER(F2892),E2892,0)</x:f>
        <x:v>0</x:v>
      </x:c>
      <x:c r="K2892" s="1"/>
      <x:c r="L2892" s="1"/>
      <x:c r="M2892" s="1"/>
    </x:row>
    <x:row r="2893" ht="18.75" customHeight="1">
      <x:c r="A2893" s="1" t="str">
        <x:v>https://blog.skyairline.com/mascotas-en-cabina/</x:v>
      </x:c>
      <x:c r="B2893" s="1" t="str">
        <x:v>en cabina</x:v>
      </x:c>
      <x:c r="C2893" s="1" t="str">
        <x:v>chl</x:v>
      </x:c>
      <x:c r="D2893" s="1" t="str">
        <x:v>Sin marca</x:v>
      </x:c>
      <x:c r="E2893" s="35" t="n">
        <x:v>1</x:v>
      </x:c>
      <x:c r="F2893" s="36"/>
      <x:c r="G2893" s="36" t="str">
        <x:f>IF(ISNUMBER(F2893),E2893*F2893,"")</x:f>
      </x:c>
      <x:c r="H2893" s="37"/>
      <x:c r="I2893" s="37"/>
      <x:c r="J2893" s="1" t="n">
        <x:f>IF(ISNUMBER(F2893),E2893,0)</x:f>
        <x:v>0</x:v>
      </x:c>
      <x:c r="K2893" s="1"/>
      <x:c r="L2893" s="1"/>
      <x:c r="M2893" s="1"/>
    </x:row>
    <x:row r="2894" ht="18.75" customHeight="1">
      <x:c r="A2894" s="1" t="str">
        <x:v>https://blog.skyairline.com/mascotas-en-cabina/</x:v>
      </x:c>
      <x:c r="B2894" s="1" t="str">
        <x:v>mascota en cabina</x:v>
      </x:c>
      <x:c r="C2894" s="1" t="str">
        <x:v>chl</x:v>
      </x:c>
      <x:c r="D2894" s="1" t="str">
        <x:v>Sin marca</x:v>
      </x:c>
      <x:c r="E2894" s="35" t="n">
        <x:v>1</x:v>
      </x:c>
      <x:c r="F2894" s="36"/>
      <x:c r="G2894" s="36" t="str">
        <x:f>IF(ISNUMBER(F2894),E2894*F2894,"")</x:f>
      </x:c>
      <x:c r="H2894" s="37" t="d">
        <x:v>2026-10-15T00:00:00.000Z</x:v>
      </x:c>
      <x:c r="I2894" s="37" t="d">
        <x:v>2026-09-14T10:10:10.000Z</x:v>
      </x:c>
      <x:c r="J2894" s="1" t="n">
        <x:f>IF(ISNUMBER(F2894),E2894,0)</x:f>
        <x:v>0</x:v>
      </x:c>
      <x:c r="K2894" s="1"/>
      <x:c r="L2894" s="1"/>
      <x:c r="M2894" s="1"/>
    </x:row>
    <x:row r="2895" ht="18.75" customHeight="1">
      <x:c r="A2895" s="1" t="str">
        <x:v>https://blog.skyairline.com/mascotas-en-cabina/</x:v>
      </x:c>
      <x:c r="B2895" s="1" t="str">
        <x:v>mascota en cabina sky</x:v>
      </x:c>
      <x:c r="C2895" s="1" t="str">
        <x:v>che</x:v>
      </x:c>
      <x:c r="D2895" s="1" t="str">
        <x:v>Marca</x:v>
      </x:c>
      <x:c r="E2895" s="35" t="n">
        <x:v>1</x:v>
      </x:c>
      <x:c r="F2895" s="36"/>
      <x:c r="G2895" s="36" t="str">
        <x:f>IF(ISNUMBER(F2895),E2895*F2895,"")</x:f>
      </x:c>
      <x:c r="H2895" s="37"/>
      <x:c r="I2895" s="37"/>
      <x:c r="J2895" s="1" t="n">
        <x:f>IF(ISNUMBER(F2895),E2895,0)</x:f>
        <x:v>0</x:v>
      </x:c>
      <x:c r="K2895" s="1"/>
      <x:c r="L2895" s="1"/>
      <x:c r="M2895" s="1"/>
    </x:row>
    <x:row r="2896" ht="18.75" customHeight="1">
      <x:c r="A2896" s="1" t="str">
        <x:v>https://blog.skyairline.com/mascotas-en-cabina/</x:v>
      </x:c>
      <x:c r="B2896" s="1" t="str">
        <x:v>mascotas en cabina</x:v>
      </x:c>
      <x:c r="C2896" s="1" t="str">
        <x:v>chl</x:v>
      </x:c>
      <x:c r="D2896" s="1" t="str">
        <x:v>Sin marca</x:v>
      </x:c>
      <x:c r="E2896" s="35" t="n">
        <x:v>1</x:v>
      </x:c>
      <x:c r="F2896" s="36"/>
      <x:c r="G2896" s="36" t="str">
        <x:f>IF(ISNUMBER(F2896),E2896*F2896,"")</x:f>
      </x:c>
      <x:c r="H2896" s="37" t="d">
        <x:v>2026-10-15T00:00:00.000Z</x:v>
      </x:c>
      <x:c r="I2896" s="37" t="d">
        <x:v>2026-09-14T10:14:38.000Z</x:v>
      </x:c>
      <x:c r="J2896" s="1" t="n">
        <x:f>IF(ISNUMBER(F2896),E2896,0)</x:f>
        <x:v>0</x:v>
      </x:c>
      <x:c r="K2896" s="1"/>
      <x:c r="L2896" s="1"/>
      <x:c r="M2896" s="1"/>
    </x:row>
    <x:row r="2897" ht="18.75" customHeight="1">
      <x:c r="A2897" s="1" t="str">
        <x:v>https://blog.skyairline.com/mascotas-en-cabina/</x:v>
      </x:c>
      <x:c r="B2897" s="1" t="str">
        <x:v>mascotas sky</x:v>
      </x:c>
      <x:c r="C2897" s="1" t="str">
        <x:v>chl</x:v>
      </x:c>
      <x:c r="D2897" s="1" t="str">
        <x:v>Marca</x:v>
      </x:c>
      <x:c r="E2897" s="35" t="n">
        <x:v>1</x:v>
      </x:c>
      <x:c r="F2897" s="36"/>
      <x:c r="G2897" s="36" t="str">
        <x:f>IF(ISNUMBER(F2897),E2897*F2897,"")</x:f>
      </x:c>
      <x:c r="H2897" s="37" t="d">
        <x:v>2026-10-15T00:00:00.000Z</x:v>
      </x:c>
      <x:c r="I2897" s="37" t="d">
        <x:v>2026-09-16T09:56:50.000Z</x:v>
      </x:c>
      <x:c r="J2897" s="1" t="n">
        <x:f>IF(ISNUMBER(F2897),E2897,0)</x:f>
        <x:v>0</x:v>
      </x:c>
      <x:c r="K2897" s="1"/>
      <x:c r="L2897" s="1"/>
      <x:c r="M2897" s="1"/>
    </x:row>
    <x:row r="2898" ht="18.75" customHeight="1">
      <x:c r="A2898" s="1" t="str">
        <x:v>https://blog.skyairline.com/mascotas-en-cabina/</x:v>
      </x:c>
      <x:c r="B2898" s="1" t="str">
        <x:v>mascotas sky</x:v>
      </x:c>
      <x:c r="C2898" s="1" t="str">
        <x:v>per</x:v>
      </x:c>
      <x:c r="D2898" s="1" t="str">
        <x:v>Marca</x:v>
      </x:c>
      <x:c r="E2898" s="35" t="n">
        <x:v>1</x:v>
      </x:c>
      <x:c r="F2898" s="36"/>
      <x:c r="G2898" s="36" t="str">
        <x:f>IF(ISNUMBER(F2898),E2898*F2898,"")</x:f>
      </x:c>
      <x:c r="H2898" s="37" t="d">
        <x:v>2026-10-15T00:00:00.000Z</x:v>
      </x:c>
      <x:c r="I2898" s="37" t="d">
        <x:v>2026-09-13T15:44:36.000Z</x:v>
      </x:c>
      <x:c r="J2898" s="1" t="n">
        <x:f>IF(ISNUMBER(F2898),E2898,0)</x:f>
        <x:v>0</x:v>
      </x:c>
      <x:c r="K2898" s="1"/>
      <x:c r="L2898" s="1"/>
      <x:c r="M2898" s="1"/>
    </x:row>
    <x:row r="2899" ht="18.75" customHeight="1">
      <x:c r="A2899" s="1" t="str">
        <x:v>https://blog.skyairline.com/mascotas-en-cabina/</x:v>
      </x:c>
      <x:c r="B2899" s="1" t="str">
        <x:v>mi perro pesa 10 kilos</x:v>
      </x:c>
      <x:c r="C2899" s="1" t="str">
        <x:v>per</x:v>
      </x:c>
      <x:c r="D2899" s="1" t="str">
        <x:v>Sin marca</x:v>
      </x:c>
      <x:c r="E2899" s="35" t="n">
        <x:v>1</x:v>
      </x:c>
      <x:c r="F2899" s="36"/>
      <x:c r="G2899" s="36" t="str">
        <x:f>IF(ISNUMBER(F2899),E2899*F2899,"")</x:f>
      </x:c>
      <x:c r="H2899" s="37"/>
      <x:c r="I2899" s="37"/>
      <x:c r="J2899" s="1" t="n">
        <x:f>IF(ISNUMBER(F2899),E2899,0)</x:f>
        <x:v>0</x:v>
      </x:c>
      <x:c r="K2899" s="1"/>
      <x:c r="L2899" s="1"/>
      <x:c r="M2899" s="1"/>
    </x:row>
    <x:row r="2900" ht="18.75" customHeight="1">
      <x:c r="A2900" s="1" t="str">
        <x:v>https://blog.skyairline.com/mascotas-en-cabina/</x:v>
      </x:c>
      <x:c r="B2900" s="1" t="str">
        <x:v>santiago</x:v>
      </x:c>
      <x:c r="C2900" s="1" t="str">
        <x:v>chl</x:v>
      </x:c>
      <x:c r="D2900" s="1" t="str">
        <x:v>Sin marca</x:v>
      </x:c>
      <x:c r="E2900" s="35" t="n">
        <x:v>1</x:v>
      </x:c>
      <x:c r="F2900" s="36" t="n">
        <x:v>0.24</x:v>
      </x:c>
      <x:c r="G2900" s="36" t="n">
        <x:f>IF(ISNUMBER(F2900),E2900*F2900,"")</x:f>
        <x:v>0.24</x:v>
      </x:c>
      <x:c r="H2900" s="37" t="d">
        <x:v>2026-10-15T00:00:00.000Z</x:v>
      </x:c>
      <x:c r="I2900" s="37" t="d">
        <x:v>2026-10-15T03:50:26.999Z</x:v>
      </x:c>
      <x:c r="J2900" s="1" t="n">
        <x:f>IF(ISNUMBER(F2900),E2900,0)</x:f>
        <x:v>1</x:v>
      </x:c>
      <x:c r="K2900" s="1"/>
      <x:c r="L2900" s="1"/>
      <x:c r="M2900" s="1"/>
    </x:row>
    <x:row r="2901" ht="18.75" customHeight="1">
      <x:c r="A2901" s="1" t="str">
        <x:v>https://blog.skyairline.com/mascotas-en-cabina/</x:v>
      </x:c>
      <x:c r="B2901" s="1" t="str">
        <x:v>se puede viajar con mascotas</x:v>
      </x:c>
      <x:c r="C2901" s="1" t="str">
        <x:v>chl</x:v>
      </x:c>
      <x:c r="D2901" s="1" t="str">
        <x:v>Sin marca</x:v>
      </x:c>
      <x:c r="E2901" s="35" t="n">
        <x:v>1</x:v>
      </x:c>
      <x:c r="F2901" s="36"/>
      <x:c r="G2901" s="36" t="str">
        <x:f>IF(ISNUMBER(F2901),E2901*F2901,"")</x:f>
      </x:c>
      <x:c r="H2901" s="37" t="d">
        <x:v>2026-10-15T00:00:00.000Z</x:v>
      </x:c>
      <x:c r="I2901" s="37" t="d">
        <x:v>2026-09-16T16:10:09.000Z</x:v>
      </x:c>
      <x:c r="J2901" s="1" t="n">
        <x:f>IF(ISNUMBER(F2901),E2901,0)</x:f>
        <x:v>0</x:v>
      </x:c>
      <x:c r="K2901" s="1"/>
      <x:c r="L2901" s="1"/>
      <x:c r="M2901" s="1"/>
    </x:row>
    <x:row r="2902" ht="18.75" customHeight="1">
      <x:c r="A2902" s="1" t="str">
        <x:v>https://blog.skyairline.com/mascotas-en-cabina/</x:v>
      </x:c>
      <x:c r="B2902" s="1" t="str">
        <x:v>sky</x:v>
      </x:c>
      <x:c r="C2902" s="1" t="str">
        <x:v>chl</x:v>
      </x:c>
      <x:c r="D2902" s="1" t="str">
        <x:v>Marca</x:v>
      </x:c>
      <x:c r="E2902" s="35" t="n">
        <x:v>1</x:v>
      </x:c>
      <x:c r="F2902" s="36" t="n">
        <x:v>0.27</x:v>
      </x:c>
      <x:c r="G2902" s="36" t="n">
        <x:f>IF(ISNUMBER(F2902),E2902*F2902,"")</x:f>
        <x:v>0.27</x:v>
      </x:c>
      <x:c r="H2902" s="37" t="d">
        <x:v>2026-10-15T00:00:00.000Z</x:v>
      </x:c>
      <x:c r="I2902" s="37" t="d">
        <x:v>2026-09-17T02:52:38.000Z</x:v>
      </x:c>
      <x:c r="J2902" s="1" t="n">
        <x:f>IF(ISNUMBER(F2902),E2902,0)</x:f>
        <x:v>1</x:v>
      </x:c>
      <x:c r="K2902" s="1"/>
      <x:c r="L2902" s="1"/>
      <x:c r="M2902" s="1"/>
    </x:row>
    <x:row r="2903" ht="18.75" customHeight="1">
      <x:c r="A2903" s="1" t="str">
        <x:v>https://blog.skyairline.com/mascotas-en-cabina/</x:v>
      </x:c>
      <x:c r="B2903" s="1" t="str">
        <x:v>sky</x:v>
      </x:c>
      <x:c r="C2903" s="1" t="str">
        <x:v>per</x:v>
      </x:c>
      <x:c r="D2903" s="1" t="str">
        <x:v>Marca</x:v>
      </x:c>
      <x:c r="E2903" s="35" t="n">
        <x:v>1</x:v>
      </x:c>
      <x:c r="F2903" s="36" t="n">
        <x:v>0.16</x:v>
      </x:c>
      <x:c r="G2903" s="36" t="n">
        <x:f>IF(ISNUMBER(F2903),E2903*F2903,"")</x:f>
        <x:v>0.16</x:v>
      </x:c>
      <x:c r="H2903" s="37" t="d">
        <x:v>2026-10-15T00:00:00.000Z</x:v>
      </x:c>
      <x:c r="I2903" s="37" t="d">
        <x:v>2026-09-15T03:38:50.000Z</x:v>
      </x:c>
      <x:c r="J2903" s="1" t="n">
        <x:f>IF(ISNUMBER(F2903),E2903,0)</x:f>
        <x:v>1</x:v>
      </x:c>
      <x:c r="K2903" s="1"/>
      <x:c r="L2903" s="1"/>
      <x:c r="M2903" s="1"/>
    </x:row>
    <x:row r="2904" ht="18.75" customHeight="1">
      <x:c r="A2904" s="1" t="str">
        <x:v>https://blog.skyairline.com/mascotas-en-cabina/</x:v>
      </x:c>
      <x:c r="B2904" s="1" t="str">
        <x:v>sky airline mascotas</x:v>
      </x:c>
      <x:c r="C2904" s="1" t="str">
        <x:v>arg</x:v>
      </x:c>
      <x:c r="D2904" s="1" t="str">
        <x:v>Marca</x:v>
      </x:c>
      <x:c r="E2904" s="35" t="n">
        <x:v>1</x:v>
      </x:c>
      <x:c r="F2904" s="36"/>
      <x:c r="G2904" s="36" t="str">
        <x:f>IF(ISNUMBER(F2904),E2904*F2904,"")</x:f>
      </x:c>
      <x:c r="H2904" s="37"/>
      <x:c r="I2904" s="37"/>
      <x:c r="J2904" s="1" t="n">
        <x:f>IF(ISNUMBER(F2904),E2904,0)</x:f>
        <x:v>0</x:v>
      </x:c>
      <x:c r="K2904" s="1"/>
      <x:c r="L2904" s="1"/>
      <x:c r="M2904" s="1"/>
    </x:row>
    <x:row r="2905" ht="18.75" customHeight="1">
      <x:c r="A2905" s="1" t="str">
        <x:v>https://blog.skyairline.com/mascotas-en-cabina/</x:v>
      </x:c>
      <x:c r="B2905" s="1" t="str">
        <x:v>sky airline mascotas</x:v>
      </x:c>
      <x:c r="C2905" s="1" t="str">
        <x:v>col</x:v>
      </x:c>
      <x:c r="D2905" s="1" t="str">
        <x:v>Marca</x:v>
      </x:c>
      <x:c r="E2905" s="35" t="n">
        <x:v>1</x:v>
      </x:c>
      <x:c r="F2905" s="36"/>
      <x:c r="G2905" s="36" t="str">
        <x:f>IF(ISNUMBER(F2905),E2905*F2905,"")</x:f>
      </x:c>
      <x:c r="H2905" s="37"/>
      <x:c r="I2905" s="37"/>
      <x:c r="J2905" s="1" t="n">
        <x:f>IF(ISNUMBER(F2905),E2905,0)</x:f>
        <x:v>0</x:v>
      </x:c>
      <x:c r="K2905" s="1"/>
      <x:c r="L2905" s="1"/>
      <x:c r="M2905" s="1"/>
    </x:row>
    <x:row r="2906" ht="18.75" customHeight="1">
      <x:c r="A2906" s="1" t="str">
        <x:v>https://blog.skyairline.com/mascotas-en-cabina/</x:v>
      </x:c>
      <x:c r="B2906" s="1" t="str">
        <x:v>sky airlines mascotas en cabina</x:v>
      </x:c>
      <x:c r="C2906" s="1" t="str">
        <x:v>per</x:v>
      </x:c>
      <x:c r="D2906" s="1" t="str">
        <x:v>Marca</x:v>
      </x:c>
      <x:c r="E2906" s="35" t="n">
        <x:v>1</x:v>
      </x:c>
      <x:c r="F2906" s="36"/>
      <x:c r="G2906" s="36" t="str">
        <x:f>IF(ISNUMBER(F2906),E2906*F2906,"")</x:f>
      </x:c>
      <x:c r="H2906" s="37" t="d">
        <x:v>2026-10-15T00:00:00.000Z</x:v>
      </x:c>
      <x:c r="I2906" s="37" t="d">
        <x:v>2026-09-14T22:22:33.000Z</x:v>
      </x:c>
      <x:c r="J2906" s="1" t="n">
        <x:f>IF(ISNUMBER(F2906),E2906,0)</x:f>
        <x:v>0</x:v>
      </x:c>
      <x:c r="K2906" s="1"/>
      <x:c r="L2906" s="1"/>
      <x:c r="M2906" s="1"/>
    </x:row>
    <x:row r="2907" ht="18.75" customHeight="1">
      <x:c r="A2907" s="1" t="str">
        <x:v>https://blog.skyairline.com/mascotas-en-cabina/</x:v>
      </x:c>
      <x:c r="B2907" s="1" t="str">
        <x:v>sky mascota en cabina</x:v>
      </x:c>
      <x:c r="C2907" s="1" t="str">
        <x:v>per</x:v>
      </x:c>
      <x:c r="D2907" s="1" t="str">
        <x:v>Marca</x:v>
      </x:c>
      <x:c r="E2907" s="35" t="n">
        <x:v>1</x:v>
      </x:c>
      <x:c r="F2907" s="36"/>
      <x:c r="G2907" s="36" t="str">
        <x:f>IF(ISNUMBER(F2907),E2907*F2907,"")</x:f>
      </x:c>
      <x:c r="H2907" s="37"/>
      <x:c r="I2907" s="37"/>
      <x:c r="J2907" s="1" t="n">
        <x:f>IF(ISNUMBER(F2907),E2907,0)</x:f>
        <x:v>0</x:v>
      </x:c>
      <x:c r="K2907" s="1"/>
      <x:c r="L2907" s="1"/>
      <x:c r="M2907" s="1"/>
    </x:row>
    <x:row r="2908" ht="18.75" customHeight="1">
      <x:c r="A2908" s="1" t="str">
        <x:v>https://blog.skyairline.com/mascotas-en-cabina/</x:v>
      </x:c>
      <x:c r="B2908" s="1" t="str">
        <x:v>sky requisitos para viajar con mascota</x:v>
      </x:c>
      <x:c r="C2908" s="1" t="str">
        <x:v>arg</x:v>
      </x:c>
      <x:c r="D2908" s="1" t="str">
        <x:v>Marca</x:v>
      </x:c>
      <x:c r="E2908" s="35" t="n">
        <x:v>1</x:v>
      </x:c>
      <x:c r="F2908" s="36"/>
      <x:c r="G2908" s="36" t="str">
        <x:f>IF(ISNUMBER(F2908),E2908*F2908,"")</x:f>
      </x:c>
      <x:c r="H2908" s="37"/>
      <x:c r="I2908" s="37"/>
      <x:c r="J2908" s="1" t="n">
        <x:f>IF(ISNUMBER(F2908),E2908,0)</x:f>
        <x:v>0</x:v>
      </x:c>
      <x:c r="K2908" s="1"/>
      <x:c r="L2908" s="1"/>
      <x:c r="M2908" s="1"/>
    </x:row>
    <x:row r="2909" ht="18.75" customHeight="1">
      <x:c r="A2909" s="1" t="str">
        <x:v>https://blog.skyairline.com/mascotas-en-cabina/</x:v>
      </x:c>
      <x:c r="B2909" s="1" t="str">
        <x:v>sky requisitos para viajar con mascota</x:v>
      </x:c>
      <x:c r="C2909" s="1" t="str">
        <x:v>per</x:v>
      </x:c>
      <x:c r="D2909" s="1" t="str">
        <x:v>Marca</x:v>
      </x:c>
      <x:c r="E2909" s="35" t="n">
        <x:v>1</x:v>
      </x:c>
      <x:c r="F2909" s="36"/>
      <x:c r="G2909" s="36" t="str">
        <x:f>IF(ISNUMBER(F2909),E2909*F2909,"")</x:f>
      </x:c>
      <x:c r="H2909" s="37"/>
      <x:c r="I2909" s="37"/>
      <x:c r="J2909" s="1" t="n">
        <x:f>IF(ISNUMBER(F2909),E2909,0)</x:f>
        <x:v>0</x:v>
      </x:c>
      <x:c r="K2909" s="1"/>
      <x:c r="L2909" s="1"/>
      <x:c r="M2909" s="1"/>
    </x:row>
    <x:row r="2910" ht="18.75" customHeight="1">
      <x:c r="A2910" s="1" t="str">
        <x:v>https://blog.skyairline.com/mascotas-en-cabina/</x:v>
      </x:c>
      <x:c r="B2910" s="1" t="str">
        <x:v>sky transporte de mascotas</x:v>
      </x:c>
      <x:c r="C2910" s="1" t="str">
        <x:v>chl</x:v>
      </x:c>
      <x:c r="D2910" s="1" t="str">
        <x:v>Marca</x:v>
      </x:c>
      <x:c r="E2910" s="35" t="n">
        <x:v>1</x:v>
      </x:c>
      <x:c r="F2910" s="36"/>
      <x:c r="G2910" s="36" t="str">
        <x:f>IF(ISNUMBER(F2910),E2910*F2910,"")</x:f>
      </x:c>
      <x:c r="H2910" s="37" t="d">
        <x:v>2026-10-15T00:00:00.000Z</x:v>
      </x:c>
      <x:c r="I2910" s="37" t="d">
        <x:v>2026-09-16T08:20:39.000Z</x:v>
      </x:c>
      <x:c r="J2910" s="1" t="n">
        <x:f>IF(ISNUMBER(F2910),E2910,0)</x:f>
        <x:v>0</x:v>
      </x:c>
      <x:c r="K2910" s="1"/>
      <x:c r="L2910" s="1"/>
      <x:c r="M2910" s="1"/>
    </x:row>
    <x:row r="2911" ht="18.75" customHeight="1">
      <x:c r="A2911" s="1" t="str">
        <x:v>https://blog.skyairline.com/mascotas-en-cabina/</x:v>
      </x:c>
      <x:c r="B2911" s="1" t="str">
        <x:v>sky transporte de mascotas</x:v>
      </x:c>
      <x:c r="C2911" s="1" t="str">
        <x:v>per</x:v>
      </x:c>
      <x:c r="D2911" s="1" t="str">
        <x:v>Marca</x:v>
      </x:c>
      <x:c r="E2911" s="35" t="n">
        <x:v>1</x:v>
      </x:c>
      <x:c r="F2911" s="36" t="n">
        <x:v>0.33</x:v>
      </x:c>
      <x:c r="G2911" s="36" t="n">
        <x:f>IF(ISNUMBER(F2911),E2911*F2911,"")</x:f>
        <x:v>0.33</x:v>
      </x:c>
      <x:c r="H2911" s="37" t="d">
        <x:v>2026-10-15T00:00:00.000Z</x:v>
      </x:c>
      <x:c r="I2911" s="37" t="d">
        <x:v>2026-09-15T18:06:42.000Z</x:v>
      </x:c>
      <x:c r="J2911" s="1" t="n">
        <x:f>IF(ISNUMBER(F2911),E2911,0)</x:f>
        <x:v>1</x:v>
      </x:c>
      <x:c r="K2911" s="1"/>
      <x:c r="L2911" s="1"/>
      <x:c r="M2911" s="1"/>
    </x:row>
    <x:row r="2912" ht="18.75" customHeight="1">
      <x:c r="A2912" s="1" t="str">
        <x:v>https://blog.skyairline.com/mascotas-en-cabina/</x:v>
      </x:c>
      <x:c r="B2912" s="1" t="str">
        <x:v>sky viajar con mascota</x:v>
      </x:c>
      <x:c r="C2912" s="1" t="str">
        <x:v>arg</x:v>
      </x:c>
      <x:c r="D2912" s="1" t="str">
        <x:v>Marca</x:v>
      </x:c>
      <x:c r="E2912" s="35" t="n">
        <x:v>1</x:v>
      </x:c>
      <x:c r="F2912" s="36"/>
      <x:c r="G2912" s="36" t="str">
        <x:f>IF(ISNUMBER(F2912),E2912*F2912,"")</x:f>
      </x:c>
      <x:c r="H2912" s="37"/>
      <x:c r="I2912" s="37"/>
      <x:c r="J2912" s="1" t="n">
        <x:f>IF(ISNUMBER(F2912),E2912,0)</x:f>
        <x:v>0</x:v>
      </x:c>
      <x:c r="K2912" s="1"/>
      <x:c r="L2912" s="1"/>
      <x:c r="M2912" s="1"/>
    </x:row>
    <x:row r="2913" ht="18.75" customHeight="1">
      <x:c r="A2913" s="1" t="str">
        <x:v>https://blog.skyairline.com/mascotas-en-cabina/</x:v>
      </x:c>
      <x:c r="B2913" s="1" t="str">
        <x:v>tamaño del bolso</x:v>
      </x:c>
      <x:c r="C2913" s="1" t="str">
        <x:v>chl</x:v>
      </x:c>
      <x:c r="D2913" s="1" t="str">
        <x:v>Sin marca</x:v>
      </x:c>
      <x:c r="E2913" s="35" t="n">
        <x:v>1</x:v>
      </x:c>
      <x:c r="F2913" s="36"/>
      <x:c r="G2913" s="36" t="str">
        <x:f>IF(ISNUMBER(F2913),E2913*F2913,"")</x:f>
      </x:c>
      <x:c r="H2913" s="37"/>
      <x:c r="I2913" s="37"/>
      <x:c r="J2913" s="1" t="n">
        <x:f>IF(ISNUMBER(F2913),E2913,0)</x:f>
        <x:v>0</x:v>
      </x:c>
      <x:c r="K2913" s="1"/>
      <x:c r="L2913" s="1"/>
      <x:c r="M2913" s="1"/>
    </x:row>
    <x:row r="2914" ht="18.75" customHeight="1">
      <x:c r="A2914" s="1" t="str">
        <x:v>https://blog.skyairline.com/mascotas-en-cabina/</x:v>
      </x:c>
      <x:c r="B2914" s="1" t="str">
        <x:v>viajar con mascotas sky</x:v>
      </x:c>
      <x:c r="C2914" s="1" t="str">
        <x:v>chl</x:v>
      </x:c>
      <x:c r="D2914" s="1" t="str">
        <x:v>Marca</x:v>
      </x:c>
      <x:c r="E2914" s="35" t="n">
        <x:v>1</x:v>
      </x:c>
      <x:c r="F2914" s="36"/>
      <x:c r="G2914" s="36" t="str">
        <x:f>IF(ISNUMBER(F2914),E2914*F2914,"")</x:f>
      </x:c>
      <x:c r="H2914" s="37" t="d">
        <x:v>2026-10-15T00:00:00.000Z</x:v>
      </x:c>
      <x:c r="I2914" s="37" t="d">
        <x:v>2026-09-17T20:24:33.000Z</x:v>
      </x:c>
      <x:c r="J2914" s="1" t="n">
        <x:f>IF(ISNUMBER(F2914),E2914,0)</x:f>
        <x:v>0</x:v>
      </x:c>
      <x:c r="K2914" s="1"/>
      <x:c r="L2914" s="1"/>
      <x:c r="M2914" s="1"/>
    </x:row>
    <x:row r="2915" ht="18.75" customHeight="1">
      <x:c r="A2915" s="1" t="str">
        <x:v>https://blog.skyairline.com/mascotas-en-cabina/</x:v>
      </x:c>
      <x:c r="B2915" s="1" t="str">
        <x:v>viajar con mi perro en cabina</x:v>
      </x:c>
      <x:c r="C2915" s="1" t="str">
        <x:v>chl</x:v>
      </x:c>
      <x:c r="D2915" s="1" t="str">
        <x:v>Sin marca</x:v>
      </x:c>
      <x:c r="E2915" s="35" t="n">
        <x:v>1</x:v>
      </x:c>
      <x:c r="F2915" s="36" t="n">
        <x:v>0.5</x:v>
      </x:c>
      <x:c r="G2915" s="36" t="n">
        <x:f>IF(ISNUMBER(F2915),E2915*F2915,"")</x:f>
        <x:v>0.5</x:v>
      </x:c>
      <x:c r="H2915" s="37" t="d">
        <x:v>2026-10-15T00:00:00.000Z</x:v>
      </x:c>
      <x:c r="I2915" s="37" t="d">
        <x:v>2026-09-16T08:30:37.000Z</x:v>
      </x:c>
      <x:c r="J2915" s="1" t="n">
        <x:f>IF(ISNUMBER(F2915),E2915,0)</x:f>
        <x:v>1</x:v>
      </x:c>
      <x:c r="K2915" s="1"/>
      <x:c r="L2915" s="1"/>
      <x:c r="M2915" s="1"/>
    </x:row>
    <x:row r="2916" ht="18.75" customHeight="1">
      <x:c r="A2916" s="1" t="str">
        <x:v>https://blog.skyairline.com/mejor-fecha-para-viajar-a-tarapoto/</x:v>
      </x:c>
      <x:c r="B2916" s="1" t="str">
        <x:v>fechas para viajar a tarapoto</x:v>
      </x:c>
      <x:c r="C2916" s="1" t="str">
        <x:v>per</x:v>
      </x:c>
      <x:c r="D2916" s="1" t="str">
        <x:v>Sin marca</x:v>
      </x:c>
      <x:c r="E2916" s="35" t="n">
        <x:v>1</x:v>
      </x:c>
      <x:c r="F2916" s="36"/>
      <x:c r="G2916" s="36" t="str">
        <x:f>IF(ISNUMBER(F2916),E2916*F2916,"")</x:f>
      </x:c>
      <x:c r="H2916" s="37"/>
      <x:c r="I2916" s="37"/>
      <x:c r="J2916" s="1" t="n">
        <x:f>IF(ISNUMBER(F2916),E2916,0)</x:f>
        <x:v>0</x:v>
      </x:c>
      <x:c r="K2916" s="1"/>
      <x:c r="L2916" s="1"/>
      <x:c r="M2916" s="1"/>
    </x:row>
    <x:row r="2917" ht="18.75" customHeight="1">
      <x:c r="A2917" s="1" t="str">
        <x:v>https://blog.skyairline.com/mejor-fecha-para-viajar-a-tarapoto/</x:v>
      </x:c>
      <x:c r="B2917" s="1" t="str">
        <x:v>mejor fecha para viajar a tarapoto</x:v>
      </x:c>
      <x:c r="C2917" s="1" t="str">
        <x:v>per</x:v>
      </x:c>
      <x:c r="D2917" s="1" t="str">
        <x:v>Sin marca</x:v>
      </x:c>
      <x:c r="E2917" s="35" t="n">
        <x:v>1</x:v>
      </x:c>
      <x:c r="F2917" s="36" t="n">
        <x:v>0.7</x:v>
      </x:c>
      <x:c r="G2917" s="36" t="n">
        <x:f>IF(ISNUMBER(F2917),E2917*F2917,"")</x:f>
        <x:v>0.7</x:v>
      </x:c>
      <x:c r="H2917" s="37" t="d">
        <x:v>2026-10-15T00:00:00.000Z</x:v>
      </x:c>
      <x:c r="I2917" s="37" t="d">
        <x:v>2026-09-13T03:37:21.000Z</x:v>
      </x:c>
      <x:c r="J2917" s="1" t="n">
        <x:f>IF(ISNUMBER(F2917),E2917,0)</x:f>
        <x:v>1</x:v>
      </x:c>
      <x:c r="K2917" s="1"/>
      <x:c r="L2917" s="1"/>
      <x:c r="M2917" s="1"/>
    </x:row>
    <x:row r="2918" ht="18.75" customHeight="1">
      <x:c r="A2918" s="1" t="str">
        <x:v>https://blog.skyairline.com/mejor-fecha-para-viajar-a-tarapoto/</x:v>
      </x:c>
      <x:c r="B2918" s="1" t="str">
        <x:v>tarapoto clima</x:v>
      </x:c>
      <x:c r="C2918" s="1" t="str">
        <x:v>per</x:v>
      </x:c>
      <x:c r="D2918" s="1" t="str">
        <x:v>Sin marca</x:v>
      </x:c>
      <x:c r="E2918" s="35" t="n">
        <x:v>1</x:v>
      </x:c>
      <x:c r="F2918" s="36" t="n">
        <x:v>0.07</x:v>
      </x:c>
      <x:c r="G2918" s="36" t="n">
        <x:f>IF(ISNUMBER(F2918),E2918*F2918,"")</x:f>
        <x:v>0.07</x:v>
      </x:c>
      <x:c r="H2918" s="37" t="d">
        <x:v>2026-10-15T00:00:00.000Z</x:v>
      </x:c>
      <x:c r="I2918" s="37" t="d">
        <x:v>2026-09-16T22:36:49.000Z</x:v>
      </x:c>
      <x:c r="J2918" s="1" t="n">
        <x:f>IF(ISNUMBER(F2918),E2918,0)</x:f>
        <x:v>1</x:v>
      </x:c>
      <x:c r="K2918" s="1"/>
      <x:c r="L2918" s="1"/>
      <x:c r="M2918" s="1"/>
    </x:row>
    <x:row r="2919" ht="18.75" customHeight="1">
      <x:c r="A2919" s="1" t="str">
        <x:v>https://blog.skyairline.com/mejor-fecha-para-viajar-punta-cana/</x:v>
      </x:c>
      <x:c r="B2919" s="1" t="str">
        <x:v>cuando es mejor viajar a punta cana</x:v>
      </x:c>
      <x:c r="C2919" s="1" t="str">
        <x:v>per</x:v>
      </x:c>
      <x:c r="D2919" s="1" t="str">
        <x:v>Sin marca</x:v>
      </x:c>
      <x:c r="E2919" s="35" t="n">
        <x:v>1</x:v>
      </x:c>
      <x:c r="F2919" s="36"/>
      <x:c r="G2919" s="36" t="str">
        <x:f>IF(ISNUMBER(F2919),E2919*F2919,"")</x:f>
      </x:c>
      <x:c r="H2919" s="37"/>
      <x:c r="I2919" s="37"/>
      <x:c r="J2919" s="1" t="n">
        <x:f>IF(ISNUMBER(F2919),E2919,0)</x:f>
        <x:v>0</x:v>
      </x:c>
      <x:c r="K2919" s="1"/>
      <x:c r="L2919" s="1"/>
      <x:c r="M2919" s="1"/>
    </x:row>
    <x:row r="2920" ht="18.75" customHeight="1">
      <x:c r="A2920" s="1" t="str">
        <x:v>https://blog.skyairline.com/mejor-fecha-para-viajar-punta-cana/</x:v>
      </x:c>
      <x:c r="B2920" s="1" t="str">
        <x:v>mejor clima para ir a punta cana</x:v>
      </x:c>
      <x:c r="C2920" s="1" t="str">
        <x:v>chl</x:v>
      </x:c>
      <x:c r="D2920" s="1" t="str">
        <x:v>Sin marca</x:v>
      </x:c>
      <x:c r="E2920" s="35" t="n">
        <x:v>1</x:v>
      </x:c>
      <x:c r="F2920" s="36"/>
      <x:c r="G2920" s="36" t="str">
        <x:f>IF(ISNUMBER(F2920),E2920*F2920,"")</x:f>
      </x:c>
      <x:c r="H2920" s="37"/>
      <x:c r="I2920" s="37"/>
      <x:c r="J2920" s="1" t="n">
        <x:f>IF(ISNUMBER(F2920),E2920,0)</x:f>
        <x:v>0</x:v>
      </x:c>
      <x:c r="K2920" s="1"/>
      <x:c r="L2920" s="1"/>
      <x:c r="M2920" s="1"/>
    </x:row>
    <x:row r="2921" ht="18.75" customHeight="1">
      <x:c r="A2921" s="1" t="str">
        <x:v>https://blog.skyairline.com/mejores-asientos-avion/</x:v>
      </x:c>
      <x:c r="B2921" s="1" t="str">
        <x:v>asiento de avion</x:v>
      </x:c>
      <x:c r="C2921" s="1" t="str">
        <x:v>per</x:v>
      </x:c>
      <x:c r="D2921" s="1" t="str">
        <x:v>Sin marca</x:v>
      </x:c>
      <x:c r="E2921" s="35" t="n">
        <x:v>1</x:v>
      </x:c>
      <x:c r="F2921" s="36"/>
      <x:c r="G2921" s="36" t="str">
        <x:f>IF(ISNUMBER(F2921),E2921*F2921,"")</x:f>
      </x:c>
      <x:c r="H2921" s="37"/>
      <x:c r="I2921" s="37"/>
      <x:c r="J2921" s="1" t="n">
        <x:f>IF(ISNUMBER(F2921),E2921,0)</x:f>
        <x:v>0</x:v>
      </x:c>
      <x:c r="K2921" s="1"/>
      <x:c r="L2921" s="1"/>
      <x:c r="M2921" s="1"/>
    </x:row>
    <x:row r="2922" ht="18.75" customHeight="1">
      <x:c r="A2922" s="1" t="str">
        <x:v>https://blog.skyairline.com/mejores-asientos-avion/</x:v>
      </x:c>
      <x:c r="B2922" s="1" t="str">
        <x:v>asientos de avion</x:v>
      </x:c>
      <x:c r="C2922" s="1" t="str">
        <x:v>chl</x:v>
      </x:c>
      <x:c r="D2922" s="1" t="str">
        <x:v>Sin marca</x:v>
      </x:c>
      <x:c r="E2922" s="35" t="n">
        <x:v>1</x:v>
      </x:c>
      <x:c r="F2922" s="36" t="n">
        <x:v>0.77</x:v>
      </x:c>
      <x:c r="G2922" s="36" t="n">
        <x:f>IF(ISNUMBER(F2922),E2922*F2922,"")</x:f>
        <x:v>0.77</x:v>
      </x:c>
      <x:c r="H2922" s="37" t="d">
        <x:v>2026-10-15T00:00:00.000Z</x:v>
      </x:c>
      <x:c r="I2922" s="37" t="d">
        <x:v>2026-09-16T02:07:42.999Z</x:v>
      </x:c>
      <x:c r="J2922" s="1" t="n">
        <x:f>IF(ISNUMBER(F2922),E2922,0)</x:f>
        <x:v>1</x:v>
      </x:c>
      <x:c r="K2922" s="1"/>
      <x:c r="L2922" s="1"/>
      <x:c r="M2922" s="1"/>
    </x:row>
    <x:row r="2923" ht="18.75" customHeight="1">
      <x:c r="A2923" s="1" t="str">
        <x:v>https://blog.skyairline.com/mejores-asientos-avion/</x:v>
      </x:c>
      <x:c r="B2923" s="1" t="str">
        <x:v>asientos de avion</x:v>
      </x:c>
      <x:c r="C2923" s="1" t="str">
        <x:v>per</x:v>
      </x:c>
      <x:c r="D2923" s="1" t="str">
        <x:v>Sin marca</x:v>
      </x:c>
      <x:c r="E2923" s="35" t="n">
        <x:v>1</x:v>
      </x:c>
      <x:c r="F2923" s="36"/>
      <x:c r="G2923" s="36" t="str">
        <x:f>IF(ISNUMBER(F2923),E2923*F2923,"")</x:f>
      </x:c>
      <x:c r="H2923" s="37" t="d">
        <x:v>2026-10-15T00:00:00.000Z</x:v>
      </x:c>
      <x:c r="I2923" s="37" t="d">
        <x:v>2026-09-16T19:11:18.000Z</x:v>
      </x:c>
      <x:c r="J2923" s="1" t="n">
        <x:f>IF(ISNUMBER(F2923),E2923,0)</x:f>
        <x:v>0</x:v>
      </x:c>
      <x:c r="K2923" s="1"/>
      <x:c r="L2923" s="1"/>
      <x:c r="M2923" s="1"/>
    </x:row>
    <x:row r="2924" ht="18.75" customHeight="1">
      <x:c r="A2924" s="1" t="str">
        <x:v>https://blog.skyairline.com/mejores-epocas-para-ir-de-puerto-montt-a-santiago-en-avion/</x:v>
      </x:c>
      <x:c r="B2924" s="1" t="str">
        <x:v>medidas bolso de mano sky 2026</x:v>
      </x:c>
      <x:c r="C2924" s="1" t="str">
        <x:v>per</x:v>
      </x:c>
      <x:c r="D2924" s="1" t="str">
        <x:v>Marca</x:v>
      </x:c>
      <x:c r="E2924" s="35" t="n">
        <x:v>1</x:v>
      </x:c>
      <x:c r="F2924" s="36" t="n">
        <x:v>0.89</x:v>
      </x:c>
      <x:c r="G2924" s="36" t="n">
        <x:f>IF(ISNUMBER(F2924),E2924*F2924,"")</x:f>
        <x:v>0.89</x:v>
      </x:c>
      <x:c r="H2924" s="37" t="d">
        <x:v>2026-10-15T00:00:00.000Z</x:v>
      </x:c>
      <x:c r="I2924" s="37" t="d">
        <x:v>2026-09-16T08:06:26.000Z</x:v>
      </x:c>
      <x:c r="J2924" s="1" t="n">
        <x:f>IF(ISNUMBER(F2924),E2924,0)</x:f>
        <x:v>1</x:v>
      </x:c>
      <x:c r="K2924" s="1"/>
      <x:c r="L2924" s="1"/>
      <x:c r="M2924" s="1"/>
    </x:row>
    <x:row r="2925" ht="18.75" customHeight="1">
      <x:c r="A2925" s="1" t="str">
        <x:v>https://blog.skyairline.com/mejores-epocas-para-ir-de-puerto-montt-a-santiago-en-avion/</x:v>
      </x:c>
      <x:c r="B2925" s="1" t="str">
        <x:v>tarifa light sky</x:v>
      </x:c>
      <x:c r="C2925" s="1" t="str">
        <x:v>chl</x:v>
      </x:c>
      <x:c r="D2925" s="1" t="str">
        <x:v>Marca</x:v>
      </x:c>
      <x:c r="E2925" s="35" t="n">
        <x:v>1</x:v>
      </x:c>
      <x:c r="F2925" s="36" t="n">
        <x:v>1</x:v>
      </x:c>
      <x:c r="G2925" s="36" t="n">
        <x:f>IF(ISNUMBER(F2925),E2925*F2925,"")</x:f>
        <x:v>1</x:v>
      </x:c>
      <x:c r="H2925" s="37" t="d">
        <x:v>2026-10-15T00:00:00.000Z</x:v>
      </x:c>
      <x:c r="I2925" s="37" t="d">
        <x:v>2026-09-17T13:33:25.999Z</x:v>
      </x:c>
      <x:c r="J2925" s="1" t="n">
        <x:f>IF(ISNUMBER(F2925),E2925,0)</x:f>
        <x:v>1</x:v>
      </x:c>
      <x:c r="K2925" s="1"/>
      <x:c r="L2925" s="1"/>
      <x:c r="M2925" s="1"/>
    </x:row>
    <x:row r="2926" ht="18.75" customHeight="1">
      <x:c r="A2926" s="1" t="str">
        <x:v>https://blog.skyairline.com/mejores-epocas-para-ir-de-puerto-montt-a-santiago-en-avion/</x:v>
      </x:c>
      <x:c r="B2926" s="1" t="str">
        <x:v>tarifa light sky</x:v>
      </x:c>
      <x:c r="C2926" s="1" t="str">
        <x:v>per</x:v>
      </x:c>
      <x:c r="D2926" s="1" t="str">
        <x:v>Marca</x:v>
      </x:c>
      <x:c r="E2926" s="35" t="n">
        <x:v>1</x:v>
      </x:c>
      <x:c r="F2926" s="36" t="n">
        <x:v>0.09</x:v>
      </x:c>
      <x:c r="G2926" s="36" t="n">
        <x:f>IF(ISNUMBER(F2926),E2926*F2926,"")</x:f>
        <x:v>0.09</x:v>
      </x:c>
      <x:c r="H2926" s="37" t="d">
        <x:v>2026-10-15T00:00:00.000Z</x:v>
      </x:c>
      <x:c r="I2926" s="37" t="d">
        <x:v>2026-09-16T01:41:44.000Z</x:v>
      </x:c>
      <x:c r="J2926" s="1" t="n">
        <x:f>IF(ISNUMBER(F2926),E2926,0)</x:f>
        <x:v>1</x:v>
      </x:c>
      <x:c r="K2926" s="1"/>
      <x:c r="L2926" s="1"/>
      <x:c r="M2926" s="1"/>
    </x:row>
    <x:row r="2927" ht="18.75" customHeight="1">
      <x:c r="A2927" s="1" t="str">
        <x:v>https://blog.skyairline.com/mejores-epocas-para-ir-de-puerto-montt-a-santiago-en-avion/</x:v>
      </x:c>
      <x:c r="B2927" s="1" t="str">
        <x:v>tarifa light sky que incluye</x:v>
      </x:c>
      <x:c r="C2927" s="1" t="str">
        <x:v>chl</x:v>
      </x:c>
      <x:c r="D2927" s="1" t="str">
        <x:v>Marca</x:v>
      </x:c>
      <x:c r="E2927" s="35" t="n">
        <x:v>1</x:v>
      </x:c>
      <x:c r="F2927" s="36"/>
      <x:c r="G2927" s="36" t="str">
        <x:f>IF(ISNUMBER(F2927),E2927*F2927,"")</x:f>
      </x:c>
      <x:c r="H2927" s="37" t="d">
        <x:v>2026-10-15T00:00:00.000Z</x:v>
      </x:c>
      <x:c r="I2927" s="37" t="d">
        <x:v>2026-09-12T22:14:03.999Z</x:v>
      </x:c>
      <x:c r="J2927" s="1" t="n">
        <x:f>IF(ISNUMBER(F2927),E2927,0)</x:f>
        <x:v>0</x:v>
      </x:c>
      <x:c r="K2927" s="1"/>
      <x:c r="L2927" s="1"/>
      <x:c r="M2927" s="1"/>
    </x:row>
    <x:row r="2928" ht="18.75" customHeight="1">
      <x:c r="A2928" s="1" t="str">
        <x:v>https://blog.skyairline.com/mejores-epocas-para-ir-de-puerto-montt-a-santiago-en-avion/</x:v>
      </x:c>
      <x:c r="B2928" s="1" t="str">
        <x:v>tarifa max sky</x:v>
      </x:c>
      <x:c r="C2928" s="1" t="str">
        <x:v>per</x:v>
      </x:c>
      <x:c r="D2928" s="1" t="str">
        <x:v>Marca</x:v>
      </x:c>
      <x:c r="E2928" s="35" t="n">
        <x:v>1</x:v>
      </x:c>
      <x:c r="F2928" s="36"/>
      <x:c r="G2928" s="36" t="str">
        <x:f>IF(ISNUMBER(F2928),E2928*F2928,"")</x:f>
      </x:c>
      <x:c r="H2928" s="37"/>
      <x:c r="I2928" s="37"/>
      <x:c r="J2928" s="1" t="n">
        <x:f>IF(ISNUMBER(F2928),E2928,0)</x:f>
        <x:v>0</x:v>
      </x:c>
      <x:c r="K2928" s="1"/>
      <x:c r="L2928" s="1"/>
      <x:c r="M2928" s="1"/>
    </x:row>
    <x:row r="2929" ht="18.75" customHeight="1">
      <x:c r="A2929" s="1" t="str">
        <x:v>https://blog.skyairline.com/mejores-lugares-para-comer-en-mendoza/</x:v>
      </x:c>
      <x:c r="B2929" s="1" t="str">
        <x:v>donde comer en mendoza</x:v>
      </x:c>
      <x:c r="C2929" s="1" t="str">
        <x:v>chl</x:v>
      </x:c>
      <x:c r="D2929" s="1" t="str">
        <x:v>Sin marca</x:v>
      </x:c>
      <x:c r="E2929" s="35" t="n">
        <x:v>1</x:v>
      </x:c>
      <x:c r="F2929" s="36" t="n">
        <x:v>0.08</x:v>
      </x:c>
      <x:c r="G2929" s="36" t="n">
        <x:f>IF(ISNUMBER(F2929),E2929*F2929,"")</x:f>
        <x:v>0.08</x:v>
      </x:c>
      <x:c r="H2929" s="37" t="d">
        <x:v>2026-10-15T00:00:00.000Z</x:v>
      </x:c>
      <x:c r="I2929" s="37" t="d">
        <x:v>2026-09-13T16:08:59.000Z</x:v>
      </x:c>
      <x:c r="J2929" s="1" t="n">
        <x:f>IF(ISNUMBER(F2929),E2929,0)</x:f>
        <x:v>1</x:v>
      </x:c>
      <x:c r="K2929" s="1"/>
      <x:c r="L2929" s="1"/>
      <x:c r="M2929" s="1"/>
    </x:row>
    <x:row r="2930" ht="18.75" customHeight="1">
      <x:c r="A2930" s="1" t="str">
        <x:v>https://blog.skyairline.com/mejores-lugares-para-comer-en-mendoza/</x:v>
      </x:c>
      <x:c r="B2930" s="1" t="str">
        <x:v>gastronomia mendoza</x:v>
      </x:c>
      <x:c r="C2930" s="1" t="str">
        <x:v>chl</x:v>
      </x:c>
      <x:c r="D2930" s="1" t="str">
        <x:v>Sin marca</x:v>
      </x:c>
      <x:c r="E2930" s="35" t="n">
        <x:v>1</x:v>
      </x:c>
      <x:c r="F2930" s="36"/>
      <x:c r="G2930" s="36" t="str">
        <x:f>IF(ISNUMBER(F2930),E2930*F2930,"")</x:f>
      </x:c>
      <x:c r="H2930" s="37" t="d">
        <x:v>2026-10-15T00:00:00.000Z</x:v>
      </x:c>
      <x:c r="I2930" s="37" t="d">
        <x:v>2026-09-15T03:27:24.000Z</x:v>
      </x:c>
      <x:c r="J2930" s="1" t="n">
        <x:f>IF(ISNUMBER(F2930),E2930,0)</x:f>
        <x:v>0</x:v>
      </x:c>
      <x:c r="K2930" s="1"/>
      <x:c r="L2930" s="1"/>
      <x:c r="M2930" s="1"/>
    </x:row>
    <x:row r="2931" ht="18.75" customHeight="1">
      <x:c r="A2931" s="1" t="str">
        <x:v>https://blog.skyairline.com/mejores-lugares-para-comer-en-mendoza/</x:v>
      </x:c>
      <x:c r="B2931" s="1" t="str">
        <x:v>menú de el asadito · mendoza</x:v>
      </x:c>
      <x:c r="C2931" s="1" t="str">
        <x:v>chl</x:v>
      </x:c>
      <x:c r="D2931" s="1" t="str">
        <x:v>Sin marca</x:v>
      </x:c>
      <x:c r="E2931" s="35" t="n">
        <x:v>1</x:v>
      </x:c>
      <x:c r="F2931" s="36"/>
      <x:c r="G2931" s="36" t="str">
        <x:f>IF(ISNUMBER(F2931),E2931*F2931,"")</x:f>
      </x:c>
      <x:c r="H2931" s="37"/>
      <x:c r="I2931" s="37"/>
      <x:c r="J2931" s="1" t="n">
        <x:f>IF(ISNUMBER(F2931),E2931,0)</x:f>
        <x:v>0</x:v>
      </x:c>
      <x:c r="K2931" s="1"/>
      <x:c r="L2931" s="1"/>
      <x:c r="M2931" s="1"/>
    </x:row>
    <x:row r="2932" ht="18.75" customHeight="1">
      <x:c r="A2932" s="1" t="str">
        <x:v>https://blog.skyairline.com/mejores-museos-en-mendoza/</x:v>
      </x:c>
      <x:c r="B2932" s="1" t="str">
        <x:v>museos mendoza</x:v>
      </x:c>
      <x:c r="C2932" s="1" t="str">
        <x:v>chl</x:v>
      </x:c>
      <x:c r="D2932" s="1" t="str">
        <x:v>Sin marca</x:v>
      </x:c>
      <x:c r="E2932" s="35" t="n">
        <x:v>1</x:v>
      </x:c>
      <x:c r="F2932" s="36" t="n">
        <x:v>0.31</x:v>
      </x:c>
      <x:c r="G2932" s="36" t="n">
        <x:f>IF(ISNUMBER(F2932),E2932*F2932,"")</x:f>
        <x:v>0.31</x:v>
      </x:c>
      <x:c r="H2932" s="37" t="d">
        <x:v>2026-10-15T00:00:00.000Z</x:v>
      </x:c>
      <x:c r="I2932" s="37" t="d">
        <x:v>2026-09-14T03:04:48.000Z</x:v>
      </x:c>
      <x:c r="J2932" s="1" t="n">
        <x:f>IF(ISNUMBER(F2932),E2932,0)</x:f>
        <x:v>1</x:v>
      </x:c>
      <x:c r="K2932" s="1"/>
      <x:c r="L2932" s="1"/>
      <x:c r="M2932" s="1"/>
    </x:row>
    <x:row r="2933" ht="18.75" customHeight="1">
      <x:c r="A2933" s="1" t="str">
        <x:v>https://blog.skyairline.com/mercado-central-de-tacna/</x:v>
      </x:c>
      <x:c r="B2933" s="1" t="str">
        <x:v>tacna mercado</x:v>
      </x:c>
      <x:c r="C2933" s="1" t="str">
        <x:v>chl</x:v>
      </x:c>
      <x:c r="D2933" s="1" t="str">
        <x:v>Sin marca</x:v>
      </x:c>
      <x:c r="E2933" s="35" t="n">
        <x:v>1</x:v>
      </x:c>
      <x:c r="F2933" s="36"/>
      <x:c r="G2933" s="36" t="str">
        <x:f>IF(ISNUMBER(F2933),E2933*F2933,"")</x:f>
      </x:c>
      <x:c r="H2933" s="37" t="d">
        <x:v>2026-10-15T00:00:00.000Z</x:v>
      </x:c>
      <x:c r="I2933" s="37" t="d">
        <x:v>2026-09-15T07:04:33.999Z</x:v>
      </x:c>
      <x:c r="J2933" s="1" t="n">
        <x:f>IF(ISNUMBER(F2933),E2933,0)</x:f>
        <x:v>0</x:v>
      </x:c>
      <x:c r="K2933" s="1"/>
      <x:c r="L2933" s="1"/>
      <x:c r="M2933" s="1"/>
    </x:row>
    <x:row r="2934" ht="18.75" customHeight="1">
      <x:c r="A2934" s="1" t="str">
        <x:v>https://blog.skyairline.com/mercado-central-de-tacna/</x:v>
      </x:c>
      <x:c r="B2934" s="1" t="str">
        <x:v>tacna mercado central</x:v>
      </x:c>
      <x:c r="C2934" s="1" t="str">
        <x:v>chl</x:v>
      </x:c>
      <x:c r="D2934" s="1" t="str">
        <x:v>Sin marca</x:v>
      </x:c>
      <x:c r="E2934" s="35" t="n">
        <x:v>1</x:v>
      </x:c>
      <x:c r="F2934" s="36"/>
      <x:c r="G2934" s="36" t="str">
        <x:f>IF(ISNUMBER(F2934),E2934*F2934,"")</x:f>
      </x:c>
      <x:c r="H2934" s="37" t="d">
        <x:v>2026-10-15T00:00:00.000Z</x:v>
      </x:c>
      <x:c r="I2934" s="37" t="d">
        <x:v>2026-09-13T01:39:35.000Z</x:v>
      </x:c>
      <x:c r="J2934" s="1" t="n">
        <x:f>IF(ISNUMBER(F2934),E2934,0)</x:f>
        <x:v>0</x:v>
      </x:c>
      <x:c r="K2934" s="1"/>
      <x:c r="L2934" s="1"/>
      <x:c r="M2934" s="1"/>
    </x:row>
    <x:row r="2935" ht="18.75" customHeight="1">
      <x:c r="A2935" s="1" t="str">
        <x:v>https://blog.skyairline.com/mililitros-permitidos-avion/</x:v>
      </x:c>
      <x:c r="B2935" s="1" t="str">
        <x:v>cuanto liquido se puede llevar en equipaje de mano</x:v>
      </x:c>
      <x:c r="C2935" s="1" t="str">
        <x:v>chl</x:v>
      </x:c>
      <x:c r="D2935" s="1" t="str">
        <x:v>Sin marca</x:v>
      </x:c>
      <x:c r="E2935" s="35" t="n">
        <x:v>1</x:v>
      </x:c>
      <x:c r="F2935" s="36"/>
      <x:c r="G2935" s="36" t="str">
        <x:f>IF(ISNUMBER(F2935),E2935*F2935,"")</x:f>
      </x:c>
      <x:c r="H2935" s="37"/>
      <x:c r="I2935" s="37"/>
      <x:c r="J2935" s="1" t="n">
        <x:f>IF(ISNUMBER(F2935),E2935,0)</x:f>
        <x:v>0</x:v>
      </x:c>
      <x:c r="K2935" s="1"/>
      <x:c r="L2935" s="1"/>
      <x:c r="M2935" s="1"/>
    </x:row>
    <x:row r="2936" ht="18.75" customHeight="1">
      <x:c r="A2936" s="1" t="str">
        <x:v>https://blog.skyairline.com/mililitros-permitidos-avion/</x:v>
      </x:c>
      <x:c r="B2936" s="1" t="str">
        <x:v>equipaje de mano sky medidas</x:v>
      </x:c>
      <x:c r="C2936" s="1" t="str">
        <x:v>chl</x:v>
      </x:c>
      <x:c r="D2936" s="1" t="str">
        <x:v>Marca</x:v>
      </x:c>
      <x:c r="E2936" s="35" t="n">
        <x:v>1</x:v>
      </x:c>
      <x:c r="F2936" s="36" t="n">
        <x:v>0.95</x:v>
      </x:c>
      <x:c r="G2936" s="36" t="n">
        <x:f>IF(ISNUMBER(F2936),E2936*F2936,"")</x:f>
        <x:v>0.95</x:v>
      </x:c>
      <x:c r="H2936" s="37" t="d">
        <x:v>2026-10-15T00:00:00.000Z</x:v>
      </x:c>
      <x:c r="I2936" s="37" t="d">
        <x:v>2026-09-16T21:38:35.000Z</x:v>
      </x:c>
      <x:c r="J2936" s="1" t="n">
        <x:f>IF(ISNUMBER(F2936),E2936,0)</x:f>
        <x:v>1</x:v>
      </x:c>
      <x:c r="K2936" s="1"/>
      <x:c r="L2936" s="1"/>
      <x:c r="M2936" s="1"/>
    </x:row>
    <x:row r="2937" ht="18.75" customHeight="1">
      <x:c r="A2937" s="1" t="str">
        <x:v>https://blog.skyairline.com/mililitros-permitidos-avion/</x:v>
      </x:c>
      <x:c r="B2937" s="1" t="str">
        <x:v>líquidos permitidos en equipaje de mano</x:v>
      </x:c>
      <x:c r="C2937" s="1" t="str">
        <x:v>per</x:v>
      </x:c>
      <x:c r="D2937" s="1" t="str">
        <x:v>Sin marca</x:v>
      </x:c>
      <x:c r="E2937" s="35" t="n">
        <x:v>1</x:v>
      </x:c>
      <x:c r="F2937" s="36"/>
      <x:c r="G2937" s="36" t="str">
        <x:f>IF(ISNUMBER(F2937),E2937*F2937,"")</x:f>
      </x:c>
      <x:c r="H2937" s="37"/>
      <x:c r="I2937" s="37"/>
      <x:c r="J2937" s="1" t="n">
        <x:f>IF(ISNUMBER(F2937),E2937,0)</x:f>
        <x:v>0</x:v>
      </x:c>
      <x:c r="K2937" s="1"/>
      <x:c r="L2937" s="1"/>
      <x:c r="M2937" s="1"/>
    </x:row>
    <x:row r="2938" ht="18.75" customHeight="1">
      <x:c r="A2938" s="1" t="str">
        <x:v>https://blog.skyairline.com/mililitros-permitidos-avion/</x:v>
      </x:c>
      <x:c r="B2938" s="1" t="str">
        <x:v>maquillaje</x:v>
      </x:c>
      <x:c r="C2938" s="1" t="str">
        <x:v>per</x:v>
      </x:c>
      <x:c r="D2938" s="1" t="str">
        <x:v>Sin marca</x:v>
      </x:c>
      <x:c r="E2938" s="35" t="n">
        <x:v>1</x:v>
      </x:c>
      <x:c r="F2938" s="36" t="n">
        <x:v>0.13</x:v>
      </x:c>
      <x:c r="G2938" s="36" t="n">
        <x:f>IF(ISNUMBER(F2938),E2938*F2938,"")</x:f>
        <x:v>0.13</x:v>
      </x:c>
      <x:c r="H2938" s="37" t="d">
        <x:v>2026-10-15T00:00:00.000Z</x:v>
      </x:c>
      <x:c r="I2938" s="37" t="d">
        <x:v>2026-09-14T11:17:48.000Z</x:v>
      </x:c>
      <x:c r="J2938" s="1" t="n">
        <x:f>IF(ISNUMBER(F2938),E2938,0)</x:f>
        <x:v>1</x:v>
      </x:c>
      <x:c r="K2938" s="1"/>
      <x:c r="L2938" s="1"/>
      <x:c r="M2938" s="1"/>
    </x:row>
    <x:row r="2939" ht="18.75" customHeight="1">
      <x:c r="A2939" s="1" t="str">
        <x:v>https://blog.skyairline.com/mililitros-permitidos-avion/</x:v>
      </x:c>
      <x:c r="B2939" s="1" t="str">
        <x:v>se puede llevar alcohol en el avión</x:v>
      </x:c>
      <x:c r="C2939" s="1" t="str">
        <x:v>chl</x:v>
      </x:c>
      <x:c r="D2939" s="1" t="str">
        <x:v>Sin marca</x:v>
      </x:c>
      <x:c r="E2939" s="35" t="n">
        <x:v>1</x:v>
      </x:c>
      <x:c r="F2939" s="36"/>
      <x:c r="G2939" s="36" t="str">
        <x:f>IF(ISNUMBER(F2939),E2939*F2939,"")</x:f>
      </x:c>
      <x:c r="H2939" s="37" t="d">
        <x:v>2026-10-15T00:00:00.000Z</x:v>
      </x:c>
      <x:c r="I2939" s="37" t="d">
        <x:v>2026-09-12T19:23:49.000Z</x:v>
      </x:c>
      <x:c r="J2939" s="1" t="n">
        <x:f>IF(ISNUMBER(F2939),E2939,0)</x:f>
        <x:v>0</x:v>
      </x:c>
      <x:c r="K2939" s="1"/>
      <x:c r="L2939" s="1"/>
      <x:c r="M2939" s="1"/>
    </x:row>
    <x:row r="2940" ht="18.75" customHeight="1">
      <x:c r="A2940" s="1" t="str">
        <x:v>https://blog.skyairline.com/mililitros-permitidos-avion/</x:v>
      </x:c>
      <x:c r="B2940" s="1" t="str">
        <x:v>sky</x:v>
      </x:c>
      <x:c r="C2940" s="1" t="str">
        <x:v>arg</x:v>
      </x:c>
      <x:c r="D2940" s="1" t="str">
        <x:v>Marca</x:v>
      </x:c>
      <x:c r="E2940" s="35" t="n">
        <x:v>1</x:v>
      </x:c>
      <x:c r="F2940" s="36"/>
      <x:c r="G2940" s="36" t="str">
        <x:f>IF(ISNUMBER(F2940),E2940*F2940,"")</x:f>
      </x:c>
      <x:c r="H2940" s="37"/>
      <x:c r="I2940" s="37"/>
      <x:c r="J2940" s="1" t="n">
        <x:f>IF(ISNUMBER(F2940),E2940,0)</x:f>
        <x:v>0</x:v>
      </x:c>
      <x:c r="K2940" s="1"/>
      <x:c r="L2940" s="1"/>
      <x:c r="M2940" s="1"/>
    </x:row>
    <x:row r="2941" ht="18.75" customHeight="1">
      <x:c r="A2941" s="1" t="str">
        <x:v>https://blog.skyairline.com/mililitros-permitidos-avion/</x:v>
      </x:c>
      <x:c r="B2941" s="1" t="str">
        <x:v>sky</x:v>
      </x:c>
      <x:c r="C2941" s="1" t="str">
        <x:v>per</x:v>
      </x:c>
      <x:c r="D2941" s="1" t="str">
        <x:v>Marca</x:v>
      </x:c>
      <x:c r="E2941" s="35" t="n">
        <x:v>1</x:v>
      </x:c>
      <x:c r="F2941" s="36" t="n">
        <x:v>0.16</x:v>
      </x:c>
      <x:c r="G2941" s="36" t="n">
        <x:f>IF(ISNUMBER(F2941),E2941*F2941,"")</x:f>
        <x:v>0.16</x:v>
      </x:c>
      <x:c r="H2941" s="37" t="d">
        <x:v>2026-10-15T00:00:00.000Z</x:v>
      </x:c>
      <x:c r="I2941" s="37" t="d">
        <x:v>2026-09-15T03:38:50.000Z</x:v>
      </x:c>
      <x:c r="J2941" s="1" t="n">
        <x:f>IF(ISNUMBER(F2941),E2941,0)</x:f>
        <x:v>1</x:v>
      </x:c>
      <x:c r="K2941" s="1"/>
      <x:c r="L2941" s="1"/>
      <x:c r="M2941" s="1"/>
    </x:row>
    <x:row r="2942" ht="18.75" customHeight="1">
      <x:c r="A2942" s="1" t="str">
        <x:v>https://blog.skyairline.com/mililitros-permitidos-avion/</x:v>
      </x:c>
      <x:c r="B2942" s="1" t="str">
        <x:v>sky airline</x:v>
      </x:c>
      <x:c r="C2942" s="1" t="str">
        <x:v>per</x:v>
      </x:c>
      <x:c r="D2942" s="1" t="str">
        <x:v>Marca</x:v>
      </x:c>
      <x:c r="E2942" s="35" t="n">
        <x:v>1</x:v>
      </x:c>
      <x:c r="F2942" s="36" t="n">
        <x:v>0.32</x:v>
      </x:c>
      <x:c r="G2942" s="36" t="n">
        <x:f>IF(ISNUMBER(F2942),E2942*F2942,"")</x:f>
        <x:v>0.32</x:v>
      </x:c>
      <x:c r="H2942" s="37" t="d">
        <x:v>2026-10-15T00:00:00.000Z</x:v>
      </x:c>
      <x:c r="I2942" s="37" t="d">
        <x:v>2026-10-15T15:52:55.000Z</x:v>
      </x:c>
      <x:c r="J2942" s="1" t="n">
        <x:f>IF(ISNUMBER(F2942),E2942,0)</x:f>
        <x:v>1</x:v>
      </x:c>
      <x:c r="K2942" s="1"/>
      <x:c r="L2942" s="1"/>
      <x:c r="M2942" s="1"/>
    </x:row>
    <x:row r="2943" ht="18.75" customHeight="1">
      <x:c r="A2943" s="1" t="str">
        <x:v>https://blog.skyairline.com/minas-gerais/</x:v>
      </x:c>
      <x:c r="B2943" s="1" t="str">
        <x:v>minas gerais brasil</x:v>
      </x:c>
      <x:c r="C2943" s="1" t="str">
        <x:v>chl</x:v>
      </x:c>
      <x:c r="D2943" s="1" t="str">
        <x:v>Sin marca</x:v>
      </x:c>
      <x:c r="E2943" s="35" t="n">
        <x:v>1</x:v>
      </x:c>
      <x:c r="F2943" s="36" t="n">
        <x:v>0.14</x:v>
      </x:c>
      <x:c r="G2943" s="36" t="n">
        <x:f>IF(ISNUMBER(F2943),E2943*F2943,"")</x:f>
        <x:v>0.14</x:v>
      </x:c>
      <x:c r="H2943" s="37" t="d">
        <x:v>2026-10-15T00:00:00.000Z</x:v>
      </x:c>
      <x:c r="I2943" s="37" t="d">
        <x:v>2026-09-12T23:19:45.000Z</x:v>
      </x:c>
      <x:c r="J2943" s="1" t="n">
        <x:f>IF(ISNUMBER(F2943),E2943,0)</x:f>
        <x:v>1</x:v>
      </x:c>
      <x:c r="K2943" s="1"/>
      <x:c r="L2943" s="1"/>
      <x:c r="M2943" s="1"/>
    </x:row>
    <x:row r="2944" ht="18.75" customHeight="1">
      <x:c r="A2944" s="1" t="str">
        <x:v>https://blog.skyairline.com/mirador-cristo-petrolero/</x:v>
      </x:c>
      <x:c r="B2944" s="1" t="str">
        <x:v>cristo petrolero talara</x:v>
      </x:c>
      <x:c r="C2944" s="1" t="str">
        <x:v>per</x:v>
      </x:c>
      <x:c r="D2944" s="1" t="str">
        <x:v>Sin marca</x:v>
      </x:c>
      <x:c r="E2944" s="35" t="n">
        <x:v>1</x:v>
      </x:c>
      <x:c r="F2944" s="36"/>
      <x:c r="G2944" s="36" t="str">
        <x:f>IF(ISNUMBER(F2944),E2944*F2944,"")</x:f>
      </x:c>
      <x:c r="H2944" s="37" t="d">
        <x:v>2026-10-15T00:00:00.000Z</x:v>
      </x:c>
      <x:c r="I2944" s="37" t="d">
        <x:v>2026-09-17T02:35:51.000Z</x:v>
      </x:c>
      <x:c r="J2944" s="1" t="n">
        <x:f>IF(ISNUMBER(F2944),E2944,0)</x:f>
        <x:v>0</x:v>
      </x:c>
      <x:c r="K2944" s="1"/>
      <x:c r="L2944" s="1"/>
      <x:c r="M2944" s="1"/>
    </x:row>
    <x:row r="2945" ht="18.75" customHeight="1">
      <x:c r="A2945" s="1" t="str">
        <x:v>https://blog.skyairline.com/mirador-cristo-petrolero/</x:v>
      </x:c>
      <x:c r="B2945" s="1" t="str">
        <x:v>mirador cristo petrolero</x:v>
      </x:c>
      <x:c r="C2945" s="1" t="str">
        <x:v>per</x:v>
      </x:c>
      <x:c r="D2945" s="1" t="str">
        <x:v>Sin marca</x:v>
      </x:c>
      <x:c r="E2945" s="35" t="n">
        <x:v>1</x:v>
      </x:c>
      <x:c r="F2945" s="36"/>
      <x:c r="G2945" s="36" t="str">
        <x:f>IF(ISNUMBER(F2945),E2945*F2945,"")</x:f>
      </x:c>
      <x:c r="H2945" s="37" t="d">
        <x:v>2026-10-15T00:00:00.000Z</x:v>
      </x:c>
      <x:c r="I2945" s="37" t="d">
        <x:v>2026-09-13T09:14:03.000Z</x:v>
      </x:c>
      <x:c r="J2945" s="1" t="n">
        <x:f>IF(ISNUMBER(F2945),E2945,0)</x:f>
        <x:v>0</x:v>
      </x:c>
      <x:c r="K2945" s="1"/>
      <x:c r="L2945" s="1"/>
      <x:c r="M2945" s="1"/>
    </x:row>
    <x:row r="2946" ht="18.75" customHeight="1">
      <x:c r="A2946" s="1" t="str">
        <x:v>https://blog.skyairline.com/mitos-chilenos-cuentos-y-leyendas-de-nuestros-pueblos/</x:v>
      </x:c>
      <x:c r="B2946" s="1" t="str">
        <x:v>10 mitos chilenos</x:v>
      </x:c>
      <x:c r="C2946" s="1" t="str">
        <x:v>chl</x:v>
      </x:c>
      <x:c r="D2946" s="1" t="str">
        <x:v>Sin marca</x:v>
      </x:c>
      <x:c r="E2946" s="35" t="n">
        <x:v>1</x:v>
      </x:c>
      <x:c r="F2946" s="36"/>
      <x:c r="G2946" s="36" t="str">
        <x:f>IF(ISNUMBER(F2946),E2946*F2946,"")</x:f>
      </x:c>
      <x:c r="H2946" s="37" t="d">
        <x:v>2026-10-15T00:00:00.000Z</x:v>
      </x:c>
      <x:c r="I2946" s="37" t="d">
        <x:v>2026-09-14T00:31:34.000Z</x:v>
      </x:c>
      <x:c r="J2946" s="1" t="n">
        <x:f>IF(ISNUMBER(F2946),E2946,0)</x:f>
        <x:v>0</x:v>
      </x:c>
      <x:c r="K2946" s="1"/>
      <x:c r="L2946" s="1"/>
      <x:c r="M2946" s="1"/>
    </x:row>
    <x:row r="2947" ht="18.75" customHeight="1">
      <x:c r="A2947" s="1" t="str">
        <x:v>https://blog.skyairline.com/mitos-chilenos-cuentos-y-leyendas-de-nuestros-pueblos/</x:v>
      </x:c>
      <x:c r="B2947" s="1" t="str">
        <x:v>leyendas de pueblos originarios de chile</x:v>
      </x:c>
      <x:c r="C2947" s="1" t="str">
        <x:v>chl</x:v>
      </x:c>
      <x:c r="D2947" s="1" t="str">
        <x:v>Sin marca</x:v>
      </x:c>
      <x:c r="E2947" s="35" t="n">
        <x:v>1</x:v>
      </x:c>
      <x:c r="F2947" s="36"/>
      <x:c r="G2947" s="36" t="str">
        <x:f>IF(ISNUMBER(F2947),E2947*F2947,"")</x:f>
      </x:c>
      <x:c r="H2947" s="37" t="d">
        <x:v>2026-10-15T00:00:00.000Z</x:v>
      </x:c>
      <x:c r="I2947" s="37" t="d">
        <x:v>2026-09-12T23:53:19.000Z</x:v>
      </x:c>
      <x:c r="J2947" s="1" t="n">
        <x:f>IF(ISNUMBER(F2947),E2947,0)</x:f>
        <x:v>0</x:v>
      </x:c>
      <x:c r="K2947" s="1"/>
      <x:c r="L2947" s="1"/>
      <x:c r="M2947" s="1"/>
    </x:row>
    <x:row r="2948" ht="18.75" customHeight="1">
      <x:c r="A2948" s="1" t="str">
        <x:v>https://blog.skyairline.com/mitos-chilenos-cuentos-y-leyendas-de-nuestros-pueblos/</x:v>
      </x:c>
      <x:c r="B2948" s="1" t="str">
        <x:v>leyendas y mitos de chile</x:v>
      </x:c>
      <x:c r="C2948" s="1" t="str">
        <x:v>chl</x:v>
      </x:c>
      <x:c r="D2948" s="1" t="str">
        <x:v>Sin marca</x:v>
      </x:c>
      <x:c r="E2948" s="35" t="n">
        <x:v>1</x:v>
      </x:c>
      <x:c r="F2948" s="36" t="n">
        <x:v>0.14</x:v>
      </x:c>
      <x:c r="G2948" s="36" t="n">
        <x:f>IF(ISNUMBER(F2948),E2948*F2948,"")</x:f>
        <x:v>0.14</x:v>
      </x:c>
      <x:c r="H2948" s="37" t="d">
        <x:v>2026-10-15T00:00:00.000Z</x:v>
      </x:c>
      <x:c r="I2948" s="37" t="d">
        <x:v>2026-09-17T18:13:58.000Z</x:v>
      </x:c>
      <x:c r="J2948" s="1" t="n">
        <x:f>IF(ISNUMBER(F2948),E2948,0)</x:f>
        <x:v>1</x:v>
      </x:c>
      <x:c r="K2948" s="1"/>
      <x:c r="L2948" s="1"/>
      <x:c r="M2948" s="1"/>
    </x:row>
    <x:row r="2949" ht="18.75" customHeight="1">
      <x:c r="A2949" s="1" t="str">
        <x:v>https://blog.skyairline.com/mitos-chilenos-cuentos-y-leyendas-de-nuestros-pueblos/</x:v>
      </x:c>
      <x:c r="B2949" s="1" t="str">
        <x:v>mitos</x:v>
      </x:c>
      <x:c r="C2949" s="1" t="str">
        <x:v>chl</x:v>
      </x:c>
      <x:c r="D2949" s="1" t="str">
        <x:v>Sin marca</x:v>
      </x:c>
      <x:c r="E2949" s="35" t="n">
        <x:v>1</x:v>
      </x:c>
      <x:c r="F2949" s="36" t="n">
        <x:v>0.16</x:v>
      </x:c>
      <x:c r="G2949" s="36" t="n">
        <x:f>IF(ISNUMBER(F2949),E2949*F2949,"")</x:f>
        <x:v>0.16</x:v>
      </x:c>
      <x:c r="H2949" s="37" t="d">
        <x:v>2026-10-15T00:00:00.000Z</x:v>
      </x:c>
      <x:c r="I2949" s="37" t="d">
        <x:v>2026-09-17T01:38:55.000Z</x:v>
      </x:c>
      <x:c r="J2949" s="1" t="n">
        <x:f>IF(ISNUMBER(F2949),E2949,0)</x:f>
        <x:v>1</x:v>
      </x:c>
      <x:c r="K2949" s="1"/>
      <x:c r="L2949" s="1"/>
      <x:c r="M2949" s="1"/>
    </x:row>
    <x:row r="2950" ht="18.75" customHeight="1">
      <x:c r="A2950" s="1" t="str">
        <x:v>https://blog.skyairline.com/mitos-chilenos-cuentos-y-leyendas-de-nuestros-pueblos/</x:v>
      </x:c>
      <x:c r="B2950" s="1" t="str">
        <x:v>mitos urbanos chilenos</x:v>
      </x:c>
      <x:c r="C2950" s="1" t="str">
        <x:v>chl</x:v>
      </x:c>
      <x:c r="D2950" s="1" t="str">
        <x:v>Sin marca</x:v>
      </x:c>
      <x:c r="E2950" s="35" t="n">
        <x:v>1</x:v>
      </x:c>
      <x:c r="F2950" s="36"/>
      <x:c r="G2950" s="36" t="str">
        <x:f>IF(ISNUMBER(F2950),E2950*F2950,"")</x:f>
      </x:c>
      <x:c r="H2950" s="37" t="d">
        <x:v>2026-10-15T00:00:00.000Z</x:v>
      </x:c>
      <x:c r="I2950" s="37" t="d">
        <x:v>2026-09-15T19:24:46.999Z</x:v>
      </x:c>
      <x:c r="J2950" s="1" t="n">
        <x:f>IF(ISNUMBER(F2950),E2950,0)</x:f>
        <x:v>0</x:v>
      </x:c>
      <x:c r="K2950" s="1"/>
      <x:c r="L2950" s="1"/>
      <x:c r="M2950" s="1"/>
    </x:row>
    <x:row r="2951" ht="18.75" customHeight="1">
      <x:c r="A2951" s="1" t="str">
        <x:v>https://blog.skyairline.com/mitos-chilenos-cuentos-y-leyendas-de-nuestros-pueblos/</x:v>
      </x:c>
      <x:c r="B2951" s="1" t="str">
        <x:v>mitos y leyendas chilenas</x:v>
      </x:c>
      <x:c r="C2951" s="1" t="str">
        <x:v>chl</x:v>
      </x:c>
      <x:c r="D2951" s="1" t="str">
        <x:v>Sin marca</x:v>
      </x:c>
      <x:c r="E2951" s="35" t="n">
        <x:v>1</x:v>
      </x:c>
      <x:c r="F2951" s="36" t="n">
        <x:v>0.1</x:v>
      </x:c>
      <x:c r="G2951" s="36" t="n">
        <x:f>IF(ISNUMBER(F2951),E2951*F2951,"")</x:f>
        <x:v>0.1</x:v>
      </x:c>
      <x:c r="H2951" s="37" t="d">
        <x:v>2026-10-15T00:00:00.000Z</x:v>
      </x:c>
      <x:c r="I2951" s="37" t="d">
        <x:v>2026-10-15T10:38:42.000Z</x:v>
      </x:c>
      <x:c r="J2951" s="1" t="n">
        <x:f>IF(ISNUMBER(F2951),E2951,0)</x:f>
        <x:v>1</x:v>
      </x:c>
      <x:c r="K2951" s="1"/>
      <x:c r="L2951" s="1"/>
      <x:c r="M2951" s="1"/>
    </x:row>
    <x:row r="2952" ht="18.75" customHeight="1">
      <x:c r="A2952" s="1" t="str">
        <x:v>https://blog.skyairline.com/mitos-chilenos-cuentos-y-leyendas-de-nuestros-pueblos/</x:v>
      </x:c>
      <x:c r="B2952" s="1" t="str">
        <x:v>mitos y leyendas de chile</x:v>
      </x:c>
      <x:c r="C2952" s="1" t="str">
        <x:v>esp</x:v>
      </x:c>
      <x:c r="D2952" s="1" t="str">
        <x:v>Sin marca</x:v>
      </x:c>
      <x:c r="E2952" s="35" t="n">
        <x:v>1</x:v>
      </x:c>
      <x:c r="F2952" s="36"/>
      <x:c r="G2952" s="36" t="str">
        <x:f>IF(ISNUMBER(F2952),E2952*F2952,"")</x:f>
      </x:c>
      <x:c r="H2952" s="37"/>
      <x:c r="I2952" s="37"/>
      <x:c r="J2952" s="1" t="n">
        <x:f>IF(ISNUMBER(F2952),E2952,0)</x:f>
        <x:v>0</x:v>
      </x:c>
      <x:c r="K2952" s="1"/>
      <x:c r="L2952" s="1"/>
      <x:c r="M2952" s="1"/>
    </x:row>
    <x:row r="2953" ht="18.75" customHeight="1">
      <x:c r="A2953" s="1" t="str">
        <x:v>https://blog.skyairline.com/modo-avion-durante-los-vuelos/</x:v>
      </x:c>
      <x:c r="B2953" s="1" t="str">
        <x:v>aviones sky</x:v>
      </x:c>
      <x:c r="C2953" s="1" t="str">
        <x:v>ury</x:v>
      </x:c>
      <x:c r="D2953" s="1" t="str">
        <x:v>Marca</x:v>
      </x:c>
      <x:c r="E2953" s="35" t="n">
        <x:v>1</x:v>
      </x:c>
      <x:c r="F2953" s="36"/>
      <x:c r="G2953" s="36" t="str">
        <x:f>IF(ISNUMBER(F2953),E2953*F2953,"")</x:f>
      </x:c>
      <x:c r="H2953" s="37"/>
      <x:c r="I2953" s="37"/>
      <x:c r="J2953" s="1" t="n">
        <x:f>IF(ISNUMBER(F2953),E2953,0)</x:f>
        <x:v>0</x:v>
      </x:c>
      <x:c r="K2953" s="1"/>
      <x:c r="L2953" s="1"/>
      <x:c r="M2953" s="1"/>
    </x:row>
    <x:row r="2954" ht="18.75" customHeight="1">
      <x:c r="A2954" s="1" t="str">
        <x:v>https://blog.skyairline.com/modo-avion-durante-los-vuelos/</x:v>
      </x:c>
      <x:c r="B2954" s="1" t="str">
        <x:v>porque ponen modo avion en el avion</x:v>
      </x:c>
      <x:c r="C2954" s="1" t="str">
        <x:v>per</x:v>
      </x:c>
      <x:c r="D2954" s="1" t="str">
        <x:v>Sin marca</x:v>
      </x:c>
      <x:c r="E2954" s="35" t="n">
        <x:v>1</x:v>
      </x:c>
      <x:c r="F2954" s="36"/>
      <x:c r="G2954" s="36" t="str">
        <x:f>IF(ISNUMBER(F2954),E2954*F2954,"")</x:f>
      </x:c>
      <x:c r="H2954" s="37"/>
      <x:c r="I2954" s="37"/>
      <x:c r="J2954" s="1" t="n">
        <x:f>IF(ISNUMBER(F2954),E2954,0)</x:f>
        <x:v>0</x:v>
      </x:c>
      <x:c r="K2954" s="1"/>
      <x:c r="L2954" s="1"/>
      <x:c r="M2954" s="1"/>
    </x:row>
    <x:row r="2955" ht="18.75" customHeight="1">
      <x:c r="A2955" s="1" t="str">
        <x:v>https://blog.skyairline.com/modo-avion-durante-los-vuelos/</x:v>
      </x:c>
      <x:c r="B2955" s="1" t="str">
        <x:v>porque se debe poner modo avion en un vuelo</x:v>
      </x:c>
      <x:c r="C2955" s="1" t="str">
        <x:v>chl</x:v>
      </x:c>
      <x:c r="D2955" s="1" t="str">
        <x:v>Sin marca</x:v>
      </x:c>
      <x:c r="E2955" s="35" t="n">
        <x:v>1</x:v>
      </x:c>
      <x:c r="F2955" s="36"/>
      <x:c r="G2955" s="36" t="str">
        <x:f>IF(ISNUMBER(F2955),E2955*F2955,"")</x:f>
      </x:c>
      <x:c r="H2955" s="37"/>
      <x:c r="I2955" s="37"/>
      <x:c r="J2955" s="1" t="n">
        <x:f>IF(ISNUMBER(F2955),E2955,0)</x:f>
        <x:v>0</x:v>
      </x:c>
      <x:c r="K2955" s="1"/>
      <x:c r="L2955" s="1"/>
      <x:c r="M2955" s="1"/>
    </x:row>
    <x:row r="2956" ht="18.75" customHeight="1">
      <x:c r="A2956" s="1" t="str">
        <x:v>https://blog.skyairline.com/modo-avion-durante-los-vuelos/</x:v>
      </x:c>
      <x:c r="B2956" s="1" t="str">
        <x:v>sky tiene wifi</x:v>
      </x:c>
      <x:c r="C2956" s="1" t="str">
        <x:v>bra</x:v>
      </x:c>
      <x:c r="D2956" s="1" t="str">
        <x:v>Marca</x:v>
      </x:c>
      <x:c r="E2956" s="35" t="n">
        <x:v>1</x:v>
      </x:c>
      <x:c r="F2956" s="36"/>
      <x:c r="G2956" s="36" t="str">
        <x:f>IF(ISNUMBER(F2956),E2956*F2956,"")</x:f>
      </x:c>
      <x:c r="H2956" s="37"/>
      <x:c r="I2956" s="37"/>
      <x:c r="J2956" s="1" t="n">
        <x:f>IF(ISNUMBER(F2956),E2956,0)</x:f>
        <x:v>0</x:v>
      </x:c>
      <x:c r="K2956" s="1"/>
      <x:c r="L2956" s="1"/>
      <x:c r="M2956" s="1"/>
    </x:row>
    <x:row r="2957" ht="18.75" customHeight="1">
      <x:c r="A2957" s="1" t="str">
        <x:v>https://blog.skyairline.com/modo-avion-durante-los-vuelos/</x:v>
      </x:c>
      <x:c r="B2957" s="1" t="str">
        <x:v>sky tiene wifi en el avion</x:v>
      </x:c>
      <x:c r="C2957" s="1" t="str">
        <x:v>chl</x:v>
      </x:c>
      <x:c r="D2957" s="1" t="str">
        <x:v>Marca</x:v>
      </x:c>
      <x:c r="E2957" s="35" t="n">
        <x:v>1</x:v>
      </x:c>
      <x:c r="F2957" s="36"/>
      <x:c r="G2957" s="36" t="str">
        <x:f>IF(ISNUMBER(F2957),E2957*F2957,"")</x:f>
      </x:c>
      <x:c r="H2957" s="37"/>
      <x:c r="I2957" s="37"/>
      <x:c r="J2957" s="1" t="n">
        <x:f>IF(ISNUMBER(F2957),E2957,0)</x:f>
        <x:v>0</x:v>
      </x:c>
      <x:c r="K2957" s="1"/>
      <x:c r="L2957" s="1"/>
      <x:c r="M2957" s="1"/>
    </x:row>
    <x:row r="2958" ht="18.75" customHeight="1">
      <x:c r="A2958" s="1" t="str">
        <x:v>https://blog.skyairline.com/modo-avion-durante-los-vuelos/</x:v>
      </x:c>
      <x:c r="B2958" s="1" t="str">
        <x:v>sky wifi a bordo</x:v>
      </x:c>
      <x:c r="C2958" s="1" t="str">
        <x:v>chl</x:v>
      </x:c>
      <x:c r="D2958" s="1" t="str">
        <x:v>Marca</x:v>
      </x:c>
      <x:c r="E2958" s="35" t="n">
        <x:v>1</x:v>
      </x:c>
      <x:c r="F2958" s="36"/>
      <x:c r="G2958" s="36" t="str">
        <x:f>IF(ISNUMBER(F2958),E2958*F2958,"")</x:f>
      </x:c>
      <x:c r="H2958" s="37"/>
      <x:c r="I2958" s="37"/>
      <x:c r="J2958" s="1" t="n">
        <x:f>IF(ISNUMBER(F2958),E2958,0)</x:f>
        <x:v>0</x:v>
      </x:c>
      <x:c r="K2958" s="1"/>
      <x:c r="L2958" s="1"/>
      <x:c r="M2958" s="1"/>
    </x:row>
    <x:row r="2959" ht="18.75" customHeight="1">
      <x:c r="A2959" s="1" t="str">
        <x:v>https://blog.skyairline.com/moneda-de-brasil/</x:v>
      </x:c>
      <x:c r="B2959" s="1" t="str">
        <x:v>brasil</x:v>
      </x:c>
      <x:c r="C2959" s="1" t="str">
        <x:v>chl</x:v>
      </x:c>
      <x:c r="D2959" s="1" t="str">
        <x:v>Sin marca</x:v>
      </x:c>
      <x:c r="E2959" s="35" t="n">
        <x:v>1</x:v>
      </x:c>
      <x:c r="F2959" s="36" t="n">
        <x:v>0.28</x:v>
      </x:c>
      <x:c r="G2959" s="36" t="n">
        <x:f>IF(ISNUMBER(F2959),E2959*F2959,"")</x:f>
        <x:v>0.28</x:v>
      </x:c>
      <x:c r="H2959" s="37" t="d">
        <x:v>2026-10-15T00:00:00.000Z</x:v>
      </x:c>
      <x:c r="I2959" s="37" t="d">
        <x:v>2026-09-14T06:43:42.000Z</x:v>
      </x:c>
      <x:c r="J2959" s="1" t="n">
        <x:f>IF(ISNUMBER(F2959),E2959,0)</x:f>
        <x:v>1</x:v>
      </x:c>
      <x:c r="K2959" s="1"/>
      <x:c r="L2959" s="1"/>
      <x:c r="M2959" s="1"/>
    </x:row>
    <x:row r="2960" ht="18.75" customHeight="1">
      <x:c r="A2960" s="1" t="str">
        <x:v>https://blog.skyairline.com/moneda-de-brasil/</x:v>
      </x:c>
      <x:c r="B2960" s="1" t="str">
        <x:v>en brasil cual es la moneda</x:v>
      </x:c>
      <x:c r="C2960" s="1" t="str">
        <x:v>chl</x:v>
      </x:c>
      <x:c r="D2960" s="1" t="str">
        <x:v>Sin marca</x:v>
      </x:c>
      <x:c r="E2960" s="35" t="n">
        <x:v>1</x:v>
      </x:c>
      <x:c r="F2960" s="36"/>
      <x:c r="G2960" s="36" t="str">
        <x:f>IF(ISNUMBER(F2960),E2960*F2960,"")</x:f>
      </x:c>
      <x:c r="H2960" s="37"/>
      <x:c r="I2960" s="37"/>
      <x:c r="J2960" s="1" t="n">
        <x:f>IF(ISNUMBER(F2960),E2960,0)</x:f>
        <x:v>0</x:v>
      </x:c>
      <x:c r="K2960" s="1"/>
      <x:c r="L2960" s="1"/>
      <x:c r="M2960" s="1"/>
    </x:row>
    <x:row r="2961" ht="18.75" customHeight="1">
      <x:c r="A2961" s="1" t="str">
        <x:v>https://blog.skyairline.com/moneda-de-brasil/</x:v>
      </x:c>
      <x:c r="B2961" s="1" t="str">
        <x:v>moneda de brasil como se llama</x:v>
      </x:c>
      <x:c r="C2961" s="1" t="str">
        <x:v>chl</x:v>
      </x:c>
      <x:c r="D2961" s="1" t="str">
        <x:v>Sin marca</x:v>
      </x:c>
      <x:c r="E2961" s="35" t="n">
        <x:v>1</x:v>
      </x:c>
      <x:c r="F2961" s="36"/>
      <x:c r="G2961" s="36" t="str">
        <x:f>IF(ISNUMBER(F2961),E2961*F2961,"")</x:f>
      </x:c>
      <x:c r="H2961" s="37"/>
      <x:c r="I2961" s="37"/>
      <x:c r="J2961" s="1" t="n">
        <x:f>IF(ISNUMBER(F2961),E2961,0)</x:f>
        <x:v>0</x:v>
      </x:c>
      <x:c r="K2961" s="1"/>
      <x:c r="L2961" s="1"/>
      <x:c r="M2961" s="1"/>
    </x:row>
    <x:row r="2962" ht="18.75" customHeight="1">
      <x:c r="A2962" s="1" t="str">
        <x:v>https://blog.skyairline.com/moneda-de-brasil/</x:v>
      </x:c>
      <x:c r="B2962" s="1" t="str">
        <x:v>que moneda conviene llevar a brasil</x:v>
      </x:c>
      <x:c r="C2962" s="1" t="str">
        <x:v>chl</x:v>
      </x:c>
      <x:c r="D2962" s="1" t="str">
        <x:v>Sin marca</x:v>
      </x:c>
      <x:c r="E2962" s="35" t="n">
        <x:v>1</x:v>
      </x:c>
      <x:c r="F2962" s="36"/>
      <x:c r="G2962" s="36" t="str">
        <x:f>IF(ISNUMBER(F2962),E2962*F2962,"")</x:f>
      </x:c>
      <x:c r="H2962" s="37"/>
      <x:c r="I2962" s="37"/>
      <x:c r="J2962" s="1" t="n">
        <x:f>IF(ISNUMBER(F2962),E2962,0)</x:f>
        <x:v>0</x:v>
      </x:c>
      <x:c r="K2962" s="1"/>
      <x:c r="L2962" s="1"/>
      <x:c r="M2962" s="1"/>
    </x:row>
    <x:row r="2963" ht="18.75" customHeight="1">
      <x:c r="A2963" s="1" t="str">
        <x:v>https://blog.skyairline.com/montevideo-es-seguro/</x:v>
      </x:c>
      <x:c r="B2963" s="1" t="str">
        <x:v>es seguro montevideo</x:v>
      </x:c>
      <x:c r="C2963" s="1" t="str">
        <x:v>esp</x:v>
      </x:c>
      <x:c r="D2963" s="1" t="str">
        <x:v>Sin marca</x:v>
      </x:c>
      <x:c r="E2963" s="35" t="n">
        <x:v>1</x:v>
      </x:c>
      <x:c r="F2963" s="36"/>
      <x:c r="G2963" s="36" t="str">
        <x:f>IF(ISNUMBER(F2963),E2963*F2963,"")</x:f>
      </x:c>
      <x:c r="H2963" s="37"/>
      <x:c r="I2963" s="37"/>
      <x:c r="J2963" s="1" t="n">
        <x:f>IF(ISNUMBER(F2963),E2963,0)</x:f>
        <x:v>0</x:v>
      </x:c>
      <x:c r="K2963" s="1"/>
      <x:c r="L2963" s="1"/>
      <x:c r="M2963" s="1"/>
    </x:row>
    <x:row r="2964" ht="18.75" customHeight="1">
      <x:c r="A2964" s="1" t="str">
        <x:v>https://blog.skyairline.com/montevideo-noche/</x:v>
      </x:c>
      <x:c r="B2964" s="1" t="str">
        <x:v>boliches para mayores de 40 en montevideo</x:v>
      </x:c>
      <x:c r="C2964" s="1" t="str">
        <x:v>ury</x:v>
      </x:c>
      <x:c r="D2964" s="1" t="str">
        <x:v>Sin marca</x:v>
      </x:c>
      <x:c r="E2964" s="35" t="n">
        <x:v>1</x:v>
      </x:c>
      <x:c r="F2964" s="36"/>
      <x:c r="G2964" s="36" t="str">
        <x:f>IF(ISNUMBER(F2964),E2964*F2964,"")</x:f>
      </x:c>
      <x:c r="H2964" s="37"/>
      <x:c r="I2964" s="37"/>
      <x:c r="J2964" s="1" t="n">
        <x:f>IF(ISNUMBER(F2964),E2964,0)</x:f>
        <x:v>0</x:v>
      </x:c>
      <x:c r="K2964" s="1"/>
      <x:c r="L2964" s="1"/>
      <x:c r="M2964" s="1"/>
    </x:row>
    <x:row r="2965" ht="18.75" customHeight="1">
      <x:c r="A2965" s="1" t="str">
        <x:v>https://blog.skyairline.com/montevideo-noche/</x:v>
      </x:c>
      <x:c r="B2965" s="1" t="str">
        <x:v>boliches para mayores de 50</x:v>
      </x:c>
      <x:c r="C2965" s="1" t="str">
        <x:v>ury</x:v>
      </x:c>
      <x:c r="D2965" s="1" t="str">
        <x:v>Sin marca</x:v>
      </x:c>
      <x:c r="E2965" s="35" t="n">
        <x:v>1</x:v>
      </x:c>
      <x:c r="F2965" s="36"/>
      <x:c r="G2965" s="36" t="str">
        <x:f>IF(ISNUMBER(F2965),E2965*F2965,"")</x:f>
      </x:c>
      <x:c r="H2965" s="37"/>
      <x:c r="I2965" s="37"/>
      <x:c r="J2965" s="1" t="n">
        <x:f>IF(ISNUMBER(F2965),E2965,0)</x:f>
        <x:v>0</x:v>
      </x:c>
      <x:c r="K2965" s="1"/>
      <x:c r="L2965" s="1"/>
      <x:c r="M2965" s="1"/>
    </x:row>
    <x:row r="2966" ht="18.75" customHeight="1">
      <x:c r="A2966" s="1" t="str">
        <x:v>https://blog.skyairline.com/museos-en-iquique/</x:v>
      </x:c>
      <x:c r="B2966" s="1" t="str">
        <x:v>museos en iquique</x:v>
      </x:c>
      <x:c r="C2966" s="1" t="str">
        <x:v>chl</x:v>
      </x:c>
      <x:c r="D2966" s="1" t="str">
        <x:v>Sin marca</x:v>
      </x:c>
      <x:c r="E2966" s="35" t="n">
        <x:v>1</x:v>
      </x:c>
      <x:c r="F2966" s="36" t="n">
        <x:v>0.06</x:v>
      </x:c>
      <x:c r="G2966" s="36" t="n">
        <x:f>IF(ISNUMBER(F2966),E2966*F2966,"")</x:f>
        <x:v>0.06</x:v>
      </x:c>
      <x:c r="H2966" s="37" t="d">
        <x:v>2026-10-15T00:00:00.000Z</x:v>
      </x:c>
      <x:c r="I2966" s="37" t="d">
        <x:v>2026-09-16T08:06:40.000Z</x:v>
      </x:c>
      <x:c r="J2966" s="1" t="n">
        <x:f>IF(ISNUMBER(F2966),E2966,0)</x:f>
        <x:v>1</x:v>
      </x:c>
      <x:c r="K2966" s="1"/>
      <x:c r="L2966" s="1"/>
      <x:c r="M2966" s="1"/>
    </x:row>
    <x:row r="2967" ht="18.75" customHeight="1">
      <x:c r="A2967" s="1" t="str">
        <x:v>https://blog.skyairline.com/musica-en-chile/</x:v>
      </x:c>
      <x:c r="B2967" s="1" t="str">
        <x:v>la musica en chile</x:v>
      </x:c>
      <x:c r="C2967" s="1" t="str">
        <x:v>arg</x:v>
      </x:c>
      <x:c r="D2967" s="1" t="str">
        <x:v>Sin marca</x:v>
      </x:c>
      <x:c r="E2967" s="35" t="n">
        <x:v>1</x:v>
      </x:c>
      <x:c r="F2967" s="36"/>
      <x:c r="G2967" s="36" t="str">
        <x:f>IF(ISNUMBER(F2967),E2967*F2967,"")</x:f>
      </x:c>
      <x:c r="H2967" s="37"/>
      <x:c r="I2967" s="37"/>
      <x:c r="J2967" s="1" t="n">
        <x:f>IF(ISNUMBER(F2967),E2967,0)</x:f>
        <x:v>0</x:v>
      </x:c>
      <x:c r="K2967" s="1"/>
      <x:c r="L2967" s="1"/>
      <x:c r="M2967" s="1"/>
    </x:row>
    <x:row r="2968" ht="18.75" customHeight="1">
      <x:c r="A2968" s="1" t="str">
        <x:v>https://blog.skyairline.com/musica-en-chile/</x:v>
      </x:c>
      <x:c r="B2968" s="1" t="str">
        <x:v>musica chilena tradicional</x:v>
      </x:c>
      <x:c r="C2968" s="1" t="str">
        <x:v>chl</x:v>
      </x:c>
      <x:c r="D2968" s="1" t="str">
        <x:v>Sin marca</x:v>
      </x:c>
      <x:c r="E2968" s="35" t="n">
        <x:v>1</x:v>
      </x:c>
      <x:c r="F2968" s="36"/>
      <x:c r="G2968" s="36" t="str">
        <x:f>IF(ISNUMBER(F2968),E2968*F2968,"")</x:f>
      </x:c>
      <x:c r="H2968" s="37" t="d">
        <x:v>2026-10-15T00:00:00.000Z</x:v>
      </x:c>
      <x:c r="I2968" s="37" t="d">
        <x:v>2026-09-15T06:17:16.999Z</x:v>
      </x:c>
      <x:c r="J2968" s="1" t="n">
        <x:f>IF(ISNUMBER(F2968),E2968,0)</x:f>
        <x:v>0</x:v>
      </x:c>
      <x:c r="K2968" s="1"/>
      <x:c r="L2968" s="1"/>
      <x:c r="M2968" s="1"/>
    </x:row>
    <x:row r="2969" ht="18.75" customHeight="1">
      <x:c r="A2969" s="1" t="str">
        <x:v>https://blog.skyairline.com/musica-en-chile/</x:v>
      </x:c>
      <x:c r="B2969" s="1" t="str">
        <x:v>musica de chile</x:v>
      </x:c>
      <x:c r="C2969" s="1" t="str">
        <x:v>chl</x:v>
      </x:c>
      <x:c r="D2969" s="1" t="str">
        <x:v>Sin marca</x:v>
      </x:c>
      <x:c r="E2969" s="35" t="n">
        <x:v>1</x:v>
      </x:c>
      <x:c r="F2969" s="36"/>
      <x:c r="G2969" s="36" t="str">
        <x:f>IF(ISNUMBER(F2969),E2969*F2969,"")</x:f>
      </x:c>
      <x:c r="H2969" s="37" t="d">
        <x:v>2026-10-15T00:00:00.000Z</x:v>
      </x:c>
      <x:c r="I2969" s="37" t="d">
        <x:v>2026-09-13T08:48:56.000Z</x:v>
      </x:c>
      <x:c r="J2969" s="1" t="n">
        <x:f>IF(ISNUMBER(F2969),E2969,0)</x:f>
        <x:v>0</x:v>
      </x:c>
      <x:c r="K2969" s="1"/>
      <x:c r="L2969" s="1"/>
      <x:c r="M2969" s="1"/>
    </x:row>
    <x:row r="2970" ht="18.75" customHeight="1">
      <x:c r="A2970" s="1" t="str">
        <x:v>https://blog.skyairline.com/musica-en-chile/</x:v>
      </x:c>
      <x:c r="B2970" s="1" t="str">
        <x:v>musica tipica de chile</x:v>
      </x:c>
      <x:c r="C2970" s="1" t="str">
        <x:v>chl</x:v>
      </x:c>
      <x:c r="D2970" s="1" t="str">
        <x:v>Sin marca</x:v>
      </x:c>
      <x:c r="E2970" s="35" t="n">
        <x:v>1</x:v>
      </x:c>
      <x:c r="F2970" s="36"/>
      <x:c r="G2970" s="36" t="str">
        <x:f>IF(ISNUMBER(F2970),E2970*F2970,"")</x:f>
      </x:c>
      <x:c r="H2970" s="37" t="d">
        <x:v>2026-10-15T00:00:00.000Z</x:v>
      </x:c>
      <x:c r="I2970" s="37" t="d">
        <x:v>2026-09-16T00:37:46.000Z</x:v>
      </x:c>
      <x:c r="J2970" s="1" t="n">
        <x:f>IF(ISNUMBER(F2970),E2970,0)</x:f>
        <x:v>0</x:v>
      </x:c>
      <x:c r="K2970" s="1"/>
      <x:c r="L2970" s="1"/>
      <x:c r="M2970" s="1"/>
    </x:row>
    <x:row r="2971" ht="18.75" customHeight="1">
      <x:c r="A2971" s="1" t="str">
        <x:v>https://blog.skyairline.com/musica-en-chile/</x:v>
      </x:c>
      <x:c r="B2971" s="1" t="str">
        <x:v>música tradicional chilena</x:v>
      </x:c>
      <x:c r="C2971" s="1" t="str">
        <x:v>chl</x:v>
      </x:c>
      <x:c r="D2971" s="1" t="str">
        <x:v>Sin marca</x:v>
      </x:c>
      <x:c r="E2971" s="35" t="n">
        <x:v>1</x:v>
      </x:c>
      <x:c r="F2971" s="36" t="n">
        <x:v>0.23</x:v>
      </x:c>
      <x:c r="G2971" s="36" t="n">
        <x:f>IF(ISNUMBER(F2971),E2971*F2971,"")</x:f>
        <x:v>0.23</x:v>
      </x:c>
      <x:c r="H2971" s="37" t="d">
        <x:v>2026-10-15T00:00:00.000Z</x:v>
      </x:c>
      <x:c r="I2971" s="37" t="d">
        <x:v>2026-10-15T16:00:33.000Z</x:v>
      </x:c>
      <x:c r="J2971" s="1" t="n">
        <x:f>IF(ISNUMBER(F2971),E2971,0)</x:f>
        <x:v>1</x:v>
      </x:c>
      <x:c r="K2971" s="1"/>
      <x:c r="L2971" s="1"/>
      <x:c r="M2971" s="1"/>
    </x:row>
    <x:row r="2972" ht="18.75" customHeight="1">
      <x:c r="A2972" s="1" t="str">
        <x:v>https://blog.skyairline.com/musica-en-chile/</x:v>
      </x:c>
      <x:c r="B2972" s="1" t="str">
        <x:v>música tradicional de chile</x:v>
      </x:c>
      <x:c r="C2972" s="1" t="str">
        <x:v>chl</x:v>
      </x:c>
      <x:c r="D2972" s="1" t="str">
        <x:v>Sin marca</x:v>
      </x:c>
      <x:c r="E2972" s="35" t="n">
        <x:v>1</x:v>
      </x:c>
      <x:c r="F2972" s="36"/>
      <x:c r="G2972" s="36" t="str">
        <x:f>IF(ISNUMBER(F2972),E2972*F2972,"")</x:f>
      </x:c>
      <x:c r="H2972" s="37" t="d">
        <x:v>2026-10-15T00:00:00.000Z</x:v>
      </x:c>
      <x:c r="I2972" s="37" t="d">
        <x:v>2026-09-17T16:16:15.999Z</x:v>
      </x:c>
      <x:c r="J2972" s="1" t="n">
        <x:f>IF(ISNUMBER(F2972),E2972,0)</x:f>
        <x:v>0</x:v>
      </x:c>
      <x:c r="K2972" s="1"/>
      <x:c r="L2972" s="1"/>
      <x:c r="M2972" s="1"/>
    </x:row>
    <x:row r="2973" ht="18.75" customHeight="1">
      <x:c r="A2973" s="1" t="str">
        <x:v>https://blog.skyairline.com/musica-tipica-de-brasil/</x:v>
      </x:c>
      <x:c r="B2973" s="1" t="str">
        <x:v>canciones tipicas de brasil</x:v>
      </x:c>
      <x:c r="C2973" s="1" t="str">
        <x:v>chl</x:v>
      </x:c>
      <x:c r="D2973" s="1" t="str">
        <x:v>Sin marca</x:v>
      </x:c>
      <x:c r="E2973" s="35" t="n">
        <x:v>1</x:v>
      </x:c>
      <x:c r="F2973" s="36"/>
      <x:c r="G2973" s="36" t="str">
        <x:f>IF(ISNUMBER(F2973),E2973*F2973,"")</x:f>
      </x:c>
      <x:c r="H2973" s="37" t="d">
        <x:v>2026-10-15T00:00:00.000Z</x:v>
      </x:c>
      <x:c r="I2973" s="37" t="d">
        <x:v>2026-10-15T10:59:14.000Z</x:v>
      </x:c>
      <x:c r="J2973" s="1" t="n">
        <x:f>IF(ISNUMBER(F2973),E2973,0)</x:f>
        <x:v>0</x:v>
      </x:c>
      <x:c r="K2973" s="1"/>
      <x:c r="L2973" s="1"/>
      <x:c r="M2973" s="1"/>
    </x:row>
    <x:row r="2974" ht="18.75" customHeight="1">
      <x:c r="A2974" s="1" t="str">
        <x:v>https://blog.skyairline.com/musica-tipica-de-brasil/</x:v>
      </x:c>
      <x:c r="B2974" s="1" t="str">
        <x:v>cuál es la música tradicional de brasil</x:v>
      </x:c>
      <x:c r="C2974" s="1" t="str">
        <x:v>ury</x:v>
      </x:c>
      <x:c r="D2974" s="1" t="str">
        <x:v>Sin marca</x:v>
      </x:c>
      <x:c r="E2974" s="35" t="n">
        <x:v>1</x:v>
      </x:c>
      <x:c r="F2974" s="36"/>
      <x:c r="G2974" s="36" t="str">
        <x:f>IF(ISNUMBER(F2974),E2974*F2974,"")</x:f>
      </x:c>
      <x:c r="H2974" s="37"/>
      <x:c r="I2974" s="37"/>
      <x:c r="J2974" s="1" t="n">
        <x:f>IF(ISNUMBER(F2974),E2974,0)</x:f>
        <x:v>0</x:v>
      </x:c>
      <x:c r="K2974" s="1"/>
      <x:c r="L2974" s="1"/>
      <x:c r="M2974" s="1"/>
    </x:row>
    <x:row r="2975" ht="18.75" customHeight="1">
      <x:c r="A2975" s="1" t="str">
        <x:v>https://blog.skyairline.com/musica-tipica-de-brasil/</x:v>
      </x:c>
      <x:c r="B2975" s="1" t="str">
        <x:v>musica de brasil</x:v>
      </x:c>
      <x:c r="C2975" s="1" t="str">
        <x:v>gtm</x:v>
      </x:c>
      <x:c r="D2975" s="1" t="str">
        <x:v>Sin marca</x:v>
      </x:c>
      <x:c r="E2975" s="35" t="n">
        <x:v>1</x:v>
      </x:c>
      <x:c r="F2975" s="36"/>
      <x:c r="G2975" s="36" t="str">
        <x:f>IF(ISNUMBER(F2975),E2975*F2975,"")</x:f>
      </x:c>
      <x:c r="H2975" s="37"/>
      <x:c r="I2975" s="37"/>
      <x:c r="J2975" s="1" t="n">
        <x:f>IF(ISNUMBER(F2975),E2975,0)</x:f>
        <x:v>0</x:v>
      </x:c>
      <x:c r="K2975" s="1"/>
      <x:c r="L2975" s="1"/>
      <x:c r="M2975" s="1"/>
    </x:row>
    <x:row r="2976" ht="18.75" customHeight="1">
      <x:c r="A2976" s="1" t="str">
        <x:v>https://blog.skyairline.com/musica-tipica-de-brasil/</x:v>
      </x:c>
      <x:c r="B2976" s="1" t="str">
        <x:v>musica de brasil</x:v>
      </x:c>
      <x:c r="C2976" s="1" t="str">
        <x:v>mex</x:v>
      </x:c>
      <x:c r="D2976" s="1" t="str">
        <x:v>Sin marca</x:v>
      </x:c>
      <x:c r="E2976" s="35" t="n">
        <x:v>1</x:v>
      </x:c>
      <x:c r="F2976" s="36"/>
      <x:c r="G2976" s="36" t="str">
        <x:f>IF(ISNUMBER(F2976),E2976*F2976,"")</x:f>
      </x:c>
      <x:c r="H2976" s="37"/>
      <x:c r="I2976" s="37"/>
      <x:c r="J2976" s="1" t="n">
        <x:f>IF(ISNUMBER(F2976),E2976,0)</x:f>
        <x:v>0</x:v>
      </x:c>
      <x:c r="K2976" s="1"/>
      <x:c r="L2976" s="1"/>
      <x:c r="M2976" s="1"/>
    </x:row>
    <x:row r="2977" ht="18.75" customHeight="1">
      <x:c r="A2977" s="1" t="str">
        <x:v>https://blog.skyairline.com/musica-tipica-de-brasil/</x:v>
      </x:c>
      <x:c r="B2977" s="1" t="str">
        <x:v>musica tipica de brasil</x:v>
      </x:c>
      <x:c r="C2977" s="1" t="str">
        <x:v>arg</x:v>
      </x:c>
      <x:c r="D2977" s="1" t="str">
        <x:v>Sin marca</x:v>
      </x:c>
      <x:c r="E2977" s="35" t="n">
        <x:v>1</x:v>
      </x:c>
      <x:c r="F2977" s="36"/>
      <x:c r="G2977" s="36" t="str">
        <x:f>IF(ISNUMBER(F2977),E2977*F2977,"")</x:f>
      </x:c>
      <x:c r="H2977" s="37"/>
      <x:c r="I2977" s="37"/>
      <x:c r="J2977" s="1" t="n">
        <x:f>IF(ISNUMBER(F2977),E2977,0)</x:f>
        <x:v>0</x:v>
      </x:c>
      <x:c r="K2977" s="1"/>
      <x:c r="L2977" s="1"/>
      <x:c r="M2977" s="1"/>
    </x:row>
    <x:row r="2978" ht="18.75" customHeight="1">
      <x:c r="A2978" s="1" t="str">
        <x:v>https://blog.skyairline.com/musica-tipica-de-brasil/</x:v>
      </x:c>
      <x:c r="B2978" s="1" t="str">
        <x:v>musica tipica de brasil</x:v>
      </x:c>
      <x:c r="C2978" s="1" t="str">
        <x:v>mex</x:v>
      </x:c>
      <x:c r="D2978" s="1" t="str">
        <x:v>Sin marca</x:v>
      </x:c>
      <x:c r="E2978" s="35" t="n">
        <x:v>1</x:v>
      </x:c>
      <x:c r="F2978" s="36"/>
      <x:c r="G2978" s="36" t="str">
        <x:f>IF(ISNUMBER(F2978),E2978*F2978,"")</x:f>
      </x:c>
      <x:c r="H2978" s="37"/>
      <x:c r="I2978" s="37"/>
      <x:c r="J2978" s="1" t="n">
        <x:f>IF(ISNUMBER(F2978),E2978,0)</x:f>
        <x:v>0</x:v>
      </x:c>
      <x:c r="K2978" s="1"/>
      <x:c r="L2978" s="1"/>
      <x:c r="M2978" s="1"/>
    </x:row>
    <x:row r="2979" ht="18.75" customHeight="1">
      <x:c r="A2979" s="1" t="str">
        <x:v>https://blog.skyairline.com/musica-tipica-de-brasil/</x:v>
      </x:c>
      <x:c r="B2979" s="1" t="str">
        <x:v>musica tradicional brasileña</x:v>
      </x:c>
      <x:c r="C2979" s="1" t="str">
        <x:v>pry</x:v>
      </x:c>
      <x:c r="D2979" s="1" t="str">
        <x:v>Sin marca</x:v>
      </x:c>
      <x:c r="E2979" s="35" t="n">
        <x:v>1</x:v>
      </x:c>
      <x:c r="F2979" s="36"/>
      <x:c r="G2979" s="36" t="str">
        <x:f>IF(ISNUMBER(F2979),E2979*F2979,"")</x:f>
      </x:c>
      <x:c r="H2979" s="37"/>
      <x:c r="I2979" s="37"/>
      <x:c r="J2979" s="1" t="n">
        <x:f>IF(ISNUMBER(F2979),E2979,0)</x:f>
        <x:v>0</x:v>
      </x:c>
      <x:c r="K2979" s="1"/>
      <x:c r="L2979" s="1"/>
      <x:c r="M2979" s="1"/>
    </x:row>
    <x:row r="2980" ht="18.75" customHeight="1">
      <x:c r="A2980" s="1" t="str">
        <x:v>https://blog.skyairline.com/musica-tipica-de-brasil/</x:v>
      </x:c>
      <x:c r="B2980" s="1" t="str">
        <x:v>musica tradicional de brasil</x:v>
      </x:c>
      <x:c r="C2980" s="1" t="str">
        <x:v>mex</x:v>
      </x:c>
      <x:c r="D2980" s="1" t="str">
        <x:v>Sin marca</x:v>
      </x:c>
      <x:c r="E2980" s="35" t="n">
        <x:v>1</x:v>
      </x:c>
      <x:c r="F2980" s="36"/>
      <x:c r="G2980" s="36" t="str">
        <x:f>IF(ISNUMBER(F2980),E2980*F2980,"")</x:f>
      </x:c>
      <x:c r="H2980" s="37"/>
      <x:c r="I2980" s="37"/>
      <x:c r="J2980" s="1" t="n">
        <x:f>IF(ISNUMBER(F2980),E2980,0)</x:f>
        <x:v>0</x:v>
      </x:c>
      <x:c r="K2980" s="1"/>
      <x:c r="L2980" s="1"/>
      <x:c r="M2980" s="1"/>
    </x:row>
    <x:row r="2981" ht="18.75" customHeight="1">
      <x:c r="A2981" s="1" t="str">
        <x:v>https://blog.skyairline.com/musica-tipica-de-brasil/</x:v>
      </x:c>
      <x:c r="B2981" s="1" t="str">
        <x:v>musica tradicional de brasil</x:v>
      </x:c>
      <x:c r="C2981" s="1" t="str">
        <x:v>pry</x:v>
      </x:c>
      <x:c r="D2981" s="1" t="str">
        <x:v>Sin marca</x:v>
      </x:c>
      <x:c r="E2981" s="35" t="n">
        <x:v>1</x:v>
      </x:c>
      <x:c r="F2981" s="36"/>
      <x:c r="G2981" s="36" t="str">
        <x:f>IF(ISNUMBER(F2981),E2981*F2981,"")</x:f>
      </x:c>
      <x:c r="H2981" s="37"/>
      <x:c r="I2981" s="37"/>
      <x:c r="J2981" s="1" t="n">
        <x:f>IF(ISNUMBER(F2981),E2981,0)</x:f>
        <x:v>0</x:v>
      </x:c>
      <x:c r="K2981" s="1"/>
      <x:c r="L2981" s="1"/>
      <x:c r="M2981" s="1"/>
    </x:row>
    <x:row r="2982" ht="18.75" customHeight="1">
      <x:c r="A2982" s="1" t="str">
        <x:v>https://blog.skyairline.com/musica-tipica-de-brasil/</x:v>
      </x:c>
      <x:c r="B2982" s="1" t="str">
        <x:v>musica típica de brasil</x:v>
      </x:c>
      <x:c r="C2982" s="1" t="str">
        <x:v>arg</x:v>
      </x:c>
      <x:c r="D2982" s="1" t="str">
        <x:v>Sin marca</x:v>
      </x:c>
      <x:c r="E2982" s="35" t="n">
        <x:v>1</x:v>
      </x:c>
      <x:c r="F2982" s="36"/>
      <x:c r="G2982" s="36" t="str">
        <x:f>IF(ISNUMBER(F2982),E2982*F2982,"")</x:f>
      </x:c>
      <x:c r="H2982" s="37"/>
      <x:c r="I2982" s="37"/>
      <x:c r="J2982" s="1" t="n">
        <x:f>IF(ISNUMBER(F2982),E2982,0)</x:f>
        <x:v>0</x:v>
      </x:c>
      <x:c r="K2982" s="1"/>
      <x:c r="L2982" s="1"/>
      <x:c r="M2982" s="1"/>
    </x:row>
    <x:row r="2983" ht="18.75" customHeight="1">
      <x:c r="A2983" s="1" t="str">
        <x:v>https://blog.skyairline.com/musica-tipica-de-brasil/</x:v>
      </x:c>
      <x:c r="B2983" s="1" t="str">
        <x:v>música tradicional de brasil</x:v>
      </x:c>
      <x:c r="C2983" s="1" t="str">
        <x:v>chl</x:v>
      </x:c>
      <x:c r="D2983" s="1" t="str">
        <x:v>Sin marca</x:v>
      </x:c>
      <x:c r="E2983" s="35" t="n">
        <x:v>1</x:v>
      </x:c>
      <x:c r="F2983" s="36"/>
      <x:c r="G2983" s="36" t="str">
        <x:f>IF(ISNUMBER(F2983),E2983*F2983,"")</x:f>
      </x:c>
      <x:c r="H2983" s="37" t="d">
        <x:v>2026-10-15T00:00:00.000Z</x:v>
      </x:c>
      <x:c r="I2983" s="37" t="d">
        <x:v>2026-10-15T03:54:24.000Z</x:v>
      </x:c>
      <x:c r="J2983" s="1" t="n">
        <x:f>IF(ISNUMBER(F2983),E2983,0)</x:f>
        <x:v>0</x:v>
      </x:c>
      <x:c r="K2983" s="1"/>
      <x:c r="L2983" s="1"/>
      <x:c r="M2983" s="1"/>
    </x:row>
    <x:row r="2984" ht="18.75" customHeight="1">
      <x:c r="A2984" s="1" t="str">
        <x:v>https://blog.skyairline.com/musica-tipica-de-brasil/</x:v>
      </x:c>
      <x:c r="B2984" s="1" t="str">
        <x:v>música típica de brasil</x:v>
      </x:c>
      <x:c r="C2984" s="1" t="str">
        <x:v>col</x:v>
      </x:c>
      <x:c r="D2984" s="1" t="str">
        <x:v>Sin marca</x:v>
      </x:c>
      <x:c r="E2984" s="35" t="n">
        <x:v>1</x:v>
      </x:c>
      <x:c r="F2984" s="36"/>
      <x:c r="G2984" s="36" t="str">
        <x:f>IF(ISNUMBER(F2984),E2984*F2984,"")</x:f>
      </x:c>
      <x:c r="H2984" s="37"/>
      <x:c r="I2984" s="37"/>
      <x:c r="J2984" s="1" t="n">
        <x:f>IF(ISNUMBER(F2984),E2984,0)</x:f>
        <x:v>0</x:v>
      </x:c>
      <x:c r="K2984" s="1"/>
      <x:c r="L2984" s="1"/>
      <x:c r="M2984" s="1"/>
    </x:row>
    <x:row r="2985" ht="18.75" customHeight="1">
      <x:c r="A2985" s="1" t="str">
        <x:v>https://blog.skyairline.com/musica-tipica-de-brasil/</x:v>
      </x:c>
      <x:c r="B2985" s="1" t="str">
        <x:v>música típica de brasil</x:v>
      </x:c>
      <x:c r="C2985" s="1" t="str">
        <x:v>mex</x:v>
      </x:c>
      <x:c r="D2985" s="1" t="str">
        <x:v>Sin marca</x:v>
      </x:c>
      <x:c r="E2985" s="35" t="n">
        <x:v>1</x:v>
      </x:c>
      <x:c r="F2985" s="36"/>
      <x:c r="G2985" s="36" t="str">
        <x:f>IF(ISNUMBER(F2985),E2985*F2985,"")</x:f>
      </x:c>
      <x:c r="H2985" s="37"/>
      <x:c r="I2985" s="37"/>
      <x:c r="J2985" s="1" t="n">
        <x:f>IF(ISNUMBER(F2985),E2985,0)</x:f>
        <x:v>0</x:v>
      </x:c>
      <x:c r="K2985" s="1"/>
      <x:c r="L2985" s="1"/>
      <x:c r="M2985" s="1"/>
    </x:row>
    <x:row r="2986" ht="18.75" customHeight="1">
      <x:c r="A2986" s="1" t="str">
        <x:v>https://blog.skyairline.com/navidad-en-chile-2/</x:v>
      </x:c>
      <x:c r="B2986" s="1" t="str">
        <x:v>donde pasar navidad en chile</x:v>
      </x:c>
      <x:c r="C2986" s="1" t="str">
        <x:v>chl</x:v>
      </x:c>
      <x:c r="D2986" s="1" t="str">
        <x:v>Sin marca</x:v>
      </x:c>
      <x:c r="E2986" s="35" t="n">
        <x:v>1</x:v>
      </x:c>
      <x:c r="F2986" s="36" t="n">
        <x:v>0.29</x:v>
      </x:c>
      <x:c r="G2986" s="36" t="n">
        <x:f>IF(ISNUMBER(F2986),E2986*F2986,"")</x:f>
        <x:v>0.29</x:v>
      </x:c>
      <x:c r="H2986" s="37" t="d">
        <x:v>2026-10-15T00:00:00.000Z</x:v>
      </x:c>
      <x:c r="I2986" s="37" t="d">
        <x:v>2026-09-15T04:01:36.000Z</x:v>
      </x:c>
      <x:c r="J2986" s="1" t="n">
        <x:f>IF(ISNUMBER(F2986),E2986,0)</x:f>
        <x:v>1</x:v>
      </x:c>
      <x:c r="K2986" s="1"/>
      <x:c r="L2986" s="1"/>
      <x:c r="M2986" s="1"/>
    </x:row>
    <x:row r="2987" ht="18.75" customHeight="1">
      <x:c r="A2987" s="1" t="str">
        <x:v>https://blog.skyairline.com/nevado-rajuntay/</x:v>
      </x:c>
      <x:c r="B2987" s="1" t="str">
        <x:v>rajuntay</x:v>
      </x:c>
      <x:c r="C2987" s="1" t="str">
        <x:v>per</x:v>
      </x:c>
      <x:c r="D2987" s="1" t="str">
        <x:v>Sin marca</x:v>
      </x:c>
      <x:c r="E2987" s="35" t="n">
        <x:v>1</x:v>
      </x:c>
      <x:c r="F2987" s="36" t="n">
        <x:v>0.41</x:v>
      </x:c>
      <x:c r="G2987" s="36" t="n">
        <x:f>IF(ISNUMBER(F2987),E2987*F2987,"")</x:f>
        <x:v>0.41</x:v>
      </x:c>
      <x:c r="H2987" s="37" t="d">
        <x:v>2026-10-15T00:00:00.000Z</x:v>
      </x:c>
      <x:c r="I2987" s="37" t="d">
        <x:v>2026-10-15T15:40:14.000Z</x:v>
      </x:c>
      <x:c r="J2987" s="1" t="n">
        <x:f>IF(ISNUMBER(F2987),E2987,0)</x:f>
        <x:v>1</x:v>
      </x:c>
      <x:c r="K2987" s="1"/>
      <x:c r="L2987" s="1"/>
      <x:c r="M2987" s="1"/>
    </x:row>
    <x:row r="2988" ht="18.75" customHeight="1">
      <x:c r="A2988" s="1" t="str">
        <x:v>https://blog.skyairline.com/nogales/</x:v>
      </x:c>
      <x:c r="B2988" s="1" t="str">
        <x:v>con adulto mayor</x:v>
      </x:c>
      <x:c r="C2988" s="1" t="str">
        <x:v>chl</x:v>
      </x:c>
      <x:c r="D2988" s="1" t="str">
        <x:v>Sin marca</x:v>
      </x:c>
      <x:c r="E2988" s="35" t="n">
        <x:v>1</x:v>
      </x:c>
      <x:c r="F2988" s="36"/>
      <x:c r="G2988" s="36" t="str">
        <x:f>IF(ISNUMBER(F2988),E2988*F2988,"")</x:f>
      </x:c>
      <x:c r="H2988" s="37"/>
      <x:c r="I2988" s="37"/>
      <x:c r="J2988" s="1" t="n">
        <x:f>IF(ISNUMBER(F2988),E2988,0)</x:f>
        <x:v>0</x:v>
      </x:c>
      <x:c r="K2988" s="1"/>
      <x:c r="L2988" s="1"/>
      <x:c r="M2988" s="1"/>
    </x:row>
    <x:row r="2989" ht="18.75" customHeight="1">
      <x:c r="A2989" s="1" t="str">
        <x:v>https://blog.skyairline.com/nogales/</x:v>
      </x:c>
      <x:c r="B2989" s="1" t="str">
        <x:v>si</x:v>
      </x:c>
      <x:c r="C2989" s="1" t="str">
        <x:v>chl</x:v>
      </x:c>
      <x:c r="D2989" s="1" t="str">
        <x:v>Sin marca</x:v>
      </x:c>
      <x:c r="E2989" s="35" t="n">
        <x:v>1</x:v>
      </x:c>
      <x:c r="F2989" s="36"/>
      <x:c r="G2989" s="36" t="str">
        <x:f>IF(ISNUMBER(F2989),E2989*F2989,"")</x:f>
      </x:c>
      <x:c r="H2989" s="37"/>
      <x:c r="I2989" s="37"/>
      <x:c r="J2989" s="1" t="n">
        <x:f>IF(ISNUMBER(F2989),E2989,0)</x:f>
        <x:v>0</x:v>
      </x:c>
      <x:c r="K2989" s="1"/>
      <x:c r="L2989" s="1"/>
      <x:c r="M2989" s="1"/>
    </x:row>
    <x:row r="2990" ht="18.75" customHeight="1">
      <x:c r="A2990" s="1" t="str">
        <x:v>https://blog.skyairline.com/norte-de-chile/</x:v>
      </x:c>
      <x:c r="B2990" s="1" t="str">
        <x:v>norte de chile turismo</x:v>
      </x:c>
      <x:c r="C2990" s="1" t="str">
        <x:v>ury</x:v>
      </x:c>
      <x:c r="D2990" s="1" t="str">
        <x:v>Sin marca</x:v>
      </x:c>
      <x:c r="E2990" s="35" t="n">
        <x:v>1</x:v>
      </x:c>
      <x:c r="F2990" s="36"/>
      <x:c r="G2990" s="36" t="str">
        <x:f>IF(ISNUMBER(F2990),E2990*F2990,"")</x:f>
      </x:c>
      <x:c r="H2990" s="37"/>
      <x:c r="I2990" s="37"/>
      <x:c r="J2990" s="1" t="n">
        <x:f>IF(ISNUMBER(F2990),E2990,0)</x:f>
        <x:v>0</x:v>
      </x:c>
      <x:c r="K2990" s="1"/>
      <x:c r="L2990" s="1"/>
      <x:c r="M2990" s="1"/>
    </x:row>
    <x:row r="2991" ht="18.75" customHeight="1">
      <x:c r="A2991" s="1" t="str">
        <x:v>https://blog.skyairline.com/nueva-plataforma-digital-simplificamos-el-envio-de-carga-aerea/</x:v>
      </x:c>
      <x:c r="B2991" s="1" t="str">
        <x:v>sky cargo iquique</x:v>
      </x:c>
      <x:c r="C2991" s="1" t="str">
        <x:v>chl</x:v>
      </x:c>
      <x:c r="D2991" s="1" t="str">
        <x:v>Marca</x:v>
      </x:c>
      <x:c r="E2991" s="35" t="n">
        <x:v>1</x:v>
      </x:c>
      <x:c r="F2991" s="36"/>
      <x:c r="G2991" s="36" t="str">
        <x:f>IF(ISNUMBER(F2991),E2991*F2991,"")</x:f>
      </x:c>
      <x:c r="H2991" s="37" t="d">
        <x:v>2026-10-15T00:00:00.000Z</x:v>
      </x:c>
      <x:c r="I2991" s="37" t="d">
        <x:v>2026-09-14T16:23:39.000Z</x:v>
      </x:c>
      <x:c r="J2991" s="1" t="n">
        <x:f>IF(ISNUMBER(F2991),E2991,0)</x:f>
        <x:v>0</x:v>
      </x:c>
      <x:c r="K2991" s="1"/>
      <x:c r="L2991" s="1"/>
      <x:c r="M2991" s="1"/>
    </x:row>
    <x:row r="2992" ht="18.75" customHeight="1">
      <x:c r="A2992" s="1" t="str">
        <x:v>https://blog.skyairline.com/nueva-plataforma-digital-simplificamos-el-envio-de-carga-aerea/</x:v>
      </x:c>
      <x:c r="B2992" s="1" t="str">
        <x:v>sky envío de paquetes</x:v>
      </x:c>
      <x:c r="C2992" s="1" t="str">
        <x:v>chl</x:v>
      </x:c>
      <x:c r="D2992" s="1" t="str">
        <x:v>Marca</x:v>
      </x:c>
      <x:c r="E2992" s="35" t="n">
        <x:v>1</x:v>
      </x:c>
      <x:c r="F2992" s="36"/>
      <x:c r="G2992" s="36" t="str">
        <x:f>IF(ISNUMBER(F2992),E2992*F2992,"")</x:f>
      </x:c>
      <x:c r="H2992" s="37"/>
      <x:c r="I2992" s="37"/>
      <x:c r="J2992" s="1" t="n">
        <x:f>IF(ISNUMBER(F2992),E2992,0)</x:f>
        <x:v>0</x:v>
      </x:c>
      <x:c r="K2992" s="1"/>
      <x:c r="L2992" s="1"/>
      <x:c r="M2992" s="1"/>
    </x:row>
    <x:row r="2993" ht="18.75" customHeight="1">
      <x:c r="A2993" s="1" t="str">
        <x:v>https://blog.skyairline.com/nuevo-programa-de-fidelizacion-exclusivo-para-clientes-corporativos-sky-plus-empresas-2/</x:v>
      </x:c>
      <x:c r="B2993" s="1" t="str">
        <x:v>skyairline empresas</x:v>
      </x:c>
      <x:c r="C2993" s="1" t="str">
        <x:v>chl</x:v>
      </x:c>
      <x:c r="D2993" s="1" t="str">
        <x:v>Marca</x:v>
      </x:c>
      <x:c r="E2993" s="35" t="n">
        <x:v>1</x:v>
      </x:c>
      <x:c r="F2993" s="36" t="n">
        <x:v>2.58</x:v>
      </x:c>
      <x:c r="G2993" s="36" t="n">
        <x:f>IF(ISNUMBER(F2993),E2993*F2993,"")</x:f>
        <x:v>2.58</x:v>
      </x:c>
      <x:c r="H2993" s="37" t="d">
        <x:v>2026-10-15T00:00:00.000Z</x:v>
      </x:c>
      <x:c r="I2993" s="37" t="d">
        <x:v>2026-09-16T13:56:42.000Z</x:v>
      </x:c>
      <x:c r="J2993" s="1" t="n">
        <x:f>IF(ISNUMBER(F2993),E2993,0)</x:f>
        <x:v>1</x:v>
      </x:c>
      <x:c r="K2993" s="1"/>
      <x:c r="L2993" s="1"/>
      <x:c r="M2993" s="1"/>
    </x:row>
    <x:row r="2994" ht="18.75" customHeight="1">
      <x:c r="A2994" s="1" t="str">
        <x:v>https://blog.skyairline.com/oscar-niemeyer/</x:v>
      </x:c>
      <x:c r="B2994" s="1" t="str">
        <x:v>sao paulo oscar niemeyer</x:v>
      </x:c>
      <x:c r="C2994" s="1" t="str">
        <x:v>per</x:v>
      </x:c>
      <x:c r="D2994" s="1" t="str">
        <x:v>Sin marca</x:v>
      </x:c>
      <x:c r="E2994" s="35" t="n">
        <x:v>1</x:v>
      </x:c>
      <x:c r="F2994" s="36"/>
      <x:c r="G2994" s="36" t="str">
        <x:f>IF(ISNUMBER(F2994),E2994*F2994,"")</x:f>
      </x:c>
      <x:c r="H2994" s="37"/>
      <x:c r="I2994" s="37"/>
      <x:c r="J2994" s="1" t="n">
        <x:f>IF(ISNUMBER(F2994),E2994,0)</x:f>
        <x:v>0</x:v>
      </x:c>
      <x:c r="K2994" s="1"/>
      <x:c r="L2994" s="1"/>
      <x:c r="M2994" s="1"/>
    </x:row>
    <x:row r="2995" ht="18.75" customHeight="1">
      <x:c r="A2995" s="1" t="str">
        <x:v>https://blog.skyairline.com/ouro-preto/</x:v>
      </x:c>
      <x:c r="B2995" s="1" t="str">
        <x:v>como ir de belo horizonte para ouro preto</x:v>
      </x:c>
      <x:c r="C2995" s="1" t="str">
        <x:v>chl</x:v>
      </x:c>
      <x:c r="D2995" s="1" t="str">
        <x:v>Sin marca</x:v>
      </x:c>
      <x:c r="E2995" s="35" t="n">
        <x:v>1</x:v>
      </x:c>
      <x:c r="F2995" s="36"/>
      <x:c r="G2995" s="36" t="str">
        <x:f>IF(ISNUMBER(F2995),E2995*F2995,"")</x:f>
      </x:c>
      <x:c r="H2995" s="37"/>
      <x:c r="I2995" s="37"/>
      <x:c r="J2995" s="1" t="n">
        <x:f>IF(ISNUMBER(F2995),E2995,0)</x:f>
        <x:v>0</x:v>
      </x:c>
      <x:c r="K2995" s="1"/>
      <x:c r="L2995" s="1"/>
      <x:c r="M2995" s="1"/>
    </x:row>
    <x:row r="2996" ht="18.75" customHeight="1">
      <x:c r="A2996" s="1" t="str">
        <x:v>https://blog.skyairline.com/ouro-preto/</x:v>
      </x:c>
      <x:c r="B2996" s="1" t="str">
        <x:v>distancia entre belo horizonte e ouro preto</x:v>
      </x:c>
      <x:c r="C2996" s="1" t="str">
        <x:v>arg</x:v>
      </x:c>
      <x:c r="D2996" s="1" t="str">
        <x:v>Sin marca</x:v>
      </x:c>
      <x:c r="E2996" s="35" t="n">
        <x:v>1</x:v>
      </x:c>
      <x:c r="F2996" s="36"/>
      <x:c r="G2996" s="36" t="str">
        <x:f>IF(ISNUMBER(F2996),E2996*F2996,"")</x:f>
      </x:c>
      <x:c r="H2996" s="37"/>
      <x:c r="I2996" s="37"/>
      <x:c r="J2996" s="1" t="n">
        <x:f>IF(ISNUMBER(F2996),E2996,0)</x:f>
        <x:v>0</x:v>
      </x:c>
      <x:c r="K2996" s="1"/>
      <x:c r="L2996" s="1"/>
      <x:c r="M2996" s="1"/>
    </x:row>
    <x:row r="2997" ht="18.75" customHeight="1">
      <x:c r="A2997" s="1" t="str">
        <x:v>https://blog.skyairline.com/ouro-preto/</x:v>
      </x:c>
      <x:c r="B2997" s="1" t="str">
        <x:v>ouro preto</x:v>
      </x:c>
      <x:c r="C2997" s="1" t="str">
        <x:v>chl</x:v>
      </x:c>
      <x:c r="D2997" s="1" t="str">
        <x:v>Sin marca</x:v>
      </x:c>
      <x:c r="E2997" s="35" t="n">
        <x:v>1</x:v>
      </x:c>
      <x:c r="F2997" s="36" t="n">
        <x:v>1.82</x:v>
      </x:c>
      <x:c r="G2997" s="36" t="n">
        <x:f>IF(ISNUMBER(F2997),E2997*F2997,"")</x:f>
        <x:v>1.82</x:v>
      </x:c>
      <x:c r="H2997" s="37" t="d">
        <x:v>2026-10-15T00:00:00.000Z</x:v>
      </x:c>
      <x:c r="I2997" s="37" t="d">
        <x:v>2026-09-13T23:21:40.000Z</x:v>
      </x:c>
      <x:c r="J2997" s="1" t="n">
        <x:f>IF(ISNUMBER(F2997),E2997,0)</x:f>
        <x:v>1</x:v>
      </x:c>
      <x:c r="K2997" s="1"/>
      <x:c r="L2997" s="1"/>
      <x:c r="M2997" s="1"/>
    </x:row>
    <x:row r="2998" ht="18.75" customHeight="1">
      <x:c r="A2998" s="1" t="str">
        <x:v>https://blog.skyairline.com/outfit-para-viajar-en-avion/</x:v>
      </x:c>
      <x:c r="B2998" s="1" t="str">
        <x:v>como vestir para viajar en avion</x:v>
      </x:c>
      <x:c r="C2998" s="1" t="str">
        <x:v>mex</x:v>
      </x:c>
      <x:c r="D2998" s="1" t="str">
        <x:v>Sin marca</x:v>
      </x:c>
      <x:c r="E2998" s="35" t="n">
        <x:v>1</x:v>
      </x:c>
      <x:c r="F2998" s="36"/>
      <x:c r="G2998" s="36" t="str">
        <x:f>IF(ISNUMBER(F2998),E2998*F2998,"")</x:f>
      </x:c>
      <x:c r="H2998" s="37"/>
      <x:c r="I2998" s="37"/>
      <x:c r="J2998" s="1" t="n">
        <x:f>IF(ISNUMBER(F2998),E2998,0)</x:f>
        <x:v>0</x:v>
      </x:c>
      <x:c r="K2998" s="1"/>
      <x:c r="L2998" s="1"/>
      <x:c r="M2998" s="1"/>
    </x:row>
    <x:row r="2999" ht="18.75" customHeight="1">
      <x:c r="A2999" s="1" t="str">
        <x:v>https://blog.skyairline.com/outfit-para-viajar-en-avion/</x:v>
      </x:c>
      <x:c r="B2999" s="1" t="str">
        <x:v>como viajar comodo en avion</x:v>
      </x:c>
      <x:c r="C2999" s="1" t="str">
        <x:v>chl</x:v>
      </x:c>
      <x:c r="D2999" s="1" t="str">
        <x:v>Sin marca</x:v>
      </x:c>
      <x:c r="E2999" s="35" t="n">
        <x:v>1</x:v>
      </x:c>
      <x:c r="F2999" s="36"/>
      <x:c r="G2999" s="36" t="str">
        <x:f>IF(ISNUMBER(F2999),E2999*F2999,"")</x:f>
      </x:c>
      <x:c r="H2999" s="37"/>
      <x:c r="I2999" s="37"/>
      <x:c r="J2999" s="1" t="n">
        <x:f>IF(ISNUMBER(F2999),E2999,0)</x:f>
        <x:v>0</x:v>
      </x:c>
      <x:c r="K2999" s="1"/>
      <x:c r="L2999" s="1"/>
      <x:c r="M2999" s="1"/>
    </x:row>
    <x:row r="3000" ht="18.75" customHeight="1">
      <x:c r="A3000" s="1" t="str">
        <x:v>https://blog.skyairline.com/outfit-para-viajar-en-avion/</x:v>
      </x:c>
      <x:c r="B3000" s="1" t="str">
        <x:v>con que ropa viajar en avion</x:v>
      </x:c>
      <x:c r="C3000" s="1" t="str">
        <x:v>col</x:v>
      </x:c>
      <x:c r="D3000" s="1" t="str">
        <x:v>Sin marca</x:v>
      </x:c>
      <x:c r="E3000" s="35" t="n">
        <x:v>1</x:v>
      </x:c>
      <x:c r="F3000" s="36"/>
      <x:c r="G3000" s="36" t="str">
        <x:f>IF(ISNUMBER(F3000),E3000*F3000,"")</x:f>
      </x:c>
      <x:c r="H3000" s="37"/>
      <x:c r="I3000" s="37"/>
      <x:c r="J3000" s="1" t="n">
        <x:f>IF(ISNUMBER(F3000),E3000,0)</x:f>
        <x:v>0</x:v>
      </x:c>
      <x:c r="K3000" s="1"/>
      <x:c r="L3000" s="1"/>
      <x:c r="M3000" s="1"/>
    </x:row>
    <x:row r="3001" ht="18.75" customHeight="1">
      <x:c r="A3001" s="1" t="str">
        <x:v>https://blog.skyairline.com/outfit-para-viajar-en-avion/</x:v>
      </x:c>
      <x:c r="B3001" s="1" t="str">
        <x:v>outfit para viajar en avion</x:v>
      </x:c>
      <x:c r="C3001" s="1" t="str">
        <x:v>chl</x:v>
      </x:c>
      <x:c r="D3001" s="1" t="str">
        <x:v>Sin marca</x:v>
      </x:c>
      <x:c r="E3001" s="35" t="n">
        <x:v>1</x:v>
      </x:c>
      <x:c r="F3001" s="36" t="n">
        <x:v>0.18</x:v>
      </x:c>
      <x:c r="G3001" s="36" t="n">
        <x:f>IF(ISNUMBER(F3001),E3001*F3001,"")</x:f>
        <x:v>0.18</x:v>
      </x:c>
      <x:c r="H3001" s="37" t="d">
        <x:v>2026-10-15T00:00:00.000Z</x:v>
      </x:c>
      <x:c r="I3001" s="37" t="d">
        <x:v>2026-09-13T17:58:58.000Z</x:v>
      </x:c>
      <x:c r="J3001" s="1" t="n">
        <x:f>IF(ISNUMBER(F3001),E3001,0)</x:f>
        <x:v>1</x:v>
      </x:c>
      <x:c r="K3001" s="1"/>
      <x:c r="L3001" s="1"/>
      <x:c r="M3001" s="1"/>
    </x:row>
    <x:row r="3002" ht="18.75" customHeight="1">
      <x:c r="A3002" s="1" t="str">
        <x:v>https://blog.skyairline.com/outfit-para-viajar-en-avion/</x:v>
      </x:c>
      <x:c r="B3002" s="1" t="str">
        <x:v>outfits para viajar</x:v>
      </x:c>
      <x:c r="C3002" s="1" t="str">
        <x:v>per</x:v>
      </x:c>
      <x:c r="D3002" s="1" t="str">
        <x:v>Sin marca</x:v>
      </x:c>
      <x:c r="E3002" s="35" t="n">
        <x:v>1</x:v>
      </x:c>
      <x:c r="F3002" s="36" t="n">
        <x:v>0.07</x:v>
      </x:c>
      <x:c r="G3002" s="36" t="n">
        <x:f>IF(ISNUMBER(F3002),E3002*F3002,"")</x:f>
        <x:v>0.07</x:v>
      </x:c>
      <x:c r="H3002" s="37" t="d">
        <x:v>2026-10-15T00:00:00.000Z</x:v>
      </x:c>
      <x:c r="I3002" s="37" t="d">
        <x:v>2026-09-16T16:59:09.000Z</x:v>
      </x:c>
      <x:c r="J3002" s="1" t="n">
        <x:f>IF(ISNUMBER(F3002),E3002,0)</x:f>
        <x:v>1</x:v>
      </x:c>
      <x:c r="K3002" s="1"/>
      <x:c r="L3002" s="1"/>
      <x:c r="M3002" s="1"/>
    </x:row>
    <x:row r="3003" ht="18.75" customHeight="1">
      <x:c r="A3003" s="1" t="str">
        <x:v>https://blog.skyairline.com/paisajes-de-chiloe/</x:v>
      </x:c>
      <x:c r="B3003" s="1" t="str">
        <x:v>paisaje chiloe</x:v>
      </x:c>
      <x:c r="C3003" s="1" t="str">
        <x:v>chl</x:v>
      </x:c>
      <x:c r="D3003" s="1" t="str">
        <x:v>Sin marca</x:v>
      </x:c>
      <x:c r="E3003" s="35" t="n">
        <x:v>1</x:v>
      </x:c>
      <x:c r="F3003" s="36"/>
      <x:c r="G3003" s="36" t="str">
        <x:f>IF(ISNUMBER(F3003),E3003*F3003,"")</x:f>
      </x:c>
      <x:c r="H3003" s="37"/>
      <x:c r="I3003" s="37"/>
      <x:c r="J3003" s="1" t="n">
        <x:f>IF(ISNUMBER(F3003),E3003,0)</x:f>
        <x:v>0</x:v>
      </x:c>
      <x:c r="K3003" s="1"/>
      <x:c r="L3003" s="1"/>
      <x:c r="M3003" s="1"/>
    </x:row>
    <x:row r="3004" ht="18.75" customHeight="1">
      <x:c r="A3004" s="1" t="str">
        <x:v>https://blog.skyairline.com/paisajes-de-chiloe/</x:v>
      </x:c>
      <x:c r="B3004" s="1" t="str">
        <x:v>paisaje chilote</x:v>
      </x:c>
      <x:c r="C3004" s="1" t="str">
        <x:v>chl</x:v>
      </x:c>
      <x:c r="D3004" s="1" t="str">
        <x:v>Sin marca</x:v>
      </x:c>
      <x:c r="E3004" s="35" t="n">
        <x:v>1</x:v>
      </x:c>
      <x:c r="F3004" s="36"/>
      <x:c r="G3004" s="36" t="str">
        <x:f>IF(ISNUMBER(F3004),E3004*F3004,"")</x:f>
      </x:c>
      <x:c r="H3004" s="37"/>
      <x:c r="I3004" s="37"/>
      <x:c r="J3004" s="1" t="n">
        <x:f>IF(ISNUMBER(F3004),E3004,0)</x:f>
        <x:v>0</x:v>
      </x:c>
      <x:c r="K3004" s="1"/>
      <x:c r="L3004" s="1"/>
      <x:c r="M3004" s="1"/>
    </x:row>
    <x:row r="3005" ht="18.75" customHeight="1">
      <x:c r="A3005" s="1" t="str">
        <x:v>https://blog.skyairline.com/paisajes-sur-chile/</x:v>
      </x:c>
      <x:c r="B3005" s="1" t="str">
        <x:v>imagenes del sur de chile</x:v>
      </x:c>
      <x:c r="C3005" s="1" t="str">
        <x:v>chl</x:v>
      </x:c>
      <x:c r="D3005" s="1" t="str">
        <x:v>Sin marca</x:v>
      </x:c>
      <x:c r="E3005" s="35" t="n">
        <x:v>1</x:v>
      </x:c>
      <x:c r="F3005" s="36"/>
      <x:c r="G3005" s="36" t="str">
        <x:f>IF(ISNUMBER(F3005),E3005*F3005,"")</x:f>
      </x:c>
      <x:c r="H3005" s="37" t="d">
        <x:v>2026-10-15T00:00:00.000Z</x:v>
      </x:c>
      <x:c r="I3005" s="37" t="d">
        <x:v>2026-09-15T03:39:07.000Z</x:v>
      </x:c>
      <x:c r="J3005" s="1" t="n">
        <x:f>IF(ISNUMBER(F3005),E3005,0)</x:f>
        <x:v>0</x:v>
      </x:c>
      <x:c r="K3005" s="1"/>
      <x:c r="L3005" s="1"/>
      <x:c r="M3005" s="1"/>
    </x:row>
    <x:row r="3006" ht="18.75" customHeight="1">
      <x:c r="A3006" s="1" t="str">
        <x:v>https://blog.skyairline.com/paisajes-sur-chile/</x:v>
      </x:c>
      <x:c r="B3006" s="1" t="str">
        <x:v>paisaje chileno</x:v>
      </x:c>
      <x:c r="C3006" s="1" t="str">
        <x:v>chl</x:v>
      </x:c>
      <x:c r="D3006" s="1" t="str">
        <x:v>Sin marca</x:v>
      </x:c>
      <x:c r="E3006" s="35" t="n">
        <x:v>1</x:v>
      </x:c>
      <x:c r="F3006" s="36"/>
      <x:c r="G3006" s="36" t="str">
        <x:f>IF(ISNUMBER(F3006),E3006*F3006,"")</x:f>
      </x:c>
      <x:c r="H3006" s="37" t="d">
        <x:v>2026-10-15T00:00:00.000Z</x:v>
      </x:c>
      <x:c r="I3006" s="37" t="d">
        <x:v>2026-09-14T04:17:43.000Z</x:v>
      </x:c>
      <x:c r="J3006" s="1" t="n">
        <x:f>IF(ISNUMBER(F3006),E3006,0)</x:f>
        <x:v>0</x:v>
      </x:c>
      <x:c r="K3006" s="1"/>
      <x:c r="L3006" s="1"/>
      <x:c r="M3006" s="1"/>
    </x:row>
    <x:row r="3007" ht="18.75" customHeight="1">
      <x:c r="A3007" s="1" t="str">
        <x:v>https://blog.skyairline.com/paisajes-sur-chile/</x:v>
      </x:c>
      <x:c r="B3007" s="1" t="str">
        <x:v>paisaje del sur</x:v>
      </x:c>
      <x:c r="C3007" s="1" t="str">
        <x:v>chl</x:v>
      </x:c>
      <x:c r="D3007" s="1" t="str">
        <x:v>Sin marca</x:v>
      </x:c>
      <x:c r="E3007" s="35" t="n">
        <x:v>1</x:v>
      </x:c>
      <x:c r="F3007" s="36"/>
      <x:c r="G3007" s="36" t="str">
        <x:f>IF(ISNUMBER(F3007),E3007*F3007,"")</x:f>
      </x:c>
      <x:c r="H3007" s="37"/>
      <x:c r="I3007" s="37"/>
      <x:c r="J3007" s="1" t="n">
        <x:f>IF(ISNUMBER(F3007),E3007,0)</x:f>
        <x:v>0</x:v>
      </x:c>
      <x:c r="K3007" s="1"/>
      <x:c r="L3007" s="1"/>
      <x:c r="M3007" s="1"/>
    </x:row>
    <x:row r="3008" ht="18.75" customHeight="1">
      <x:c r="A3008" s="1" t="str">
        <x:v>https://blog.skyairline.com/paisajes-sur-chile/</x:v>
      </x:c>
      <x:c r="B3008" s="1" t="str">
        <x:v>paisaje del sur de chile</x:v>
      </x:c>
      <x:c r="C3008" s="1" t="str">
        <x:v>chl</x:v>
      </x:c>
      <x:c r="D3008" s="1" t="str">
        <x:v>Sin marca</x:v>
      </x:c>
      <x:c r="E3008" s="35" t="n">
        <x:v>1</x:v>
      </x:c>
      <x:c r="F3008" s="36" t="n">
        <x:v>0.33</x:v>
      </x:c>
      <x:c r="G3008" s="36" t="n">
        <x:f>IF(ISNUMBER(F3008),E3008*F3008,"")</x:f>
        <x:v>0.33</x:v>
      </x:c>
      <x:c r="H3008" s="37" t="d">
        <x:v>2026-10-15T00:00:00.000Z</x:v>
      </x:c>
      <x:c r="I3008" s="37" t="d">
        <x:v>2026-09-14T09:00:32.000Z</x:v>
      </x:c>
      <x:c r="J3008" s="1" t="n">
        <x:f>IF(ISNUMBER(F3008),E3008,0)</x:f>
        <x:v>1</x:v>
      </x:c>
      <x:c r="K3008" s="1"/>
      <x:c r="L3008" s="1"/>
      <x:c r="M3008" s="1"/>
    </x:row>
    <x:row r="3009" ht="18.75" customHeight="1">
      <x:c r="A3009" s="1" t="str">
        <x:v>https://blog.skyairline.com/paisajes-sur-chile/</x:v>
      </x:c>
      <x:c r="B3009" s="1" t="str">
        <x:v>paisaje sur de chile</x:v>
      </x:c>
      <x:c r="C3009" s="1" t="str">
        <x:v>chl</x:v>
      </x:c>
      <x:c r="D3009" s="1" t="str">
        <x:v>Sin marca</x:v>
      </x:c>
      <x:c r="E3009" s="35" t="n">
        <x:v>1</x:v>
      </x:c>
      <x:c r="F3009" s="36" t="n">
        <x:v>0.59</x:v>
      </x:c>
      <x:c r="G3009" s="36" t="n">
        <x:f>IF(ISNUMBER(F3009),E3009*F3009,"")</x:f>
        <x:v>0.59</x:v>
      </x:c>
      <x:c r="H3009" s="37" t="d">
        <x:v>2026-10-15T00:00:00.000Z</x:v>
      </x:c>
      <x:c r="I3009" s="37" t="d">
        <x:v>2026-10-15T02:55:32.000Z</x:v>
      </x:c>
      <x:c r="J3009" s="1" t="n">
        <x:f>IF(ISNUMBER(F3009),E3009,0)</x:f>
        <x:v>1</x:v>
      </x:c>
      <x:c r="K3009" s="1"/>
      <x:c r="L3009" s="1"/>
      <x:c r="M3009" s="1"/>
    </x:row>
    <x:row r="3010" ht="18.75" customHeight="1">
      <x:c r="A3010" s="1" t="str">
        <x:v>https://blog.skyairline.com/paisajes-sur-chile/</x:v>
      </x:c>
      <x:c r="B3010" s="1" t="str">
        <x:v>paisaje zona sur de chile</x:v>
      </x:c>
      <x:c r="C3010" s="1" t="str">
        <x:v>chl</x:v>
      </x:c>
      <x:c r="D3010" s="1" t="str">
        <x:v>Sin marca</x:v>
      </x:c>
      <x:c r="E3010" s="35" t="n">
        <x:v>1</x:v>
      </x:c>
      <x:c r="F3010" s="36"/>
      <x:c r="G3010" s="36" t="str">
        <x:f>IF(ISNUMBER(F3010),E3010*F3010,"")</x:f>
      </x:c>
      <x:c r="H3010" s="37" t="d">
        <x:v>2026-10-15T00:00:00.000Z</x:v>
      </x:c>
      <x:c r="I3010" s="37" t="d">
        <x:v>2026-09-15T15:26:25.000Z</x:v>
      </x:c>
      <x:c r="J3010" s="1" t="n">
        <x:f>IF(ISNUMBER(F3010),E3010,0)</x:f>
        <x:v>0</x:v>
      </x:c>
      <x:c r="K3010" s="1"/>
      <x:c r="L3010" s="1"/>
      <x:c r="M3010" s="1"/>
    </x:row>
    <x:row r="3011" ht="18.75" customHeight="1">
      <x:c r="A3011" s="1" t="str">
        <x:v>https://blog.skyairline.com/paisajes-sur-chile/</x:v>
      </x:c>
      <x:c r="B3011" s="1" t="str">
        <x:v>paisajes de la patagonia chilena</x:v>
      </x:c>
      <x:c r="C3011" s="1" t="str">
        <x:v>chl</x:v>
      </x:c>
      <x:c r="D3011" s="1" t="str">
        <x:v>Sin marca</x:v>
      </x:c>
      <x:c r="E3011" s="35" t="n">
        <x:v>1</x:v>
      </x:c>
      <x:c r="F3011" s="36"/>
      <x:c r="G3011" s="36" t="str">
        <x:f>IF(ISNUMBER(F3011),E3011*F3011,"")</x:f>
      </x:c>
      <x:c r="H3011" s="37" t="d">
        <x:v>2026-10-15T00:00:00.000Z</x:v>
      </x:c>
      <x:c r="I3011" s="37" t="d">
        <x:v>2026-10-15T06:34:42.000Z</x:v>
      </x:c>
      <x:c r="J3011" s="1" t="n">
        <x:f>IF(ISNUMBER(F3011),E3011,0)</x:f>
        <x:v>0</x:v>
      </x:c>
      <x:c r="K3011" s="1"/>
      <x:c r="L3011" s="1"/>
      <x:c r="M3011" s="1"/>
    </x:row>
    <x:row r="3012" ht="18.75" customHeight="1">
      <x:c r="A3012" s="1" t="str">
        <x:v>https://blog.skyairline.com/paisajes-sur-chile/</x:v>
      </x:c>
      <x:c r="B3012" s="1" t="str">
        <x:v>paisajes del sur de chile</x:v>
      </x:c>
      <x:c r="C3012" s="1" t="str">
        <x:v>chl</x:v>
      </x:c>
      <x:c r="D3012" s="1" t="str">
        <x:v>Sin marca</x:v>
      </x:c>
      <x:c r="E3012" s="35" t="n">
        <x:v>1</x:v>
      </x:c>
      <x:c r="F3012" s="36" t="n">
        <x:v>0.33</x:v>
      </x:c>
      <x:c r="G3012" s="36" t="n">
        <x:f>IF(ISNUMBER(F3012),E3012*F3012,"")</x:f>
        <x:v>0.33</x:v>
      </x:c>
      <x:c r="H3012" s="37" t="d">
        <x:v>2026-10-15T00:00:00.000Z</x:v>
      </x:c>
      <x:c r="I3012" s="37" t="d">
        <x:v>2026-09-13T20:59:45.000Z</x:v>
      </x:c>
      <x:c r="J3012" s="1" t="n">
        <x:f>IF(ISNUMBER(F3012),E3012,0)</x:f>
        <x:v>1</x:v>
      </x:c>
      <x:c r="K3012" s="1"/>
      <x:c r="L3012" s="1"/>
      <x:c r="M3012" s="1"/>
    </x:row>
    <x:row r="3013" ht="18.75" customHeight="1">
      <x:c r="A3013" s="1" t="str">
        <x:v>https://blog.skyairline.com/paisajes-sur-chile/</x:v>
      </x:c>
      <x:c r="B3013" s="1" t="str">
        <x:v>sur de chile imagenes</x:v>
      </x:c>
      <x:c r="C3013" s="1" t="str">
        <x:v>chl</x:v>
      </x:c>
      <x:c r="D3013" s="1" t="str">
        <x:v>Sin marca</x:v>
      </x:c>
      <x:c r="E3013" s="35" t="n">
        <x:v>1</x:v>
      </x:c>
      <x:c r="F3013" s="36"/>
      <x:c r="G3013" s="36" t="str">
        <x:f>IF(ISNUMBER(F3013),E3013*F3013,"")</x:f>
      </x:c>
      <x:c r="H3013" s="37" t="d">
        <x:v>2026-10-15T00:00:00.000Z</x:v>
      </x:c>
      <x:c r="I3013" s="37" t="d">
        <x:v>2026-09-17T02:27:44.000Z</x:v>
      </x:c>
      <x:c r="J3013" s="1" t="n">
        <x:f>IF(ISNUMBER(F3013),E3013,0)</x:f>
        <x:v>0</x:v>
      </x:c>
      <x:c r="K3013" s="1"/>
      <x:c r="L3013" s="1"/>
      <x:c r="M3013" s="1"/>
    </x:row>
    <x:row r="3014" ht="18.75" customHeight="1">
      <x:c r="A3014" s="1" t="str">
        <x:v>https://blog.skyairline.com/paisajes-sur-chile/</x:v>
      </x:c>
      <x:c r="B3014" s="1" t="str">
        <x:v>zona sur de chile imagenes</x:v>
      </x:c>
      <x:c r="C3014" s="1" t="str">
        <x:v>chl</x:v>
      </x:c>
      <x:c r="D3014" s="1" t="str">
        <x:v>Sin marca</x:v>
      </x:c>
      <x:c r="E3014" s="35" t="n">
        <x:v>1</x:v>
      </x:c>
      <x:c r="F3014" s="36"/>
      <x:c r="G3014" s="36" t="str">
        <x:f>IF(ISNUMBER(F3014),E3014*F3014,"")</x:f>
      </x:c>
      <x:c r="H3014" s="37" t="d">
        <x:v>2026-10-15T00:00:00.000Z</x:v>
      </x:c>
      <x:c r="I3014" s="37" t="d">
        <x:v>2026-09-15T16:10:46.000Z</x:v>
      </x:c>
      <x:c r="J3014" s="1" t="n">
        <x:f>IF(ISNUMBER(F3014),E3014,0)</x:f>
        <x:v>0</x:v>
      </x:c>
      <x:c r="K3014" s="1"/>
      <x:c r="L3014" s="1"/>
      <x:c r="M3014" s="1"/>
    </x:row>
    <x:row r="3015" ht="18.75" customHeight="1">
      <x:c r="A3015" s="1" t="str">
        <x:v>https://blog.skyairline.com/paises-baratos-para-viajar-desde-chile-con-sky/</x:v>
      </x:c>
      <x:c r="B3015" s="1" t="str">
        <x:v>cuales son los destinos mas baratos para viajar</x:v>
      </x:c>
      <x:c r="C3015" s="1" t="str">
        <x:v>chl</x:v>
      </x:c>
      <x:c r="D3015" s="1" t="str">
        <x:v>Sin marca</x:v>
      </x:c>
      <x:c r="E3015" s="35" t="n">
        <x:v>1</x:v>
      </x:c>
      <x:c r="F3015" s="36"/>
      <x:c r="G3015" s="36" t="str">
        <x:f>IF(ISNUMBER(F3015),E3015*F3015,"")</x:f>
      </x:c>
      <x:c r="H3015" s="37"/>
      <x:c r="I3015" s="37"/>
      <x:c r="J3015" s="1" t="n">
        <x:f>IF(ISNUMBER(F3015),E3015,0)</x:f>
        <x:v>0</x:v>
      </x:c>
      <x:c r="K3015" s="1"/>
      <x:c r="L3015" s="1"/>
      <x:c r="M3015" s="1"/>
    </x:row>
    <x:row r="3016" ht="18.75" customHeight="1">
      <x:c r="A3016" s="1" t="str">
        <x:v>https://blog.skyairline.com/paises-baratos-para-viajar-desde-chile-con-sky/</x:v>
      </x:c>
      <x:c r="B3016" s="1" t="str">
        <x:v>destinos baratos desde chile</x:v>
      </x:c>
      <x:c r="C3016" s="1" t="str">
        <x:v>chl</x:v>
      </x:c>
      <x:c r="D3016" s="1" t="str">
        <x:v>Sin marca</x:v>
      </x:c>
      <x:c r="E3016" s="35" t="n">
        <x:v>1</x:v>
      </x:c>
      <x:c r="F3016" s="36" t="n">
        <x:v>1.09</x:v>
      </x:c>
      <x:c r="G3016" s="36" t="n">
        <x:f>IF(ISNUMBER(F3016),E3016*F3016,"")</x:f>
        <x:v>1.09</x:v>
      </x:c>
      <x:c r="H3016" s="37" t="d">
        <x:v>2026-10-15T00:00:00.000Z</x:v>
      </x:c>
      <x:c r="I3016" s="37" t="d">
        <x:v>2026-09-17T02:58:11.000Z</x:v>
      </x:c>
      <x:c r="J3016" s="1" t="n">
        <x:f>IF(ISNUMBER(F3016),E3016,0)</x:f>
        <x:v>1</x:v>
      </x:c>
      <x:c r="K3016" s="1"/>
      <x:c r="L3016" s="1"/>
      <x:c r="M3016" s="1"/>
    </x:row>
    <x:row r="3017" ht="18.75" customHeight="1">
      <x:c r="A3017" s="1" t="str">
        <x:v>https://blog.skyairline.com/paises-baratos-para-viajar-desde-chile-con-sky/</x:v>
      </x:c>
      <x:c r="B3017" s="1" t="str">
        <x:v>destinos baratos para viajar desde chile</x:v>
      </x:c>
      <x:c r="C3017" s="1" t="str">
        <x:v>chl</x:v>
      </x:c>
      <x:c r="D3017" s="1" t="str">
        <x:v>Sin marca</x:v>
      </x:c>
      <x:c r="E3017" s="35" t="n">
        <x:v>1</x:v>
      </x:c>
      <x:c r="F3017" s="36" t="n">
        <x:v>1.57</x:v>
      </x:c>
      <x:c r="G3017" s="36" t="n">
        <x:f>IF(ISNUMBER(F3017),E3017*F3017,"")</x:f>
        <x:v>1.57</x:v>
      </x:c>
      <x:c r="H3017" s="37" t="d">
        <x:v>2026-10-15T00:00:00.000Z</x:v>
      </x:c>
      <x:c r="I3017" s="37" t="d">
        <x:v>2026-10-15T17:02:16.000Z</x:v>
      </x:c>
      <x:c r="J3017" s="1" t="n">
        <x:f>IF(ISNUMBER(F3017),E3017,0)</x:f>
        <x:v>1</x:v>
      </x:c>
      <x:c r="K3017" s="1"/>
      <x:c r="L3017" s="1"/>
      <x:c r="M3017" s="1"/>
    </x:row>
    <x:row r="3018" ht="18.75" customHeight="1">
      <x:c r="A3018" s="1" t="str">
        <x:v>https://blog.skyairline.com/paises-baratos-para-viajar-desde-chile-con-sky/</x:v>
      </x:c>
      <x:c r="B3018" s="1" t="str">
        <x:v>donde viajar fuera de chile barato</x:v>
      </x:c>
      <x:c r="C3018" s="1" t="str">
        <x:v>chl</x:v>
      </x:c>
      <x:c r="D3018" s="1" t="str">
        <x:v>Sin marca</x:v>
      </x:c>
      <x:c r="E3018" s="35" t="n">
        <x:v>1</x:v>
      </x:c>
      <x:c r="F3018" s="36" t="n">
        <x:v>0.34</x:v>
      </x:c>
      <x:c r="G3018" s="36" t="n">
        <x:f>IF(ISNUMBER(F3018),E3018*F3018,"")</x:f>
        <x:v>0.34</x:v>
      </x:c>
      <x:c r="H3018" s="37" t="d">
        <x:v>2026-10-15T00:00:00.000Z</x:v>
      </x:c>
      <x:c r="I3018" s="37" t="d">
        <x:v>2026-09-14T21:39:58.000Z</x:v>
      </x:c>
      <x:c r="J3018" s="1" t="n">
        <x:f>IF(ISNUMBER(F3018),E3018,0)</x:f>
        <x:v>1</x:v>
      </x:c>
      <x:c r="K3018" s="1"/>
      <x:c r="L3018" s="1"/>
      <x:c r="M3018" s="1"/>
    </x:row>
    <x:row r="3019" ht="18.75" customHeight="1">
      <x:c r="A3019" s="1" t="str">
        <x:v>https://blog.skyairline.com/paises-baratos-para-viajar-desde-chile-con-sky/</x:v>
      </x:c>
      <x:c r="B3019" s="1" t="str">
        <x:v>dónde viajar barato</x:v>
      </x:c>
      <x:c r="C3019" s="1" t="str">
        <x:v>chl</x:v>
      </x:c>
      <x:c r="D3019" s="1" t="str">
        <x:v>Sin marca</x:v>
      </x:c>
      <x:c r="E3019" s="35" t="n">
        <x:v>1</x:v>
      </x:c>
      <x:c r="F3019" s="36" t="n">
        <x:v>0.53</x:v>
      </x:c>
      <x:c r="G3019" s="36" t="n">
        <x:f>IF(ISNUMBER(F3019),E3019*F3019,"")</x:f>
        <x:v>0.53</x:v>
      </x:c>
      <x:c r="H3019" s="37" t="d">
        <x:v>2026-10-15T00:00:00.000Z</x:v>
      </x:c>
      <x:c r="I3019" s="37" t="d">
        <x:v>2026-09-15T08:27:34.000Z</x:v>
      </x:c>
      <x:c r="J3019" s="1" t="n">
        <x:f>IF(ISNUMBER(F3019),E3019,0)</x:f>
        <x:v>1</x:v>
      </x:c>
      <x:c r="K3019" s="1"/>
      <x:c r="L3019" s="1"/>
      <x:c r="M3019" s="1"/>
    </x:row>
    <x:row r="3020" ht="18.75" customHeight="1">
      <x:c r="A3020" s="1" t="str">
        <x:v>https://blog.skyairline.com/paises-baratos-para-viajar-desde-chile-con-sky/</x:v>
      </x:c>
      <x:c r="B3020" s="1" t="str">
        <x:v>fuera de chile</x:v>
      </x:c>
      <x:c r="C3020" s="1" t="str">
        <x:v>chl</x:v>
      </x:c>
      <x:c r="D3020" s="1" t="str">
        <x:v>Sin marca</x:v>
      </x:c>
      <x:c r="E3020" s="35" t="n">
        <x:v>1</x:v>
      </x:c>
      <x:c r="F3020" s="36"/>
      <x:c r="G3020" s="36" t="str">
        <x:f>IF(ISNUMBER(F3020),E3020*F3020,"")</x:f>
      </x:c>
      <x:c r="H3020" s="37"/>
      <x:c r="I3020" s="37"/>
      <x:c r="J3020" s="1" t="n">
        <x:f>IF(ISNUMBER(F3020),E3020,0)</x:f>
        <x:v>0</x:v>
      </x:c>
      <x:c r="K3020" s="1"/>
      <x:c r="L3020" s="1"/>
      <x:c r="M3020" s="1"/>
    </x:row>
    <x:row r="3021" ht="18.75" customHeight="1">
      <x:c r="A3021" s="1" t="str">
        <x:v>https://blog.skyairline.com/paises-baratos-para-viajar-desde-chile-con-sky/</x:v>
      </x:c>
      <x:c r="B3021" s="1" t="str">
        <x:v>lugares baratos para viajar</x:v>
      </x:c>
      <x:c r="C3021" s="1" t="str">
        <x:v>chl</x:v>
      </x:c>
      <x:c r="D3021" s="1" t="str">
        <x:v>Sin marca</x:v>
      </x:c>
      <x:c r="E3021" s="35" t="n">
        <x:v>1</x:v>
      </x:c>
      <x:c r="F3021" s="36" t="n">
        <x:v>0.42</x:v>
      </x:c>
      <x:c r="G3021" s="36" t="n">
        <x:f>IF(ISNUMBER(F3021),E3021*F3021,"")</x:f>
        <x:v>0.42</x:v>
      </x:c>
      <x:c r="H3021" s="37" t="d">
        <x:v>2026-10-15T00:00:00.000Z</x:v>
      </x:c>
      <x:c r="I3021" s="37" t="d">
        <x:v>2026-09-14T23:45:48.999Z</x:v>
      </x:c>
      <x:c r="J3021" s="1" t="n">
        <x:f>IF(ISNUMBER(F3021),E3021,0)</x:f>
        <x:v>1</x:v>
      </x:c>
      <x:c r="K3021" s="1"/>
      <x:c r="L3021" s="1"/>
      <x:c r="M3021" s="1"/>
    </x:row>
    <x:row r="3022" ht="18.75" customHeight="1">
      <x:c r="A3022" s="1" t="str">
        <x:v>https://blog.skyairline.com/paises-baratos-para-viajar-desde-chile-con-sky/</x:v>
      </x:c>
      <x:c r="B3022" s="1" t="str">
        <x:v>lugares baratos para viajar desde chile</x:v>
      </x:c>
      <x:c r="C3022" s="1" t="str">
        <x:v>chl</x:v>
      </x:c>
      <x:c r="D3022" s="1" t="str">
        <x:v>Sin marca</x:v>
      </x:c>
      <x:c r="E3022" s="35" t="n">
        <x:v>1</x:v>
      </x:c>
      <x:c r="F3022" s="36" t="n">
        <x:v>0.59</x:v>
      </x:c>
      <x:c r="G3022" s="36" t="n">
        <x:f>IF(ISNUMBER(F3022),E3022*F3022,"")</x:f>
        <x:v>0.59</x:v>
      </x:c>
      <x:c r="H3022" s="37" t="d">
        <x:v>2026-10-15T00:00:00.000Z</x:v>
      </x:c>
      <x:c r="I3022" s="37" t="d">
        <x:v>2026-09-17T01:33:57.000Z</x:v>
      </x:c>
      <x:c r="J3022" s="1" t="n">
        <x:f>IF(ISNUMBER(F3022),E3022,0)</x:f>
        <x:v>1</x:v>
      </x:c>
      <x:c r="K3022" s="1"/>
      <x:c r="L3022" s="1"/>
      <x:c r="M3022" s="1"/>
    </x:row>
    <x:row r="3023" ht="18.75" customHeight="1">
      <x:c r="A3023" s="1" t="str">
        <x:v>https://blog.skyairline.com/paises-baratos-para-viajar-desde-chile-con-sky/</x:v>
      </x:c>
      <x:c r="B3023" s="1" t="str">
        <x:v>lugares turisticos baratos</x:v>
      </x:c>
      <x:c r="C3023" s="1" t="str">
        <x:v>chl</x:v>
      </x:c>
      <x:c r="D3023" s="1" t="str">
        <x:v>Sin marca</x:v>
      </x:c>
      <x:c r="E3023" s="35" t="n">
        <x:v>1</x:v>
      </x:c>
      <x:c r="F3023" s="36" t="n">
        <x:v>0.37</x:v>
      </x:c>
      <x:c r="G3023" s="36" t="n">
        <x:f>IF(ISNUMBER(F3023),E3023*F3023,"")</x:f>
        <x:v>0.37</x:v>
      </x:c>
      <x:c r="H3023" s="37" t="d">
        <x:v>2026-10-15T00:00:00.000Z</x:v>
      </x:c>
      <x:c r="I3023" s="37" t="d">
        <x:v>2026-09-15T01:29:09.000Z</x:v>
      </x:c>
      <x:c r="J3023" s="1" t="n">
        <x:f>IF(ISNUMBER(F3023),E3023,0)</x:f>
        <x:v>1</x:v>
      </x:c>
      <x:c r="K3023" s="1"/>
      <x:c r="L3023" s="1"/>
      <x:c r="M3023" s="1"/>
    </x:row>
    <x:row r="3024" ht="18.75" customHeight="1">
      <x:c r="A3024" s="1" t="str">
        <x:v>https://blog.skyairline.com/paises-baratos-para-viajar-desde-chile-con-sky/</x:v>
      </x:c>
      <x:c r="B3024" s="1" t="str">
        <x:v>paises baratos</x:v>
      </x:c>
      <x:c r="C3024" s="1" t="str">
        <x:v>chl</x:v>
      </x:c>
      <x:c r="D3024" s="1" t="str">
        <x:v>Sin marca</x:v>
      </x:c>
      <x:c r="E3024" s="35" t="n">
        <x:v>1</x:v>
      </x:c>
      <x:c r="F3024" s="36" t="n">
        <x:v>0.25</x:v>
      </x:c>
      <x:c r="G3024" s="36" t="n">
        <x:f>IF(ISNUMBER(F3024),E3024*F3024,"")</x:f>
        <x:v>0.25</x:v>
      </x:c>
      <x:c r="H3024" s="37" t="d">
        <x:v>2026-10-15T00:00:00.000Z</x:v>
      </x:c>
      <x:c r="I3024" s="37" t="d">
        <x:v>2026-09-16T13:38:02.000Z</x:v>
      </x:c>
      <x:c r="J3024" s="1" t="n">
        <x:f>IF(ISNUMBER(F3024),E3024,0)</x:f>
        <x:v>1</x:v>
      </x:c>
      <x:c r="K3024" s="1"/>
      <x:c r="L3024" s="1"/>
      <x:c r="M3024" s="1"/>
    </x:row>
    <x:row r="3025" ht="18.75" customHeight="1">
      <x:c r="A3025" s="1" t="str">
        <x:v>https://blog.skyairline.com/paises-baratos-para-viajar-desde-chile-con-sky/</x:v>
      </x:c>
      <x:c r="B3025" s="1" t="str">
        <x:v>paises buenos para viajar</x:v>
      </x:c>
      <x:c r="C3025" s="1" t="str">
        <x:v>chl</x:v>
      </x:c>
      <x:c r="D3025" s="1" t="str">
        <x:v>Sin marca</x:v>
      </x:c>
      <x:c r="E3025" s="35" t="n">
        <x:v>1</x:v>
      </x:c>
      <x:c r="F3025" s="36"/>
      <x:c r="G3025" s="36" t="str">
        <x:f>IF(ISNUMBER(F3025),E3025*F3025,"")</x:f>
      </x:c>
      <x:c r="H3025" s="37"/>
      <x:c r="I3025" s="37"/>
      <x:c r="J3025" s="1" t="n">
        <x:f>IF(ISNUMBER(F3025),E3025,0)</x:f>
        <x:v>0</x:v>
      </x:c>
      <x:c r="K3025" s="1"/>
      <x:c r="L3025" s="1"/>
      <x:c r="M3025" s="1"/>
    </x:row>
    <x:row r="3026" ht="18.75" customHeight="1">
      <x:c r="A3026" s="1" t="str">
        <x:v>https://blog.skyairline.com/paises-baratos-para-viajar-desde-chile-con-sky/</x:v>
      </x:c>
      <x:c r="B3026" s="1" t="str">
        <x:v>paises para viajar barato</x:v>
      </x:c>
      <x:c r="C3026" s="1" t="str">
        <x:v>chl</x:v>
      </x:c>
      <x:c r="D3026" s="1" t="str">
        <x:v>Sin marca</x:v>
      </x:c>
      <x:c r="E3026" s="35" t="n">
        <x:v>1</x:v>
      </x:c>
      <x:c r="F3026" s="36" t="n">
        <x:v>0.55</x:v>
      </x:c>
      <x:c r="G3026" s="36" t="n">
        <x:f>IF(ISNUMBER(F3026),E3026*F3026,"")</x:f>
        <x:v>0.55</x:v>
      </x:c>
      <x:c r="H3026" s="37" t="d">
        <x:v>2026-10-15T00:00:00.000Z</x:v>
      </x:c>
      <x:c r="I3026" s="37" t="d">
        <x:v>2026-09-16T18:56:34.000Z</x:v>
      </x:c>
      <x:c r="J3026" s="1" t="n">
        <x:f>IF(ISNUMBER(F3026),E3026,0)</x:f>
        <x:v>1</x:v>
      </x:c>
      <x:c r="K3026" s="1"/>
      <x:c r="L3026" s="1"/>
      <x:c r="M3026" s="1"/>
    </x:row>
    <x:row r="3027" ht="18.75" customHeight="1">
      <x:c r="A3027" s="1" t="str">
        <x:v>https://blog.skyairline.com/paises-baratos-para-viajar-desde-chile-con-sky/</x:v>
      </x:c>
      <x:c r="B3027" s="1" t="str">
        <x:v>paises para visitar baratos</x:v>
      </x:c>
      <x:c r="C3027" s="1" t="str">
        <x:v>chl</x:v>
      </x:c>
      <x:c r="D3027" s="1" t="str">
        <x:v>Sin marca</x:v>
      </x:c>
      <x:c r="E3027" s="35" t="n">
        <x:v>1</x:v>
      </x:c>
      <x:c r="F3027" s="36"/>
      <x:c r="G3027" s="36" t="str">
        <x:f>IF(ISNUMBER(F3027),E3027*F3027,"")</x:f>
      </x:c>
      <x:c r="H3027" s="37" t="d">
        <x:v>2026-10-15T00:00:00.000Z</x:v>
      </x:c>
      <x:c r="I3027" s="37" t="d">
        <x:v>2026-09-17T21:53:15.000Z</x:v>
      </x:c>
      <x:c r="J3027" s="1" t="n">
        <x:f>IF(ISNUMBER(F3027),E3027,0)</x:f>
        <x:v>0</x:v>
      </x:c>
      <x:c r="K3027" s="1"/>
      <x:c r="L3027" s="1"/>
      <x:c r="M3027" s="1"/>
    </x:row>
    <x:row r="3028" ht="18.75" customHeight="1">
      <x:c r="A3028" s="1" t="str">
        <x:v>https://blog.skyairline.com/paises-baratos-para-viajar-desde-chile-con-sky/</x:v>
      </x:c>
      <x:c r="B3028" s="1" t="str">
        <x:v>países baratos para viajar</x:v>
      </x:c>
      <x:c r="C3028" s="1" t="str">
        <x:v>chl</x:v>
      </x:c>
      <x:c r="D3028" s="1" t="str">
        <x:v>Sin marca</x:v>
      </x:c>
      <x:c r="E3028" s="35" t="n">
        <x:v>1</x:v>
      </x:c>
      <x:c r="F3028" s="36" t="n">
        <x:v>0.64</x:v>
      </x:c>
      <x:c r="G3028" s="36" t="n">
        <x:f>IF(ISNUMBER(F3028),E3028*F3028,"")</x:f>
        <x:v>0.64</x:v>
      </x:c>
      <x:c r="H3028" s="37" t="d">
        <x:v>2026-10-15T00:00:00.000Z</x:v>
      </x:c>
      <x:c r="I3028" s="37" t="d">
        <x:v>2026-10-15T13:57:19.000Z</x:v>
      </x:c>
      <x:c r="J3028" s="1" t="n">
        <x:f>IF(ISNUMBER(F3028),E3028,0)</x:f>
        <x:v>1</x:v>
      </x:c>
      <x:c r="K3028" s="1"/>
      <x:c r="L3028" s="1"/>
      <x:c r="M3028" s="1"/>
    </x:row>
    <x:row r="3029" ht="18.75" customHeight="1">
      <x:c r="A3029" s="1" t="str">
        <x:v>https://blog.skyairline.com/paises-baratos-para-viajar-desde-chile-con-sky/</x:v>
      </x:c>
      <x:c r="B3029" s="1" t="str">
        <x:v>que pais es barato para viajar</x:v>
      </x:c>
      <x:c r="C3029" s="1" t="str">
        <x:v>chl</x:v>
      </x:c>
      <x:c r="D3029" s="1" t="str">
        <x:v>Sin marca</x:v>
      </x:c>
      <x:c r="E3029" s="35" t="n">
        <x:v>1</x:v>
      </x:c>
      <x:c r="F3029" s="36"/>
      <x:c r="G3029" s="36" t="str">
        <x:f>IF(ISNUMBER(F3029),E3029*F3029,"")</x:f>
      </x:c>
      <x:c r="H3029" s="37"/>
      <x:c r="I3029" s="37"/>
      <x:c r="J3029" s="1" t="n">
        <x:f>IF(ISNUMBER(F3029),E3029,0)</x:f>
        <x:v>0</x:v>
      </x:c>
      <x:c r="K3029" s="1"/>
      <x:c r="L3029" s="1"/>
      <x:c r="M3029" s="1"/>
    </x:row>
    <x:row r="3030" ht="18.75" customHeight="1">
      <x:c r="A3030" s="1" t="str">
        <x:v>https://blog.skyairline.com/paises-baratos-para-viajar-desde-chile-con-sky/</x:v>
      </x:c>
      <x:c r="B3030" s="1" t="str">
        <x:v>que paises son baratos para viajar desde chile</x:v>
      </x:c>
      <x:c r="C3030" s="1" t="str">
        <x:v>chl</x:v>
      </x:c>
      <x:c r="D3030" s="1" t="str">
        <x:v>Sin marca</x:v>
      </x:c>
      <x:c r="E3030" s="35" t="n">
        <x:v>1</x:v>
      </x:c>
      <x:c r="F3030" s="36"/>
      <x:c r="G3030" s="36" t="str">
        <x:f>IF(ISNUMBER(F3030),E3030*F3030,"")</x:f>
      </x:c>
      <x:c r="H3030" s="37"/>
      <x:c r="I3030" s="37"/>
      <x:c r="J3030" s="1" t="n">
        <x:f>IF(ISNUMBER(F3030),E3030,0)</x:f>
        <x:v>0</x:v>
      </x:c>
      <x:c r="K3030" s="1"/>
      <x:c r="L3030" s="1"/>
      <x:c r="M3030" s="1"/>
    </x:row>
    <x:row r="3031" ht="18.75" customHeight="1">
      <x:c r="A3031" s="1" t="str">
        <x:v>https://blog.skyairline.com/paises-caribe/</x:v>
      </x:c>
      <x:c r="B3031" s="1" t="str">
        <x:v>paises del caribe</x:v>
      </x:c>
      <x:c r="C3031" s="1" t="str">
        <x:v>chl</x:v>
      </x:c>
      <x:c r="D3031" s="1" t="str">
        <x:v>Sin marca</x:v>
      </x:c>
      <x:c r="E3031" s="35" t="n">
        <x:v>1</x:v>
      </x:c>
      <x:c r="F3031" s="36" t="n">
        <x:v>1.08</x:v>
      </x:c>
      <x:c r="G3031" s="36" t="n">
        <x:f>IF(ISNUMBER(F3031),E3031*F3031,"")</x:f>
        <x:v>1.08</x:v>
      </x:c>
      <x:c r="H3031" s="37" t="d">
        <x:v>2026-10-15T00:00:00.000Z</x:v>
      </x:c>
      <x:c r="I3031" s="37" t="d">
        <x:v>2026-09-16T19:00:23.999Z</x:v>
      </x:c>
      <x:c r="J3031" s="1" t="n">
        <x:f>IF(ISNUMBER(F3031),E3031,0)</x:f>
        <x:v>1</x:v>
      </x:c>
      <x:c r="K3031" s="1"/>
      <x:c r="L3031" s="1"/>
      <x:c r="M3031" s="1"/>
    </x:row>
    <x:row r="3032" ht="18.75" customHeight="1">
      <x:c r="A3032" s="1" t="str">
        <x:v>https://blog.skyairline.com/paises-caribe/</x:v>
      </x:c>
      <x:c r="B3032" s="1" t="str">
        <x:v>paises del caribe</x:v>
      </x:c>
      <x:c r="C3032" s="1" t="str">
        <x:v>esp</x:v>
      </x:c>
      <x:c r="D3032" s="1" t="str">
        <x:v>Sin marca</x:v>
      </x:c>
      <x:c r="E3032" s="35" t="n">
        <x:v>1</x:v>
      </x:c>
      <x:c r="F3032" s="36"/>
      <x:c r="G3032" s="36" t="str">
        <x:f>IF(ISNUMBER(F3032),E3032*F3032,"")</x:f>
      </x:c>
      <x:c r="H3032" s="37"/>
      <x:c r="I3032" s="37"/>
      <x:c r="J3032" s="1" t="n">
        <x:f>IF(ISNUMBER(F3032),E3032,0)</x:f>
        <x:v>0</x:v>
      </x:c>
      <x:c r="K3032" s="1"/>
      <x:c r="L3032" s="1"/>
      <x:c r="M3032" s="1"/>
    </x:row>
    <x:row r="3033" ht="18.75" customHeight="1">
      <x:c r="A3033" s="1" t="str">
        <x:v>https://blog.skyairline.com/paises-caribe/</x:v>
      </x:c>
      <x:c r="B3033" s="1" t="str">
        <x:v>paises que tienen mar caribe</x:v>
      </x:c>
      <x:c r="C3033" s="1" t="str">
        <x:v>chl</x:v>
      </x:c>
      <x:c r="D3033" s="1" t="str">
        <x:v>Sin marca</x:v>
      </x:c>
      <x:c r="E3033" s="35" t="n">
        <x:v>1</x:v>
      </x:c>
      <x:c r="F3033" s="36"/>
      <x:c r="G3033" s="36" t="str">
        <x:f>IF(ISNUMBER(F3033),E3033*F3033,"")</x:f>
      </x:c>
      <x:c r="H3033" s="37"/>
      <x:c r="I3033" s="37"/>
      <x:c r="J3033" s="1" t="n">
        <x:f>IF(ISNUMBER(F3033),E3033,0)</x:f>
        <x:v>0</x:v>
      </x:c>
      <x:c r="K3033" s="1"/>
      <x:c r="L3033" s="1"/>
      <x:c r="M3033" s="1"/>
    </x:row>
    <x:row r="3034" ht="18.75" customHeight="1">
      <x:c r="A3034" s="1" t="str">
        <x:v>https://blog.skyairline.com/paises-caribe/</x:v>
      </x:c>
      <x:c r="B3034" s="1" t="str">
        <x:v>que abarca el caribe</x:v>
      </x:c>
      <x:c r="C3034" s="1" t="str">
        <x:v>mex</x:v>
      </x:c>
      <x:c r="D3034" s="1" t="str">
        <x:v>Sin marca</x:v>
      </x:c>
      <x:c r="E3034" s="35" t="n">
        <x:v>1</x:v>
      </x:c>
      <x:c r="F3034" s="36"/>
      <x:c r="G3034" s="36" t="str">
        <x:f>IF(ISNUMBER(F3034),E3034*F3034,"")</x:f>
      </x:c>
      <x:c r="H3034" s="37"/>
      <x:c r="I3034" s="37"/>
      <x:c r="J3034" s="1" t="n">
        <x:f>IF(ISNUMBER(F3034),E3034,0)</x:f>
        <x:v>0</x:v>
      </x:c>
      <x:c r="K3034" s="1"/>
      <x:c r="L3034" s="1"/>
      <x:c r="M3034" s="1"/>
    </x:row>
    <x:row r="3035" ht="18.75" customHeight="1">
      <x:c r="A3035" s="1" t="str">
        <x:v>https://blog.skyairline.com/pan-de-azucar/</x:v>
      </x:c>
      <x:c r="B3035" s="1" t="str">
        <x:v>teleferico pan de azucar</x:v>
      </x:c>
      <x:c r="C3035" s="1" t="str">
        <x:v>chl</x:v>
      </x:c>
      <x:c r="D3035" s="1" t="str">
        <x:v>Sin marca</x:v>
      </x:c>
      <x:c r="E3035" s="35" t="n">
        <x:v>1</x:v>
      </x:c>
      <x:c r="F3035" s="36" t="n">
        <x:v>0.29</x:v>
      </x:c>
      <x:c r="G3035" s="36" t="n">
        <x:f>IF(ISNUMBER(F3035),E3035*F3035,"")</x:f>
        <x:v>0.29</x:v>
      </x:c>
      <x:c r="H3035" s="37" t="d">
        <x:v>2026-10-15T00:00:00.000Z</x:v>
      </x:c>
      <x:c r="I3035" s="37" t="d">
        <x:v>2026-09-16T00:15:47.999Z</x:v>
      </x:c>
      <x:c r="J3035" s="1" t="n">
        <x:f>IF(ISNUMBER(F3035),E3035,0)</x:f>
        <x:v>1</x:v>
      </x:c>
      <x:c r="K3035" s="1"/>
      <x:c r="L3035" s="1"/>
      <x:c r="M3035" s="1"/>
    </x:row>
    <x:row r="3036" ht="18.75" customHeight="1">
      <x:c r="A3036" s="1" t="str">
        <x:v>https://blog.skyairline.com/pan-de-azucar/</x:v>
      </x:c>
      <x:c r="B3036" s="1" t="str">
        <x:v>teleferico rio de janeiro</x:v>
      </x:c>
      <x:c r="C3036" s="1" t="str">
        <x:v>chl</x:v>
      </x:c>
      <x:c r="D3036" s="1" t="str">
        <x:v>Sin marca</x:v>
      </x:c>
      <x:c r="E3036" s="35" t="n">
        <x:v>1</x:v>
      </x:c>
      <x:c r="F3036" s="36"/>
      <x:c r="G3036" s="36" t="str">
        <x:f>IF(ISNUMBER(F3036),E3036*F3036,"")</x:f>
      </x:c>
      <x:c r="H3036" s="37"/>
      <x:c r="I3036" s="37"/>
      <x:c r="J3036" s="1" t="n">
        <x:f>IF(ISNUMBER(F3036),E3036,0)</x:f>
        <x:v>0</x:v>
      </x:c>
      <x:c r="K3036" s="1"/>
      <x:c r="L3036" s="1"/>
      <x:c r="M3036" s="1"/>
    </x:row>
    <x:row r="3037" ht="18.75" customHeight="1">
      <x:c r="A3037" s="1" t="str">
        <x:v>https://blog.skyairline.com/pan-de-azucar/</x:v>
      </x:c>
      <x:c r="B3037" s="1" t="str">
        <x:v>teleférico pan de azucar</x:v>
      </x:c>
      <x:c r="C3037" s="1" t="str">
        <x:v>chl</x:v>
      </x:c>
      <x:c r="D3037" s="1" t="str">
        <x:v>Sin marca</x:v>
      </x:c>
      <x:c r="E3037" s="35" t="n">
        <x:v>1</x:v>
      </x:c>
      <x:c r="F3037" s="36"/>
      <x:c r="G3037" s="36" t="str">
        <x:f>IF(ISNUMBER(F3037),E3037*F3037,"")</x:f>
      </x:c>
      <x:c r="H3037" s="37"/>
      <x:c r="I3037" s="37"/>
      <x:c r="J3037" s="1" t="n">
        <x:f>IF(ISNUMBER(F3037),E3037,0)</x:f>
        <x:v>0</x:v>
      </x:c>
      <x:c r="K3037" s="1"/>
      <x:c r="L3037" s="1"/>
      <x:c r="M3037" s="1"/>
    </x:row>
    <x:row r="3038" ht="18.75" customHeight="1">
      <x:c r="A3038" s="1" t="str">
        <x:v>https://blog.skyairline.com/panoramas-en-santiago/</x:v>
      </x:c>
      <x:c r="B3038" s="1" t="str">
        <x:v>panorama santiago</x:v>
      </x:c>
      <x:c r="C3038" s="1" t="str">
        <x:v>chl</x:v>
      </x:c>
      <x:c r="D3038" s="1" t="str">
        <x:v>Sin marca</x:v>
      </x:c>
      <x:c r="E3038" s="35" t="n">
        <x:v>1</x:v>
      </x:c>
      <x:c r="F3038" s="36" t="n">
        <x:v>0.44</x:v>
      </x:c>
      <x:c r="G3038" s="36" t="n">
        <x:f>IF(ISNUMBER(F3038),E3038*F3038,"")</x:f>
        <x:v>0.44</x:v>
      </x:c>
      <x:c r="H3038" s="37" t="d">
        <x:v>2026-10-15T00:00:00.000Z</x:v>
      </x:c>
      <x:c r="I3038" s="37" t="d">
        <x:v>2026-09-12T17:51:46.000Z</x:v>
      </x:c>
      <x:c r="J3038" s="1" t="n">
        <x:f>IF(ISNUMBER(F3038),E3038,0)</x:f>
        <x:v>1</x:v>
      </x:c>
      <x:c r="K3038" s="1"/>
      <x:c r="L3038" s="1"/>
      <x:c r="M3038" s="1"/>
    </x:row>
    <x:row r="3039" ht="18.75" customHeight="1">
      <x:c r="A3039" s="1" t="str">
        <x:v>https://blog.skyairline.com/panoramas-para-ninos-en-santiago/</x:v>
      </x:c>
      <x:c r="B3039" s="1" t="str">
        <x:v>actividades para ir con niños</x:v>
      </x:c>
      <x:c r="C3039" s="1" t="str">
        <x:v>chl</x:v>
      </x:c>
      <x:c r="D3039" s="1" t="str">
        <x:v>Sin marca</x:v>
      </x:c>
      <x:c r="E3039" s="35" t="n">
        <x:v>1</x:v>
      </x:c>
      <x:c r="F3039" s="36"/>
      <x:c r="G3039" s="36" t="str">
        <x:f>IF(ISNUMBER(F3039),E3039*F3039,"")</x:f>
      </x:c>
      <x:c r="H3039" s="37"/>
      <x:c r="I3039" s="37"/>
      <x:c r="J3039" s="1" t="n">
        <x:f>IF(ISNUMBER(F3039),E3039,0)</x:f>
        <x:v>0</x:v>
      </x:c>
      <x:c r="K3039" s="1"/>
      <x:c r="L3039" s="1"/>
      <x:c r="M3039" s="1"/>
    </x:row>
    <x:row r="3040" ht="18.75" customHeight="1">
      <x:c r="A3040" s="1" t="str">
        <x:v>https://blog.skyairline.com/panoramas-para-ninos-en-santiago/</x:v>
      </x:c>
      <x:c r="B3040" s="1" t="str">
        <x:v>donde ir con niños</x:v>
      </x:c>
      <x:c r="C3040" s="1" t="str">
        <x:v>chl</x:v>
      </x:c>
      <x:c r="D3040" s="1" t="str">
        <x:v>Sin marca</x:v>
      </x:c>
      <x:c r="E3040" s="35" t="n">
        <x:v>1</x:v>
      </x:c>
      <x:c r="F3040" s="36"/>
      <x:c r="G3040" s="36" t="str">
        <x:f>IF(ISNUMBER(F3040),E3040*F3040,"")</x:f>
      </x:c>
      <x:c r="H3040" s="37" t="d">
        <x:v>2026-10-15T00:00:00.000Z</x:v>
      </x:c>
      <x:c r="I3040" s="37" t="d">
        <x:v>2026-06-18T13:58:31.999Z</x:v>
      </x:c>
      <x:c r="J3040" s="1" t="n">
        <x:f>IF(ISNUMBER(F3040),E3040,0)</x:f>
        <x:v>0</x:v>
      </x:c>
      <x:c r="K3040" s="1"/>
      <x:c r="L3040" s="1"/>
      <x:c r="M3040" s="1"/>
    </x:row>
    <x:row r="3041" ht="18.75" customHeight="1">
      <x:c r="A3041" s="1" t="str">
        <x:v>https://blog.skyairline.com/panoramas-para-ninos-en-santiago/</x:v>
      </x:c>
      <x:c r="B3041" s="1" t="str">
        <x:v>donde ir hoy con niños</x:v>
      </x:c>
      <x:c r="C3041" s="1" t="str">
        <x:v>chl</x:v>
      </x:c>
      <x:c r="D3041" s="1" t="str">
        <x:v>Sin marca</x:v>
      </x:c>
      <x:c r="E3041" s="35" t="n">
        <x:v>1</x:v>
      </x:c>
      <x:c r="F3041" s="36"/>
      <x:c r="G3041" s="36" t="str">
        <x:f>IF(ISNUMBER(F3041),E3041*F3041,"")</x:f>
      </x:c>
      <x:c r="H3041" s="37" t="d">
        <x:v>2026-10-15T00:00:00.000Z</x:v>
      </x:c>
      <x:c r="I3041" s="37" t="d">
        <x:v>2026-06-13T09:05:28.000Z</x:v>
      </x:c>
      <x:c r="J3041" s="1" t="n">
        <x:f>IF(ISNUMBER(F3041),E3041,0)</x:f>
        <x:v>0</x:v>
      </x:c>
      <x:c r="K3041" s="1"/>
      <x:c r="L3041" s="1"/>
      <x:c r="M3041" s="1"/>
    </x:row>
    <x:row r="3042" ht="18.75" customHeight="1">
      <x:c r="A3042" s="1" t="str">
        <x:v>https://blog.skyairline.com/panoramas-para-ninos-en-santiago/</x:v>
      </x:c>
      <x:c r="B3042" s="1" t="str">
        <x:v>lugares en santiago para ir con niños</x:v>
      </x:c>
      <x:c r="C3042" s="1" t="str">
        <x:v>chl</x:v>
      </x:c>
      <x:c r="D3042" s="1" t="str">
        <x:v>Sin marca</x:v>
      </x:c>
      <x:c r="E3042" s="35" t="n">
        <x:v>1</x:v>
      </x:c>
      <x:c r="F3042" s="36"/>
      <x:c r="G3042" s="36" t="str">
        <x:f>IF(ISNUMBER(F3042),E3042*F3042,"")</x:f>
      </x:c>
      <x:c r="H3042" s="37"/>
      <x:c r="I3042" s="37"/>
      <x:c r="J3042" s="1" t="n">
        <x:f>IF(ISNUMBER(F3042),E3042,0)</x:f>
        <x:v>0</x:v>
      </x:c>
      <x:c r="K3042" s="1"/>
      <x:c r="L3042" s="1"/>
      <x:c r="M3042" s="1"/>
    </x:row>
    <x:row r="3043" ht="18.75" customHeight="1">
      <x:c r="A3043" s="1" t="str">
        <x:v>https://blog.skyairline.com/panoramas-para-ninos-en-santiago/</x:v>
      </x:c>
      <x:c r="B3043" s="1" t="str">
        <x:v>panorama con niños</x:v>
      </x:c>
      <x:c r="C3043" s="1" t="str">
        <x:v>chl</x:v>
      </x:c>
      <x:c r="D3043" s="1" t="str">
        <x:v>Sin marca</x:v>
      </x:c>
      <x:c r="E3043" s="35" t="n">
        <x:v>1</x:v>
      </x:c>
      <x:c r="F3043" s="36"/>
      <x:c r="G3043" s="36" t="str">
        <x:f>IF(ISNUMBER(F3043),E3043*F3043,"")</x:f>
      </x:c>
      <x:c r="H3043" s="37" t="d">
        <x:v>2026-10-15T00:00:00.000Z</x:v>
      </x:c>
      <x:c r="I3043" s="37" t="d">
        <x:v>2026-09-04T07:05:24.000Z</x:v>
      </x:c>
      <x:c r="J3043" s="1" t="n">
        <x:f>IF(ISNUMBER(F3043),E3043,0)</x:f>
        <x:v>0</x:v>
      </x:c>
      <x:c r="K3043" s="1"/>
      <x:c r="L3043" s="1"/>
      <x:c r="M3043" s="1"/>
    </x:row>
    <x:row r="3044" ht="18.75" customHeight="1">
      <x:c r="A3044" s="1" t="str">
        <x:v>https://blog.skyairline.com/panoramas-para-ninos-en-santiago/</x:v>
      </x:c>
      <x:c r="B3044" s="1" t="str">
        <x:v>panorama con niños en santiago</x:v>
      </x:c>
      <x:c r="C3044" s="1" t="str">
        <x:v>chl</x:v>
      </x:c>
      <x:c r="D3044" s="1" t="str">
        <x:v>Sin marca</x:v>
      </x:c>
      <x:c r="E3044" s="35" t="n">
        <x:v>1</x:v>
      </x:c>
      <x:c r="F3044" s="36"/>
      <x:c r="G3044" s="36" t="str">
        <x:f>IF(ISNUMBER(F3044),E3044*F3044,"")</x:f>
      </x:c>
      <x:c r="H3044" s="37"/>
      <x:c r="I3044" s="37"/>
      <x:c r="J3044" s="1" t="n">
        <x:f>IF(ISNUMBER(F3044),E3044,0)</x:f>
        <x:v>0</x:v>
      </x:c>
      <x:c r="K3044" s="1"/>
      <x:c r="L3044" s="1"/>
      <x:c r="M3044" s="1"/>
    </x:row>
    <x:row r="3045" ht="18.75" customHeight="1">
      <x:c r="A3045" s="1" t="str">
        <x:v>https://blog.skyairline.com/panoramas-para-ninos-en-santiago/</x:v>
      </x:c>
      <x:c r="B3045" s="1" t="str">
        <x:v>panorama familiar</x:v>
      </x:c>
      <x:c r="C3045" s="1" t="str">
        <x:v>chl</x:v>
      </x:c>
      <x:c r="D3045" s="1" t="str">
        <x:v>Sin marca</x:v>
      </x:c>
      <x:c r="E3045" s="35" t="n">
        <x:v>1</x:v>
      </x:c>
      <x:c r="F3045" s="36" t="n">
        <x:v>0.55</x:v>
      </x:c>
      <x:c r="G3045" s="36" t="n">
        <x:f>IF(ISNUMBER(F3045),E3045*F3045,"")</x:f>
        <x:v>0.55</x:v>
      </x:c>
      <x:c r="H3045" s="37" t="d">
        <x:v>2026-10-15T00:00:00.000Z</x:v>
      </x:c>
      <x:c r="I3045" s="37" t="d">
        <x:v>2026-09-14T06:04:27.000Z</x:v>
      </x:c>
      <x:c r="J3045" s="1" t="n">
        <x:f>IF(ISNUMBER(F3045),E3045,0)</x:f>
        <x:v>1</x:v>
      </x:c>
      <x:c r="K3045" s="1"/>
      <x:c r="L3045" s="1"/>
      <x:c r="M3045" s="1"/>
    </x:row>
    <x:row r="3046" ht="18.75" customHeight="1">
      <x:c r="A3046" s="1" t="str">
        <x:v>https://blog.skyairline.com/panoramas-para-ninos-en-santiago/</x:v>
      </x:c>
      <x:c r="B3046" s="1" t="str">
        <x:v>panorama infantil santiago</x:v>
      </x:c>
      <x:c r="C3046" s="1" t="str">
        <x:v>chl</x:v>
      </x:c>
      <x:c r="D3046" s="1" t="str">
        <x:v>Sin marca</x:v>
      </x:c>
      <x:c r="E3046" s="35" t="n">
        <x:v>1</x:v>
      </x:c>
      <x:c r="F3046" s="36" t="n">
        <x:v>0.37</x:v>
      </x:c>
      <x:c r="G3046" s="36" t="n">
        <x:f>IF(ISNUMBER(F3046),E3046*F3046,"")</x:f>
        <x:v>0.37</x:v>
      </x:c>
      <x:c r="H3046" s="37" t="d">
        <x:v>2026-10-15T00:00:00.000Z</x:v>
      </x:c>
      <x:c r="I3046" s="37" t="d">
        <x:v>2026-10-15T08:17:42.000Z</x:v>
      </x:c>
      <x:c r="J3046" s="1" t="n">
        <x:f>IF(ISNUMBER(F3046),E3046,0)</x:f>
        <x:v>1</x:v>
      </x:c>
      <x:c r="K3046" s="1"/>
      <x:c r="L3046" s="1"/>
      <x:c r="M3046" s="1"/>
    </x:row>
    <x:row r="3047" ht="18.75" customHeight="1">
      <x:c r="A3047" s="1" t="str">
        <x:v>https://blog.skyairline.com/panoramas-para-ninos-en-santiago/</x:v>
      </x:c>
      <x:c r="B3047" s="1" t="str">
        <x:v>panorama santiago niños</x:v>
      </x:c>
      <x:c r="C3047" s="1" t="str">
        <x:v>chl</x:v>
      </x:c>
      <x:c r="D3047" s="1" t="str">
        <x:v>Sin marca</x:v>
      </x:c>
      <x:c r="E3047" s="35" t="n">
        <x:v>1</x:v>
      </x:c>
      <x:c r="F3047" s="36"/>
      <x:c r="G3047" s="36" t="str">
        <x:f>IF(ISNUMBER(F3047),E3047*F3047,"")</x:f>
      </x:c>
      <x:c r="H3047" s="37"/>
      <x:c r="I3047" s="37"/>
      <x:c r="J3047" s="1" t="n">
        <x:f>IF(ISNUMBER(F3047),E3047,0)</x:f>
        <x:v>0</x:v>
      </x:c>
      <x:c r="K3047" s="1"/>
      <x:c r="L3047" s="1"/>
      <x:c r="M3047" s="1"/>
    </x:row>
    <x:row r="3048" ht="18.75" customHeight="1">
      <x:c r="A3048" s="1" t="str">
        <x:v>https://blog.skyairline.com/panoramas-para-ninos-en-santiago/</x:v>
      </x:c>
      <x:c r="B3048" s="1" t="str">
        <x:v>panorama santiago para niños</x:v>
      </x:c>
      <x:c r="C3048" s="1" t="str">
        <x:v>chl</x:v>
      </x:c>
      <x:c r="D3048" s="1" t="str">
        <x:v>Sin marca</x:v>
      </x:c>
      <x:c r="E3048" s="35" t="n">
        <x:v>1</x:v>
      </x:c>
      <x:c r="F3048" s="36"/>
      <x:c r="G3048" s="36" t="str">
        <x:f>IF(ISNUMBER(F3048),E3048*F3048,"")</x:f>
      </x:c>
      <x:c r="H3048" s="37"/>
      <x:c r="I3048" s="37"/>
      <x:c r="J3048" s="1" t="n">
        <x:f>IF(ISNUMBER(F3048),E3048,0)</x:f>
        <x:v>0</x:v>
      </x:c>
      <x:c r="K3048" s="1"/>
      <x:c r="L3048" s="1"/>
      <x:c r="M3048" s="1"/>
    </x:row>
    <x:row r="3049" ht="18.75" customHeight="1">
      <x:c r="A3049" s="1" t="str">
        <x:v>https://blog.skyairline.com/panoramas-para-ninos-en-santiago/</x:v>
      </x:c>
      <x:c r="B3049" s="1" t="str">
        <x:v>panoramas con niños</x:v>
      </x:c>
      <x:c r="C3049" s="1" t="str">
        <x:v>chl</x:v>
      </x:c>
      <x:c r="D3049" s="1" t="str">
        <x:v>Sin marca</x:v>
      </x:c>
      <x:c r="E3049" s="35" t="n">
        <x:v>1</x:v>
      </x:c>
      <x:c r="F3049" s="36"/>
      <x:c r="G3049" s="36" t="str">
        <x:f>IF(ISNUMBER(F3049),E3049*F3049,"")</x:f>
      </x:c>
      <x:c r="H3049" s="37" t="d">
        <x:v>2026-10-15T00:00:00.000Z</x:v>
      </x:c>
      <x:c r="I3049" s="37" t="d">
        <x:v>2026-06-16T14:04:45.000Z</x:v>
      </x:c>
      <x:c r="J3049" s="1" t="n">
        <x:f>IF(ISNUMBER(F3049),E3049,0)</x:f>
        <x:v>0</x:v>
      </x:c>
      <x:c r="K3049" s="1"/>
      <x:c r="L3049" s="1"/>
      <x:c r="M3049" s="1"/>
    </x:row>
    <x:row r="3050" ht="18.75" customHeight="1">
      <x:c r="A3050" s="1" t="str">
        <x:v>https://blog.skyairline.com/panoramas-para-ninos-en-santiago/</x:v>
      </x:c>
      <x:c r="B3050" s="1" t="str">
        <x:v>panoramas con niños en santiago</x:v>
      </x:c>
      <x:c r="C3050" s="1" t="str">
        <x:v>chl</x:v>
      </x:c>
      <x:c r="D3050" s="1" t="str">
        <x:v>Sin marca</x:v>
      </x:c>
      <x:c r="E3050" s="35" t="n">
        <x:v>1</x:v>
      </x:c>
      <x:c r="F3050" s="36"/>
      <x:c r="G3050" s="36" t="str">
        <x:f>IF(ISNUMBER(F3050),E3050*F3050,"")</x:f>
      </x:c>
      <x:c r="H3050" s="37"/>
      <x:c r="I3050" s="37"/>
      <x:c r="J3050" s="1" t="n">
        <x:f>IF(ISNUMBER(F3050),E3050,0)</x:f>
        <x:v>0</x:v>
      </x:c>
      <x:c r="K3050" s="1"/>
      <x:c r="L3050" s="1"/>
      <x:c r="M3050" s="1"/>
    </x:row>
    <x:row r="3051" ht="18.75" customHeight="1">
      <x:c r="A3051" s="1" t="str">
        <x:v>https://blog.skyairline.com/panoramas-para-ninos-en-santiago/</x:v>
      </x:c>
      <x:c r="B3051" s="1" t="str">
        <x:v>panoramas en familia santiago</x:v>
      </x:c>
      <x:c r="C3051" s="1" t="str">
        <x:v>chl</x:v>
      </x:c>
      <x:c r="D3051" s="1" t="str">
        <x:v>Sin marca</x:v>
      </x:c>
      <x:c r="E3051" s="35" t="n">
        <x:v>1</x:v>
      </x:c>
      <x:c r="F3051" s="36"/>
      <x:c r="G3051" s="36" t="str">
        <x:f>IF(ISNUMBER(F3051),E3051*F3051,"")</x:f>
      </x:c>
      <x:c r="H3051" s="37"/>
      <x:c r="I3051" s="37"/>
      <x:c r="J3051" s="1" t="n">
        <x:f>IF(ISNUMBER(F3051),E3051,0)</x:f>
        <x:v>0</x:v>
      </x:c>
      <x:c r="K3051" s="1"/>
      <x:c r="L3051" s="1"/>
      <x:c r="M3051" s="1"/>
    </x:row>
    <x:row r="3052" ht="18.75" customHeight="1">
      <x:c r="A3052" s="1" t="str">
        <x:v>https://blog.skyairline.com/panoramas-para-ninos-en-santiago/</x:v>
      </x:c>
      <x:c r="B3052" s="1" t="str">
        <x:v>panoramas en santiago niños</x:v>
      </x:c>
      <x:c r="C3052" s="1" t="str">
        <x:v>chl</x:v>
      </x:c>
      <x:c r="D3052" s="1" t="str">
        <x:v>Sin marca</x:v>
      </x:c>
      <x:c r="E3052" s="35" t="n">
        <x:v>1</x:v>
      </x:c>
      <x:c r="F3052" s="36"/>
      <x:c r="G3052" s="36" t="str">
        <x:f>IF(ISNUMBER(F3052),E3052*F3052,"")</x:f>
      </x:c>
      <x:c r="H3052" s="37"/>
      <x:c r="I3052" s="37"/>
      <x:c r="J3052" s="1" t="n">
        <x:f>IF(ISNUMBER(F3052),E3052,0)</x:f>
        <x:v>0</x:v>
      </x:c>
      <x:c r="K3052" s="1"/>
      <x:c r="L3052" s="1"/>
      <x:c r="M3052" s="1"/>
    </x:row>
    <x:row r="3053" ht="18.75" customHeight="1">
      <x:c r="A3053" s="1" t="str">
        <x:v>https://blog.skyairline.com/panoramas-para-ninos-en-santiago/</x:v>
      </x:c>
      <x:c r="B3053" s="1" t="str">
        <x:v>panoramas infantiles</x:v>
      </x:c>
      <x:c r="C3053" s="1" t="str">
        <x:v>chl</x:v>
      </x:c>
      <x:c r="D3053" s="1" t="str">
        <x:v>Sin marca</x:v>
      </x:c>
      <x:c r="E3053" s="35" t="n">
        <x:v>1</x:v>
      </x:c>
      <x:c r="F3053" s="36" t="n">
        <x:v>0.25</x:v>
      </x:c>
      <x:c r="G3053" s="36" t="n">
        <x:f>IF(ISNUMBER(F3053),E3053*F3053,"")</x:f>
        <x:v>0.25</x:v>
      </x:c>
      <x:c r="H3053" s="37" t="d">
        <x:v>2026-10-15T00:00:00.000Z</x:v>
      </x:c>
      <x:c r="I3053" s="37" t="d">
        <x:v>2026-09-17T16:20:41.999Z</x:v>
      </x:c>
      <x:c r="J3053" s="1" t="n">
        <x:f>IF(ISNUMBER(F3053),E3053,0)</x:f>
        <x:v>1</x:v>
      </x:c>
      <x:c r="K3053" s="1"/>
      <x:c r="L3053" s="1"/>
      <x:c r="M3053" s="1"/>
    </x:row>
    <x:row r="3054" ht="18.75" customHeight="1">
      <x:c r="A3054" s="1" t="str">
        <x:v>https://blog.skyairline.com/panoramas-para-ninos-en-santiago/</x:v>
      </x:c>
      <x:c r="B3054" s="1" t="str">
        <x:v>panoramas niños</x:v>
      </x:c>
      <x:c r="C3054" s="1" t="str">
        <x:v>chl</x:v>
      </x:c>
      <x:c r="D3054" s="1" t="str">
        <x:v>Sin marca</x:v>
      </x:c>
      <x:c r="E3054" s="35" t="n">
        <x:v>1</x:v>
      </x:c>
      <x:c r="F3054" s="36"/>
      <x:c r="G3054" s="36" t="str">
        <x:f>IF(ISNUMBER(F3054),E3054*F3054,"")</x:f>
      </x:c>
      <x:c r="H3054" s="37" t="d">
        <x:v>2026-10-15T00:00:00.000Z</x:v>
      </x:c>
      <x:c r="I3054" s="37" t="d">
        <x:v>2026-06-14T07:30:49.000Z</x:v>
      </x:c>
      <x:c r="J3054" s="1" t="n">
        <x:f>IF(ISNUMBER(F3054),E3054,0)</x:f>
        <x:v>0</x:v>
      </x:c>
      <x:c r="K3054" s="1"/>
      <x:c r="L3054" s="1"/>
      <x:c r="M3054" s="1"/>
    </x:row>
    <x:row r="3055" ht="18.75" customHeight="1">
      <x:c r="A3055" s="1" t="str">
        <x:v>https://blog.skyairline.com/panoramas-para-ninos-en-santiago/</x:v>
      </x:c>
      <x:c r="B3055" s="1" t="str">
        <x:v>panoramas para hacer con niños en santiago</x:v>
      </x:c>
      <x:c r="C3055" s="1" t="str">
        <x:v>chl</x:v>
      </x:c>
      <x:c r="D3055" s="1" t="str">
        <x:v>Sin marca</x:v>
      </x:c>
      <x:c r="E3055" s="35" t="n">
        <x:v>1</x:v>
      </x:c>
      <x:c r="F3055" s="36"/>
      <x:c r="G3055" s="36" t="str">
        <x:f>IF(ISNUMBER(F3055),E3055*F3055,"")</x:f>
      </x:c>
      <x:c r="H3055" s="37"/>
      <x:c r="I3055" s="37"/>
      <x:c r="J3055" s="1" t="n">
        <x:f>IF(ISNUMBER(F3055),E3055,0)</x:f>
        <x:v>0</x:v>
      </x:c>
      <x:c r="K3055" s="1"/>
      <x:c r="L3055" s="1"/>
      <x:c r="M3055" s="1"/>
    </x:row>
    <x:row r="3056" ht="18.75" customHeight="1">
      <x:c r="A3056" s="1" t="str">
        <x:v>https://blog.skyairline.com/panoramas-para-ninos-en-santiago/</x:v>
      </x:c>
      <x:c r="B3056" s="1" t="str">
        <x:v>panoramas para niños de 10 años en santiago</x:v>
      </x:c>
      <x:c r="C3056" s="1" t="str">
        <x:v>chl</x:v>
      </x:c>
      <x:c r="D3056" s="1" t="str">
        <x:v>Sin marca</x:v>
      </x:c>
      <x:c r="E3056" s="35" t="n">
        <x:v>1</x:v>
      </x:c>
      <x:c r="F3056" s="36"/>
      <x:c r="G3056" s="36" t="str">
        <x:f>IF(ISNUMBER(F3056),E3056*F3056,"")</x:f>
      </x:c>
      <x:c r="H3056" s="37" t="d">
        <x:v>2026-10-15T00:00:00.000Z</x:v>
      </x:c>
      <x:c r="I3056" s="37" t="d">
        <x:v>2026-09-11T14:32:15.000Z</x:v>
      </x:c>
      <x:c r="J3056" s="1" t="n">
        <x:f>IF(ISNUMBER(F3056),E3056,0)</x:f>
        <x:v>0</x:v>
      </x:c>
      <x:c r="K3056" s="1"/>
      <x:c r="L3056" s="1"/>
      <x:c r="M3056" s="1"/>
    </x:row>
    <x:row r="3057" ht="18.75" customHeight="1">
      <x:c r="A3057" s="1" t="str">
        <x:v>https://blog.skyairline.com/panoramas-para-ninos-en-santiago/</x:v>
      </x:c>
      <x:c r="B3057" s="1" t="str">
        <x:v>panoramas para niños de 2 años en santiago</x:v>
      </x:c>
      <x:c r="C3057" s="1" t="str">
        <x:v>chl</x:v>
      </x:c>
      <x:c r="D3057" s="1" t="str">
        <x:v>Sin marca</x:v>
      </x:c>
      <x:c r="E3057" s="35" t="n">
        <x:v>1</x:v>
      </x:c>
      <x:c r="F3057" s="36"/>
      <x:c r="G3057" s="36" t="str">
        <x:f>IF(ISNUMBER(F3057),E3057*F3057,"")</x:f>
      </x:c>
      <x:c r="H3057" s="37" t="d">
        <x:v>2026-10-15T00:00:00.000Z</x:v>
      </x:c>
      <x:c r="I3057" s="37" t="d">
        <x:v>2026-09-11T14:32:19.000Z</x:v>
      </x:c>
      <x:c r="J3057" s="1" t="n">
        <x:f>IF(ISNUMBER(F3057),E3057,0)</x:f>
        <x:v>0</x:v>
      </x:c>
      <x:c r="K3057" s="1"/>
      <x:c r="L3057" s="1"/>
      <x:c r="M3057" s="1"/>
    </x:row>
    <x:row r="3058" ht="18.75" customHeight="1">
      <x:c r="A3058" s="1" t="str">
        <x:v>https://blog.skyairline.com/panoramas-para-ninos-en-santiago/</x:v>
      </x:c>
      <x:c r="B3058" s="1" t="str">
        <x:v>panoramas para niños hoy</x:v>
      </x:c>
      <x:c r="C3058" s="1" t="str">
        <x:v>chl</x:v>
      </x:c>
      <x:c r="D3058" s="1" t="str">
        <x:v>Sin marca</x:v>
      </x:c>
      <x:c r="E3058" s="35" t="n">
        <x:v>1</x:v>
      </x:c>
      <x:c r="F3058" s="36"/>
      <x:c r="G3058" s="36" t="str">
        <x:f>IF(ISNUMBER(F3058),E3058*F3058,"")</x:f>
      </x:c>
      <x:c r="H3058" s="37" t="d">
        <x:v>2026-10-15T00:00:00.000Z</x:v>
      </x:c>
      <x:c r="I3058" s="37" t="d">
        <x:v>2026-06-15T09:08:00.000Z</x:v>
      </x:c>
      <x:c r="J3058" s="1" t="n">
        <x:f>IF(ISNUMBER(F3058),E3058,0)</x:f>
        <x:v>0</x:v>
      </x:c>
      <x:c r="K3058" s="1"/>
      <x:c r="L3058" s="1"/>
      <x:c r="M3058" s="1"/>
    </x:row>
    <x:row r="3059" ht="18.75" customHeight="1">
      <x:c r="A3059" s="1" t="str">
        <x:v>https://blog.skyairline.com/panoramas-para-ninos-en-santiago/</x:v>
      </x:c>
      <x:c r="B3059" s="1" t="str">
        <x:v>panoramas santiago para niños</x:v>
      </x:c>
      <x:c r="C3059" s="1" t="str">
        <x:v>chl</x:v>
      </x:c>
      <x:c r="D3059" s="1" t="str">
        <x:v>Sin marca</x:v>
      </x:c>
      <x:c r="E3059" s="35" t="n">
        <x:v>1</x:v>
      </x:c>
      <x:c r="F3059" s="36"/>
      <x:c r="G3059" s="36" t="str">
        <x:f>IF(ISNUMBER(F3059),E3059*F3059,"")</x:f>
      </x:c>
      <x:c r="H3059" s="37" t="d">
        <x:v>2026-10-15T00:00:00.000Z</x:v>
      </x:c>
      <x:c r="I3059" s="37" t="d">
        <x:v>2026-06-15T11:06:47.000Z</x:v>
      </x:c>
      <x:c r="J3059" s="1" t="n">
        <x:f>IF(ISNUMBER(F3059),E3059,0)</x:f>
        <x:v>0</x:v>
      </x:c>
      <x:c r="K3059" s="1"/>
      <x:c r="L3059" s="1"/>
      <x:c r="M3059" s="1"/>
    </x:row>
    <x:row r="3060" ht="18.75" customHeight="1">
      <x:c r="A3060" s="1" t="str">
        <x:v>https://blog.skyairline.com/panoramas-para-ninos-en-santiago/</x:v>
      </x:c>
      <x:c r="B3060" s="1" t="str">
        <x:v>que hacer en santiago con niños</x:v>
      </x:c>
      <x:c r="C3060" s="1" t="str">
        <x:v>esp</x:v>
      </x:c>
      <x:c r="D3060" s="1" t="str">
        <x:v>Sin marca</x:v>
      </x:c>
      <x:c r="E3060" s="35" t="n">
        <x:v>1</x:v>
      </x:c>
      <x:c r="F3060" s="36"/>
      <x:c r="G3060" s="36" t="str">
        <x:f>IF(ISNUMBER(F3060),E3060*F3060,"")</x:f>
      </x:c>
      <x:c r="H3060" s="37"/>
      <x:c r="I3060" s="37"/>
      <x:c r="J3060" s="1" t="n">
        <x:f>IF(ISNUMBER(F3060),E3060,0)</x:f>
        <x:v>0</x:v>
      </x:c>
      <x:c r="K3060" s="1"/>
      <x:c r="L3060" s="1"/>
      <x:c r="M3060" s="1"/>
    </x:row>
    <x:row r="3061" ht="18.75" customHeight="1">
      <x:c r="A3061" s="1" t="str">
        <x:v>https://blog.skyairline.com/panoramas-para-ninos-en-santiago/</x:v>
      </x:c>
      <x:c r="B3061" s="1" t="str">
        <x:v>que hacer en santiago para niños</x:v>
      </x:c>
      <x:c r="C3061" s="1" t="str">
        <x:v>chl</x:v>
      </x:c>
      <x:c r="D3061" s="1" t="str">
        <x:v>Sin marca</x:v>
      </x:c>
      <x:c r="E3061" s="35" t="n">
        <x:v>1</x:v>
      </x:c>
      <x:c r="F3061" s="36"/>
      <x:c r="G3061" s="36" t="str">
        <x:f>IF(ISNUMBER(F3061),E3061*F3061,"")</x:f>
      </x:c>
      <x:c r="H3061" s="37" t="d">
        <x:v>2026-10-15T00:00:00.000Z</x:v>
      </x:c>
      <x:c r="I3061" s="37" t="d">
        <x:v>2026-10-15T07:44:04.000Z</x:v>
      </x:c>
      <x:c r="J3061" s="1" t="n">
        <x:f>IF(ISNUMBER(F3061),E3061,0)</x:f>
        <x:v>0</x:v>
      </x:c>
      <x:c r="K3061" s="1"/>
      <x:c r="L3061" s="1"/>
      <x:c r="M3061" s="1"/>
    </x:row>
    <x:row r="3062" ht="18.75" customHeight="1">
      <x:c r="A3062" s="1" t="str">
        <x:v>https://blog.skyairline.com/panoramas-para-ninos-en-santiago/</x:v>
      </x:c>
      <x:c r="B3062" s="1" t="str">
        <x:v>salir con niños</x:v>
      </x:c>
      <x:c r="C3062" s="1" t="str">
        <x:v>chl</x:v>
      </x:c>
      <x:c r="D3062" s="1" t="str">
        <x:v>Sin marca</x:v>
      </x:c>
      <x:c r="E3062" s="35" t="n">
        <x:v>1</x:v>
      </x:c>
      <x:c r="F3062" s="36"/>
      <x:c r="G3062" s="36" t="str">
        <x:f>IF(ISNUMBER(F3062),E3062*F3062,"")</x:f>
      </x:c>
      <x:c r="H3062" s="37" t="d">
        <x:v>2026-10-15T00:00:00.000Z</x:v>
      </x:c>
      <x:c r="I3062" s="37" t="d">
        <x:v>2026-10-15T15:46:09.000Z</x:v>
      </x:c>
      <x:c r="J3062" s="1" t="n">
        <x:f>IF(ISNUMBER(F3062),E3062,0)</x:f>
        <x:v>0</x:v>
      </x:c>
      <x:c r="K3062" s="1"/>
      <x:c r="L3062" s="1"/>
      <x:c r="M3062" s="1"/>
    </x:row>
    <x:row r="3063" ht="18.75" customHeight="1">
      <x:c r="A3063" s="1" t="str">
        <x:v>https://blog.skyairline.com/paquete-de-viaje-en-sky/</x:v>
      </x:c>
      <x:c r="B3063" s="1" t="str">
        <x:v>paquetes sky</x:v>
      </x:c>
      <x:c r="C3063" s="1" t="str">
        <x:v>chl</x:v>
      </x:c>
      <x:c r="D3063" s="1" t="str">
        <x:v>Marca</x:v>
      </x:c>
      <x:c r="E3063" s="35" t="n">
        <x:v>1</x:v>
      </x:c>
      <x:c r="F3063" s="36" t="n">
        <x:v>0.42</x:v>
      </x:c>
      <x:c r="G3063" s="36" t="n">
        <x:f>IF(ISNUMBER(F3063),E3063*F3063,"")</x:f>
        <x:v>0.42</x:v>
      </x:c>
      <x:c r="H3063" s="37" t="d">
        <x:v>2026-10-15T00:00:00.000Z</x:v>
      </x:c>
      <x:c r="I3063" s="37" t="d">
        <x:v>2026-09-17T05:21:11.000Z</x:v>
      </x:c>
      <x:c r="J3063" s="1" t="n">
        <x:f>IF(ISNUMBER(F3063),E3063,0)</x:f>
        <x:v>1</x:v>
      </x:c>
      <x:c r="K3063" s="1"/>
      <x:c r="L3063" s="1"/>
      <x:c r="M3063" s="1"/>
    </x:row>
    <x:row r="3064" ht="18.75" customHeight="1">
      <x:c r="A3064" s="1" t="str">
        <x:v>https://blog.skyairline.com/paquete-de-viaje-en-sky/</x:v>
      </x:c>
      <x:c r="B3064" s="1" t="str">
        <x:v>sky all inclusive package</x:v>
      </x:c>
      <x:c r="C3064" s="1" t="str">
        <x:v>ury</x:v>
      </x:c>
      <x:c r="D3064" s="1" t="str">
        <x:v>Marca</x:v>
      </x:c>
      <x:c r="E3064" s="35" t="n">
        <x:v>1</x:v>
      </x:c>
      <x:c r="F3064" s="36"/>
      <x:c r="G3064" s="36" t="str">
        <x:f>IF(ISNUMBER(F3064),E3064*F3064,"")</x:f>
      </x:c>
      <x:c r="H3064" s="37"/>
      <x:c r="I3064" s="37"/>
      <x:c r="J3064" s="1" t="n">
        <x:f>IF(ISNUMBER(F3064),E3064,0)</x:f>
        <x:v>0</x:v>
      </x:c>
      <x:c r="K3064" s="1"/>
      <x:c r="L3064" s="1"/>
      <x:c r="M3064" s="1"/>
    </x:row>
    <x:row r="3065" ht="18.75" customHeight="1">
      <x:c r="A3065" s="1" t="str">
        <x:v>https://blog.skyairline.com/paquete-de-viaje-en-sky/</x:v>
      </x:c>
      <x:c r="B3065" s="1" t="str">
        <x:v>sky paquetes</x:v>
      </x:c>
      <x:c r="C3065" s="1" t="str">
        <x:v>ury</x:v>
      </x:c>
      <x:c r="D3065" s="1" t="str">
        <x:v>Marca</x:v>
      </x:c>
      <x:c r="E3065" s="35" t="n">
        <x:v>1</x:v>
      </x:c>
      <x:c r="F3065" s="36"/>
      <x:c r="G3065" s="36" t="str">
        <x:f>IF(ISNUMBER(F3065),E3065*F3065,"")</x:f>
      </x:c>
      <x:c r="H3065" s="37"/>
      <x:c r="I3065" s="37"/>
      <x:c r="J3065" s="1" t="n">
        <x:f>IF(ISNUMBER(F3065),E3065,0)</x:f>
        <x:v>0</x:v>
      </x:c>
      <x:c r="K3065" s="1"/>
      <x:c r="L3065" s="1"/>
      <x:c r="M3065" s="1"/>
    </x:row>
    <x:row r="3066" ht="18.75" customHeight="1">
      <x:c r="A3066" s="1" t="str">
        <x:v>https://blog.skyairline.com/paquete-de-viaje-en-sky/</x:v>
      </x:c>
      <x:c r="B3066" s="1" t="str">
        <x:v>sky paquetes turisticos</x:v>
      </x:c>
      <x:c r="C3066" s="1" t="str">
        <x:v>chl</x:v>
      </x:c>
      <x:c r="D3066" s="1" t="str">
        <x:v>Marca</x:v>
      </x:c>
      <x:c r="E3066" s="35" t="n">
        <x:v>1</x:v>
      </x:c>
      <x:c r="F3066" s="36" t="n">
        <x:v>0.45</x:v>
      </x:c>
      <x:c r="G3066" s="36" t="n">
        <x:f>IF(ISNUMBER(F3066),E3066*F3066,"")</x:f>
        <x:v>0.45</x:v>
      </x:c>
      <x:c r="H3066" s="37" t="d">
        <x:v>2026-10-15T00:00:00.000Z</x:v>
      </x:c>
      <x:c r="I3066" s="37" t="d">
        <x:v>2026-09-13T16:31:55.000Z</x:v>
      </x:c>
      <x:c r="J3066" s="1" t="n">
        <x:f>IF(ISNUMBER(F3066),E3066,0)</x:f>
        <x:v>1</x:v>
      </x:c>
      <x:c r="K3066" s="1"/>
      <x:c r="L3066" s="1"/>
      <x:c r="M3066" s="1"/>
    </x:row>
    <x:row r="3067" ht="18.75" customHeight="1">
      <x:c r="A3067" s="1" t="str">
        <x:v>https://blog.skyairline.com/paquete-de-viaje-en-sky/</x:v>
      </x:c>
      <x:c r="B3067" s="1" t="str">
        <x:v>sky promociones 2026</x:v>
      </x:c>
      <x:c r="C3067" s="1" t="str">
        <x:v>per</x:v>
      </x:c>
      <x:c r="D3067" s="1" t="str">
        <x:v>Marca</x:v>
      </x:c>
      <x:c r="E3067" s="35" t="n">
        <x:v>1</x:v>
      </x:c>
      <x:c r="F3067" s="36" t="n">
        <x:v>0.21</x:v>
      </x:c>
      <x:c r="G3067" s="36" t="n">
        <x:f>IF(ISNUMBER(F3067),E3067*F3067,"")</x:f>
        <x:v>0.21</x:v>
      </x:c>
      <x:c r="H3067" s="37" t="d">
        <x:v>2026-10-15T00:00:00.000Z</x:v>
      </x:c>
      <x:c r="I3067" s="37" t="d">
        <x:v>2026-09-16T02:39:58.000Z</x:v>
      </x:c>
      <x:c r="J3067" s="1" t="n">
        <x:f>IF(ISNUMBER(F3067),E3067,0)</x:f>
        <x:v>1</x:v>
      </x:c>
      <x:c r="K3067" s="1"/>
      <x:c r="L3067" s="1"/>
      <x:c r="M3067" s="1"/>
    </x:row>
    <x:row r="3068" ht="18.75" customHeight="1">
      <x:c r="A3068" s="1" t="str">
        <x:v>https://blog.skyairline.com/paquetes-de-viaje/</x:v>
      </x:c>
      <x:c r="B3068" s="1" t="str">
        <x:v>paquetes de viajes sky</x:v>
      </x:c>
      <x:c r="C3068" s="1" t="str">
        <x:v>per</x:v>
      </x:c>
      <x:c r="D3068" s="1" t="str">
        <x:v>Marca</x:v>
      </x:c>
      <x:c r="E3068" s="35" t="n">
        <x:v>1</x:v>
      </x:c>
      <x:c r="F3068" s="36" t="n">
        <x:v>0.32</x:v>
      </x:c>
      <x:c r="G3068" s="36" t="n">
        <x:f>IF(ISNUMBER(F3068),E3068*F3068,"")</x:f>
        <x:v>0.32</x:v>
      </x:c>
      <x:c r="H3068" s="37" t="d">
        <x:v>2026-10-15T00:00:00.000Z</x:v>
      </x:c>
      <x:c r="I3068" s="37" t="d">
        <x:v>2026-09-12T22:59:56.000Z</x:v>
      </x:c>
      <x:c r="J3068" s="1" t="n">
        <x:f>IF(ISNUMBER(F3068),E3068,0)</x:f>
        <x:v>1</x:v>
      </x:c>
      <x:c r="K3068" s="1"/>
      <x:c r="L3068" s="1"/>
      <x:c r="M3068" s="1"/>
    </x:row>
    <x:row r="3069" ht="18.75" customHeight="1">
      <x:c r="A3069" s="1" t="str">
        <x:v>https://blog.skyairline.com/paquetes-de-viaje/</x:v>
      </x:c>
      <x:c r="B3069" s="1" t="str">
        <x:v>sky paquetes mexico</x:v>
      </x:c>
      <x:c r="C3069" s="1" t="str">
        <x:v>chl</x:v>
      </x:c>
      <x:c r="D3069" s="1" t="str">
        <x:v>Marca</x:v>
      </x:c>
      <x:c r="E3069" s="35" t="n">
        <x:v>1</x:v>
      </x:c>
      <x:c r="F3069" s="36"/>
      <x:c r="G3069" s="36" t="str">
        <x:f>IF(ISNUMBER(F3069),E3069*F3069,"")</x:f>
      </x:c>
      <x:c r="H3069" s="37"/>
      <x:c r="I3069" s="37"/>
      <x:c r="J3069" s="1" t="n">
        <x:f>IF(ISNUMBER(F3069),E3069,0)</x:f>
        <x:v>0</x:v>
      </x:c>
      <x:c r="K3069" s="1"/>
      <x:c r="L3069" s="1"/>
      <x:c r="M3069" s="1"/>
    </x:row>
    <x:row r="3070" ht="18.75" customHeight="1">
      <x:c r="A3070" s="1" t="str">
        <x:v>https://blog.skyairline.com/paquetes-de-viaje/</x:v>
      </x:c>
      <x:c r="B3070" s="1" t="str">
        <x:v>sky paquetes y precios 2026</x:v>
      </x:c>
      <x:c r="C3070" s="1" t="str">
        <x:v>per</x:v>
      </x:c>
      <x:c r="D3070" s="1" t="str">
        <x:v>Marca</x:v>
      </x:c>
      <x:c r="E3070" s="35" t="n">
        <x:v>1</x:v>
      </x:c>
      <x:c r="F3070" s="36"/>
      <x:c r="G3070" s="36" t="str">
        <x:f>IF(ISNUMBER(F3070),E3070*F3070,"")</x:f>
      </x:c>
      <x:c r="H3070" s="37"/>
      <x:c r="I3070" s="37"/>
      <x:c r="J3070" s="1" t="n">
        <x:f>IF(ISNUMBER(F3070),E3070,0)</x:f>
        <x:v>0</x:v>
      </x:c>
      <x:c r="K3070" s="1"/>
      <x:c r="L3070" s="1"/>
      <x:c r="M3070" s="1"/>
    </x:row>
    <x:row r="3071" ht="18.75" customHeight="1">
      <x:c r="A3071" s="1" t="str">
        <x:v>https://blog.skyairline.com/paquetes-turisticos-baratos/</x:v>
      </x:c>
      <x:c r="B3071" s="1" t="str">
        <x:v>paquetes de viajes sky</x:v>
      </x:c>
      <x:c r="C3071" s="1" t="str">
        <x:v>chl</x:v>
      </x:c>
      <x:c r="D3071" s="1" t="str">
        <x:v>Marca</x:v>
      </x:c>
      <x:c r="E3071" s="35" t="n">
        <x:v>1</x:v>
      </x:c>
      <x:c r="F3071" s="36" t="n">
        <x:v>0.34</x:v>
      </x:c>
      <x:c r="G3071" s="36" t="n">
        <x:f>IF(ISNUMBER(F3071),E3071*F3071,"")</x:f>
        <x:v>0.34</x:v>
      </x:c>
      <x:c r="H3071" s="37" t="d">
        <x:v>2026-10-15T00:00:00.000Z</x:v>
      </x:c>
      <x:c r="I3071" s="37" t="d">
        <x:v>2026-09-12T19:39:25.000Z</x:v>
      </x:c>
      <x:c r="J3071" s="1" t="n">
        <x:f>IF(ISNUMBER(F3071),E3071,0)</x:f>
        <x:v>1</x:v>
      </x:c>
      <x:c r="K3071" s="1"/>
      <x:c r="L3071" s="1"/>
      <x:c r="M3071" s="1"/>
    </x:row>
    <x:row r="3072" ht="18.75" customHeight="1">
      <x:c r="A3072" s="1" t="str">
        <x:v>https://blog.skyairline.com/parque-do-ibirapuera/</x:v>
      </x:c>
      <x:c r="B3072" s="1" t="str">
        <x:v>parque ibirapuera sao paulo</x:v>
      </x:c>
      <x:c r="C3072" s="1" t="str">
        <x:v>per</x:v>
      </x:c>
      <x:c r="D3072" s="1" t="str">
        <x:v>Sin marca</x:v>
      </x:c>
      <x:c r="E3072" s="35" t="n">
        <x:v>1</x:v>
      </x:c>
      <x:c r="F3072" s="36"/>
      <x:c r="G3072" s="36" t="str">
        <x:f>IF(ISNUMBER(F3072),E3072*F3072,"")</x:f>
      </x:c>
      <x:c r="H3072" s="37"/>
      <x:c r="I3072" s="37"/>
      <x:c r="J3072" s="1" t="n">
        <x:f>IF(ISNUMBER(F3072),E3072,0)</x:f>
        <x:v>0</x:v>
      </x:c>
      <x:c r="K3072" s="1"/>
      <x:c r="L3072" s="1"/>
      <x:c r="M3072" s="1"/>
    </x:row>
    <x:row r="3073" ht="18.75" customHeight="1">
      <x:c r="A3073" s="1" t="str">
        <x:v>https://blog.skyairline.com/parque-nacional-huascaran/</x:v>
      </x:c>
      <x:c r="B3073" s="1" t="str">
        <x:v>parque nacional huascaran</x:v>
      </x:c>
      <x:c r="C3073" s="1" t="str">
        <x:v>chl</x:v>
      </x:c>
      <x:c r="D3073" s="1" t="str">
        <x:v>Sin marca</x:v>
      </x:c>
      <x:c r="E3073" s="35" t="n">
        <x:v>1</x:v>
      </x:c>
      <x:c r="F3073" s="36"/>
      <x:c r="G3073" s="36" t="str">
        <x:f>IF(ISNUMBER(F3073),E3073*F3073,"")</x:f>
      </x:c>
      <x:c r="H3073" s="37"/>
      <x:c r="I3073" s="37"/>
      <x:c r="J3073" s="1" t="n">
        <x:f>IF(ISNUMBER(F3073),E3073,0)</x:f>
        <x:v>0</x:v>
      </x:c>
      <x:c r="K3073" s="1"/>
      <x:c r="L3073" s="1"/>
      <x:c r="M3073" s="1"/>
    </x:row>
    <x:row r="3074" ht="18.75" customHeight="1">
      <x:c r="A3074" s="1" t="str">
        <x:v>https://blog.skyairline.com/parques-acuaticos-en-brasil/</x:v>
      </x:c>
      <x:c r="B3074" s="1" t="str">
        <x:v>parque acuatico brasil</x:v>
      </x:c>
      <x:c r="C3074" s="1" t="str">
        <x:v>chl</x:v>
      </x:c>
      <x:c r="D3074" s="1" t="str">
        <x:v>Sin marca</x:v>
      </x:c>
      <x:c r="E3074" s="35" t="n">
        <x:v>1</x:v>
      </x:c>
      <x:c r="F3074" s="36" t="n">
        <x:v>0.8</x:v>
      </x:c>
      <x:c r="G3074" s="36" t="n">
        <x:f>IF(ISNUMBER(F3074),E3074*F3074,"")</x:f>
        <x:v>0.8</x:v>
      </x:c>
      <x:c r="H3074" s="37" t="d">
        <x:v>2026-10-15T00:00:00.000Z</x:v>
      </x:c>
      <x:c r="I3074" s="37" t="d">
        <x:v>2026-09-13T01:26:20.000Z</x:v>
      </x:c>
      <x:c r="J3074" s="1" t="n">
        <x:f>IF(ISNUMBER(F3074),E3074,0)</x:f>
        <x:v>1</x:v>
      </x:c>
      <x:c r="K3074" s="1"/>
      <x:c r="L3074" s="1"/>
      <x:c r="M3074" s="1"/>
    </x:row>
    <x:row r="3075" ht="18.75" customHeight="1">
      <x:c r="A3075" s="1" t="str">
        <x:v>https://blog.skyairline.com/parques-acuaticos-en-brasil/</x:v>
      </x:c>
      <x:c r="B3075" s="1" t="str">
        <x:v>parques acuaticos brasil</x:v>
      </x:c>
      <x:c r="C3075" s="1" t="str">
        <x:v>ury</x:v>
      </x:c>
      <x:c r="D3075" s="1" t="str">
        <x:v>Sin marca</x:v>
      </x:c>
      <x:c r="E3075" s="35" t="n">
        <x:v>1</x:v>
      </x:c>
      <x:c r="F3075" s="36"/>
      <x:c r="G3075" s="36" t="str">
        <x:f>IF(ISNUMBER(F3075),E3075*F3075,"")</x:f>
      </x:c>
      <x:c r="H3075" s="37"/>
      <x:c r="I3075" s="37"/>
      <x:c r="J3075" s="1" t="n">
        <x:f>IF(ISNUMBER(F3075),E3075,0)</x:f>
        <x:v>0</x:v>
      </x:c>
      <x:c r="K3075" s="1"/>
      <x:c r="L3075" s="1"/>
      <x:c r="M3075" s="1"/>
    </x:row>
    <x:row r="3076" ht="18.75" customHeight="1">
      <x:c r="A3076" s="1" t="str">
        <x:v>https://blog.skyairline.com/parques-acuaticos-en-brasil/</x:v>
      </x:c>
      <x:c r="B3076" s="1" t="str">
        <x:v>parques acuaticos en brasil</x:v>
      </x:c>
      <x:c r="C3076" s="1" t="str">
        <x:v>per</x:v>
      </x:c>
      <x:c r="D3076" s="1" t="str">
        <x:v>Sin marca</x:v>
      </x:c>
      <x:c r="E3076" s="35" t="n">
        <x:v>1</x:v>
      </x:c>
      <x:c r="F3076" s="36"/>
      <x:c r="G3076" s="36" t="str">
        <x:f>IF(ISNUMBER(F3076),E3076*F3076,"")</x:f>
      </x:c>
      <x:c r="H3076" s="37" t="d">
        <x:v>2026-10-15T00:00:00.000Z</x:v>
      </x:c>
      <x:c r="I3076" s="37" t="d">
        <x:v>2026-09-13T06:12:47.999Z</x:v>
      </x:c>
      <x:c r="J3076" s="1" t="n">
        <x:f>IF(ISNUMBER(F3076),E3076,0)</x:f>
        <x:v>0</x:v>
      </x:c>
      <x:c r="K3076" s="1"/>
      <x:c r="L3076" s="1"/>
      <x:c r="M3076" s="1"/>
    </x:row>
    <x:row r="3077" ht="18.75" customHeight="1">
      <x:c r="A3077" s="1" t="str">
        <x:v>https://blog.skyairline.com/parques-y-atracciones-naturales-de-osorno/</x:v>
      </x:c>
      <x:c r="B3077" s="1" t="str">
        <x:v>lugares turísticos de osorno y sus alrededores</x:v>
      </x:c>
      <x:c r="C3077" s="1" t="str">
        <x:v>chl</x:v>
      </x:c>
      <x:c r="D3077" s="1" t="str">
        <x:v>Sin marca</x:v>
      </x:c>
      <x:c r="E3077" s="35" t="n">
        <x:v>1</x:v>
      </x:c>
      <x:c r="F3077" s="36" t="n">
        <x:v>0.62</x:v>
      </x:c>
      <x:c r="G3077" s="36" t="n">
        <x:f>IF(ISNUMBER(F3077),E3077*F3077,"")</x:f>
        <x:v>0.62</x:v>
      </x:c>
      <x:c r="H3077" s="37" t="d">
        <x:v>2026-10-15T00:00:00.000Z</x:v>
      </x:c>
      <x:c r="I3077" s="37" t="d">
        <x:v>2026-09-16T02:39:36.000Z</x:v>
      </x:c>
      <x:c r="J3077" s="1" t="n">
        <x:f>IF(ISNUMBER(F3077),E3077,0)</x:f>
        <x:v>1</x:v>
      </x:c>
      <x:c r="K3077" s="1"/>
      <x:c r="L3077" s="1"/>
      <x:c r="M3077" s="1"/>
    </x:row>
    <x:row r="3078" ht="18.75" customHeight="1">
      <x:c r="A3078" s="1" t="str">
        <x:v>https://blog.skyairline.com/parques-y-atracciones-naturales-de-osorno/</x:v>
      </x:c>
      <x:c r="B3078" s="1" t="str">
        <x:v>parques osorno</x:v>
      </x:c>
      <x:c r="C3078" s="1" t="str">
        <x:v>chl</x:v>
      </x:c>
      <x:c r="D3078" s="1" t="str">
        <x:v>Sin marca</x:v>
      </x:c>
      <x:c r="E3078" s="35" t="n">
        <x:v>1</x:v>
      </x:c>
      <x:c r="F3078" s="36" t="n">
        <x:v>0.05</x:v>
      </x:c>
      <x:c r="G3078" s="36" t="n">
        <x:f>IF(ISNUMBER(F3078),E3078*F3078,"")</x:f>
        <x:v>0.05</x:v>
      </x:c>
      <x:c r="H3078" s="37" t="d">
        <x:v>2026-10-15T00:00:00.000Z</x:v>
      </x:c>
      <x:c r="I3078" s="37" t="d">
        <x:v>2026-09-16T01:52:15.000Z</x:v>
      </x:c>
      <x:c r="J3078" s="1" t="n">
        <x:f>IF(ISNUMBER(F3078),E3078,0)</x:f>
        <x:v>1</x:v>
      </x:c>
      <x:c r="K3078" s="1"/>
      <x:c r="L3078" s="1"/>
      <x:c r="M3078" s="1"/>
    </x:row>
    <x:row r="3079" ht="18.75" customHeight="1">
      <x:c r="A3079" s="1" t="str">
        <x:v>https://blog.skyairline.com/pasaje-en-linea/</x:v>
      </x:c>
      <x:c r="B3079" s="1" t="str">
        <x:v>aerolíneas para comprar boletos de avión</x:v>
      </x:c>
      <x:c r="C3079" s="1" t="str">
        <x:v>arg</x:v>
      </x:c>
      <x:c r="D3079" s="1" t="str">
        <x:v>Sin marca</x:v>
      </x:c>
      <x:c r="E3079" s="35" t="n">
        <x:v>1</x:v>
      </x:c>
      <x:c r="F3079" s="36"/>
      <x:c r="G3079" s="36" t="str">
        <x:f>IF(ISNUMBER(F3079),E3079*F3079,"")</x:f>
      </x:c>
      <x:c r="H3079" s="37"/>
      <x:c r="I3079" s="37"/>
      <x:c r="J3079" s="1" t="n">
        <x:f>IF(ISNUMBER(F3079),E3079,0)</x:f>
        <x:v>0</x:v>
      </x:c>
      <x:c r="K3079" s="1"/>
      <x:c r="L3079" s="1"/>
      <x:c r="M3079" s="1"/>
    </x:row>
    <x:row r="3080" ht="18.75" customHeight="1">
      <x:c r="A3080" s="1" t="str">
        <x:v>https://blog.skyairline.com/pasaje-en-linea/</x:v>
      </x:c>
      <x:c r="B3080" s="1" t="str">
        <x:v>como comprar un pasaje de avion</x:v>
      </x:c>
      <x:c r="C3080" s="1" t="str">
        <x:v>per</x:v>
      </x:c>
      <x:c r="D3080" s="1" t="str">
        <x:v>Sin marca</x:v>
      </x:c>
      <x:c r="E3080" s="35" t="n">
        <x:v>1</x:v>
      </x:c>
      <x:c r="F3080" s="36"/>
      <x:c r="G3080" s="36" t="str">
        <x:f>IF(ISNUMBER(F3080),E3080*F3080,"")</x:f>
      </x:c>
      <x:c r="H3080" s="37"/>
      <x:c r="I3080" s="37"/>
      <x:c r="J3080" s="1" t="n">
        <x:f>IF(ISNUMBER(F3080),E3080,0)</x:f>
        <x:v>0</x:v>
      </x:c>
      <x:c r="K3080" s="1"/>
      <x:c r="L3080" s="1"/>
      <x:c r="M3080" s="1"/>
    </x:row>
    <x:row r="3081" ht="18.75" customHeight="1">
      <x:c r="A3081" s="1" t="str">
        <x:v>https://blog.skyairline.com/pasaje-en-linea/</x:v>
      </x:c>
      <x:c r="B3081" s="1" t="str">
        <x:v>como comprar vuelos en linea</x:v>
      </x:c>
      <x:c r="C3081" s="1" t="str">
        <x:v>per</x:v>
      </x:c>
      <x:c r="D3081" s="1" t="str">
        <x:v>Sin marca</x:v>
      </x:c>
      <x:c r="E3081" s="35" t="n">
        <x:v>1</x:v>
      </x:c>
      <x:c r="F3081" s="36" t="n">
        <x:v>0.16</x:v>
      </x:c>
      <x:c r="G3081" s="36" t="n">
        <x:f>IF(ISNUMBER(F3081),E3081*F3081,"")</x:f>
        <x:v>0.16</x:v>
      </x:c>
      <x:c r="H3081" s="37" t="d">
        <x:v>2026-10-15T00:00:00.000Z</x:v>
      </x:c>
      <x:c r="I3081" s="37" t="d">
        <x:v>2026-09-13T12:09:27.000Z</x:v>
      </x:c>
      <x:c r="J3081" s="1" t="n">
        <x:f>IF(ISNUMBER(F3081),E3081,0)</x:f>
        <x:v>1</x:v>
      </x:c>
      <x:c r="K3081" s="1"/>
      <x:c r="L3081" s="1"/>
      <x:c r="M3081" s="1"/>
    </x:row>
    <x:row r="3082" ht="18.75" customHeight="1">
      <x:c r="A3082" s="1" t="str">
        <x:v>https://blog.skyairline.com/pasaje-en-linea/</x:v>
      </x:c>
      <x:c r="B3082" s="1" t="str">
        <x:v>como funciona sky</x:v>
      </x:c>
      <x:c r="C3082" s="1" t="str">
        <x:v>per</x:v>
      </x:c>
      <x:c r="D3082" s="1" t="str">
        <x:v>Marca</x:v>
      </x:c>
      <x:c r="E3082" s="35" t="n">
        <x:v>1</x:v>
      </x:c>
      <x:c r="F3082" s="36"/>
      <x:c r="G3082" s="36" t="str">
        <x:f>IF(ISNUMBER(F3082),E3082*F3082,"")</x:f>
      </x:c>
      <x:c r="H3082" s="37"/>
      <x:c r="I3082" s="37"/>
      <x:c r="J3082" s="1" t="n">
        <x:f>IF(ISNUMBER(F3082),E3082,0)</x:f>
        <x:v>0</x:v>
      </x:c>
      <x:c r="K3082" s="1"/>
      <x:c r="L3082" s="1"/>
      <x:c r="M3082" s="1"/>
    </x:row>
    <x:row r="3083" ht="18.75" customHeight="1">
      <x:c r="A3083" s="1" t="str">
        <x:v>https://blog.skyairline.com/pasaje-en-linea/</x:v>
      </x:c>
      <x:c r="B3083" s="1" t="str">
        <x:v>cómo comprar pasaje en avión</x:v>
      </x:c>
      <x:c r="C3083" s="1" t="str">
        <x:v>per</x:v>
      </x:c>
      <x:c r="D3083" s="1" t="str">
        <x:v>Sin marca</x:v>
      </x:c>
      <x:c r="E3083" s="35" t="n">
        <x:v>1</x:v>
      </x:c>
      <x:c r="F3083" s="36"/>
      <x:c r="G3083" s="36" t="str">
        <x:f>IF(ISNUMBER(F3083),E3083*F3083,"")</x:f>
      </x:c>
      <x:c r="H3083" s="37"/>
      <x:c r="I3083" s="37"/>
      <x:c r="J3083" s="1" t="n">
        <x:f>IF(ISNUMBER(F3083),E3083,0)</x:f>
        <x:v>0</x:v>
      </x:c>
      <x:c r="K3083" s="1"/>
      <x:c r="L3083" s="1"/>
      <x:c r="M3083" s="1"/>
    </x:row>
    <x:row r="3084" ht="18.75" customHeight="1">
      <x:c r="A3084" s="1" t="str">
        <x:v>https://blog.skyairline.com/pasaje-en-linea/</x:v>
      </x:c>
      <x:c r="B3084" s="1" t="str">
        <x:v>cómo comprar pasajes en avión</x:v>
      </x:c>
      <x:c r="C3084" s="1" t="str">
        <x:v>per</x:v>
      </x:c>
      <x:c r="D3084" s="1" t="str">
        <x:v>Sin marca</x:v>
      </x:c>
      <x:c r="E3084" s="35" t="n">
        <x:v>1</x:v>
      </x:c>
      <x:c r="F3084" s="36" t="n">
        <x:v>0.31</x:v>
      </x:c>
      <x:c r="G3084" s="36" t="n">
        <x:f>IF(ISNUMBER(F3084),E3084*F3084,"")</x:f>
        <x:v>0.31</x:v>
      </x:c>
      <x:c r="H3084" s="37" t="d">
        <x:v>2026-10-15T00:00:00.000Z</x:v>
      </x:c>
      <x:c r="I3084" s="37" t="d">
        <x:v>2026-09-17T19:51:22.000Z</x:v>
      </x:c>
      <x:c r="J3084" s="1" t="n">
        <x:f>IF(ISNUMBER(F3084),E3084,0)</x:f>
        <x:v>1</x:v>
      </x:c>
      <x:c r="K3084" s="1"/>
      <x:c r="L3084" s="1"/>
      <x:c r="M3084" s="1"/>
    </x:row>
    <x:row r="3085" ht="18.75" customHeight="1">
      <x:c r="A3085" s="1" t="str">
        <x:v>https://blog.skyairline.com/pasaje-en-linea/</x:v>
      </x:c>
      <x:c r="B3085" s="1" t="str">
        <x:v>oficinas de sky airlines en lima</x:v>
      </x:c>
      <x:c r="C3085" s="1" t="str">
        <x:v>per</x:v>
      </x:c>
      <x:c r="D3085" s="1" t="str">
        <x:v>Marca</x:v>
      </x:c>
      <x:c r="E3085" s="35" t="n">
        <x:v>1</x:v>
      </x:c>
      <x:c r="F3085" s="36" t="n">
        <x:v>0.51</x:v>
      </x:c>
      <x:c r="G3085" s="36" t="n">
        <x:f>IF(ISNUMBER(F3085),E3085*F3085,"")</x:f>
        <x:v>0.51</x:v>
      </x:c>
      <x:c r="H3085" s="37" t="d">
        <x:v>2026-10-15T00:00:00.000Z</x:v>
      </x:c>
      <x:c r="I3085" s="37" t="d">
        <x:v>2026-10-15T11:32:45.000Z</x:v>
      </x:c>
      <x:c r="J3085" s="1" t="n">
        <x:f>IF(ISNUMBER(F3085),E3085,0)</x:f>
        <x:v>1</x:v>
      </x:c>
      <x:c r="K3085" s="1"/>
      <x:c r="L3085" s="1"/>
      <x:c r="M3085" s="1"/>
    </x:row>
    <x:row r="3086" ht="18.75" customHeight="1">
      <x:c r="A3086" s="1" t="str">
        <x:v>https://blog.skyairline.com/pasaje-en-linea/</x:v>
      </x:c>
      <x:c r="B3086" s="1" t="str">
        <x:v>pagar sky en línea con tarjeta de débito</x:v>
      </x:c>
      <x:c r="C3086" s="1" t="str">
        <x:v>per</x:v>
      </x:c>
      <x:c r="D3086" s="1" t="str">
        <x:v>Marca</x:v>
      </x:c>
      <x:c r="E3086" s="35" t="n">
        <x:v>1</x:v>
      </x:c>
      <x:c r="F3086" s="36"/>
      <x:c r="G3086" s="36" t="str">
        <x:f>IF(ISNUMBER(F3086),E3086*F3086,"")</x:f>
      </x:c>
      <x:c r="H3086" s="37"/>
      <x:c r="I3086" s="37"/>
      <x:c r="J3086" s="1" t="n">
        <x:f>IF(ISNUMBER(F3086),E3086,0)</x:f>
        <x:v>0</x:v>
      </x:c>
      <x:c r="K3086" s="1"/>
      <x:c r="L3086" s="1"/>
      <x:c r="M3086" s="1"/>
    </x:row>
    <x:row r="3087" ht="18.75" customHeight="1">
      <x:c r="A3087" s="1" t="str">
        <x:v>https://blog.skyairline.com/pasaje-en-linea/</x:v>
      </x:c>
      <x:c r="B3087" s="1" t="str">
        <x:v>sky atención al cliente</x:v>
      </x:c>
      <x:c r="C3087" s="1" t="str">
        <x:v>per</x:v>
      </x:c>
      <x:c r="D3087" s="1" t="str">
        <x:v>Marca</x:v>
      </x:c>
      <x:c r="E3087" s="35" t="n">
        <x:v>1</x:v>
      </x:c>
      <x:c r="F3087" s="36" t="n">
        <x:v>0.41</x:v>
      </x:c>
      <x:c r="G3087" s="36" t="n">
        <x:f>IF(ISNUMBER(F3087),E3087*F3087,"")</x:f>
        <x:v>0.41</x:v>
      </x:c>
      <x:c r="H3087" s="37" t="d">
        <x:v>2026-10-15T00:00:00.000Z</x:v>
      </x:c>
      <x:c r="I3087" s="37" t="d">
        <x:v>2026-09-14T04:13:53.000Z</x:v>
      </x:c>
      <x:c r="J3087" s="1" t="n">
        <x:f>IF(ISNUMBER(F3087),E3087,0)</x:f>
        <x:v>1</x:v>
      </x:c>
      <x:c r="K3087" s="1"/>
      <x:c r="L3087" s="1"/>
      <x:c r="M3087" s="1"/>
    </x:row>
    <x:row r="3088" ht="18.75" customHeight="1">
      <x:c r="A3088" s="1" t="str">
        <x:v>https://blog.skyairline.com/pasaje-en-linea/</x:v>
      </x:c>
      <x:c r="B3088" s="1" t="str">
        <x:v>sky chile pasajes</x:v>
      </x:c>
      <x:c r="C3088" s="1" t="str">
        <x:v>chl</x:v>
      </x:c>
      <x:c r="D3088" s="1" t="str">
        <x:v>Marca</x:v>
      </x:c>
      <x:c r="E3088" s="35" t="n">
        <x:v>1</x:v>
      </x:c>
      <x:c r="F3088" s="36" t="n">
        <x:v>0.39</x:v>
      </x:c>
      <x:c r="G3088" s="36" t="n">
        <x:f>IF(ISNUMBER(F3088),E3088*F3088,"")</x:f>
        <x:v>0.39</x:v>
      </x:c>
      <x:c r="H3088" s="37" t="d">
        <x:v>2026-10-15T00:00:00.000Z</x:v>
      </x:c>
      <x:c r="I3088" s="37" t="d">
        <x:v>2026-09-15T02:53:01.999Z</x:v>
      </x:c>
      <x:c r="J3088" s="1" t="n">
        <x:f>IF(ISNUMBER(F3088),E3088,0)</x:f>
        <x:v>1</x:v>
      </x:c>
      <x:c r="K3088" s="1"/>
      <x:c r="L3088" s="1"/>
      <x:c r="M3088" s="1"/>
    </x:row>
    <x:row r="3089" ht="18.75" customHeight="1">
      <x:c r="A3089" s="1" t="str">
        <x:v>https://blog.skyairline.com/pasaje-en-linea/</x:v>
      </x:c>
      <x:c r="B3089" s="1" t="str">
        <x:v>sky perú vuelos nacionales</x:v>
      </x:c>
      <x:c r="C3089" s="1" t="str">
        <x:v>per</x:v>
      </x:c>
      <x:c r="D3089" s="1" t="str">
        <x:v>Marca</x:v>
      </x:c>
      <x:c r="E3089" s="35" t="n">
        <x:v>1</x:v>
      </x:c>
      <x:c r="F3089" s="36" t="n">
        <x:v>0.14</x:v>
      </x:c>
      <x:c r="G3089" s="36" t="n">
        <x:f>IF(ISNUMBER(F3089),E3089*F3089,"")</x:f>
        <x:v>0.14</x:v>
      </x:c>
      <x:c r="H3089" s="37" t="d">
        <x:v>2026-10-15T00:00:00.000Z</x:v>
      </x:c>
      <x:c r="I3089" s="37" t="d">
        <x:v>2026-09-16T18:37:41.000Z</x:v>
      </x:c>
      <x:c r="J3089" s="1" t="n">
        <x:f>IF(ISNUMBER(F3089),E3089,0)</x:f>
        <x:v>1</x:v>
      </x:c>
      <x:c r="K3089" s="1"/>
      <x:c r="L3089" s="1"/>
      <x:c r="M3089" s="1"/>
    </x:row>
    <x:row r="3090" ht="18.75" customHeight="1">
      <x:c r="A3090" s="1" t="str">
        <x:v>https://blog.skyairline.com/pasaje-en-linea/</x:v>
      </x:c>
      <x:c r="B3090" s="1" t="str">
        <x:v>teléfonos de sky servicio al cliente</x:v>
      </x:c>
      <x:c r="C3090" s="1" t="str">
        <x:v>per</x:v>
      </x:c>
      <x:c r="D3090" s="1" t="str">
        <x:v>Marca</x:v>
      </x:c>
      <x:c r="E3090" s="35" t="n">
        <x:v>1</x:v>
      </x:c>
      <x:c r="F3090" s="36" t="n">
        <x:v>0.7</x:v>
      </x:c>
      <x:c r="G3090" s="36" t="n">
        <x:f>IF(ISNUMBER(F3090),E3090*F3090,"")</x:f>
        <x:v>0.7</x:v>
      </x:c>
      <x:c r="H3090" s="37" t="d">
        <x:v>2026-10-15T00:00:00.000Z</x:v>
      </x:c>
      <x:c r="I3090" s="37" t="d">
        <x:v>2026-09-14T01:33:47.000Z</x:v>
      </x:c>
      <x:c r="J3090" s="1" t="n">
        <x:f>IF(ISNUMBER(F3090),E3090,0)</x:f>
        <x:v>1</x:v>
      </x:c>
      <x:c r="K3090" s="1"/>
      <x:c r="L3090" s="1"/>
      <x:c r="M3090" s="1"/>
    </x:row>
    <x:row r="3091" ht="18.75" customHeight="1">
      <x:c r="A3091" s="1" t="str">
        <x:v>https://blog.skyairline.com/pasaje-en-linea/</x:v>
      </x:c>
      <x:c r="B3091" s="1" t="str">
        <x:v>teléfonos de sky servicio al cliente perú</x:v>
      </x:c>
      <x:c r="C3091" s="1" t="str">
        <x:v>per</x:v>
      </x:c>
      <x:c r="D3091" s="1" t="str">
        <x:v>Marca</x:v>
      </x:c>
      <x:c r="E3091" s="35" t="n">
        <x:v>1</x:v>
      </x:c>
      <x:c r="F3091" s="36" t="n">
        <x:v>0.35</x:v>
      </x:c>
      <x:c r="G3091" s="36" t="n">
        <x:f>IF(ISNUMBER(F3091),E3091*F3091,"")</x:f>
        <x:v>0.35</x:v>
      </x:c>
      <x:c r="H3091" s="37" t="d">
        <x:v>2026-10-15T00:00:00.000Z</x:v>
      </x:c>
      <x:c r="I3091" s="37" t="d">
        <x:v>2026-09-13T12:14:43.000Z</x:v>
      </x:c>
      <x:c r="J3091" s="1" t="n">
        <x:f>IF(ISNUMBER(F3091),E3091,0)</x:f>
        <x:v>1</x:v>
      </x:c>
      <x:c r="K3091" s="1"/>
      <x:c r="L3091" s="1"/>
      <x:c r="M3091" s="1"/>
    </x:row>
    <x:row r="3092" ht="18.75" customHeight="1">
      <x:c r="A3092" s="1" t="str">
        <x:v>https://blog.skyairline.com/pasaje-en-linea/</x:v>
      </x:c>
      <x:c r="B3092" s="1" t="str">
        <x:v>vuelos a talara sky</x:v>
      </x:c>
      <x:c r="C3092" s="1" t="str">
        <x:v>per</x:v>
      </x:c>
      <x:c r="D3092" s="1" t="str">
        <x:v>Marca</x:v>
      </x:c>
      <x:c r="E3092" s="35" t="n">
        <x:v>1</x:v>
      </x:c>
      <x:c r="F3092" s="36" t="n">
        <x:v>0.15</x:v>
      </x:c>
      <x:c r="G3092" s="36" t="n">
        <x:f>IF(ISNUMBER(F3092),E3092*F3092,"")</x:f>
        <x:v>0.15</x:v>
      </x:c>
      <x:c r="H3092" s="37" t="d">
        <x:v>2026-10-15T00:00:00.000Z</x:v>
      </x:c>
      <x:c r="I3092" s="37" t="d">
        <x:v>2026-09-16T16:50:49.000Z</x:v>
      </x:c>
      <x:c r="J3092" s="1" t="n">
        <x:f>IF(ISNUMBER(F3092),E3092,0)</x:f>
        <x:v>1</x:v>
      </x:c>
      <x:c r="K3092" s="1"/>
      <x:c r="L3092" s="1"/>
      <x:c r="M3092" s="1"/>
    </x:row>
    <x:row r="3093" ht="18.75" customHeight="1">
      <x:c r="A3093" s="1" t="str">
        <x:v>https://blog.skyairline.com/pasajes-a-mexico-2/</x:v>
      </x:c>
      <x:c r="B3093" s="1" t="str">
        <x:v>sky airline mexico</x:v>
      </x:c>
      <x:c r="C3093" s="1" t="str">
        <x:v>mex</x:v>
      </x:c>
      <x:c r="D3093" s="1" t="str">
        <x:v>Marca</x:v>
      </x:c>
      <x:c r="E3093" s="35" t="n">
        <x:v>1</x:v>
      </x:c>
      <x:c r="F3093" s="36"/>
      <x:c r="G3093" s="36" t="str">
        <x:f>IF(ISNUMBER(F3093),E3093*F3093,"")</x:f>
      </x:c>
      <x:c r="H3093" s="37"/>
      <x:c r="I3093" s="37"/>
      <x:c r="J3093" s="1" t="n">
        <x:f>IF(ISNUMBER(F3093),E3093,0)</x:f>
        <x:v>0</x:v>
      </x:c>
      <x:c r="K3093" s="1"/>
      <x:c r="L3093" s="1"/>
      <x:c r="M3093" s="1"/>
    </x:row>
    <x:row r="3094" ht="18.75" customHeight="1">
      <x:c r="A3094" s="1" t="str">
        <x:v>https://blog.skyairline.com/pasajes-aereos-en-linea/</x:v>
      </x:c>
      <x:c r="B3094" s="1" t="str">
        <x:v>en peru</x:v>
      </x:c>
      <x:c r="C3094" s="1" t="str">
        <x:v>per</x:v>
      </x:c>
      <x:c r="D3094" s="1" t="str">
        <x:v>Sin marca</x:v>
      </x:c>
      <x:c r="E3094" s="35" t="n">
        <x:v>1</x:v>
      </x:c>
      <x:c r="F3094" s="36"/>
      <x:c r="G3094" s="36" t="str">
        <x:f>IF(ISNUMBER(F3094),E3094*F3094,"")</x:f>
      </x:c>
      <x:c r="H3094" s="37" t="d">
        <x:v>2026-10-15T00:00:00.000Z</x:v>
      </x:c>
      <x:c r="I3094" s="37" t="d">
        <x:v>2026-09-17T10:02:43.000Z</x:v>
      </x:c>
      <x:c r="J3094" s="1" t="n">
        <x:f>IF(ISNUMBER(F3094),E3094,0)</x:f>
        <x:v>0</x:v>
      </x:c>
      <x:c r="K3094" s="1"/>
      <x:c r="L3094" s="1"/>
      <x:c r="M3094" s="1"/>
    </x:row>
    <x:row r="3095" ht="18.75" customHeight="1">
      <x:c r="A3095" s="1" t="str">
        <x:v>https://blog.skyairline.com/pasaporte-chileno/</x:v>
      </x:c>
      <x:c r="B3095" s="1" t="str">
        <x:v>como funciona el pasaporte</x:v>
      </x:c>
      <x:c r="C3095" s="1" t="str">
        <x:v>chl</x:v>
      </x:c>
      <x:c r="D3095" s="1" t="str">
        <x:v>Sin marca</x:v>
      </x:c>
      <x:c r="E3095" s="35" t="n">
        <x:v>1</x:v>
      </x:c>
      <x:c r="F3095" s="36"/>
      <x:c r="G3095" s="36" t="str">
        <x:f>IF(ISNUMBER(F3095),E3095*F3095,"")</x:f>
      </x:c>
      <x:c r="H3095" s="37" t="d">
        <x:v>2026-10-15T00:00:00.000Z</x:v>
      </x:c>
      <x:c r="I3095" s="37" t="d">
        <x:v>2026-09-16T00:52:10.000Z</x:v>
      </x:c>
      <x:c r="J3095" s="1" t="n">
        <x:f>IF(ISNUMBER(F3095),E3095,0)</x:f>
        <x:v>0</x:v>
      </x:c>
      <x:c r="K3095" s="1"/>
      <x:c r="L3095" s="1"/>
      <x:c r="M3095" s="1"/>
    </x:row>
    <x:row r="3096" ht="18.75" customHeight="1">
      <x:c r="A3096" s="1" t="str">
        <x:v>https://blog.skyairline.com/pasaporte-chileno/</x:v>
      </x:c>
      <x:c r="B3096" s="1" t="str">
        <x:v>como renovar pasaporte chileno</x:v>
      </x:c>
      <x:c r="C3096" s="1" t="str">
        <x:v>chl</x:v>
      </x:c>
      <x:c r="D3096" s="1" t="str">
        <x:v>Sin marca</x:v>
      </x:c>
      <x:c r="E3096" s="35" t="n">
        <x:v>1</x:v>
      </x:c>
      <x:c r="F3096" s="36"/>
      <x:c r="G3096" s="36" t="str">
        <x:f>IF(ISNUMBER(F3096),E3096*F3096,"")</x:f>
      </x:c>
      <x:c r="H3096" s="37" t="d">
        <x:v>2026-10-15T00:00:00.000Z</x:v>
      </x:c>
      <x:c r="I3096" s="37" t="d">
        <x:v>2026-09-15T16:00:12.999Z</x:v>
      </x:c>
      <x:c r="J3096" s="1" t="n">
        <x:f>IF(ISNUMBER(F3096),E3096,0)</x:f>
        <x:v>0</x:v>
      </x:c>
      <x:c r="K3096" s="1"/>
      <x:c r="L3096" s="1"/>
      <x:c r="M3096" s="1"/>
    </x:row>
    <x:row r="3097" ht="18.75" customHeight="1">
      <x:c r="A3097" s="1" t="str">
        <x:v>https://blog.skyairline.com/pasaporte-chileno/</x:v>
      </x:c>
      <x:c r="B3097" s="1" t="str">
        <x:v>renovar pasaporte chile</x:v>
      </x:c>
      <x:c r="C3097" s="1" t="str">
        <x:v>chl</x:v>
      </x:c>
      <x:c r="D3097" s="1" t="str">
        <x:v>Sin marca</x:v>
      </x:c>
      <x:c r="E3097" s="35" t="n">
        <x:v>1</x:v>
      </x:c>
      <x:c r="F3097" s="36"/>
      <x:c r="G3097" s="36" t="str">
        <x:f>IF(ISNUMBER(F3097),E3097*F3097,"")</x:f>
      </x:c>
      <x:c r="H3097" s="37" t="d">
        <x:v>2026-10-15T00:00:00.000Z</x:v>
      </x:c>
      <x:c r="I3097" s="37" t="d">
        <x:v>2026-09-13T02:34:55.000Z</x:v>
      </x:c>
      <x:c r="J3097" s="1" t="n">
        <x:f>IF(ISNUMBER(F3097),E3097,0)</x:f>
        <x:v>0</x:v>
      </x:c>
      <x:c r="K3097" s="1"/>
      <x:c r="L3097" s="1"/>
      <x:c r="M3097" s="1"/>
    </x:row>
    <x:row r="3098" ht="18.75" customHeight="1">
      <x:c r="A3098" s="1" t="str">
        <x:v>https://blog.skyairline.com/paseo-del-mar-de-antofagasta/</x:v>
      </x:c>
      <x:c r="B3098" s="1" t="str">
        <x:v>paseo del mar antofagasta</x:v>
      </x:c>
      <x:c r="C3098" s="1" t="str">
        <x:v>chl</x:v>
      </x:c>
      <x:c r="D3098" s="1" t="str">
        <x:v>Sin marca</x:v>
      </x:c>
      <x:c r="E3098" s="35" t="n">
        <x:v>1</x:v>
      </x:c>
      <x:c r="F3098" s="36"/>
      <x:c r="G3098" s="36" t="str">
        <x:f>IF(ISNUMBER(F3098),E3098*F3098,"")</x:f>
      </x:c>
      <x:c r="H3098" s="37" t="d">
        <x:v>2026-10-15T00:00:00.000Z</x:v>
      </x:c>
      <x:c r="I3098" s="37" t="d">
        <x:v>2026-09-16T13:51:53.000Z</x:v>
      </x:c>
      <x:c r="J3098" s="1" t="n">
        <x:f>IF(ISNUMBER(F3098),E3098,0)</x:f>
        <x:v>0</x:v>
      </x:c>
      <x:c r="K3098" s="1"/>
      <x:c r="L3098" s="1"/>
      <x:c r="M3098" s="1"/>
    </x:row>
    <x:row r="3099" ht="18.75" customHeight="1">
      <x:c r="A3099" s="1" t="str">
        <x:v>https://blog.skyairline.com/paseo-por-el-lago-guaiba/</x:v>
      </x:c>
      <x:c r="B3099" s="1" t="str">
        <x:v>lago de porto alegre</x:v>
      </x:c>
      <x:c r="C3099" s="1" t="str">
        <x:v>col</x:v>
      </x:c>
      <x:c r="D3099" s="1" t="str">
        <x:v>Sin marca</x:v>
      </x:c>
      <x:c r="E3099" s="35" t="n">
        <x:v>1</x:v>
      </x:c>
      <x:c r="F3099" s="36"/>
      <x:c r="G3099" s="36" t="str">
        <x:f>IF(ISNUMBER(F3099),E3099*F3099,"")</x:f>
      </x:c>
      <x:c r="H3099" s="37"/>
      <x:c r="I3099" s="37"/>
      <x:c r="J3099" s="1" t="n">
        <x:f>IF(ISNUMBER(F3099),E3099,0)</x:f>
        <x:v>0</x:v>
      </x:c>
      <x:c r="K3099" s="1"/>
      <x:c r="L3099" s="1"/>
      <x:c r="M3099" s="1"/>
    </x:row>
    <x:row r="3100" ht="18.75" customHeight="1">
      <x:c r="A3100" s="1" t="str">
        <x:v>https://blog.skyairline.com/patagonia-chilena/</x:v>
      </x:c>
      <x:c r="B3100" s="1" t="str">
        <x:v>distancia de santiago de chile a la patagonia chilena</x:v>
      </x:c>
      <x:c r="C3100" s="1" t="str">
        <x:v>chl</x:v>
      </x:c>
      <x:c r="D3100" s="1" t="str">
        <x:v>Sin marca</x:v>
      </x:c>
      <x:c r="E3100" s="35" t="n">
        <x:v>1</x:v>
      </x:c>
      <x:c r="F3100" s="36"/>
      <x:c r="G3100" s="36" t="str">
        <x:f>IF(ISNUMBER(F3100),E3100*F3100,"")</x:f>
      </x:c>
      <x:c r="H3100" s="37" t="d">
        <x:v>2026-10-15T00:00:00.000Z</x:v>
      </x:c>
      <x:c r="I3100" s="37" t="d">
        <x:v>2026-09-16T17:41:21.000Z</x:v>
      </x:c>
      <x:c r="J3100" s="1" t="n">
        <x:f>IF(ISNUMBER(F3100),E3100,0)</x:f>
        <x:v>0</x:v>
      </x:c>
      <x:c r="K3100" s="1"/>
      <x:c r="L3100" s="1"/>
      <x:c r="M3100" s="1"/>
    </x:row>
    <x:row r="3101" ht="18.75" customHeight="1">
      <x:c r="A3101" s="1" t="str">
        <x:v>https://blog.skyairline.com/patagonia/</x:v>
      </x:c>
      <x:c r="B3101" s="1" t="str">
        <x:v>comida de la patagonia</x:v>
      </x:c>
      <x:c r="C3101" s="1" t="str">
        <x:v>chl</x:v>
      </x:c>
      <x:c r="D3101" s="1" t="str">
        <x:v>Sin marca</x:v>
      </x:c>
      <x:c r="E3101" s="35" t="n">
        <x:v>1</x:v>
      </x:c>
      <x:c r="F3101" s="36"/>
      <x:c r="G3101" s="36" t="str">
        <x:f>IF(ISNUMBER(F3101),E3101*F3101,"")</x:f>
      </x:c>
      <x:c r="H3101" s="37"/>
      <x:c r="I3101" s="37"/>
      <x:c r="J3101" s="1" t="n">
        <x:f>IF(ISNUMBER(F3101),E3101,0)</x:f>
        <x:v>0</x:v>
      </x:c>
      <x:c r="K3101" s="1"/>
      <x:c r="L3101" s="1"/>
      <x:c r="M3101" s="1"/>
    </x:row>
    <x:row r="3102" ht="18.75" customHeight="1">
      <x:c r="A3102" s="1" t="str">
        <x:v>https://blog.skyairline.com/patagonia/</x:v>
      </x:c>
      <x:c r="B3102" s="1" t="str">
        <x:v>comida tipica zona austral</x:v>
      </x:c>
      <x:c r="C3102" s="1" t="str">
        <x:v>chl</x:v>
      </x:c>
      <x:c r="D3102" s="1" t="str">
        <x:v>Sin marca</x:v>
      </x:c>
      <x:c r="E3102" s="35" t="n">
        <x:v>1</x:v>
      </x:c>
      <x:c r="F3102" s="36"/>
      <x:c r="G3102" s="36" t="str">
        <x:f>IF(ISNUMBER(F3102),E3102*F3102,"")</x:f>
      </x:c>
      <x:c r="H3102" s="37" t="d">
        <x:v>2026-10-15T00:00:00.000Z</x:v>
      </x:c>
      <x:c r="I3102" s="37" t="d">
        <x:v>2026-09-14T16:14:41.000Z</x:v>
      </x:c>
      <x:c r="J3102" s="1" t="n">
        <x:f>IF(ISNUMBER(F3102),E3102,0)</x:f>
        <x:v>0</x:v>
      </x:c>
      <x:c r="K3102" s="1"/>
      <x:c r="L3102" s="1"/>
      <x:c r="M3102" s="1"/>
    </x:row>
    <x:row r="3103" ht="18.75" customHeight="1">
      <x:c r="A3103" s="1" t="str">
        <x:v>https://blog.skyairline.com/patagonia/</x:v>
      </x:c>
      <x:c r="B3103" s="1" t="str">
        <x:v>comida zona austral de chile</x:v>
      </x:c>
      <x:c r="C3103" s="1" t="str">
        <x:v>chl</x:v>
      </x:c>
      <x:c r="D3103" s="1" t="str">
        <x:v>Sin marca</x:v>
      </x:c>
      <x:c r="E3103" s="35" t="n">
        <x:v>1</x:v>
      </x:c>
      <x:c r="F3103" s="36"/>
      <x:c r="G3103" s="36" t="str">
        <x:f>IF(ISNUMBER(F3103),E3103*F3103,"")</x:f>
      </x:c>
      <x:c r="H3103" s="37"/>
      <x:c r="I3103" s="37"/>
      <x:c r="J3103" s="1" t="n">
        <x:f>IF(ISNUMBER(F3103),E3103,0)</x:f>
        <x:v>0</x:v>
      </x:c>
      <x:c r="K3103" s="1"/>
      <x:c r="L3103" s="1"/>
      <x:c r="M3103" s="1"/>
    </x:row>
    <x:row r="3104" ht="18.75" customHeight="1">
      <x:c r="A3104" s="1" t="str">
        <x:v>https://blog.skyairline.com/patrimonios-culturales-de-chile/</x:v>
      </x:c>
      <x:c r="B3104" s="1" t="str">
        <x:v>10 patrimonios culturales de chile</x:v>
      </x:c>
      <x:c r="C3104" s="1" t="str">
        <x:v>chl</x:v>
      </x:c>
      <x:c r="D3104" s="1" t="str">
        <x:v>Sin marca</x:v>
      </x:c>
      <x:c r="E3104" s="35" t="n">
        <x:v>1</x:v>
      </x:c>
      <x:c r="F3104" s="36"/>
      <x:c r="G3104" s="36" t="str">
        <x:f>IF(ISNUMBER(F3104),E3104*F3104,"")</x:f>
      </x:c>
      <x:c r="H3104" s="37" t="d">
        <x:v>2026-10-15T00:00:00.000Z</x:v>
      </x:c>
      <x:c r="I3104" s="37" t="d">
        <x:v>2026-09-14T07:40:00.000Z</x:v>
      </x:c>
      <x:c r="J3104" s="1" t="n">
        <x:f>IF(ISNUMBER(F3104),E3104,0)</x:f>
        <x:v>0</x:v>
      </x:c>
      <x:c r="K3104" s="1"/>
      <x:c r="L3104" s="1"/>
      <x:c r="M3104" s="1"/>
    </x:row>
    <x:row r="3105" ht="18.75" customHeight="1">
      <x:c r="A3105" s="1" t="str">
        <x:v>https://blog.skyairline.com/patrimonios-culturales-de-chile/</x:v>
      </x:c>
      <x:c r="B3105" s="1" t="str">
        <x:v>torres del paine chile</x:v>
      </x:c>
      <x:c r="C3105" s="1" t="str">
        <x:v>chl</x:v>
      </x:c>
      <x:c r="D3105" s="1" t="str">
        <x:v>Sin marca</x:v>
      </x:c>
      <x:c r="E3105" s="35" t="n">
        <x:v>1</x:v>
      </x:c>
      <x:c r="F3105" s="36" t="n">
        <x:v>0.8</x:v>
      </x:c>
      <x:c r="G3105" s="36" t="n">
        <x:f>IF(ISNUMBER(F3105),E3105*F3105,"")</x:f>
        <x:v>0.8</x:v>
      </x:c>
      <x:c r="H3105" s="37" t="d">
        <x:v>2026-10-15T00:00:00.000Z</x:v>
      </x:c>
      <x:c r="I3105" s="37" t="d">
        <x:v>2026-09-14T16:05:21.000Z</x:v>
      </x:c>
      <x:c r="J3105" s="1" t="n">
        <x:f>IF(ISNUMBER(F3105),E3105,0)</x:f>
        <x:v>1</x:v>
      </x:c>
      <x:c r="K3105" s="1"/>
      <x:c r="L3105" s="1"/>
      <x:c r="M3105" s="1"/>
    </x:row>
    <x:row r="3106" ht="18.75" customHeight="1">
      <x:c r="A3106" s="1" t="str">
        <x:v>https://blog.skyairline.com/peliculas-para-ver-en-el-avion/</x:v>
      </x:c>
      <x:c r="B3106" s="1" t="str">
        <x:v>pagina para ver peliculas</x:v>
      </x:c>
      <x:c r="C3106" s="1" t="str">
        <x:v>col</x:v>
      </x:c>
      <x:c r="D3106" s="1" t="str">
        <x:v>Sin marca</x:v>
      </x:c>
      <x:c r="E3106" s="35" t="n">
        <x:v>1</x:v>
      </x:c>
      <x:c r="F3106" s="36"/>
      <x:c r="G3106" s="36" t="str">
        <x:f>IF(ISNUMBER(F3106),E3106*F3106,"")</x:f>
      </x:c>
      <x:c r="H3106" s="37"/>
      <x:c r="I3106" s="37"/>
      <x:c r="J3106" s="1" t="n">
        <x:f>IF(ISNUMBER(F3106),E3106,0)</x:f>
        <x:v>0</x:v>
      </x:c>
      <x:c r="K3106" s="1"/>
      <x:c r="L3106" s="1"/>
      <x:c r="M3106" s="1"/>
    </x:row>
    <x:row r="3107" ht="18.75" customHeight="1">
      <x:c r="A3107" s="1" t="str">
        <x:v>https://blog.skyairline.com/peliculas-para-ver-en-el-avion/</x:v>
      </x:c>
      <x:c r="B3107" s="1" t="str">
        <x:v>sky peliculas</x:v>
      </x:c>
      <x:c r="C3107" s="1" t="str">
        <x:v>per</x:v>
      </x:c>
      <x:c r="D3107" s="1" t="str">
        <x:v>Marca</x:v>
      </x:c>
      <x:c r="E3107" s="35" t="n">
        <x:v>1</x:v>
      </x:c>
      <x:c r="F3107" s="36"/>
      <x:c r="G3107" s="36" t="str">
        <x:f>IF(ISNUMBER(F3107),E3107*F3107,"")</x:f>
      </x:c>
      <x:c r="H3107" s="37"/>
      <x:c r="I3107" s="37"/>
      <x:c r="J3107" s="1" t="n">
        <x:f>IF(ISNUMBER(F3107),E3107,0)</x:f>
        <x:v>0</x:v>
      </x:c>
      <x:c r="K3107" s="1"/>
      <x:c r="L3107" s="1"/>
      <x:c r="M3107" s="1"/>
    </x:row>
    <x:row r="3108" ht="18.75" customHeight="1">
      <x:c r="A3108" s="1" t="str">
        <x:v>https://blog.skyairline.com/perder-el-equipaje/</x:v>
      </x:c>
      <x:c r="B3108" s="1" t="str">
        <x:v>que pasa si se pierde mi maleta en el aeropuerto</x:v>
      </x:c>
      <x:c r="C3108" s="1" t="str">
        <x:v>per</x:v>
      </x:c>
      <x:c r="D3108" s="1" t="str">
        <x:v>Sin marca</x:v>
      </x:c>
      <x:c r="E3108" s="35" t="n">
        <x:v>1</x:v>
      </x:c>
      <x:c r="F3108" s="36"/>
      <x:c r="G3108" s="36" t="str">
        <x:f>IF(ISNUMBER(F3108),E3108*F3108,"")</x:f>
      </x:c>
      <x:c r="H3108" s="37" t="d">
        <x:v>2026-10-15T00:00:00.000Z</x:v>
      </x:c>
      <x:c r="I3108" s="37" t="d">
        <x:v>2026-10-15T12:20:21.000Z</x:v>
      </x:c>
      <x:c r="J3108" s="1" t="n">
        <x:f>IF(ISNUMBER(F3108),E3108,0)</x:f>
        <x:v>0</x:v>
      </x:c>
      <x:c r="K3108" s="1"/>
      <x:c r="L3108" s="1"/>
      <x:c r="M3108" s="1"/>
    </x:row>
    <x:row r="3109" ht="18.75" customHeight="1">
      <x:c r="A3109" s="1" t="str">
        <x:v>https://blog.skyairline.com/perder-el-equipaje/</x:v>
      </x:c>
      <x:c r="B3109" s="1" t="str">
        <x:v>que pasa si se pierde una maleta en el aeropuerto</x:v>
      </x:c>
      <x:c r="C3109" s="1" t="str">
        <x:v>chl</x:v>
      </x:c>
      <x:c r="D3109" s="1" t="str">
        <x:v>Sin marca</x:v>
      </x:c>
      <x:c r="E3109" s="35" t="n">
        <x:v>1</x:v>
      </x:c>
      <x:c r="F3109" s="36"/>
      <x:c r="G3109" s="36" t="str">
        <x:f>IF(ISNUMBER(F3109),E3109*F3109,"")</x:f>
      </x:c>
      <x:c r="H3109" s="37"/>
      <x:c r="I3109" s="37"/>
      <x:c r="J3109" s="1" t="n">
        <x:f>IF(ISNUMBER(F3109),E3109,0)</x:f>
        <x:v>0</x:v>
      </x:c>
      <x:c r="K3109" s="1"/>
      <x:c r="L3109" s="1"/>
      <x:c r="M3109" s="1"/>
    </x:row>
    <x:row r="3110" ht="18.75" customHeight="1">
      <x:c r="A3110" s="1" t="str">
        <x:v>https://blog.skyairline.com/peru-a-chile-sky-airline/</x:v>
      </x:c>
      <x:c r="B3110" s="1" t="str">
        <x:v>sky peru</x:v>
      </x:c>
      <x:c r="C3110" s="1" t="str">
        <x:v>chl</x:v>
      </x:c>
      <x:c r="D3110" s="1" t="str">
        <x:v>Marca</x:v>
      </x:c>
      <x:c r="E3110" s="35" t="n">
        <x:v>1</x:v>
      </x:c>
      <x:c r="F3110" s="36" t="n">
        <x:v>0.5</x:v>
      </x:c>
      <x:c r="G3110" s="36" t="n">
        <x:f>IF(ISNUMBER(F3110),E3110*F3110,"")</x:f>
        <x:v>0.5</x:v>
      </x:c>
      <x:c r="H3110" s="37" t="d">
        <x:v>2026-10-15T00:00:00.000Z</x:v>
      </x:c>
      <x:c r="I3110" s="37" t="d">
        <x:v>2026-09-12T19:01:49.000Z</x:v>
      </x:c>
      <x:c r="J3110" s="1" t="n">
        <x:f>IF(ISNUMBER(F3110),E3110,0)</x:f>
        <x:v>1</x:v>
      </x:c>
      <x:c r="K3110" s="1"/>
      <x:c r="L3110" s="1"/>
      <x:c r="M3110" s="1"/>
    </x:row>
    <x:row r="3111" ht="18.75" customHeight="1">
      <x:c r="A3111" s="1" t="str">
        <x:v>https://blog.skyairline.com/petroglificos-de-miculla/</x:v>
      </x:c>
      <x:c r="B3111" s="1" t="str">
        <x:v>como llegar a miculla de tacna</x:v>
      </x:c>
      <x:c r="C3111" s="1" t="str">
        <x:v>per</x:v>
      </x:c>
      <x:c r="D3111" s="1" t="str">
        <x:v>Sin marca</x:v>
      </x:c>
      <x:c r="E3111" s="35" t="n">
        <x:v>1</x:v>
      </x:c>
      <x:c r="F3111" s="36"/>
      <x:c r="G3111" s="36" t="str">
        <x:f>IF(ISNUMBER(F3111),E3111*F3111,"")</x:f>
      </x:c>
      <x:c r="H3111" s="37" t="d">
        <x:v>2026-10-15T00:00:00.000Z</x:v>
      </x:c>
      <x:c r="I3111" s="37" t="d">
        <x:v>2026-10-15T11:32:45.000Z</x:v>
      </x:c>
      <x:c r="J3111" s="1" t="n">
        <x:f>IF(ISNUMBER(F3111),E3111,0)</x:f>
        <x:v>0</x:v>
      </x:c>
      <x:c r="K3111" s="1"/>
      <x:c r="L3111" s="1"/>
      <x:c r="M3111" s="1"/>
    </x:row>
    <x:row r="3112" ht="18.75" customHeight="1">
      <x:c r="A3112" s="1" t="str">
        <x:v>https://blog.skyairline.com/petroglificos-de-miculla/</x:v>
      </x:c>
      <x:c r="B3112" s="1" t="str">
        <x:v>petroglifos de miculla tacna</x:v>
      </x:c>
      <x:c r="C3112" s="1" t="str">
        <x:v>chl</x:v>
      </x:c>
      <x:c r="D3112" s="1" t="str">
        <x:v>Sin marca</x:v>
      </x:c>
      <x:c r="E3112" s="35" t="n">
        <x:v>1</x:v>
      </x:c>
      <x:c r="F3112" s="36"/>
      <x:c r="G3112" s="36" t="str">
        <x:f>IF(ISNUMBER(F3112),E3112*F3112,"")</x:f>
      </x:c>
      <x:c r="H3112" s="37"/>
      <x:c r="I3112" s="37"/>
      <x:c r="J3112" s="1" t="n">
        <x:f>IF(ISNUMBER(F3112),E3112,0)</x:f>
        <x:v>0</x:v>
      </x:c>
      <x:c r="K3112" s="1"/>
      <x:c r="L3112" s="1"/>
      <x:c r="M3112" s="1"/>
    </x:row>
    <x:row r="3113" ht="18.75" customHeight="1">
      <x:c r="A3113" s="1" t="str">
        <x:v>https://blog.skyairline.com/petropolis/</x:v>
      </x:c>
      <x:c r="B3113" s="1" t="str">
        <x:v>petropolis brasil</x:v>
      </x:c>
      <x:c r="C3113" s="1" t="str">
        <x:v>esp</x:v>
      </x:c>
      <x:c r="D3113" s="1" t="str">
        <x:v>Sin marca</x:v>
      </x:c>
      <x:c r="E3113" s="35" t="n">
        <x:v>1</x:v>
      </x:c>
      <x:c r="F3113" s="36"/>
      <x:c r="G3113" s="36" t="str">
        <x:f>IF(ISNUMBER(F3113),E3113*F3113,"")</x:f>
      </x:c>
      <x:c r="H3113" s="37"/>
      <x:c r="I3113" s="37"/>
      <x:c r="J3113" s="1" t="n">
        <x:f>IF(ISNUMBER(F3113),E3113,0)</x:f>
        <x:v>0</x:v>
      </x:c>
      <x:c r="K3113" s="1"/>
      <x:c r="L3113" s="1"/>
      <x:c r="M3113" s="1"/>
    </x:row>
    <x:row r="3114" ht="18.75" customHeight="1">
      <x:c r="A3114" s="1" t="str">
        <x:v>https://blog.skyairline.com/petropolis/</x:v>
      </x:c>
      <x:c r="B3114" s="1" t="str">
        <x:v>petropolis que hacer</x:v>
      </x:c>
      <x:c r="C3114" s="1" t="str">
        <x:v>chl</x:v>
      </x:c>
      <x:c r="D3114" s="1" t="str">
        <x:v>Sin marca</x:v>
      </x:c>
      <x:c r="E3114" s="35" t="n">
        <x:v>1</x:v>
      </x:c>
      <x:c r="F3114" s="36"/>
      <x:c r="G3114" s="36" t="str">
        <x:f>IF(ISNUMBER(F3114),E3114*F3114,"")</x:f>
      </x:c>
      <x:c r="H3114" s="37"/>
      <x:c r="I3114" s="37"/>
      <x:c r="J3114" s="1" t="n">
        <x:f>IF(ISNUMBER(F3114),E3114,0)</x:f>
        <x:v>0</x:v>
      </x:c>
      <x:c r="K3114" s="1"/>
      <x:c r="L3114" s="1"/>
      <x:c r="M3114" s="1"/>
    </x:row>
    <x:row r="3115" ht="18.75" customHeight="1">
      <x:c r="A3115" s="1" t="str">
        <x:v>https://blog.skyairline.com/pica-en-iquique/</x:v>
      </x:c>
      <x:c r="B3115" s="1" t="str">
        <x:v>termas pica iquique</x:v>
      </x:c>
      <x:c r="C3115" s="1" t="str">
        <x:v>chl</x:v>
      </x:c>
      <x:c r="D3115" s="1" t="str">
        <x:v>Sin marca</x:v>
      </x:c>
      <x:c r="E3115" s="35" t="n">
        <x:v>1</x:v>
      </x:c>
      <x:c r="F3115" s="36"/>
      <x:c r="G3115" s="36" t="str">
        <x:f>IF(ISNUMBER(F3115),E3115*F3115,"")</x:f>
      </x:c>
      <x:c r="H3115" s="37" t="d">
        <x:v>2026-10-15T00:00:00.000Z</x:v>
      </x:c>
      <x:c r="I3115" s="37" t="d">
        <x:v>2026-09-16T08:13:37.999Z</x:v>
      </x:c>
      <x:c r="J3115" s="1" t="n">
        <x:f>IF(ISNUMBER(F3115),E3115,0)</x:f>
        <x:v>0</x:v>
      </x:c>
      <x:c r="K3115" s="1"/>
      <x:c r="L3115" s="1"/>
      <x:c r="M3115" s="1"/>
    </x:row>
    <x:row r="3116" ht="18.75" customHeight="1">
      <x:c r="A3116" s="1" t="str">
        <x:v>https://blog.skyairline.com/planifica-tu-viaje-2/</x:v>
      </x:c>
      <x:c r="B3116" s="1" t="str">
        <x:v>sky airline</x:v>
      </x:c>
      <x:c r="C3116" s="1" t="str">
        <x:v>ury</x:v>
      </x:c>
      <x:c r="D3116" s="1" t="str">
        <x:v>Marca</x:v>
      </x:c>
      <x:c r="E3116" s="35" t="n">
        <x:v>1</x:v>
      </x:c>
      <x:c r="F3116" s="36"/>
      <x:c r="G3116" s="36" t="str">
        <x:f>IF(ISNUMBER(F3116),E3116*F3116,"")</x:f>
      </x:c>
      <x:c r="H3116" s="37"/>
      <x:c r="I3116" s="37"/>
      <x:c r="J3116" s="1" t="n">
        <x:f>IF(ISNUMBER(F3116),E3116,0)</x:f>
        <x:v>0</x:v>
      </x:c>
      <x:c r="K3116" s="1"/>
      <x:c r="L3116" s="1"/>
      <x:c r="M3116" s="1"/>
    </x:row>
    <x:row r="3117" ht="18.75" customHeight="1">
      <x:c r="A3117" s="1" t="str">
        <x:v>https://blog.skyairline.com/planificacion-de-viaje/</x:v>
      </x:c>
      <x:c r="B3117" s="1" t="str">
        <x:v>que hacer en bogota en 3 dias</x:v>
      </x:c>
      <x:c r="C3117" s="1" t="str">
        <x:v>chl</x:v>
      </x:c>
      <x:c r="D3117" s="1" t="str">
        <x:v>Sin marca</x:v>
      </x:c>
      <x:c r="E3117" s="35" t="n">
        <x:v>1</x:v>
      </x:c>
      <x:c r="F3117" s="36" t="n">
        <x:v>0.28</x:v>
      </x:c>
      <x:c r="G3117" s="36" t="n">
        <x:f>IF(ISNUMBER(F3117),E3117*F3117,"")</x:f>
        <x:v>0.28</x:v>
      </x:c>
      <x:c r="H3117" s="37" t="d">
        <x:v>2026-10-15T00:00:00.000Z</x:v>
      </x:c>
      <x:c r="I3117" s="37" t="d">
        <x:v>2026-09-13T02:18:41.000Z</x:v>
      </x:c>
      <x:c r="J3117" s="1" t="n">
        <x:f>IF(ISNUMBER(F3117),E3117,0)</x:f>
        <x:v>1</x:v>
      </x:c>
      <x:c r="K3117" s="1"/>
      <x:c r="L3117" s="1"/>
      <x:c r="M3117" s="1"/>
    </x:row>
    <x:row r="3118" ht="18.75" customHeight="1">
      <x:c r="A3118" s="1" t="str">
        <x:v>https://blog.skyairline.com/planificacion-de-viaje/</x:v>
      </x:c>
      <x:c r="B3118" s="1" t="str">
        <x:v>que ver en bogota en 3 dias</x:v>
      </x:c>
      <x:c r="C3118" s="1" t="str">
        <x:v>gtm</x:v>
      </x:c>
      <x:c r="D3118" s="1" t="str">
        <x:v>Sin marca</x:v>
      </x:c>
      <x:c r="E3118" s="35" t="n">
        <x:v>1</x:v>
      </x:c>
      <x:c r="F3118" s="36"/>
      <x:c r="G3118" s="36" t="str">
        <x:f>IF(ISNUMBER(F3118),E3118*F3118,"")</x:f>
      </x:c>
      <x:c r="H3118" s="37"/>
      <x:c r="I3118" s="37"/>
      <x:c r="J3118" s="1" t="n">
        <x:f>IF(ISNUMBER(F3118),E3118,0)</x:f>
        <x:v>0</x:v>
      </x:c>
      <x:c r="K3118" s="1"/>
      <x:c r="L3118" s="1"/>
      <x:c r="M3118" s="1"/>
    </x:row>
    <x:row r="3119" ht="18.75" customHeight="1">
      <x:c r="A3119" s="1" t="str">
        <x:v>https://blog.skyairline.com/planificar-viaje/</x:v>
      </x:c>
      <x:c r="B3119" s="1" t="str">
        <x:v>como organizar un viaje al extranjero</x:v>
      </x:c>
      <x:c r="C3119" s="1" t="str">
        <x:v>chl</x:v>
      </x:c>
      <x:c r="D3119" s="1" t="str">
        <x:v>Sin marca</x:v>
      </x:c>
      <x:c r="E3119" s="35" t="n">
        <x:v>1</x:v>
      </x:c>
      <x:c r="F3119" s="36"/>
      <x:c r="G3119" s="36" t="str">
        <x:f>IF(ISNUMBER(F3119),E3119*F3119,"")</x:f>
      </x:c>
      <x:c r="H3119" s="37" t="d">
        <x:v>2026-10-15T00:00:00.000Z</x:v>
      </x:c>
      <x:c r="I3119" s="37" t="d">
        <x:v>2026-09-16T06:34:32.000Z</x:v>
      </x:c>
      <x:c r="J3119" s="1" t="n">
        <x:f>IF(ISNUMBER(F3119),E3119,0)</x:f>
        <x:v>0</x:v>
      </x:c>
      <x:c r="K3119" s="1"/>
      <x:c r="L3119" s="1"/>
      <x:c r="M3119" s="1"/>
    </x:row>
    <x:row r="3120" ht="18.75" customHeight="1">
      <x:c r="A3120" s="1" t="str">
        <x:v>https://blog.skyairline.com/planificar-viaje/</x:v>
      </x:c>
      <x:c r="B3120" s="1" t="str">
        <x:v>como planificar un viaje</x:v>
      </x:c>
      <x:c r="C3120" s="1" t="str">
        <x:v>chl</x:v>
      </x:c>
      <x:c r="D3120" s="1" t="str">
        <x:v>Sin marca</x:v>
      </x:c>
      <x:c r="E3120" s="35" t="n">
        <x:v>1</x:v>
      </x:c>
      <x:c r="F3120" s="36" t="n">
        <x:v>0.61</x:v>
      </x:c>
      <x:c r="G3120" s="36" t="n">
        <x:f>IF(ISNUMBER(F3120),E3120*F3120,"")</x:f>
        <x:v>0.61</x:v>
      </x:c>
      <x:c r="H3120" s="37" t="d">
        <x:v>2026-10-15T00:00:00.000Z</x:v>
      </x:c>
      <x:c r="I3120" s="37" t="d">
        <x:v>2026-09-15T09:01:03.000Z</x:v>
      </x:c>
      <x:c r="J3120" s="1" t="n">
        <x:f>IF(ISNUMBER(F3120),E3120,0)</x:f>
        <x:v>1</x:v>
      </x:c>
      <x:c r="K3120" s="1"/>
      <x:c r="L3120" s="1"/>
      <x:c r="M3120" s="1"/>
    </x:row>
    <x:row r="3121" ht="18.75" customHeight="1">
      <x:c r="A3121" s="1" t="str">
        <x:v>https://blog.skyairline.com/plato-tipico-de-tacna/</x:v>
      </x:c>
      <x:c r="B3121" s="1" t="str">
        <x:v>comida tipica de tacna</x:v>
      </x:c>
      <x:c r="C3121" s="1" t="str">
        <x:v>per</x:v>
      </x:c>
      <x:c r="D3121" s="1" t="str">
        <x:v>Sin marca</x:v>
      </x:c>
      <x:c r="E3121" s="35" t="n">
        <x:v>1</x:v>
      </x:c>
      <x:c r="F3121" s="36"/>
      <x:c r="G3121" s="36" t="str">
        <x:f>IF(ISNUMBER(F3121),E3121*F3121,"")</x:f>
      </x:c>
      <x:c r="H3121" s="37" t="d">
        <x:v>2026-10-15T00:00:00.000Z</x:v>
      </x:c>
      <x:c r="I3121" s="37" t="d">
        <x:v>2026-09-15T06:56:45.999Z</x:v>
      </x:c>
      <x:c r="J3121" s="1" t="n">
        <x:f>IF(ISNUMBER(F3121),E3121,0)</x:f>
        <x:v>0</x:v>
      </x:c>
      <x:c r="K3121" s="1"/>
      <x:c r="L3121" s="1"/>
      <x:c r="M3121" s="1"/>
    </x:row>
    <x:row r="3122" ht="18.75" customHeight="1">
      <x:c r="A3122" s="1" t="str">
        <x:v>https://blog.skyairline.com/plato-tipico-de-tacna/</x:v>
      </x:c>
      <x:c r="B3122" s="1" t="str">
        <x:v>comidas típicas de tacna</x:v>
      </x:c>
      <x:c r="C3122" s="1" t="str">
        <x:v>per</x:v>
      </x:c>
      <x:c r="D3122" s="1" t="str">
        <x:v>Sin marca</x:v>
      </x:c>
      <x:c r="E3122" s="35" t="n">
        <x:v>1</x:v>
      </x:c>
      <x:c r="F3122" s="36"/>
      <x:c r="G3122" s="36" t="str">
        <x:f>IF(ISNUMBER(F3122),E3122*F3122,"")</x:f>
      </x:c>
      <x:c r="H3122" s="37" t="d">
        <x:v>2026-10-15T00:00:00.000Z</x:v>
      </x:c>
      <x:c r="I3122" s="37" t="d">
        <x:v>2026-09-17T20:45:19.000Z</x:v>
      </x:c>
      <x:c r="J3122" s="1" t="n">
        <x:f>IF(ISNUMBER(F3122),E3122,0)</x:f>
        <x:v>0</x:v>
      </x:c>
      <x:c r="K3122" s="1"/>
      <x:c r="L3122" s="1"/>
      <x:c r="M3122" s="1"/>
    </x:row>
    <x:row r="3123" ht="18.75" customHeight="1">
      <x:c r="A3123" s="1" t="str">
        <x:v>https://blog.skyairline.com/platos-tipicos-de-lima/</x:v>
      </x:c>
      <x:c r="B3123" s="1" t="str">
        <x:v>comida de lima</x:v>
      </x:c>
      <x:c r="C3123" s="1" t="str">
        <x:v>per</x:v>
      </x:c>
      <x:c r="D3123" s="1" t="str">
        <x:v>Sin marca</x:v>
      </x:c>
      <x:c r="E3123" s="35" t="n">
        <x:v>1</x:v>
      </x:c>
      <x:c r="F3123" s="36"/>
      <x:c r="G3123" s="36" t="str">
        <x:f>IF(ISNUMBER(F3123),E3123*F3123,"")</x:f>
      </x:c>
      <x:c r="H3123" s="37" t="d">
        <x:v>2026-10-15T00:00:00.000Z</x:v>
      </x:c>
      <x:c r="I3123" s="37" t="d">
        <x:v>2026-09-14T00:21:58.000Z</x:v>
      </x:c>
      <x:c r="J3123" s="1" t="n">
        <x:f>IF(ISNUMBER(F3123),E3123,0)</x:f>
        <x:v>0</x:v>
      </x:c>
      <x:c r="K3123" s="1"/>
      <x:c r="L3123" s="1"/>
      <x:c r="M3123" s="1"/>
    </x:row>
    <x:row r="3124" ht="18.75" customHeight="1">
      <x:c r="A3124" s="1" t="str">
        <x:v>https://blog.skyairline.com/platos-tipicos-de-lima/</x:v>
      </x:c>
      <x:c r="B3124" s="1" t="str">
        <x:v>comida de lima peru</x:v>
      </x:c>
      <x:c r="C3124" s="1" t="str">
        <x:v>esp</x:v>
      </x:c>
      <x:c r="D3124" s="1" t="str">
        <x:v>Sin marca</x:v>
      </x:c>
      <x:c r="E3124" s="35" t="n">
        <x:v>1</x:v>
      </x:c>
      <x:c r="F3124" s="36"/>
      <x:c r="G3124" s="36" t="str">
        <x:f>IF(ISNUMBER(F3124),E3124*F3124,"")</x:f>
      </x:c>
      <x:c r="H3124" s="37"/>
      <x:c r="I3124" s="37"/>
      <x:c r="J3124" s="1" t="n">
        <x:f>IF(ISNUMBER(F3124),E3124,0)</x:f>
        <x:v>0</x:v>
      </x:c>
      <x:c r="K3124" s="1"/>
      <x:c r="L3124" s="1"/>
      <x:c r="M3124" s="1"/>
    </x:row>
    <x:row r="3125" ht="18.75" customHeight="1">
      <x:c r="A3125" s="1" t="str">
        <x:v>https://blog.skyairline.com/platos-tipicos-de-lima/</x:v>
      </x:c>
      <x:c r="B3125" s="1" t="str">
        <x:v>comida de lima peru</x:v>
      </x:c>
      <x:c r="C3125" s="1" t="str">
        <x:v>mex</x:v>
      </x:c>
      <x:c r="D3125" s="1" t="str">
        <x:v>Sin marca</x:v>
      </x:c>
      <x:c r="E3125" s="35" t="n">
        <x:v>1</x:v>
      </x:c>
      <x:c r="F3125" s="36"/>
      <x:c r="G3125" s="36" t="str">
        <x:f>IF(ISNUMBER(F3125),E3125*F3125,"")</x:f>
      </x:c>
      <x:c r="H3125" s="37"/>
      <x:c r="I3125" s="37"/>
      <x:c r="J3125" s="1" t="n">
        <x:f>IF(ISNUMBER(F3125),E3125,0)</x:f>
        <x:v>0</x:v>
      </x:c>
      <x:c r="K3125" s="1"/>
      <x:c r="L3125" s="1"/>
      <x:c r="M3125" s="1"/>
    </x:row>
    <x:row r="3126" ht="18.75" customHeight="1">
      <x:c r="A3126" s="1" t="str">
        <x:v>https://blog.skyairline.com/platos-tipicos-de-lima/</x:v>
      </x:c>
      <x:c r="B3126" s="1" t="str">
        <x:v>comida tipica de lima peru</x:v>
      </x:c>
      <x:c r="C3126" s="1" t="str">
        <x:v>arg</x:v>
      </x:c>
      <x:c r="D3126" s="1" t="str">
        <x:v>Sin marca</x:v>
      </x:c>
      <x:c r="E3126" s="35" t="n">
        <x:v>1</x:v>
      </x:c>
      <x:c r="F3126" s="36"/>
      <x:c r="G3126" s="36" t="str">
        <x:f>IF(ISNUMBER(F3126),E3126*F3126,"")</x:f>
      </x:c>
      <x:c r="H3126" s="37"/>
      <x:c r="I3126" s="37"/>
      <x:c r="J3126" s="1" t="n">
        <x:f>IF(ISNUMBER(F3126),E3126,0)</x:f>
        <x:v>0</x:v>
      </x:c>
      <x:c r="K3126" s="1"/>
      <x:c r="L3126" s="1"/>
      <x:c r="M3126" s="1"/>
    </x:row>
    <x:row r="3127" ht="18.75" customHeight="1">
      <x:c r="A3127" s="1" t="str">
        <x:v>https://blog.skyairline.com/platos-tipicos-de-lima/</x:v>
      </x:c>
      <x:c r="B3127" s="1" t="str">
        <x:v>comida tipica de lima peru</x:v>
      </x:c>
      <x:c r="C3127" s="1" t="str">
        <x:v>per</x:v>
      </x:c>
      <x:c r="D3127" s="1" t="str">
        <x:v>Sin marca</x:v>
      </x:c>
      <x:c r="E3127" s="35" t="n">
        <x:v>1</x:v>
      </x:c>
      <x:c r="F3127" s="36"/>
      <x:c r="G3127" s="36" t="str">
        <x:f>IF(ISNUMBER(F3127),E3127*F3127,"")</x:f>
      </x:c>
      <x:c r="H3127" s="37" t="d">
        <x:v>2026-10-15T00:00:00.000Z</x:v>
      </x:c>
      <x:c r="I3127" s="37" t="d">
        <x:v>2026-09-17T15:50:49.000Z</x:v>
      </x:c>
      <x:c r="J3127" s="1" t="n">
        <x:f>IF(ISNUMBER(F3127),E3127,0)</x:f>
        <x:v>0</x:v>
      </x:c>
      <x:c r="K3127" s="1"/>
      <x:c r="L3127" s="1"/>
      <x:c r="M3127" s="1"/>
    </x:row>
    <x:row r="3128" ht="18.75" customHeight="1">
      <x:c r="A3128" s="1" t="str">
        <x:v>https://blog.skyairline.com/platos-tipicos-de-lima/</x:v>
      </x:c>
      <x:c r="B3128" s="1" t="str">
        <x:v>comida tradicional de lima</x:v>
      </x:c>
      <x:c r="C3128" s="1" t="str">
        <x:v>per</x:v>
      </x:c>
      <x:c r="D3128" s="1" t="str">
        <x:v>Sin marca</x:v>
      </x:c>
      <x:c r="E3128" s="35" t="n">
        <x:v>1</x:v>
      </x:c>
      <x:c r="F3128" s="36"/>
      <x:c r="G3128" s="36" t="str">
        <x:f>IF(ISNUMBER(F3128),E3128*F3128,"")</x:f>
      </x:c>
      <x:c r="H3128" s="37" t="d">
        <x:v>2026-10-15T00:00:00.000Z</x:v>
      </x:c>
      <x:c r="I3128" s="37" t="d">
        <x:v>2026-09-17T10:08:16.000Z</x:v>
      </x:c>
      <x:c r="J3128" s="1" t="n">
        <x:f>IF(ISNUMBER(F3128),E3128,0)</x:f>
        <x:v>0</x:v>
      </x:c>
      <x:c r="K3128" s="1"/>
      <x:c r="L3128" s="1"/>
      <x:c r="M3128" s="1"/>
    </x:row>
    <x:row r="3129" ht="18.75" customHeight="1">
      <x:c r="A3129" s="1" t="str">
        <x:v>https://blog.skyairline.com/platos-tipicos-de-lima/</x:v>
      </x:c>
      <x:c r="B3129" s="1" t="str">
        <x:v>comida típica de lima peru</x:v>
      </x:c>
      <x:c r="C3129" s="1" t="str">
        <x:v>mex</x:v>
      </x:c>
      <x:c r="D3129" s="1" t="str">
        <x:v>Sin marca</x:v>
      </x:c>
      <x:c r="E3129" s="35" t="n">
        <x:v>1</x:v>
      </x:c>
      <x:c r="F3129" s="36"/>
      <x:c r="G3129" s="36" t="str">
        <x:f>IF(ISNUMBER(F3129),E3129*F3129,"")</x:f>
      </x:c>
      <x:c r="H3129" s="37"/>
      <x:c r="I3129" s="37"/>
      <x:c r="J3129" s="1" t="n">
        <x:f>IF(ISNUMBER(F3129),E3129,0)</x:f>
        <x:v>0</x:v>
      </x:c>
      <x:c r="K3129" s="1"/>
      <x:c r="L3129" s="1"/>
      <x:c r="M3129" s="1"/>
    </x:row>
    <x:row r="3130" ht="18.75" customHeight="1">
      <x:c r="A3130" s="1" t="str">
        <x:v>https://blog.skyairline.com/platos-tipicos-de-lima/</x:v>
      </x:c>
      <x:c r="B3130" s="1" t="str">
        <x:v>comida típica de perú lima</x:v>
      </x:c>
      <x:c r="C3130" s="1" t="str">
        <x:v>chl</x:v>
      </x:c>
      <x:c r="D3130" s="1" t="str">
        <x:v>Sin marca</x:v>
      </x:c>
      <x:c r="E3130" s="35" t="n">
        <x:v>1</x:v>
      </x:c>
      <x:c r="F3130" s="36"/>
      <x:c r="G3130" s="36" t="str">
        <x:f>IF(ISNUMBER(F3130),E3130*F3130,"")</x:f>
      </x:c>
      <x:c r="H3130" s="37" t="d">
        <x:v>2026-10-15T00:00:00.000Z</x:v>
      </x:c>
      <x:c r="I3130" s="37" t="d">
        <x:v>2026-09-15T13:53:56.000Z</x:v>
      </x:c>
      <x:c r="J3130" s="1" t="n">
        <x:f>IF(ISNUMBER(F3130),E3130,0)</x:f>
        <x:v>0</x:v>
      </x:c>
      <x:c r="K3130" s="1"/>
      <x:c r="L3130" s="1"/>
      <x:c r="M3130" s="1"/>
    </x:row>
    <x:row r="3131" ht="18.75" customHeight="1">
      <x:c r="A3131" s="1" t="str">
        <x:v>https://blog.skyairline.com/platos-tipicos-de-lima/</x:v>
      </x:c>
      <x:c r="B3131" s="1" t="str">
        <x:v>comida típica de perú lima</x:v>
      </x:c>
      <x:c r="C3131" s="1" t="str">
        <x:v>pri</x:v>
      </x:c>
      <x:c r="D3131" s="1" t="str">
        <x:v>Sin marca</x:v>
      </x:c>
      <x:c r="E3131" s="35" t="n">
        <x:v>1</x:v>
      </x:c>
      <x:c r="F3131" s="36"/>
      <x:c r="G3131" s="36" t="str">
        <x:f>IF(ISNUMBER(F3131),E3131*F3131,"")</x:f>
      </x:c>
      <x:c r="H3131" s="37"/>
      <x:c r="I3131" s="37"/>
      <x:c r="J3131" s="1" t="n">
        <x:f>IF(ISNUMBER(F3131),E3131,0)</x:f>
        <x:v>0</x:v>
      </x:c>
      <x:c r="K3131" s="1"/>
      <x:c r="L3131" s="1"/>
      <x:c r="M3131" s="1"/>
    </x:row>
    <x:row r="3132" ht="18.75" customHeight="1">
      <x:c r="A3132" s="1" t="str">
        <x:v>https://blog.skyairline.com/platos-tipicos-de-lima/</x:v>
      </x:c>
      <x:c r="B3132" s="1" t="str">
        <x:v>comida típica de perú lima</x:v>
      </x:c>
      <x:c r="C3132" s="1" t="str">
        <x:v>ury</x:v>
      </x:c>
      <x:c r="D3132" s="1" t="str">
        <x:v>Sin marca</x:v>
      </x:c>
      <x:c r="E3132" s="35" t="n">
        <x:v>1</x:v>
      </x:c>
      <x:c r="F3132" s="36"/>
      <x:c r="G3132" s="36" t="str">
        <x:f>IF(ISNUMBER(F3132),E3132*F3132,"")</x:f>
      </x:c>
      <x:c r="H3132" s="37"/>
      <x:c r="I3132" s="37"/>
      <x:c r="J3132" s="1" t="n">
        <x:f>IF(ISNUMBER(F3132),E3132,0)</x:f>
        <x:v>0</x:v>
      </x:c>
      <x:c r="K3132" s="1"/>
      <x:c r="L3132" s="1"/>
      <x:c r="M3132" s="1"/>
    </x:row>
    <x:row r="3133" ht="18.75" customHeight="1">
      <x:c r="A3133" s="1" t="str">
        <x:v>https://blog.skyairline.com/platos-tipicos-de-lima/</x:v>
      </x:c>
      <x:c r="B3133" s="1" t="str">
        <x:v>comidas de lima</x:v>
      </x:c>
      <x:c r="C3133" s="1" t="str">
        <x:v>per</x:v>
      </x:c>
      <x:c r="D3133" s="1" t="str">
        <x:v>Sin marca</x:v>
      </x:c>
      <x:c r="E3133" s="35" t="n">
        <x:v>1</x:v>
      </x:c>
      <x:c r="F3133" s="36"/>
      <x:c r="G3133" s="36" t="str">
        <x:f>IF(ISNUMBER(F3133),E3133*F3133,"")</x:f>
      </x:c>
      <x:c r="H3133" s="37" t="d">
        <x:v>2026-10-15T00:00:00.000Z</x:v>
      </x:c>
      <x:c r="I3133" s="37" t="d">
        <x:v>2026-09-15T21:36:08.000Z</x:v>
      </x:c>
      <x:c r="J3133" s="1" t="n">
        <x:f>IF(ISNUMBER(F3133),E3133,0)</x:f>
        <x:v>0</x:v>
      </x:c>
      <x:c r="K3133" s="1"/>
      <x:c r="L3133" s="1"/>
      <x:c r="M3133" s="1"/>
    </x:row>
    <x:row r="3134" ht="18.75" customHeight="1">
      <x:c r="A3134" s="1" t="str">
        <x:v>https://blog.skyairline.com/platos-tipicos-de-lima/</x:v>
      </x:c>
      <x:c r="B3134" s="1" t="str">
        <x:v>comidas de lima peru</x:v>
      </x:c>
      <x:c r="C3134" s="1" t="str">
        <x:v>per</x:v>
      </x:c>
      <x:c r="D3134" s="1" t="str">
        <x:v>Sin marca</x:v>
      </x:c>
      <x:c r="E3134" s="35" t="n">
        <x:v>1</x:v>
      </x:c>
      <x:c r="F3134" s="36"/>
      <x:c r="G3134" s="36" t="str">
        <x:f>IF(ISNUMBER(F3134),E3134*F3134,"")</x:f>
      </x:c>
      <x:c r="H3134" s="37" t="d">
        <x:v>2026-10-15T00:00:00.000Z</x:v>
      </x:c>
      <x:c r="I3134" s="37" t="d">
        <x:v>2026-09-15T17:22:41.000Z</x:v>
      </x:c>
      <x:c r="J3134" s="1" t="n">
        <x:f>IF(ISNUMBER(F3134),E3134,0)</x:f>
        <x:v>0</x:v>
      </x:c>
      <x:c r="K3134" s="1"/>
      <x:c r="L3134" s="1"/>
      <x:c r="M3134" s="1"/>
    </x:row>
    <x:row r="3135" ht="18.75" customHeight="1">
      <x:c r="A3135" s="1" t="str">
        <x:v>https://blog.skyairline.com/platos-tipicos-de-lima/</x:v>
      </x:c>
      <x:c r="B3135" s="1" t="str">
        <x:v>comidas tipicas de lima</x:v>
      </x:c>
      <x:c r="C3135" s="1" t="str">
        <x:v>chl</x:v>
      </x:c>
      <x:c r="D3135" s="1" t="str">
        <x:v>Sin marca</x:v>
      </x:c>
      <x:c r="E3135" s="35" t="n">
        <x:v>1</x:v>
      </x:c>
      <x:c r="F3135" s="36"/>
      <x:c r="G3135" s="36" t="str">
        <x:f>IF(ISNUMBER(F3135),E3135*F3135,"")</x:f>
      </x:c>
      <x:c r="H3135" s="37"/>
      <x:c r="I3135" s="37"/>
      <x:c r="J3135" s="1" t="n">
        <x:f>IF(ISNUMBER(F3135),E3135,0)</x:f>
        <x:v>0</x:v>
      </x:c>
      <x:c r="K3135" s="1"/>
      <x:c r="L3135" s="1"/>
      <x:c r="M3135" s="1"/>
    </x:row>
    <x:row r="3136" ht="18.75" customHeight="1">
      <x:c r="A3136" s="1" t="str">
        <x:v>https://blog.skyairline.com/platos-tipicos-de-lima/</x:v>
      </x:c>
      <x:c r="B3136" s="1" t="str">
        <x:v>comidas tipicas de lima peru</x:v>
      </x:c>
      <x:c r="C3136" s="1" t="str">
        <x:v>ecu</x:v>
      </x:c>
      <x:c r="D3136" s="1" t="str">
        <x:v>Sin marca</x:v>
      </x:c>
      <x:c r="E3136" s="35" t="n">
        <x:v>1</x:v>
      </x:c>
      <x:c r="F3136" s="36"/>
      <x:c r="G3136" s="36" t="str">
        <x:f>IF(ISNUMBER(F3136),E3136*F3136,"")</x:f>
      </x:c>
      <x:c r="H3136" s="37"/>
      <x:c r="I3136" s="37"/>
      <x:c r="J3136" s="1" t="n">
        <x:f>IF(ISNUMBER(F3136),E3136,0)</x:f>
        <x:v>0</x:v>
      </x:c>
      <x:c r="K3136" s="1"/>
      <x:c r="L3136" s="1"/>
      <x:c r="M3136" s="1"/>
    </x:row>
    <x:row r="3137" ht="18.75" customHeight="1">
      <x:c r="A3137" s="1" t="str">
        <x:v>https://blog.skyairline.com/platos-tipicos-de-lima/</x:v>
      </x:c>
      <x:c r="B3137" s="1" t="str">
        <x:v>comidas tipicas de lima peru</x:v>
      </x:c>
      <x:c r="C3137" s="1" t="str">
        <x:v>per</x:v>
      </x:c>
      <x:c r="D3137" s="1" t="str">
        <x:v>Sin marca</x:v>
      </x:c>
      <x:c r="E3137" s="35" t="n">
        <x:v>1</x:v>
      </x:c>
      <x:c r="F3137" s="36"/>
      <x:c r="G3137" s="36" t="str">
        <x:f>IF(ISNUMBER(F3137),E3137*F3137,"")</x:f>
      </x:c>
      <x:c r="H3137" s="37"/>
      <x:c r="I3137" s="37"/>
      <x:c r="J3137" s="1" t="n">
        <x:f>IF(ISNUMBER(F3137),E3137,0)</x:f>
        <x:v>0</x:v>
      </x:c>
      <x:c r="K3137" s="1"/>
      <x:c r="L3137" s="1"/>
      <x:c r="M3137" s="1"/>
    </x:row>
    <x:row r="3138" ht="18.75" customHeight="1">
      <x:c r="A3138" s="1" t="str">
        <x:v>https://blog.skyairline.com/platos-tipicos-de-lima/</x:v>
      </x:c>
      <x:c r="B3138" s="1" t="str">
        <x:v>comidas tipicas lima</x:v>
      </x:c>
      <x:c r="C3138" s="1" t="str">
        <x:v>per</x:v>
      </x:c>
      <x:c r="D3138" s="1" t="str">
        <x:v>Sin marca</x:v>
      </x:c>
      <x:c r="E3138" s="35" t="n">
        <x:v>1</x:v>
      </x:c>
      <x:c r="F3138" s="36"/>
      <x:c r="G3138" s="36" t="str">
        <x:f>IF(ISNUMBER(F3138),E3138*F3138,"")</x:f>
      </x:c>
      <x:c r="H3138" s="37" t="d">
        <x:v>2026-10-15T00:00:00.000Z</x:v>
      </x:c>
      <x:c r="I3138" s="37" t="d">
        <x:v>2026-09-16T07:59:24.000Z</x:v>
      </x:c>
      <x:c r="J3138" s="1" t="n">
        <x:f>IF(ISNUMBER(F3138),E3138,0)</x:f>
        <x:v>0</x:v>
      </x:c>
      <x:c r="K3138" s="1"/>
      <x:c r="L3138" s="1"/>
      <x:c r="M3138" s="1"/>
    </x:row>
    <x:row r="3139" ht="18.75" customHeight="1">
      <x:c r="A3139" s="1" t="str">
        <x:v>https://blog.skyairline.com/platos-tipicos-de-lima/</x:v>
      </x:c>
      <x:c r="B3139" s="1" t="str">
        <x:v>comidas tradicionales de lima</x:v>
      </x:c>
      <x:c r="C3139" s="1" t="str">
        <x:v>arg</x:v>
      </x:c>
      <x:c r="D3139" s="1" t="str">
        <x:v>Sin marca</x:v>
      </x:c>
      <x:c r="E3139" s="35" t="n">
        <x:v>1</x:v>
      </x:c>
      <x:c r="F3139" s="36"/>
      <x:c r="G3139" s="36" t="str">
        <x:f>IF(ISNUMBER(F3139),E3139*F3139,"")</x:f>
      </x:c>
      <x:c r="H3139" s="37"/>
      <x:c r="I3139" s="37"/>
      <x:c r="J3139" s="1" t="n">
        <x:f>IF(ISNUMBER(F3139),E3139,0)</x:f>
        <x:v>0</x:v>
      </x:c>
      <x:c r="K3139" s="1"/>
      <x:c r="L3139" s="1"/>
      <x:c r="M3139" s="1"/>
    </x:row>
    <x:row r="3140" ht="18.75" customHeight="1">
      <x:c r="A3140" s="1" t="str">
        <x:v>https://blog.skyairline.com/platos-tipicos-de-lima/</x:v>
      </x:c>
      <x:c r="B3140" s="1" t="str">
        <x:v>lima comida tipica</x:v>
      </x:c>
      <x:c r="C3140" s="1" t="str">
        <x:v>chl</x:v>
      </x:c>
      <x:c r="D3140" s="1" t="str">
        <x:v>Sin marca</x:v>
      </x:c>
      <x:c r="E3140" s="35" t="n">
        <x:v>1</x:v>
      </x:c>
      <x:c r="F3140" s="36"/>
      <x:c r="G3140" s="36" t="str">
        <x:f>IF(ISNUMBER(F3140),E3140*F3140,"")</x:f>
      </x:c>
      <x:c r="H3140" s="37"/>
      <x:c r="I3140" s="37"/>
      <x:c r="J3140" s="1" t="n">
        <x:f>IF(ISNUMBER(F3140),E3140,0)</x:f>
        <x:v>0</x:v>
      </x:c>
      <x:c r="K3140" s="1"/>
      <x:c r="L3140" s="1"/>
      <x:c r="M3140" s="1"/>
    </x:row>
    <x:row r="3141" ht="18.75" customHeight="1">
      <x:c r="A3141" s="1" t="str">
        <x:v>https://blog.skyairline.com/platos-tipicos-de-lima/</x:v>
      </x:c>
      <x:c r="B3141" s="1" t="str">
        <x:v>limeño platos típicos de lima</x:v>
      </x:c>
      <x:c r="C3141" s="1" t="str">
        <x:v>per</x:v>
      </x:c>
      <x:c r="D3141" s="1" t="str">
        <x:v>Sin marca</x:v>
      </x:c>
      <x:c r="E3141" s="35" t="n">
        <x:v>1</x:v>
      </x:c>
      <x:c r="F3141" s="36"/>
      <x:c r="G3141" s="36" t="str">
        <x:f>IF(ISNUMBER(F3141),E3141*F3141,"")</x:f>
      </x:c>
      <x:c r="H3141" s="37" t="d">
        <x:v>2026-10-15T00:00:00.000Z</x:v>
      </x:c>
      <x:c r="I3141" s="37" t="d">
        <x:v>2026-09-14T08:01:45.000Z</x:v>
      </x:c>
      <x:c r="J3141" s="1" t="n">
        <x:f>IF(ISNUMBER(F3141),E3141,0)</x:f>
        <x:v>0</x:v>
      </x:c>
      <x:c r="K3141" s="1"/>
      <x:c r="L3141" s="1"/>
      <x:c r="M3141" s="1"/>
    </x:row>
    <x:row r="3142" ht="18.75" customHeight="1">
      <x:c r="A3142" s="1" t="str">
        <x:v>https://blog.skyairline.com/platos-tipicos-de-lima/</x:v>
      </x:c>
      <x:c r="B3142" s="1" t="str">
        <x:v>peru lima comida</x:v>
      </x:c>
      <x:c r="C3142" s="1" t="str">
        <x:v>mex</x:v>
      </x:c>
      <x:c r="D3142" s="1" t="str">
        <x:v>Sin marca</x:v>
      </x:c>
      <x:c r="E3142" s="35" t="n">
        <x:v>1</x:v>
      </x:c>
      <x:c r="F3142" s="36"/>
      <x:c r="G3142" s="36" t="str">
        <x:f>IF(ISNUMBER(F3142),E3142*F3142,"")</x:f>
      </x:c>
      <x:c r="H3142" s="37"/>
      <x:c r="I3142" s="37"/>
      <x:c r="J3142" s="1" t="n">
        <x:f>IF(ISNUMBER(F3142),E3142,0)</x:f>
        <x:v>0</x:v>
      </x:c>
      <x:c r="K3142" s="1"/>
      <x:c r="L3142" s="1"/>
      <x:c r="M3142" s="1"/>
    </x:row>
    <x:row r="3143" ht="18.75" customHeight="1">
      <x:c r="A3143" s="1" t="str">
        <x:v>https://blog.skyairline.com/platos-tipicos-de-lima/</x:v>
      </x:c>
      <x:c r="B3143" s="1" t="str">
        <x:v>plato tipico lima</x:v>
      </x:c>
      <x:c r="C3143" s="1" t="str">
        <x:v>per</x:v>
      </x:c>
      <x:c r="D3143" s="1" t="str">
        <x:v>Sin marca</x:v>
      </x:c>
      <x:c r="E3143" s="35" t="n">
        <x:v>1</x:v>
      </x:c>
      <x:c r="F3143" s="36"/>
      <x:c r="G3143" s="36" t="str">
        <x:f>IF(ISNUMBER(F3143),E3143*F3143,"")</x:f>
      </x:c>
      <x:c r="H3143" s="37" t="d">
        <x:v>2026-10-15T00:00:00.000Z</x:v>
      </x:c>
      <x:c r="I3143" s="37" t="d">
        <x:v>2026-09-13T04:21:15.000Z</x:v>
      </x:c>
      <x:c r="J3143" s="1" t="n">
        <x:f>IF(ISNUMBER(F3143),E3143,0)</x:f>
        <x:v>0</x:v>
      </x:c>
      <x:c r="K3143" s="1"/>
      <x:c r="L3143" s="1"/>
      <x:c r="M3143" s="1"/>
    </x:row>
    <x:row r="3144" ht="18.75" customHeight="1">
      <x:c r="A3144" s="1" t="str">
        <x:v>https://blog.skyairline.com/platos-tipicos-de-lima/</x:v>
      </x:c>
      <x:c r="B3144" s="1" t="str">
        <x:v>platos criollos de lima</x:v>
      </x:c>
      <x:c r="C3144" s="1" t="str">
        <x:v>per</x:v>
      </x:c>
      <x:c r="D3144" s="1" t="str">
        <x:v>Sin marca</x:v>
      </x:c>
      <x:c r="E3144" s="35" t="n">
        <x:v>1</x:v>
      </x:c>
      <x:c r="F3144" s="36"/>
      <x:c r="G3144" s="36" t="str">
        <x:f>IF(ISNUMBER(F3144),E3144*F3144,"")</x:f>
      </x:c>
      <x:c r="H3144" s="37" t="d">
        <x:v>2026-10-15T00:00:00.000Z</x:v>
      </x:c>
      <x:c r="I3144" s="37" t="d">
        <x:v>2026-09-16T20:45:52.000Z</x:v>
      </x:c>
      <x:c r="J3144" s="1" t="n">
        <x:f>IF(ISNUMBER(F3144),E3144,0)</x:f>
        <x:v>0</x:v>
      </x:c>
      <x:c r="K3144" s="1"/>
      <x:c r="L3144" s="1"/>
      <x:c r="M3144" s="1"/>
    </x:row>
    <x:row r="3145" ht="18.75" customHeight="1">
      <x:c r="A3145" s="1" t="str">
        <x:v>https://blog.skyairline.com/platos-tipicos-de-lima/</x:v>
      </x:c>
      <x:c r="B3145" s="1" t="str">
        <x:v>platos tipicos</x:v>
      </x:c>
      <x:c r="C3145" s="1" t="str">
        <x:v>per</x:v>
      </x:c>
      <x:c r="D3145" s="1" t="str">
        <x:v>Sin marca</x:v>
      </x:c>
      <x:c r="E3145" s="35" t="n">
        <x:v>1</x:v>
      </x:c>
      <x:c r="F3145" s="36"/>
      <x:c r="G3145" s="36" t="str">
        <x:f>IF(ISNUMBER(F3145),E3145*F3145,"")</x:f>
      </x:c>
      <x:c r="H3145" s="37" t="d">
        <x:v>2026-10-15T00:00:00.000Z</x:v>
      </x:c>
      <x:c r="I3145" s="37" t="d">
        <x:v>2026-09-14T11:11:59.000Z</x:v>
      </x:c>
      <x:c r="J3145" s="1" t="n">
        <x:f>IF(ISNUMBER(F3145),E3145,0)</x:f>
        <x:v>0</x:v>
      </x:c>
      <x:c r="K3145" s="1"/>
      <x:c r="L3145" s="1"/>
      <x:c r="M3145" s="1"/>
    </x:row>
    <x:row r="3146" ht="18.75" customHeight="1">
      <x:c r="A3146" s="1" t="str">
        <x:v>https://blog.skyairline.com/platos-tipicos-de-lima/</x:v>
      </x:c>
      <x:c r="B3146" s="1" t="str">
        <x:v>platos tipicos de peru lima</x:v>
      </x:c>
      <x:c r="C3146" s="1" t="str">
        <x:v>col</x:v>
      </x:c>
      <x:c r="D3146" s="1" t="str">
        <x:v>Sin marca</x:v>
      </x:c>
      <x:c r="E3146" s="35" t="n">
        <x:v>1</x:v>
      </x:c>
      <x:c r="F3146" s="36"/>
      <x:c r="G3146" s="36" t="str">
        <x:f>IF(ISNUMBER(F3146),E3146*F3146,"")</x:f>
      </x:c>
      <x:c r="H3146" s="37"/>
      <x:c r="I3146" s="37"/>
      <x:c r="J3146" s="1" t="n">
        <x:f>IF(ISNUMBER(F3146),E3146,0)</x:f>
        <x:v>0</x:v>
      </x:c>
      <x:c r="K3146" s="1"/>
      <x:c r="L3146" s="1"/>
      <x:c r="M3146" s="1"/>
    </x:row>
    <x:row r="3147" ht="18.75" customHeight="1">
      <x:c r="A3147" s="1" t="str">
        <x:v>https://blog.skyairline.com/platos-tipicos-de-lima/</x:v>
      </x:c>
      <x:c r="B3147" s="1" t="str">
        <x:v>platos tipicos de peru lima</x:v>
      </x:c>
      <x:c r="C3147" s="1" t="str">
        <x:v>esp</x:v>
      </x:c>
      <x:c r="D3147" s="1" t="str">
        <x:v>Sin marca</x:v>
      </x:c>
      <x:c r="E3147" s="35" t="n">
        <x:v>1</x:v>
      </x:c>
      <x:c r="F3147" s="36"/>
      <x:c r="G3147" s="36" t="str">
        <x:f>IF(ISNUMBER(F3147),E3147*F3147,"")</x:f>
      </x:c>
      <x:c r="H3147" s="37"/>
      <x:c r="I3147" s="37"/>
      <x:c r="J3147" s="1" t="n">
        <x:f>IF(ISNUMBER(F3147),E3147,0)</x:f>
        <x:v>0</x:v>
      </x:c>
      <x:c r="K3147" s="1"/>
      <x:c r="L3147" s="1"/>
      <x:c r="M3147" s="1"/>
    </x:row>
    <x:row r="3148" ht="18.75" customHeight="1">
      <x:c r="A3148" s="1" t="str">
        <x:v>https://blog.skyairline.com/platos-tipicos-de-lima/</x:v>
      </x:c>
      <x:c r="B3148" s="1" t="str">
        <x:v>platos tipicos del departamento de lima</x:v>
      </x:c>
      <x:c r="C3148" s="1" t="str">
        <x:v>per</x:v>
      </x:c>
      <x:c r="D3148" s="1" t="str">
        <x:v>Sin marca</x:v>
      </x:c>
      <x:c r="E3148" s="35" t="n">
        <x:v>1</x:v>
      </x:c>
      <x:c r="F3148" s="36"/>
      <x:c r="G3148" s="36" t="str">
        <x:f>IF(ISNUMBER(F3148),E3148*F3148,"")</x:f>
      </x:c>
      <x:c r="H3148" s="37"/>
      <x:c r="I3148" s="37"/>
      <x:c r="J3148" s="1" t="n">
        <x:f>IF(ISNUMBER(F3148),E3148,0)</x:f>
        <x:v>0</x:v>
      </x:c>
      <x:c r="K3148" s="1"/>
      <x:c r="L3148" s="1"/>
      <x:c r="M3148" s="1"/>
    </x:row>
    <x:row r="3149" ht="18.75" customHeight="1">
      <x:c r="A3149" s="1" t="str">
        <x:v>https://blog.skyairline.com/platos-tipicos-de-lima/</x:v>
      </x:c>
      <x:c r="B3149" s="1" t="str">
        <x:v>platos tipicos limeños</x:v>
      </x:c>
      <x:c r="C3149" s="1" t="str">
        <x:v>ecu</x:v>
      </x:c>
      <x:c r="D3149" s="1" t="str">
        <x:v>Sin marca</x:v>
      </x:c>
      <x:c r="E3149" s="35" t="n">
        <x:v>1</x:v>
      </x:c>
      <x:c r="F3149" s="36"/>
      <x:c r="G3149" s="36" t="str">
        <x:f>IF(ISNUMBER(F3149),E3149*F3149,"")</x:f>
      </x:c>
      <x:c r="H3149" s="37"/>
      <x:c r="I3149" s="37"/>
      <x:c r="J3149" s="1" t="n">
        <x:f>IF(ISNUMBER(F3149),E3149,0)</x:f>
        <x:v>0</x:v>
      </x:c>
      <x:c r="K3149" s="1"/>
      <x:c r="L3149" s="1"/>
      <x:c r="M3149" s="1"/>
    </x:row>
    <x:row r="3150" ht="18.75" customHeight="1">
      <x:c r="A3150" s="1" t="str">
        <x:v>https://blog.skyairline.com/platos-tipicos-de-lima/</x:v>
      </x:c>
      <x:c r="B3150" s="1" t="str">
        <x:v>platos tipicos limeños</x:v>
      </x:c>
      <x:c r="C3150" s="1" t="str">
        <x:v>per</x:v>
      </x:c>
      <x:c r="D3150" s="1" t="str">
        <x:v>Sin marca</x:v>
      </x:c>
      <x:c r="E3150" s="35" t="n">
        <x:v>1</x:v>
      </x:c>
      <x:c r="F3150" s="36"/>
      <x:c r="G3150" s="36" t="str">
        <x:f>IF(ISNUMBER(F3150),E3150*F3150,"")</x:f>
      </x:c>
      <x:c r="H3150" s="37" t="d">
        <x:v>2026-10-15T00:00:00.000Z</x:v>
      </x:c>
      <x:c r="I3150" s="37" t="d">
        <x:v>2026-09-12T22:20:45.000Z</x:v>
      </x:c>
      <x:c r="J3150" s="1" t="n">
        <x:f>IF(ISNUMBER(F3150),E3150,0)</x:f>
        <x:v>0</x:v>
      </x:c>
      <x:c r="K3150" s="1"/>
      <x:c r="L3150" s="1"/>
      <x:c r="M3150" s="1"/>
    </x:row>
    <x:row r="3151" ht="18.75" customHeight="1">
      <x:c r="A3151" s="1" t="str">
        <x:v>https://blog.skyairline.com/platos-tipicos-de-lima/</x:v>
      </x:c>
      <x:c r="B3151" s="1" t="str">
        <x:v>platos típicos lima</x:v>
      </x:c>
      <x:c r="C3151" s="1" t="str">
        <x:v>esp</x:v>
      </x:c>
      <x:c r="D3151" s="1" t="str">
        <x:v>Sin marca</x:v>
      </x:c>
      <x:c r="E3151" s="35" t="n">
        <x:v>1</x:v>
      </x:c>
      <x:c r="F3151" s="36"/>
      <x:c r="G3151" s="36" t="str">
        <x:f>IF(ISNUMBER(F3151),E3151*F3151,"")</x:f>
      </x:c>
      <x:c r="H3151" s="37"/>
      <x:c r="I3151" s="37"/>
      <x:c r="J3151" s="1" t="n">
        <x:f>IF(ISNUMBER(F3151),E3151,0)</x:f>
        <x:v>0</x:v>
      </x:c>
      <x:c r="K3151" s="1"/>
      <x:c r="L3151" s="1"/>
      <x:c r="M3151" s="1"/>
    </x:row>
    <x:row r="3152" ht="18.75" customHeight="1">
      <x:c r="A3152" s="1" t="str">
        <x:v>https://blog.skyairline.com/platos-tipicos-de-lima/</x:v>
      </x:c>
      <x:c r="B3152" s="1" t="str">
        <x:v>que comer en lima</x:v>
      </x:c>
      <x:c r="C3152" s="1" t="str">
        <x:v>chl</x:v>
      </x:c>
      <x:c r="D3152" s="1" t="str">
        <x:v>Sin marca</x:v>
      </x:c>
      <x:c r="E3152" s="35" t="n">
        <x:v>1</x:v>
      </x:c>
      <x:c r="F3152" s="36"/>
      <x:c r="G3152" s="36" t="str">
        <x:f>IF(ISNUMBER(F3152),E3152*F3152,"")</x:f>
      </x:c>
      <x:c r="H3152" s="37" t="d">
        <x:v>2026-10-15T00:00:00.000Z</x:v>
      </x:c>
      <x:c r="I3152" s="37" t="d">
        <x:v>2026-09-17T19:26:02.000Z</x:v>
      </x:c>
      <x:c r="J3152" s="1" t="n">
        <x:f>IF(ISNUMBER(F3152),E3152,0)</x:f>
        <x:v>0</x:v>
      </x:c>
      <x:c r="K3152" s="1"/>
      <x:c r="L3152" s="1"/>
      <x:c r="M3152" s="1"/>
    </x:row>
    <x:row r="3153" ht="18.75" customHeight="1">
      <x:c r="A3153" s="1" t="str">
        <x:v>https://blog.skyairline.com/platos-tipicos-de-lima/</x:v>
      </x:c>
      <x:c r="B3153" s="1" t="str">
        <x:v>que comer en lima peru</x:v>
      </x:c>
      <x:c r="C3153" s="1" t="str">
        <x:v>esp</x:v>
      </x:c>
      <x:c r="D3153" s="1" t="str">
        <x:v>Sin marca</x:v>
      </x:c>
      <x:c r="E3153" s="35" t="n">
        <x:v>1</x:v>
      </x:c>
      <x:c r="F3153" s="36"/>
      <x:c r="G3153" s="36" t="str">
        <x:f>IF(ISNUMBER(F3153),E3153*F3153,"")</x:f>
      </x:c>
      <x:c r="H3153" s="37"/>
      <x:c r="I3153" s="37"/>
      <x:c r="J3153" s="1" t="n">
        <x:f>IF(ISNUMBER(F3153),E3153,0)</x:f>
        <x:v>0</x:v>
      </x:c>
      <x:c r="K3153" s="1"/>
      <x:c r="L3153" s="1"/>
      <x:c r="M3153" s="1"/>
    </x:row>
    <x:row r="3154" ht="18.75" customHeight="1">
      <x:c r="A3154" s="1" t="str">
        <x:v>https://blog.skyairline.com/playa-copacabana/</x:v>
      </x:c>
      <x:c r="B3154" s="1" t="str">
        <x:v>playa de copacabana</x:v>
      </x:c>
      <x:c r="C3154" s="1" t="str">
        <x:v>chl</x:v>
      </x:c>
      <x:c r="D3154" s="1" t="str">
        <x:v>Sin marca</x:v>
      </x:c>
      <x:c r="E3154" s="35" t="n">
        <x:v>1</x:v>
      </x:c>
      <x:c r="F3154" s="36" t="n">
        <x:v>0.94</x:v>
      </x:c>
      <x:c r="G3154" s="36" t="n">
        <x:f>IF(ISNUMBER(F3154),E3154*F3154,"")</x:f>
        <x:v>0.94</x:v>
      </x:c>
      <x:c r="H3154" s="37" t="d">
        <x:v>2026-10-15T00:00:00.000Z</x:v>
      </x:c>
      <x:c r="I3154" s="37" t="d">
        <x:v>2026-10-15T03:46:40.000Z</x:v>
      </x:c>
      <x:c r="J3154" s="1" t="n">
        <x:f>IF(ISNUMBER(F3154),E3154,0)</x:f>
        <x:v>1</x:v>
      </x:c>
      <x:c r="K3154" s="1"/>
      <x:c r="L3154" s="1"/>
      <x:c r="M3154" s="1"/>
    </x:row>
    <x:row r="3155" ht="18.75" customHeight="1">
      <x:c r="A3155" s="1" t="str">
        <x:v>https://blog.skyairline.com/playa-lobitos/</x:v>
      </x:c>
      <x:c r="B3155" s="1" t="str">
        <x:v>lobitos</x:v>
      </x:c>
      <x:c r="C3155" s="1" t="str">
        <x:v>arg</x:v>
      </x:c>
      <x:c r="D3155" s="1" t="str">
        <x:v>Sin marca</x:v>
      </x:c>
      <x:c r="E3155" s="35" t="n">
        <x:v>1</x:v>
      </x:c>
      <x:c r="F3155" s="36"/>
      <x:c r="G3155" s="36" t="str">
        <x:f>IF(ISNUMBER(F3155),E3155*F3155,"")</x:f>
      </x:c>
      <x:c r="H3155" s="37"/>
      <x:c r="I3155" s="37"/>
      <x:c r="J3155" s="1" t="n">
        <x:f>IF(ISNUMBER(F3155),E3155,0)</x:f>
        <x:v>0</x:v>
      </x:c>
      <x:c r="K3155" s="1"/>
      <x:c r="L3155" s="1"/>
      <x:c r="M3155" s="1"/>
    </x:row>
    <x:row r="3156" ht="18.75" customHeight="1">
      <x:c r="A3156" s="1" t="str">
        <x:v>https://blog.skyairline.com/playas-artificiales-de-antofagasta/</x:v>
      </x:c>
      <x:c r="B3156" s="1" t="str">
        <x:v>playa antofagasta</x:v>
      </x:c>
      <x:c r="C3156" s="1" t="str">
        <x:v>chl</x:v>
      </x:c>
      <x:c r="D3156" s="1" t="str">
        <x:v>Sin marca</x:v>
      </x:c>
      <x:c r="E3156" s="35" t="n">
        <x:v>1</x:v>
      </x:c>
      <x:c r="F3156" s="36" t="n">
        <x:v>0.76</x:v>
      </x:c>
      <x:c r="G3156" s="36" t="n">
        <x:f>IF(ISNUMBER(F3156),E3156*F3156,"")</x:f>
        <x:v>0.76</x:v>
      </x:c>
      <x:c r="H3156" s="37" t="d">
        <x:v>2026-10-15T00:00:00.000Z</x:v>
      </x:c>
      <x:c r="I3156" s="37" t="d">
        <x:v>2026-09-15T15:03:40.000Z</x:v>
      </x:c>
      <x:c r="J3156" s="1" t="n">
        <x:f>IF(ISNUMBER(F3156),E3156,0)</x:f>
        <x:v>1</x:v>
      </x:c>
      <x:c r="K3156" s="1"/>
      <x:c r="L3156" s="1"/>
      <x:c r="M3156" s="1"/>
    </x:row>
    <x:row r="3157" ht="18.75" customHeight="1">
      <x:c r="A3157" s="1" t="str">
        <x:v>https://blog.skyairline.com/playas-cerca-de-sao-paulo/</x:v>
      </x:c>
      <x:c r="B3157" s="1" t="str">
        <x:v>costa paulista</x:v>
      </x:c>
      <x:c r="C3157" s="1" t="str">
        <x:v>chl</x:v>
      </x:c>
      <x:c r="D3157" s="1" t="str">
        <x:v>Sin marca</x:v>
      </x:c>
      <x:c r="E3157" s="35" t="n">
        <x:v>1</x:v>
      </x:c>
      <x:c r="F3157" s="36"/>
      <x:c r="G3157" s="36" t="str">
        <x:f>IF(ISNUMBER(F3157),E3157*F3157,"")</x:f>
      </x:c>
      <x:c r="H3157" s="37"/>
      <x:c r="I3157" s="37"/>
      <x:c r="J3157" s="1" t="n">
        <x:f>IF(ISNUMBER(F3157),E3157,0)</x:f>
        <x:v>0</x:v>
      </x:c>
      <x:c r="K3157" s="1"/>
      <x:c r="L3157" s="1"/>
      <x:c r="M3157" s="1"/>
    </x:row>
    <x:row r="3158" ht="18.75" customHeight="1">
      <x:c r="A3158" s="1" t="str">
        <x:v>https://blog.skyairline.com/playas-cerca-santiago/</x:v>
      </x:c>
      <x:c r="B3158" s="1" t="str">
        <x:v>playa más cercana a santiago</x:v>
      </x:c>
      <x:c r="C3158" s="1" t="str">
        <x:v>chl</x:v>
      </x:c>
      <x:c r="D3158" s="1" t="str">
        <x:v>Sin marca</x:v>
      </x:c>
      <x:c r="E3158" s="35" t="n">
        <x:v>1</x:v>
      </x:c>
      <x:c r="F3158" s="36"/>
      <x:c r="G3158" s="36" t="str">
        <x:f>IF(ISNUMBER(F3158),E3158*F3158,"")</x:f>
      </x:c>
      <x:c r="H3158" s="37" t="d">
        <x:v>2026-10-15T00:00:00.000Z</x:v>
      </x:c>
      <x:c r="I3158" s="37" t="d">
        <x:v>2026-09-13T04:03:35.000Z</x:v>
      </x:c>
      <x:c r="J3158" s="1" t="n">
        <x:f>IF(ISNUMBER(F3158),E3158,0)</x:f>
        <x:v>0</x:v>
      </x:c>
      <x:c r="K3158" s="1"/>
      <x:c r="L3158" s="1"/>
      <x:c r="M3158" s="1"/>
    </x:row>
    <x:row r="3159" ht="18.75" customHeight="1">
      <x:c r="A3159" s="1" t="str">
        <x:v>https://blog.skyairline.com/playas-cerca-santiago/</x:v>
      </x:c>
      <x:c r="B3159" s="1" t="str">
        <x:v>playas de santiago de cuba</x:v>
      </x:c>
      <x:c r="C3159" s="1" t="str">
        <x:v>cub</x:v>
      </x:c>
      <x:c r="D3159" s="1" t="str">
        <x:v>Sin marca</x:v>
      </x:c>
      <x:c r="E3159" s="35" t="n">
        <x:v>1</x:v>
      </x:c>
      <x:c r="F3159" s="36"/>
      <x:c r="G3159" s="36" t="str">
        <x:f>IF(ISNUMBER(F3159),E3159*F3159,"")</x:f>
      </x:c>
      <x:c r="H3159" s="37"/>
      <x:c r="I3159" s="37"/>
      <x:c r="J3159" s="1" t="n">
        <x:f>IF(ISNUMBER(F3159),E3159,0)</x:f>
        <x:v>0</x:v>
      </x:c>
      <x:c r="K3159" s="1"/>
      <x:c r="L3159" s="1"/>
      <x:c r="M3159" s="1"/>
    </x:row>
    <x:row r="3160" ht="18.75" customHeight="1">
      <x:c r="A3160" s="1" t="str">
        <x:v>https://blog.skyairline.com/playas-cerca-santiago/</x:v>
      </x:c>
      <x:c r="B3160" s="1" t="str">
        <x:v>playas tranquilas cerca de santiago</x:v>
      </x:c>
      <x:c r="C3160" s="1" t="str">
        <x:v>chl</x:v>
      </x:c>
      <x:c r="D3160" s="1" t="str">
        <x:v>Sin marca</x:v>
      </x:c>
      <x:c r="E3160" s="35" t="n">
        <x:v>1</x:v>
      </x:c>
      <x:c r="F3160" s="36"/>
      <x:c r="G3160" s="36" t="str">
        <x:f>IF(ISNUMBER(F3160),E3160*F3160,"")</x:f>
      </x:c>
      <x:c r="H3160" s="37" t="d">
        <x:v>2026-10-15T00:00:00.000Z</x:v>
      </x:c>
      <x:c r="I3160" s="37" t="d">
        <x:v>2026-09-16T02:39:36.000Z</x:v>
      </x:c>
      <x:c r="J3160" s="1" t="n">
        <x:f>IF(ISNUMBER(F3160),E3160,0)</x:f>
        <x:v>0</x:v>
      </x:c>
      <x:c r="K3160" s="1"/>
      <x:c r="L3160" s="1"/>
      <x:c r="M3160" s="1"/>
    </x:row>
    <x:row r="3161" ht="18.75" customHeight="1">
      <x:c r="A3161" s="1" t="str">
        <x:v>https://blog.skyairline.com/playas-de-iquique/</x:v>
      </x:c>
      <x:c r="B3161" s="1" t="str">
        <x:v>iquique</x:v>
      </x:c>
      <x:c r="C3161" s="1" t="str">
        <x:v>esp</x:v>
      </x:c>
      <x:c r="D3161" s="1" t="str">
        <x:v>Sin marca</x:v>
      </x:c>
      <x:c r="E3161" s="35" t="n">
        <x:v>1</x:v>
      </x:c>
      <x:c r="F3161" s="36"/>
      <x:c r="G3161" s="36" t="str">
        <x:f>IF(ISNUMBER(F3161),E3161*F3161,"")</x:f>
      </x:c>
      <x:c r="H3161" s="37"/>
      <x:c r="I3161" s="37"/>
      <x:c r="J3161" s="1" t="n">
        <x:f>IF(ISNUMBER(F3161),E3161,0)</x:f>
        <x:v>0</x:v>
      </x:c>
      <x:c r="K3161" s="1"/>
      <x:c r="L3161" s="1"/>
      <x:c r="M3161" s="1"/>
    </x:row>
    <x:row r="3162" ht="18.75" customHeight="1">
      <x:c r="A3162" s="1" t="str">
        <x:v>https://blog.skyairline.com/playas-de-iquique/</x:v>
      </x:c>
      <x:c r="B3162" s="1" t="str">
        <x:v>las mejores playas de iquique</x:v>
      </x:c>
      <x:c r="C3162" s="1" t="str">
        <x:v>chl</x:v>
      </x:c>
      <x:c r="D3162" s="1" t="str">
        <x:v>Sin marca</x:v>
      </x:c>
      <x:c r="E3162" s="35" t="n">
        <x:v>1</x:v>
      </x:c>
      <x:c r="F3162" s="36"/>
      <x:c r="G3162" s="36" t="str">
        <x:f>IF(ISNUMBER(F3162),E3162*F3162,"")</x:f>
      </x:c>
      <x:c r="H3162" s="37" t="d">
        <x:v>2026-10-15T00:00:00.000Z</x:v>
      </x:c>
      <x:c r="I3162" s="37" t="d">
        <x:v>2026-09-14T06:16:25.000Z</x:v>
      </x:c>
      <x:c r="J3162" s="1" t="n">
        <x:f>IF(ISNUMBER(F3162),E3162,0)</x:f>
        <x:v>0</x:v>
      </x:c>
      <x:c r="K3162" s="1"/>
      <x:c r="L3162" s="1"/>
      <x:c r="M3162" s="1"/>
    </x:row>
    <x:row r="3163" ht="18.75" customHeight="1">
      <x:c r="A3163" s="1" t="str">
        <x:v>https://blog.skyairline.com/playas-de-lima-2/</x:v>
      </x:c>
      <x:c r="B3163" s="1" t="str">
        <x:v>lima tiene playa</x:v>
      </x:c>
      <x:c r="C3163" s="1" t="str">
        <x:v>chl</x:v>
      </x:c>
      <x:c r="D3163" s="1" t="str">
        <x:v>Sin marca</x:v>
      </x:c>
      <x:c r="E3163" s="35" t="n">
        <x:v>1</x:v>
      </x:c>
      <x:c r="F3163" s="36" t="n">
        <x:v>1.46</x:v>
      </x:c>
      <x:c r="G3163" s="36" t="n">
        <x:f>IF(ISNUMBER(F3163),E3163*F3163,"")</x:f>
        <x:v>1.46</x:v>
      </x:c>
      <x:c r="H3163" s="37" t="d">
        <x:v>2026-10-15T00:00:00.000Z</x:v>
      </x:c>
      <x:c r="I3163" s="37" t="d">
        <x:v>2026-09-13T12:02:48.000Z</x:v>
      </x:c>
      <x:c r="J3163" s="1" t="n">
        <x:f>IF(ISNUMBER(F3163),E3163,0)</x:f>
        <x:v>1</x:v>
      </x:c>
      <x:c r="K3163" s="1"/>
      <x:c r="L3163" s="1"/>
      <x:c r="M3163" s="1"/>
    </x:row>
    <x:row r="3164" ht="18.75" customHeight="1">
      <x:c r="A3164" s="1" t="str">
        <x:v>https://blog.skyairline.com/playas-de-lima/</x:v>
      </x:c>
      <x:c r="B3164" s="1" t="str">
        <x:v>lima tiene playa</x:v>
      </x:c>
      <x:c r="C3164" s="1" t="str">
        <x:v>chl</x:v>
      </x:c>
      <x:c r="D3164" s="1" t="str">
        <x:v>Sin marca</x:v>
      </x:c>
      <x:c r="E3164" s="35" t="n">
        <x:v>1</x:v>
      </x:c>
      <x:c r="F3164" s="36" t="n">
        <x:v>1.46</x:v>
      </x:c>
      <x:c r="G3164" s="36" t="n">
        <x:f>IF(ISNUMBER(F3164),E3164*F3164,"")</x:f>
        <x:v>1.46</x:v>
      </x:c>
      <x:c r="H3164" s="37" t="d">
        <x:v>2026-10-15T00:00:00.000Z</x:v>
      </x:c>
      <x:c r="I3164" s="37" t="d">
        <x:v>2026-09-13T12:02:48.000Z</x:v>
      </x:c>
      <x:c r="J3164" s="1" t="n">
        <x:f>IF(ISNUMBER(F3164),E3164,0)</x:f>
        <x:v>1</x:v>
      </x:c>
      <x:c r="K3164" s="1"/>
      <x:c r="L3164" s="1"/>
      <x:c r="M3164" s="1"/>
    </x:row>
    <x:row r="3165" ht="18.75" customHeight="1">
      <x:c r="A3165" s="1" t="str">
        <x:v>https://blog.skyairline.com/playas-de-piura/</x:v>
      </x:c>
      <x:c r="B3165" s="1" t="str">
        <x:v>piura peru playas</x:v>
      </x:c>
      <x:c r="C3165" s="1" t="str">
        <x:v>chl</x:v>
      </x:c>
      <x:c r="D3165" s="1" t="str">
        <x:v>Sin marca</x:v>
      </x:c>
      <x:c r="E3165" s="35" t="n">
        <x:v>1</x:v>
      </x:c>
      <x:c r="F3165" s="36"/>
      <x:c r="G3165" s="36" t="str">
        <x:f>IF(ISNUMBER(F3165),E3165*F3165,"")</x:f>
      </x:c>
      <x:c r="H3165" s="37"/>
      <x:c r="I3165" s="37"/>
      <x:c r="J3165" s="1" t="n">
        <x:f>IF(ISNUMBER(F3165),E3165,0)</x:f>
        <x:v>0</x:v>
      </x:c>
      <x:c r="K3165" s="1"/>
      <x:c r="L3165" s="1"/>
      <x:c r="M3165" s="1"/>
    </x:row>
    <x:row r="3166" ht="18.75" customHeight="1">
      <x:c r="A3166" s="1" t="str">
        <x:v>https://blog.skyairline.com/playas-de-piura/</x:v>
      </x:c>
      <x:c r="B3166" s="1" t="str">
        <x:v>playas cerca de piura</x:v>
      </x:c>
      <x:c r="C3166" s="1" t="str">
        <x:v>arg</x:v>
      </x:c>
      <x:c r="D3166" s="1" t="str">
        <x:v>Sin marca</x:v>
      </x:c>
      <x:c r="E3166" s="35" t="n">
        <x:v>1</x:v>
      </x:c>
      <x:c r="F3166" s="36"/>
      <x:c r="G3166" s="36" t="str">
        <x:f>IF(ISNUMBER(F3166),E3166*F3166,"")</x:f>
      </x:c>
      <x:c r="H3166" s="37"/>
      <x:c r="I3166" s="37"/>
      <x:c r="J3166" s="1" t="n">
        <x:f>IF(ISNUMBER(F3166),E3166,0)</x:f>
        <x:v>0</x:v>
      </x:c>
      <x:c r="K3166" s="1"/>
      <x:c r="L3166" s="1"/>
      <x:c r="M3166" s="1"/>
    </x:row>
    <x:row r="3167" ht="18.75" customHeight="1">
      <x:c r="A3167" s="1" t="str">
        <x:v>https://blog.skyairline.com/playas-de-piura/</x:v>
      </x:c>
      <x:c r="B3167" s="1" t="str">
        <x:v>playas de piura</x:v>
      </x:c>
      <x:c r="C3167" s="1" t="str">
        <x:v>chl</x:v>
      </x:c>
      <x:c r="D3167" s="1" t="str">
        <x:v>Sin marca</x:v>
      </x:c>
      <x:c r="E3167" s="35" t="n">
        <x:v>1</x:v>
      </x:c>
      <x:c r="F3167" s="36"/>
      <x:c r="G3167" s="36" t="str">
        <x:f>IF(ISNUMBER(F3167),E3167*F3167,"")</x:f>
      </x:c>
      <x:c r="H3167" s="37" t="d">
        <x:v>2026-10-15T00:00:00.000Z</x:v>
      </x:c>
      <x:c r="I3167" s="37" t="d">
        <x:v>2026-09-17T19:18:45.000Z</x:v>
      </x:c>
      <x:c r="J3167" s="1" t="n">
        <x:f>IF(ISNUMBER(F3167),E3167,0)</x:f>
        <x:v>0</x:v>
      </x:c>
      <x:c r="K3167" s="1"/>
      <x:c r="L3167" s="1"/>
      <x:c r="M3167" s="1"/>
    </x:row>
    <x:row r="3168" ht="18.75" customHeight="1">
      <x:c r="A3168" s="1" t="str">
        <x:v>https://blog.skyairline.com/playas-para-ir-con-ninos/</x:v>
      </x:c>
      <x:c r="B3168" s="1" t="str">
        <x:v>mejores playas de miami</x:v>
      </x:c>
      <x:c r="C3168" s="1" t="str">
        <x:v>chl</x:v>
      </x:c>
      <x:c r="D3168" s="1" t="str">
        <x:v>Sin marca</x:v>
      </x:c>
      <x:c r="E3168" s="35" t="n">
        <x:v>1</x:v>
      </x:c>
      <x:c r="F3168" s="36" t="n">
        <x:v>0.56</x:v>
      </x:c>
      <x:c r="G3168" s="36" t="n">
        <x:f>IF(ISNUMBER(F3168),E3168*F3168,"")</x:f>
        <x:v>0.56</x:v>
      </x:c>
      <x:c r="H3168" s="37" t="d">
        <x:v>2026-10-15T00:00:00.000Z</x:v>
      </x:c>
      <x:c r="I3168" s="37" t="d">
        <x:v>2026-09-12T20:20:26.999Z</x:v>
      </x:c>
      <x:c r="J3168" s="1" t="n">
        <x:f>IF(ISNUMBER(F3168),E3168,0)</x:f>
        <x:v>1</x:v>
      </x:c>
      <x:c r="K3168" s="1"/>
      <x:c r="L3168" s="1"/>
      <x:c r="M3168" s="1"/>
    </x:row>
    <x:row r="3169" ht="18.75" customHeight="1">
      <x:c r="A3169" s="1" t="str">
        <x:v>https://blog.skyairline.com/playas-para-ir-con-ninos/</x:v>
      </x:c>
      <x:c r="B3169" s="1" t="str">
        <x:v>mejores playas de miami para niños</x:v>
      </x:c>
      <x:c r="C3169" s="1" t="str">
        <x:v>esp</x:v>
      </x:c>
      <x:c r="D3169" s="1" t="str">
        <x:v>Sin marca</x:v>
      </x:c>
      <x:c r="E3169" s="35" t="n">
        <x:v>1</x:v>
      </x:c>
      <x:c r="F3169" s="36"/>
      <x:c r="G3169" s="36" t="str">
        <x:f>IF(ISNUMBER(F3169),E3169*F3169,"")</x:f>
      </x:c>
      <x:c r="H3169" s="37"/>
      <x:c r="I3169" s="37"/>
      <x:c r="J3169" s="1" t="n">
        <x:f>IF(ISNUMBER(F3169),E3169,0)</x:f>
        <x:v>0</x:v>
      </x:c>
      <x:c r="K3169" s="1"/>
      <x:c r="L3169" s="1"/>
      <x:c r="M3169" s="1"/>
    </x:row>
    <x:row r="3170" ht="18.75" customHeight="1">
      <x:c r="A3170" s="1" t="str">
        <x:v>https://blog.skyairline.com/playas-rio-de-janeiro/</x:v>
      </x:c>
      <x:c r="B3170" s="1" t="str">
        <x:v>playas de rio de janeiro</x:v>
      </x:c>
      <x:c r="C3170" s="1" t="str">
        <x:v>chl</x:v>
      </x:c>
      <x:c r="D3170" s="1" t="str">
        <x:v>Sin marca</x:v>
      </x:c>
      <x:c r="E3170" s="35" t="n">
        <x:v>1</x:v>
      </x:c>
      <x:c r="F3170" s="36" t="n">
        <x:v>1.05</x:v>
      </x:c>
      <x:c r="G3170" s="36" t="n">
        <x:f>IF(ISNUMBER(F3170),E3170*F3170,"")</x:f>
        <x:v>1.05</x:v>
      </x:c>
      <x:c r="H3170" s="37" t="d">
        <x:v>2026-10-15T00:00:00.000Z</x:v>
      </x:c>
      <x:c r="I3170" s="37" t="d">
        <x:v>2026-09-17T06:03:41.000Z</x:v>
      </x:c>
      <x:c r="J3170" s="1" t="n">
        <x:f>IF(ISNUMBER(F3170),E3170,0)</x:f>
        <x:v>1</x:v>
      </x:c>
      <x:c r="K3170" s="1"/>
      <x:c r="L3170" s="1"/>
      <x:c r="M3170" s="1"/>
    </x:row>
    <x:row r="3171" ht="18.75" customHeight="1">
      <x:c r="A3171" s="1" t="str">
        <x:v>https://blog.skyairline.com/playas-salvador-bahia-2/</x:v>
      </x:c>
      <x:c r="B3171" s="1" t="str">
        <x:v>salvador de bahia playas</x:v>
      </x:c>
      <x:c r="C3171" s="1" t="str">
        <x:v>chl</x:v>
      </x:c>
      <x:c r="D3171" s="1" t="str">
        <x:v>Sin marca</x:v>
      </x:c>
      <x:c r="E3171" s="35" t="n">
        <x:v>1</x:v>
      </x:c>
      <x:c r="F3171" s="36" t="n">
        <x:v>0.75</x:v>
      </x:c>
      <x:c r="G3171" s="36" t="n">
        <x:f>IF(ISNUMBER(F3171),E3171*F3171,"")</x:f>
        <x:v>0.75</x:v>
      </x:c>
      <x:c r="H3171" s="37" t="d">
        <x:v>2026-10-15T00:00:00.000Z</x:v>
      </x:c>
      <x:c r="I3171" s="37" t="d">
        <x:v>2026-10-15T10:58:55.000Z</x:v>
      </x:c>
      <x:c r="J3171" s="1" t="n">
        <x:f>IF(ISNUMBER(F3171),E3171,0)</x:f>
        <x:v>1</x:v>
      </x:c>
      <x:c r="K3171" s="1"/>
      <x:c r="L3171" s="1"/>
      <x:c r="M3171" s="1"/>
    </x:row>
    <x:row r="3172" ht="18.75" customHeight="1">
      <x:c r="A3172" s="1" t="str">
        <x:v>https://blog.skyairline.com/playas-uruguay/</x:v>
      </x:c>
      <x:c r="B3172" s="1" t="str">
        <x:v>playas en uruguay</x:v>
      </x:c>
      <x:c r="C3172" s="1" t="str">
        <x:v>per</x:v>
      </x:c>
      <x:c r="D3172" s="1" t="str">
        <x:v>Sin marca</x:v>
      </x:c>
      <x:c r="E3172" s="35" t="n">
        <x:v>1</x:v>
      </x:c>
      <x:c r="F3172" s="36"/>
      <x:c r="G3172" s="36" t="str">
        <x:f>IF(ISNUMBER(F3172),E3172*F3172,"")</x:f>
      </x:c>
      <x:c r="H3172" s="37" t="d">
        <x:v>2026-10-15T00:00:00.000Z</x:v>
      </x:c>
      <x:c r="I3172" s="37" t="d">
        <x:v>2026-09-15T01:31:47.000Z</x:v>
      </x:c>
      <x:c r="J3172" s="1" t="n">
        <x:f>IF(ISNUMBER(F3172),E3172,0)</x:f>
        <x:v>0</x:v>
      </x:c>
      <x:c r="K3172" s="1"/>
      <x:c r="L3172" s="1"/>
      <x:c r="M3172" s="1"/>
    </x:row>
    <x:row r="3173" ht="18.75" customHeight="1">
      <x:c r="A3173" s="1" t="str">
        <x:v>https://blog.skyairline.com/portugues/</x:v>
      </x:c>
      <x:c r="B3173" s="1" t="str">
        <x:v>palabras en portugues brasil</x:v>
      </x:c>
      <x:c r="C3173" s="1" t="str">
        <x:v>chl</x:v>
      </x:c>
      <x:c r="D3173" s="1" t="str">
        <x:v>Sin marca</x:v>
      </x:c>
      <x:c r="E3173" s="35" t="n">
        <x:v>1</x:v>
      </x:c>
      <x:c r="F3173" s="36"/>
      <x:c r="G3173" s="36" t="str">
        <x:f>IF(ISNUMBER(F3173),E3173*F3173,"")</x:f>
      </x:c>
      <x:c r="H3173" s="37"/>
      <x:c r="I3173" s="37"/>
      <x:c r="J3173" s="1" t="n">
        <x:f>IF(ISNUMBER(F3173),E3173,0)</x:f>
        <x:v>0</x:v>
      </x:c>
      <x:c r="K3173" s="1"/>
      <x:c r="L3173" s="1"/>
      <x:c r="M3173" s="1"/>
    </x:row>
    <x:row r="3174" ht="18.75" customHeight="1">
      <x:c r="A3174" s="1" t="str">
        <x:v>https://blog.skyairline.com/portugues/</x:v>
      </x:c>
      <x:c r="B3174" s="1" t="str">
        <x:v>portugues basico para viajar a brasil</x:v>
      </x:c>
      <x:c r="C3174" s="1" t="str">
        <x:v>bol</x:v>
      </x:c>
      <x:c r="D3174" s="1" t="str">
        <x:v>Sin marca</x:v>
      </x:c>
      <x:c r="E3174" s="35" t="n">
        <x:v>1</x:v>
      </x:c>
      <x:c r="F3174" s="36"/>
      <x:c r="G3174" s="36" t="str">
        <x:f>IF(ISNUMBER(F3174),E3174*F3174,"")</x:f>
      </x:c>
      <x:c r="H3174" s="37"/>
      <x:c r="I3174" s="37"/>
      <x:c r="J3174" s="1" t="n">
        <x:f>IF(ISNUMBER(F3174),E3174,0)</x:f>
        <x:v>0</x:v>
      </x:c>
      <x:c r="K3174" s="1"/>
      <x:c r="L3174" s="1"/>
      <x:c r="M3174" s="1"/>
    </x:row>
    <x:row r="3175" ht="18.75" customHeight="1">
      <x:c r="A3175" s="1" t="str">
        <x:v>https://blog.skyairline.com/portugues/</x:v>
      </x:c>
      <x:c r="B3175" s="1" t="str">
        <x:v>portugues basico para viajar a brasil</x:v>
      </x:c>
      <x:c r="C3175" s="1" t="str">
        <x:v>chl</x:v>
      </x:c>
      <x:c r="D3175" s="1" t="str">
        <x:v>Sin marca</x:v>
      </x:c>
      <x:c r="E3175" s="35" t="n">
        <x:v>1</x:v>
      </x:c>
      <x:c r="F3175" s="36"/>
      <x:c r="G3175" s="36" t="str">
        <x:f>IF(ISNUMBER(F3175),E3175*F3175,"")</x:f>
      </x:c>
      <x:c r="H3175" s="37"/>
      <x:c r="I3175" s="37"/>
      <x:c r="J3175" s="1" t="n">
        <x:f>IF(ISNUMBER(F3175),E3175,0)</x:f>
        <x:v>0</x:v>
      </x:c>
      <x:c r="K3175" s="1"/>
      <x:c r="L3175" s="1"/>
      <x:c r="M3175" s="1"/>
    </x:row>
    <x:row r="3176" ht="18.75" customHeight="1">
      <x:c r="A3176" s="1" t="str">
        <x:v>https://blog.skyairline.com/portugues/</x:v>
      </x:c>
      <x:c r="B3176" s="1" t="str">
        <x:v>portugues brasil</x:v>
      </x:c>
      <x:c r="C3176" s="1" t="str">
        <x:v>mex</x:v>
      </x:c>
      <x:c r="D3176" s="1" t="str">
        <x:v>Sin marca</x:v>
      </x:c>
      <x:c r="E3176" s="35" t="n">
        <x:v>1</x:v>
      </x:c>
      <x:c r="F3176" s="36"/>
      <x:c r="G3176" s="36" t="str">
        <x:f>IF(ISNUMBER(F3176),E3176*F3176,"")</x:f>
      </x:c>
      <x:c r="H3176" s="37"/>
      <x:c r="I3176" s="37"/>
      <x:c r="J3176" s="1" t="n">
        <x:f>IF(ISNUMBER(F3176),E3176,0)</x:f>
        <x:v>0</x:v>
      </x:c>
      <x:c r="K3176" s="1"/>
      <x:c r="L3176" s="1"/>
      <x:c r="M3176" s="1"/>
    </x:row>
    <x:row r="3177" ht="18.75" customHeight="1">
      <x:c r="A3177" s="1" t="str">
        <x:v>https://blog.skyairline.com/portugues/</x:v>
      </x:c>
      <x:c r="B3177" s="1" t="str">
        <x:v>portugues brasileño basico</x:v>
      </x:c>
      <x:c r="C3177" s="1" t="str">
        <x:v>mex</x:v>
      </x:c>
      <x:c r="D3177" s="1" t="str">
        <x:v>Sin marca</x:v>
      </x:c>
      <x:c r="E3177" s="35" t="n">
        <x:v>1</x:v>
      </x:c>
      <x:c r="F3177" s="36"/>
      <x:c r="G3177" s="36" t="str">
        <x:f>IF(ISNUMBER(F3177),E3177*F3177,"")</x:f>
      </x:c>
      <x:c r="H3177" s="37"/>
      <x:c r="I3177" s="37"/>
      <x:c r="J3177" s="1" t="n">
        <x:f>IF(ISNUMBER(F3177),E3177,0)</x:f>
        <x:v>0</x:v>
      </x:c>
      <x:c r="K3177" s="1"/>
      <x:c r="L3177" s="1"/>
      <x:c r="M3177" s="1"/>
    </x:row>
    <x:row r="3178" ht="18.75" customHeight="1">
      <x:c r="A3178" s="1" t="str">
        <x:v>https://blog.skyairline.com/pozos-azules-uruguay/</x:v>
      </x:c>
      <x:c r="B3178" s="1" t="str">
        <x:v>pozos azules uruguay valor entrada</x:v>
      </x:c>
      <x:c r="C3178" s="1" t="str">
        <x:v>ury</x:v>
      </x:c>
      <x:c r="D3178" s="1" t="str">
        <x:v>Sin marca</x:v>
      </x:c>
      <x:c r="E3178" s="35" t="n">
        <x:v>1</x:v>
      </x:c>
      <x:c r="F3178" s="36"/>
      <x:c r="G3178" s="36" t="str">
        <x:f>IF(ISNUMBER(F3178),E3178*F3178,"")</x:f>
      </x:c>
      <x:c r="H3178" s="37"/>
      <x:c r="I3178" s="37"/>
      <x:c r="J3178" s="1" t="n">
        <x:f>IF(ISNUMBER(F3178),E3178,0)</x:f>
        <x:v>0</x:v>
      </x:c>
      <x:c r="K3178" s="1"/>
      <x:c r="L3178" s="1"/>
      <x:c r="M3178" s="1"/>
    </x:row>
    <x:row r="3179" ht="18.75" customHeight="1">
      <x:c r="A3179" s="1" t="str">
        <x:v>https://blog.skyairline.com/practicando-tubing/</x:v>
      </x:c>
      <x:c r="B3179" s="1" t="str">
        <x:v>tubing chile</x:v>
      </x:c>
      <x:c r="C3179" s="1" t="str">
        <x:v>chl</x:v>
      </x:c>
      <x:c r="D3179" s="1" t="str">
        <x:v>Sin marca</x:v>
      </x:c>
      <x:c r="E3179" s="35" t="n">
        <x:v>1</x:v>
      </x:c>
      <x:c r="F3179" s="36" t="n">
        <x:v>0.24</x:v>
      </x:c>
      <x:c r="G3179" s="36" t="n">
        <x:f>IF(ISNUMBER(F3179),E3179*F3179,"")</x:f>
        <x:v>0.24</x:v>
      </x:c>
      <x:c r="H3179" s="37" t="d">
        <x:v>2026-10-15T00:00:00.000Z</x:v>
      </x:c>
      <x:c r="I3179" s="37" t="d">
        <x:v>2026-10-15T17:05:00.000Z</x:v>
      </x:c>
      <x:c r="J3179" s="1" t="n">
        <x:f>IF(ISNUMBER(F3179),E3179,0)</x:f>
        <x:v>1</x:v>
      </x:c>
      <x:c r="K3179" s="1"/>
      <x:c r="L3179" s="1"/>
      <x:c r="M3179" s="1"/>
    </x:row>
    <x:row r="3180" ht="18.75" customHeight="1">
      <x:c r="A3180" s="1" t="str">
        <x:v>https://blog.skyairline.com/praia-do-rosa/</x:v>
      </x:c>
      <x:c r="B3180" s="1" t="str">
        <x:v>praia da rosa</x:v>
      </x:c>
      <x:c r="C3180" s="1" t="str">
        <x:v>esp</x:v>
      </x:c>
      <x:c r="D3180" s="1" t="str">
        <x:v>Sin marca</x:v>
      </x:c>
      <x:c r="E3180" s="35" t="n">
        <x:v>1</x:v>
      </x:c>
      <x:c r="F3180" s="36"/>
      <x:c r="G3180" s="36" t="str">
        <x:f>IF(ISNUMBER(F3180),E3180*F3180,"")</x:f>
      </x:c>
      <x:c r="H3180" s="37"/>
      <x:c r="I3180" s="37"/>
      <x:c r="J3180" s="1" t="n">
        <x:f>IF(ISNUMBER(F3180),E3180,0)</x:f>
        <x:v>0</x:v>
      </x:c>
      <x:c r="K3180" s="1"/>
      <x:c r="L3180" s="1"/>
      <x:c r="M3180" s="1"/>
    </x:row>
    <x:row r="3181" ht="18.75" customHeight="1">
      <x:c r="A3181" s="1" t="str">
        <x:v>https://blog.skyairline.com/presencia-en-brasil-sky/</x:v>
      </x:c>
      <x:c r="B3181" s="1" t="str">
        <x:v>sky</x:v>
      </x:c>
      <x:c r="C3181" s="1" t="str">
        <x:v>cri</x:v>
      </x:c>
      <x:c r="D3181" s="1" t="str">
        <x:v>Marca</x:v>
      </x:c>
      <x:c r="E3181" s="35" t="n">
        <x:v>1</x:v>
      </x:c>
      <x:c r="F3181" s="36"/>
      <x:c r="G3181" s="36" t="str">
        <x:f>IF(ISNUMBER(F3181),E3181*F3181,"")</x:f>
      </x:c>
      <x:c r="H3181" s="37"/>
      <x:c r="I3181" s="37"/>
      <x:c r="J3181" s="1" t="n">
        <x:f>IF(ISNUMBER(F3181),E3181,0)</x:f>
        <x:v>0</x:v>
      </x:c>
      <x:c r="K3181" s="1"/>
      <x:c r="L3181" s="1"/>
      <x:c r="M3181" s="1"/>
    </x:row>
    <x:row r="3182" ht="18.75" customHeight="1">
      <x:c r="A3182" s="1" t="str">
        <x:v>https://blog.skyairline.com/primavera-en-chile-2/</x:v>
      </x:c>
      <x:c r="B3182" s="1" t="str">
        <x:v>primavera chile</x:v>
      </x:c>
      <x:c r="C3182" s="1" t="str">
        <x:v>chl</x:v>
      </x:c>
      <x:c r="D3182" s="1" t="str">
        <x:v>Sin marca</x:v>
      </x:c>
      <x:c r="E3182" s="35" t="n">
        <x:v>1</x:v>
      </x:c>
      <x:c r="F3182" s="36"/>
      <x:c r="G3182" s="36" t="str">
        <x:f>IF(ISNUMBER(F3182),E3182*F3182,"")</x:f>
      </x:c>
      <x:c r="H3182" s="37" t="d">
        <x:v>2026-10-15T00:00:00.000Z</x:v>
      </x:c>
      <x:c r="I3182" s="37" t="d">
        <x:v>2026-09-14T04:19:42.999Z</x:v>
      </x:c>
      <x:c r="J3182" s="1" t="n">
        <x:f>IF(ISNUMBER(F3182),E3182,0)</x:f>
        <x:v>0</x:v>
      </x:c>
      <x:c r="K3182" s="1"/>
      <x:c r="L3182" s="1"/>
      <x:c r="M3182" s="1"/>
    </x:row>
    <x:row r="3183" ht="18.75" customHeight="1">
      <x:c r="A3183" s="1" t="str">
        <x:v>https://blog.skyairline.com/primavera-en-chile/</x:v>
      </x:c>
      <x:c r="B3183" s="1" t="str">
        <x:v>chile en primavera</x:v>
      </x:c>
      <x:c r="C3183" s="1" t="str">
        <x:v>gtm</x:v>
      </x:c>
      <x:c r="D3183" s="1" t="str">
        <x:v>Sin marca</x:v>
      </x:c>
      <x:c r="E3183" s="35" t="n">
        <x:v>1</x:v>
      </x:c>
      <x:c r="F3183" s="36"/>
      <x:c r="G3183" s="36" t="str">
        <x:f>IF(ISNUMBER(F3183),E3183*F3183,"")</x:f>
      </x:c>
      <x:c r="H3183" s="37"/>
      <x:c r="I3183" s="37"/>
      <x:c r="J3183" s="1" t="n">
        <x:f>IF(ISNUMBER(F3183),E3183,0)</x:f>
        <x:v>0</x:v>
      </x:c>
      <x:c r="K3183" s="1"/>
      <x:c r="L3183" s="1"/>
      <x:c r="M3183" s="1"/>
    </x:row>
    <x:row r="3184" ht="18.75" customHeight="1">
      <x:c r="A3184" s="1" t="str">
        <x:v>https://blog.skyairline.com/pucon/</x:v>
      </x:c>
      <x:c r="B3184" s="1" t="str">
        <x:v>pucon</x:v>
      </x:c>
      <x:c r="C3184" s="1" t="str">
        <x:v>arg</x:v>
      </x:c>
      <x:c r="D3184" s="1" t="str">
        <x:v>Sin marca</x:v>
      </x:c>
      <x:c r="E3184" s="35" t="n">
        <x:v>1</x:v>
      </x:c>
      <x:c r="F3184" s="36"/>
      <x:c r="G3184" s="36" t="str">
        <x:f>IF(ISNUMBER(F3184),E3184*F3184,"")</x:f>
      </x:c>
      <x:c r="H3184" s="37"/>
      <x:c r="I3184" s="37"/>
      <x:c r="J3184" s="1" t="n">
        <x:f>IF(ISNUMBER(F3184),E3184,0)</x:f>
        <x:v>0</x:v>
      </x:c>
      <x:c r="K3184" s="1"/>
      <x:c r="L3184" s="1"/>
      <x:c r="M3184" s="1"/>
    </x:row>
    <x:row r="3185" ht="18.75" customHeight="1">
      <x:c r="A3185" s="1" t="str">
        <x:v>https://blog.skyairline.com/pucon/</x:v>
      </x:c>
      <x:c r="B3185" s="1" t="str">
        <x:v>pucon</x:v>
      </x:c>
      <x:c r="C3185" s="1" t="str">
        <x:v>col</x:v>
      </x:c>
      <x:c r="D3185" s="1" t="str">
        <x:v>Sin marca</x:v>
      </x:c>
      <x:c r="E3185" s="35" t="n">
        <x:v>1</x:v>
      </x:c>
      <x:c r="F3185" s="36"/>
      <x:c r="G3185" s="36" t="str">
        <x:f>IF(ISNUMBER(F3185),E3185*F3185,"")</x:f>
      </x:c>
      <x:c r="H3185" s="37"/>
      <x:c r="I3185" s="37"/>
      <x:c r="J3185" s="1" t="n">
        <x:f>IF(ISNUMBER(F3185),E3185,0)</x:f>
        <x:v>0</x:v>
      </x:c>
      <x:c r="K3185" s="1"/>
      <x:c r="L3185" s="1"/>
      <x:c r="M3185" s="1"/>
    </x:row>
    <x:row r="3186" ht="18.75" customHeight="1">
      <x:c r="A3186" s="1" t="str">
        <x:v>https://blog.skyairline.com/pucon/</x:v>
      </x:c>
      <x:c r="B3186" s="1" t="str">
        <x:v>pucon chile</x:v>
      </x:c>
      <x:c r="C3186" s="1" t="str">
        <x:v>arg</x:v>
      </x:c>
      <x:c r="D3186" s="1" t="str">
        <x:v>Sin marca</x:v>
      </x:c>
      <x:c r="E3186" s="35" t="n">
        <x:v>1</x:v>
      </x:c>
      <x:c r="F3186" s="36"/>
      <x:c r="G3186" s="36" t="str">
        <x:f>IF(ISNUMBER(F3186),E3186*F3186,"")</x:f>
      </x:c>
      <x:c r="H3186" s="37"/>
      <x:c r="I3186" s="37"/>
      <x:c r="J3186" s="1" t="n">
        <x:f>IF(ISNUMBER(F3186),E3186,0)</x:f>
        <x:v>0</x:v>
      </x:c>
      <x:c r="K3186" s="1"/>
      <x:c r="L3186" s="1"/>
      <x:c r="M3186" s="1"/>
    </x:row>
    <x:row r="3187" ht="18.75" customHeight="1">
      <x:c r="A3187" s="1" t="str">
        <x:v>https://blog.skyairline.com/pucon/</x:v>
      </x:c>
      <x:c r="B3187" s="1" t="str">
        <x:v>pucon chile</x:v>
      </x:c>
      <x:c r="C3187" s="1" t="str">
        <x:v>chl</x:v>
      </x:c>
      <x:c r="D3187" s="1" t="str">
        <x:v>Sin marca</x:v>
      </x:c>
      <x:c r="E3187" s="35" t="n">
        <x:v>1</x:v>
      </x:c>
      <x:c r="F3187" s="36" t="n">
        <x:v>0.56</x:v>
      </x:c>
      <x:c r="G3187" s="36" t="n">
        <x:f>IF(ISNUMBER(F3187),E3187*F3187,"")</x:f>
        <x:v>0.56</x:v>
      </x:c>
      <x:c r="H3187" s="37" t="d">
        <x:v>2026-10-15T00:00:00.000Z</x:v>
      </x:c>
      <x:c r="I3187" s="37" t="d">
        <x:v>2026-09-16T10:02:11.000Z</x:v>
      </x:c>
      <x:c r="J3187" s="1" t="n">
        <x:f>IF(ISNUMBER(F3187),E3187,0)</x:f>
        <x:v>1</x:v>
      </x:c>
      <x:c r="K3187" s="1"/>
      <x:c r="L3187" s="1"/>
      <x:c r="M3187" s="1"/>
    </x:row>
    <x:row r="3188" ht="18.75" customHeight="1">
      <x:c r="A3188" s="1" t="str">
        <x:v>https://blog.skyairline.com/pucon/</x:v>
      </x:c>
      <x:c r="B3188" s="1" t="str">
        <x:v>pucón</x:v>
      </x:c>
      <x:c r="C3188" s="1" t="str">
        <x:v>chl</x:v>
      </x:c>
      <x:c r="D3188" s="1" t="str">
        <x:v>Sin marca</x:v>
      </x:c>
      <x:c r="E3188" s="35" t="n">
        <x:v>1</x:v>
      </x:c>
      <x:c r="F3188" s="36" t="n">
        <x:v>0.72</x:v>
      </x:c>
      <x:c r="G3188" s="36" t="n">
        <x:f>IF(ISNUMBER(F3188),E3188*F3188,"")</x:f>
        <x:v>0.72</x:v>
      </x:c>
      <x:c r="H3188" s="37" t="d">
        <x:v>2026-10-15T00:00:00.000Z</x:v>
      </x:c>
      <x:c r="I3188" s="37" t="d">
        <x:v>2026-09-17T03:50:42.999Z</x:v>
      </x:c>
      <x:c r="J3188" s="1" t="n">
        <x:f>IF(ISNUMBER(F3188),E3188,0)</x:f>
        <x:v>1</x:v>
      </x:c>
      <x:c r="K3188" s="1"/>
      <x:c r="L3188" s="1"/>
      <x:c r="M3188" s="1"/>
    </x:row>
    <x:row r="3189" ht="18.75" customHeight="1">
      <x:c r="A3189" s="1" t="str">
        <x:v>https://blog.skyairline.com/pueblos-del-sur-de-chile-con-encanto-y-tradiciones/</x:v>
      </x:c>
      <x:c r="B3189" s="1" t="str">
        <x:v>pueblos sur de chile</x:v>
      </x:c>
      <x:c r="C3189" s="1" t="str">
        <x:v>chl</x:v>
      </x:c>
      <x:c r="D3189" s="1" t="str">
        <x:v>Sin marca</x:v>
      </x:c>
      <x:c r="E3189" s="35" t="n">
        <x:v>1</x:v>
      </x:c>
      <x:c r="F3189" s="36"/>
      <x:c r="G3189" s="36" t="str">
        <x:f>IF(ISNUMBER(F3189),E3189*F3189,"")</x:f>
      </x:c>
      <x:c r="H3189" s="37" t="d">
        <x:v>2026-10-15T00:00:00.000Z</x:v>
      </x:c>
      <x:c r="I3189" s="37" t="d">
        <x:v>2026-09-17T11:21:27.000Z</x:v>
      </x:c>
      <x:c r="J3189" s="1" t="n">
        <x:f>IF(ISNUMBER(F3189),E3189,0)</x:f>
        <x:v>0</x:v>
      </x:c>
      <x:c r="K3189" s="1"/>
      <x:c r="L3189" s="1"/>
      <x:c r="M3189" s="1"/>
    </x:row>
    <x:row r="3190" ht="18.75" customHeight="1">
      <x:c r="A3190" s="1" t="str">
        <x:v>https://blog.skyairline.com/pueblos-originarios-del-norte-de-chile-historia-y-cultura/</x:v>
      </x:c>
      <x:c r="B3190" s="1" t="str">
        <x:v>costumbres de la zona norte de chile</x:v>
      </x:c>
      <x:c r="C3190" s="1" t="str">
        <x:v>chl</x:v>
      </x:c>
      <x:c r="D3190" s="1" t="str">
        <x:v>Sin marca</x:v>
      </x:c>
      <x:c r="E3190" s="35" t="n">
        <x:v>1</x:v>
      </x:c>
      <x:c r="F3190" s="36"/>
      <x:c r="G3190" s="36" t="str">
        <x:f>IF(ISNUMBER(F3190),E3190*F3190,"")</x:f>
      </x:c>
      <x:c r="H3190" s="37" t="d">
        <x:v>2026-10-15T00:00:00.000Z</x:v>
      </x:c>
      <x:c r="I3190" s="37" t="d">
        <x:v>2026-09-16T04:27:56.000Z</x:v>
      </x:c>
      <x:c r="J3190" s="1" t="n">
        <x:f>IF(ISNUMBER(F3190),E3190,0)</x:f>
        <x:v>0</x:v>
      </x:c>
      <x:c r="K3190" s="1"/>
      <x:c r="L3190" s="1"/>
      <x:c r="M3190" s="1"/>
    </x:row>
    <x:row r="3191" ht="18.75" customHeight="1">
      <x:c r="A3191" s="1" t="str">
        <x:v>https://blog.skyairline.com/pueblos-originarios-del-norte-de-chile-historia-y-cultura/</x:v>
      </x:c>
      <x:c r="B3191" s="1" t="str">
        <x:v>pueblo originario del norte</x:v>
      </x:c>
      <x:c r="C3191" s="1" t="str">
        <x:v>chl</x:v>
      </x:c>
      <x:c r="D3191" s="1" t="str">
        <x:v>Sin marca</x:v>
      </x:c>
      <x:c r="E3191" s="35" t="n">
        <x:v>1</x:v>
      </x:c>
      <x:c r="F3191" s="36"/>
      <x:c r="G3191" s="36" t="str">
        <x:f>IF(ISNUMBER(F3191),E3191*F3191,"")</x:f>
      </x:c>
      <x:c r="H3191" s="37"/>
      <x:c r="I3191" s="37"/>
      <x:c r="J3191" s="1" t="n">
        <x:f>IF(ISNUMBER(F3191),E3191,0)</x:f>
        <x:v>0</x:v>
      </x:c>
      <x:c r="K3191" s="1"/>
      <x:c r="L3191" s="1"/>
      <x:c r="M3191" s="1"/>
    </x:row>
    <x:row r="3192" ht="18.75" customHeight="1">
      <x:c r="A3192" s="1" t="str">
        <x:v>https://blog.skyairline.com/pueblos-originarios-del-norte-de-chile-historia-y-cultura/</x:v>
      </x:c>
      <x:c r="B3192" s="1" t="str">
        <x:v>pueblo originario del norte de chile</x:v>
      </x:c>
      <x:c r="C3192" s="1" t="str">
        <x:v>chl</x:v>
      </x:c>
      <x:c r="D3192" s="1" t="str">
        <x:v>Sin marca</x:v>
      </x:c>
      <x:c r="E3192" s="35" t="n">
        <x:v>1</x:v>
      </x:c>
      <x:c r="F3192" s="36"/>
      <x:c r="G3192" s="36" t="str">
        <x:f>IF(ISNUMBER(F3192),E3192*F3192,"")</x:f>
      </x:c>
      <x:c r="H3192" s="37" t="d">
        <x:v>2026-10-15T00:00:00.000Z</x:v>
      </x:c>
      <x:c r="I3192" s="37" t="d">
        <x:v>2026-09-14T22:08:46.000Z</x:v>
      </x:c>
      <x:c r="J3192" s="1" t="n">
        <x:f>IF(ISNUMBER(F3192),E3192,0)</x:f>
        <x:v>0</x:v>
      </x:c>
      <x:c r="K3192" s="1"/>
      <x:c r="L3192" s="1"/>
      <x:c r="M3192" s="1"/>
    </x:row>
    <x:row r="3193" ht="18.75" customHeight="1">
      <x:c r="A3193" s="1" t="str">
        <x:v>https://blog.skyairline.com/pueblos-originarios-del-norte-de-chile-historia-y-cultura/</x:v>
      </x:c>
      <x:c r="B3193" s="1" t="str">
        <x:v>pueblos indígenas del norte de chile</x:v>
      </x:c>
      <x:c r="C3193" s="1" t="str">
        <x:v>chl</x:v>
      </x:c>
      <x:c r="D3193" s="1" t="str">
        <x:v>Sin marca</x:v>
      </x:c>
      <x:c r="E3193" s="35" t="n">
        <x:v>1</x:v>
      </x:c>
      <x:c r="F3193" s="36"/>
      <x:c r="G3193" s="36" t="str">
        <x:f>IF(ISNUMBER(F3193),E3193*F3193,"")</x:f>
      </x:c>
      <x:c r="H3193" s="37" t="d">
        <x:v>2026-10-15T00:00:00.000Z</x:v>
      </x:c>
      <x:c r="I3193" s="37" t="d">
        <x:v>2026-09-16T10:26:26.000Z</x:v>
      </x:c>
      <x:c r="J3193" s="1" t="n">
        <x:f>IF(ISNUMBER(F3193),E3193,0)</x:f>
        <x:v>0</x:v>
      </x:c>
      <x:c r="K3193" s="1"/>
      <x:c r="L3193" s="1"/>
      <x:c r="M3193" s="1"/>
    </x:row>
    <x:row r="3194" ht="18.75" customHeight="1">
      <x:c r="A3194" s="1" t="str">
        <x:v>https://blog.skyairline.com/pueblos-originarios-del-norte-de-chile-historia-y-cultura/</x:v>
      </x:c>
      <x:c r="B3194" s="1" t="str">
        <x:v>pueblos originarios de atacama</x:v>
      </x:c>
      <x:c r="C3194" s="1" t="str">
        <x:v>chl</x:v>
      </x:c>
      <x:c r="D3194" s="1" t="str">
        <x:v>Sin marca</x:v>
      </x:c>
      <x:c r="E3194" s="35" t="n">
        <x:v>1</x:v>
      </x:c>
      <x:c r="F3194" s="36"/>
      <x:c r="G3194" s="36" t="str">
        <x:f>IF(ISNUMBER(F3194),E3194*F3194,"")</x:f>
      </x:c>
      <x:c r="H3194" s="37" t="d">
        <x:v>2026-10-15T00:00:00.000Z</x:v>
      </x:c>
      <x:c r="I3194" s="37" t="d">
        <x:v>2026-10-15T01:22:31.000Z</x:v>
      </x:c>
      <x:c r="J3194" s="1" t="n">
        <x:f>IF(ISNUMBER(F3194),E3194,0)</x:f>
        <x:v>0</x:v>
      </x:c>
      <x:c r="K3194" s="1"/>
      <x:c r="L3194" s="1"/>
      <x:c r="M3194" s="1"/>
    </x:row>
    <x:row r="3195" ht="18.75" customHeight="1">
      <x:c r="A3195" s="1" t="str">
        <x:v>https://blog.skyairline.com/pueblos-originarios-del-norte-de-chile-historia-y-cultura/</x:v>
      </x:c>
      <x:c r="B3195" s="1" t="str">
        <x:v>pueblos originarios del norte de chile</x:v>
      </x:c>
      <x:c r="C3195" s="1" t="str">
        <x:v>chl</x:v>
      </x:c>
      <x:c r="D3195" s="1" t="str">
        <x:v>Sin marca</x:v>
      </x:c>
      <x:c r="E3195" s="35" t="n">
        <x:v>1</x:v>
      </x:c>
      <x:c r="F3195" s="36"/>
      <x:c r="G3195" s="36" t="str">
        <x:f>IF(ISNUMBER(F3195),E3195*F3195,"")</x:f>
      </x:c>
      <x:c r="H3195" s="37" t="d">
        <x:v>2026-10-15T00:00:00.000Z</x:v>
      </x:c>
      <x:c r="I3195" s="37" t="d">
        <x:v>2026-09-16T01:16:53.000Z</x:v>
      </x:c>
      <x:c r="J3195" s="1" t="n">
        <x:f>IF(ISNUMBER(F3195),E3195,0)</x:f>
        <x:v>0</x:v>
      </x:c>
      <x:c r="K3195" s="1"/>
      <x:c r="L3195" s="1"/>
      <x:c r="M3195" s="1"/>
    </x:row>
    <x:row r="3196" ht="18.75" customHeight="1">
      <x:c r="A3196" s="1" t="str">
        <x:v>https://blog.skyairline.com/puerto-fuy/</x:v>
      </x:c>
      <x:c r="B3196" s="1" t="str">
        <x:v>como llegar a puerto fuy</x:v>
      </x:c>
      <x:c r="C3196" s="1" t="str">
        <x:v>chl</x:v>
      </x:c>
      <x:c r="D3196" s="1" t="str">
        <x:v>Sin marca</x:v>
      </x:c>
      <x:c r="E3196" s="35" t="n">
        <x:v>1</x:v>
      </x:c>
      <x:c r="F3196" s="36" t="n">
        <x:v>0.51</x:v>
      </x:c>
      <x:c r="G3196" s="36" t="n">
        <x:f>IF(ISNUMBER(F3196),E3196*F3196,"")</x:f>
        <x:v>0.51</x:v>
      </x:c>
      <x:c r="H3196" s="37" t="d">
        <x:v>2026-10-15T00:00:00.000Z</x:v>
      </x:c>
      <x:c r="I3196" s="37" t="d">
        <x:v>2026-09-17T22:06:03.000Z</x:v>
      </x:c>
      <x:c r="J3196" s="1" t="n">
        <x:f>IF(ISNUMBER(F3196),E3196,0)</x:f>
        <x:v>1</x:v>
      </x:c>
      <x:c r="K3196" s="1"/>
      <x:c r="L3196" s="1"/>
      <x:c r="M3196" s="1"/>
    </x:row>
    <x:row r="3197" ht="18.75" customHeight="1">
      <x:c r="A3197" s="1" t="str">
        <x:v>https://blog.skyairline.com/puerto-fuy/</x:v>
      </x:c>
      <x:c r="B3197" s="1" t="str">
        <x:v>puerto fuy</x:v>
      </x:c>
      <x:c r="C3197" s="1" t="str">
        <x:v>chl</x:v>
      </x:c>
      <x:c r="D3197" s="1" t="str">
        <x:v>Sin marca</x:v>
      </x:c>
      <x:c r="E3197" s="35" t="n">
        <x:v>1</x:v>
      </x:c>
      <x:c r="F3197" s="36" t="n">
        <x:v>0.56</x:v>
      </x:c>
      <x:c r="G3197" s="36" t="n">
        <x:f>IF(ISNUMBER(F3197),E3197*F3197,"")</x:f>
        <x:v>0.56</x:v>
      </x:c>
      <x:c r="H3197" s="37" t="d">
        <x:v>2026-10-15T00:00:00.000Z</x:v>
      </x:c>
      <x:c r="I3197" s="37" t="d">
        <x:v>2026-09-14T15:21:51.000Z</x:v>
      </x:c>
      <x:c r="J3197" s="1" t="n">
        <x:f>IF(ISNUMBER(F3197),E3197,0)</x:f>
        <x:v>1</x:v>
      </x:c>
      <x:c r="K3197" s="1"/>
      <x:c r="L3197" s="1"/>
      <x:c r="M3197" s="1"/>
    </x:row>
    <x:row r="3198" ht="18.75" customHeight="1">
      <x:c r="A3198" s="1" t="str">
        <x:v>https://blog.skyairline.com/puerto-fuy/</x:v>
      </x:c>
      <x:c r="B3198" s="1" t="str">
        <x:v>puerto fuy donde queda</x:v>
      </x:c>
      <x:c r="C3198" s="1" t="str">
        <x:v>chl</x:v>
      </x:c>
      <x:c r="D3198" s="1" t="str">
        <x:v>Sin marca</x:v>
      </x:c>
      <x:c r="E3198" s="35" t="n">
        <x:v>1</x:v>
      </x:c>
      <x:c r="F3198" s="36"/>
      <x:c r="G3198" s="36" t="str">
        <x:f>IF(ISNUMBER(F3198),E3198*F3198,"")</x:f>
      </x:c>
      <x:c r="H3198" s="37" t="d">
        <x:v>2026-10-15T00:00:00.000Z</x:v>
      </x:c>
      <x:c r="I3198" s="37" t="d">
        <x:v>2026-10-15T06:23:21.000Z</x:v>
      </x:c>
      <x:c r="J3198" s="1" t="n">
        <x:f>IF(ISNUMBER(F3198),E3198,0)</x:f>
        <x:v>0</x:v>
      </x:c>
      <x:c r="K3198" s="1"/>
      <x:c r="L3198" s="1"/>
      <x:c r="M3198" s="1"/>
    </x:row>
    <x:row r="3199" ht="18.75" customHeight="1">
      <x:c r="A3199" s="1" t="str">
        <x:v>https://blog.skyairline.com/puerto-maldonado-2/</x:v>
      </x:c>
      <x:c r="B3199" s="1" t="str">
        <x:v>puerto maldonado</x:v>
      </x:c>
      <x:c r="C3199" s="1" t="str">
        <x:v>per</x:v>
      </x:c>
      <x:c r="D3199" s="1" t="str">
        <x:v>Sin marca</x:v>
      </x:c>
      <x:c r="E3199" s="35" t="n">
        <x:v>1</x:v>
      </x:c>
      <x:c r="F3199" s="36" t="n">
        <x:v>1.1</x:v>
      </x:c>
      <x:c r="G3199" s="36" t="n">
        <x:f>IF(ISNUMBER(F3199),E3199*F3199,"")</x:f>
        <x:v>1.1</x:v>
      </x:c>
      <x:c r="H3199" s="37" t="d">
        <x:v>2026-10-15T00:00:00.000Z</x:v>
      </x:c>
      <x:c r="I3199" s="37" t="d">
        <x:v>2026-09-15T01:20:47.000Z</x:v>
      </x:c>
      <x:c r="J3199" s="1" t="n">
        <x:f>IF(ISNUMBER(F3199),E3199,0)</x:f>
        <x:v>1</x:v>
      </x:c>
      <x:c r="K3199" s="1"/>
      <x:c r="L3199" s="1"/>
      <x:c r="M3199" s="1"/>
    </x:row>
    <x:row r="3200" ht="18.75" customHeight="1">
      <x:c r="A3200" s="1" t="str">
        <x:v>https://blog.skyairline.com/puerto-maldonado-2/</x:v>
      </x:c>
      <x:c r="B3200" s="1" t="str">
        <x:v>que ver en puerto maldonado</x:v>
      </x:c>
      <x:c r="C3200" s="1" t="str">
        <x:v>bra</x:v>
      </x:c>
      <x:c r="D3200" s="1" t="str">
        <x:v>Sin marca</x:v>
      </x:c>
      <x:c r="E3200" s="35" t="n">
        <x:v>1</x:v>
      </x:c>
      <x:c r="F3200" s="36"/>
      <x:c r="G3200" s="36" t="str">
        <x:f>IF(ISNUMBER(F3200),E3200*F3200,"")</x:f>
      </x:c>
      <x:c r="H3200" s="37"/>
      <x:c r="I3200" s="37"/>
      <x:c r="J3200" s="1" t="n">
        <x:f>IF(ISNUMBER(F3200),E3200,0)</x:f>
        <x:v>0</x:v>
      </x:c>
      <x:c r="K3200" s="1"/>
      <x:c r="L3200" s="1"/>
      <x:c r="M3200" s="1"/>
    </x:row>
    <x:row r="3201" ht="18.75" customHeight="1">
      <x:c r="A3201" s="1" t="str">
        <x:v>https://blog.skyairline.com/puerto-montt-a-puerto-varas/</x:v>
      </x:c>
      <x:c r="B3201" s="1" t="str">
        <x:v>como llegar de puerto montt a puerto varas</x:v>
      </x:c>
      <x:c r="C3201" s="1" t="str">
        <x:v>chl</x:v>
      </x:c>
      <x:c r="D3201" s="1" t="str">
        <x:v>Sin marca</x:v>
      </x:c>
      <x:c r="E3201" s="35" t="n">
        <x:v>1</x:v>
      </x:c>
      <x:c r="F3201" s="36" t="n">
        <x:v>0.11</x:v>
      </x:c>
      <x:c r="G3201" s="36" t="n">
        <x:f>IF(ISNUMBER(F3201),E3201*F3201,"")</x:f>
        <x:v>0.11</x:v>
      </x:c>
      <x:c r="H3201" s="37" t="d">
        <x:v>2026-10-15T00:00:00.000Z</x:v>
      </x:c>
      <x:c r="I3201" s="37" t="d">
        <x:v>2026-09-17T18:02:33.000Z</x:v>
      </x:c>
      <x:c r="J3201" s="1" t="n">
        <x:f>IF(ISNUMBER(F3201),E3201,0)</x:f>
        <x:v>1</x:v>
      </x:c>
      <x:c r="K3201" s="1"/>
      <x:c r="L3201" s="1"/>
      <x:c r="M3201" s="1"/>
    </x:row>
    <x:row r="3202" ht="18.75" customHeight="1">
      <x:c r="A3202" s="1" t="str">
        <x:v>https://blog.skyairline.com/puerto-montt-a-puerto-varas/</x:v>
      </x:c>
      <x:c r="B3202" s="1" t="str">
        <x:v>cuanto es de puerto montt a puerto varas</x:v>
      </x:c>
      <x:c r="C3202" s="1" t="str">
        <x:v>chl</x:v>
      </x:c>
      <x:c r="D3202" s="1" t="str">
        <x:v>Sin marca</x:v>
      </x:c>
      <x:c r="E3202" s="35" t="n">
        <x:v>1</x:v>
      </x:c>
      <x:c r="F3202" s="36"/>
      <x:c r="G3202" s="36" t="str">
        <x:f>IF(ISNUMBER(F3202),E3202*F3202,"")</x:f>
      </x:c>
      <x:c r="H3202" s="37"/>
      <x:c r="I3202" s="37"/>
      <x:c r="J3202" s="1" t="n">
        <x:f>IF(ISNUMBER(F3202),E3202,0)</x:f>
        <x:v>0</x:v>
      </x:c>
      <x:c r="K3202" s="1"/>
      <x:c r="L3202" s="1"/>
      <x:c r="M3202" s="1"/>
    </x:row>
    <x:row r="3203" ht="18.75" customHeight="1">
      <x:c r="A3203" s="1" t="str">
        <x:v>https://blog.skyairline.com/puerto-montt-a-puerto-varas/</x:v>
      </x:c>
      <x:c r="B3203" s="1" t="str">
        <x:v>distancia de osorno a puerto varas</x:v>
      </x:c>
      <x:c r="C3203" s="1" t="str">
        <x:v>chl</x:v>
      </x:c>
      <x:c r="D3203" s="1" t="str">
        <x:v>Sin marca</x:v>
      </x:c>
      <x:c r="E3203" s="35" t="n">
        <x:v>1</x:v>
      </x:c>
      <x:c r="F3203" s="36"/>
      <x:c r="G3203" s="36" t="str">
        <x:f>IF(ISNUMBER(F3203),E3203*F3203,"")</x:f>
      </x:c>
      <x:c r="H3203" s="37" t="d">
        <x:v>2026-10-15T00:00:00.000Z</x:v>
      </x:c>
      <x:c r="I3203" s="37" t="d">
        <x:v>2026-09-13T05:16:56.000Z</x:v>
      </x:c>
      <x:c r="J3203" s="1" t="n">
        <x:f>IF(ISNUMBER(F3203),E3203,0)</x:f>
        <x:v>0</x:v>
      </x:c>
      <x:c r="K3203" s="1"/>
      <x:c r="L3203" s="1"/>
      <x:c r="M3203" s="1"/>
    </x:row>
    <x:row r="3204" ht="18.75" customHeight="1">
      <x:c r="A3204" s="1" t="str">
        <x:v>https://blog.skyairline.com/puerto-montt-a-puerto-varas/</x:v>
      </x:c>
      <x:c r="B3204" s="1" t="str">
        <x:v>distancia de puerto montt a puerto varas</x:v>
      </x:c>
      <x:c r="C3204" s="1" t="str">
        <x:v>chl</x:v>
      </x:c>
      <x:c r="D3204" s="1" t="str">
        <x:v>Sin marca</x:v>
      </x:c>
      <x:c r="E3204" s="35" t="n">
        <x:v>1</x:v>
      </x:c>
      <x:c r="F3204" s="36"/>
      <x:c r="G3204" s="36" t="str">
        <x:f>IF(ISNUMBER(F3204),E3204*F3204,"")</x:f>
      </x:c>
      <x:c r="H3204" s="37" t="d">
        <x:v>2026-10-15T00:00:00.000Z</x:v>
      </x:c>
      <x:c r="I3204" s="37" t="d">
        <x:v>2026-09-14T23:07:50.000Z</x:v>
      </x:c>
      <x:c r="J3204" s="1" t="n">
        <x:f>IF(ISNUMBER(F3204),E3204,0)</x:f>
        <x:v>0</x:v>
      </x:c>
      <x:c r="K3204" s="1"/>
      <x:c r="L3204" s="1"/>
      <x:c r="M3204" s="1"/>
    </x:row>
    <x:row r="3205" ht="18.75" customHeight="1">
      <x:c r="A3205" s="1" t="str">
        <x:v>https://blog.skyairline.com/puerto-montt-a-puerto-varas/</x:v>
      </x:c>
      <x:c r="B3205" s="1" t="str">
        <x:v>distancia puerto montt a puerto varas</x:v>
      </x:c>
      <x:c r="C3205" s="1" t="str">
        <x:v>chl</x:v>
      </x:c>
      <x:c r="D3205" s="1" t="str">
        <x:v>Sin marca</x:v>
      </x:c>
      <x:c r="E3205" s="35" t="n">
        <x:v>1</x:v>
      </x:c>
      <x:c r="F3205" s="36"/>
      <x:c r="G3205" s="36" t="str">
        <x:f>IF(ISNUMBER(F3205),E3205*F3205,"")</x:f>
      </x:c>
      <x:c r="H3205" s="37" t="d">
        <x:v>2026-10-15T00:00:00.000Z</x:v>
      </x:c>
      <x:c r="I3205" s="37" t="d">
        <x:v>2026-09-15T08:12:17.000Z</x:v>
      </x:c>
      <x:c r="J3205" s="1" t="n">
        <x:f>IF(ISNUMBER(F3205),E3205,0)</x:f>
        <x:v>0</x:v>
      </x:c>
      <x:c r="K3205" s="1"/>
      <x:c r="L3205" s="1"/>
      <x:c r="M3205" s="1"/>
    </x:row>
    <x:row r="3206" ht="18.75" customHeight="1">
      <x:c r="A3206" s="1" t="str">
        <x:v>https://blog.skyairline.com/puerto-montt-a-puerto-varas/</x:v>
      </x:c>
      <x:c r="B3206" s="1" t="str">
        <x:v>puerto montt a puerto varas</x:v>
      </x:c>
      <x:c r="C3206" s="1" t="str">
        <x:v>arg</x:v>
      </x:c>
      <x:c r="D3206" s="1" t="str">
        <x:v>Sin marca</x:v>
      </x:c>
      <x:c r="E3206" s="35" t="n">
        <x:v>1</x:v>
      </x:c>
      <x:c r="F3206" s="36"/>
      <x:c r="G3206" s="36" t="str">
        <x:f>IF(ISNUMBER(F3206),E3206*F3206,"")</x:f>
      </x:c>
      <x:c r="H3206" s="37"/>
      <x:c r="I3206" s="37"/>
      <x:c r="J3206" s="1" t="n">
        <x:f>IF(ISNUMBER(F3206),E3206,0)</x:f>
        <x:v>0</x:v>
      </x:c>
      <x:c r="K3206" s="1"/>
      <x:c r="L3206" s="1"/>
      <x:c r="M3206" s="1"/>
    </x:row>
    <x:row r="3207" ht="18.75" customHeight="1">
      <x:c r="A3207" s="1" t="str">
        <x:v>https://blog.skyairline.com/puerto-montt-a-puerto-varas/</x:v>
      </x:c>
      <x:c r="B3207" s="1" t="str">
        <x:v>puerto montt puerto varas</x:v>
      </x:c>
      <x:c r="C3207" s="1" t="str">
        <x:v>ury</x:v>
      </x:c>
      <x:c r="D3207" s="1" t="str">
        <x:v>Sin marca</x:v>
      </x:c>
      <x:c r="E3207" s="35" t="n">
        <x:v>1</x:v>
      </x:c>
      <x:c r="F3207" s="36"/>
      <x:c r="G3207" s="36" t="str">
        <x:f>IF(ISNUMBER(F3207),E3207*F3207,"")</x:f>
      </x:c>
      <x:c r="H3207" s="37"/>
      <x:c r="I3207" s="37"/>
      <x:c r="J3207" s="1" t="n">
        <x:f>IF(ISNUMBER(F3207),E3207,0)</x:f>
        <x:v>0</x:v>
      </x:c>
      <x:c r="K3207" s="1"/>
      <x:c r="L3207" s="1"/>
      <x:c r="M3207" s="1"/>
    </x:row>
    <x:row r="3208" ht="18.75" customHeight="1">
      <x:c r="A3208" s="1" t="str">
        <x:v>https://blog.skyairline.com/puerto-natales-a-punta-arenas/</x:v>
      </x:c>
      <x:c r="B3208" s="1" t="str">
        <x:v>cuanto es de punta arenas a puerto natales</x:v>
      </x:c>
      <x:c r="C3208" s="1" t="str">
        <x:v>chl</x:v>
      </x:c>
      <x:c r="D3208" s="1" t="str">
        <x:v>Sin marca</x:v>
      </x:c>
      <x:c r="E3208" s="35" t="n">
        <x:v>1</x:v>
      </x:c>
      <x:c r="F3208" s="36" t="n">
        <x:v>0.38</x:v>
      </x:c>
      <x:c r="G3208" s="36" t="n">
        <x:f>IF(ISNUMBER(F3208),E3208*F3208,"")</x:f>
        <x:v>0.38</x:v>
      </x:c>
      <x:c r="H3208" s="37" t="d">
        <x:v>2026-10-15T00:00:00.000Z</x:v>
      </x:c>
      <x:c r="I3208" s="37" t="d">
        <x:v>2026-09-17T04:15:18.000Z</x:v>
      </x:c>
      <x:c r="J3208" s="1" t="n">
        <x:f>IF(ISNUMBER(F3208),E3208,0)</x:f>
        <x:v>1</x:v>
      </x:c>
      <x:c r="K3208" s="1"/>
      <x:c r="L3208" s="1"/>
      <x:c r="M3208" s="1"/>
    </x:row>
    <x:row r="3209" ht="18.75" customHeight="1">
      <x:c r="A3209" s="1" t="str">
        <x:v>https://blog.skyairline.com/puerto-natales-a-punta-arenas/</x:v>
      </x:c>
      <x:c r="B3209" s="1" t="str">
        <x:v>distancia puerto natales a punta arenas</x:v>
      </x:c>
      <x:c r="C3209" s="1" t="str">
        <x:v>chl</x:v>
      </x:c>
      <x:c r="D3209" s="1" t="str">
        <x:v>Sin marca</x:v>
      </x:c>
      <x:c r="E3209" s="35" t="n">
        <x:v>1</x:v>
      </x:c>
      <x:c r="F3209" s="36" t="n">
        <x:v>0.39</x:v>
      </x:c>
      <x:c r="G3209" s="36" t="n">
        <x:f>IF(ISNUMBER(F3209),E3209*F3209,"")</x:f>
        <x:v>0.39</x:v>
      </x:c>
      <x:c r="H3209" s="37" t="d">
        <x:v>2026-10-15T00:00:00.000Z</x:v>
      </x:c>
      <x:c r="I3209" s="37" t="d">
        <x:v>2026-10-15T01:29:30.000Z</x:v>
      </x:c>
      <x:c r="J3209" s="1" t="n">
        <x:f>IF(ISNUMBER(F3209),E3209,0)</x:f>
        <x:v>1</x:v>
      </x:c>
      <x:c r="K3209" s="1"/>
      <x:c r="L3209" s="1"/>
      <x:c r="M3209" s="1"/>
    </x:row>
    <x:row r="3210" ht="18.75" customHeight="1">
      <x:c r="A3210" s="1" t="str">
        <x:v>https://blog.skyairline.com/puerto-natales-a-punta-arenas/</x:v>
      </x:c>
      <x:c r="B3210" s="1" t="str">
        <x:v>distancia punta arenas a puerto natales</x:v>
      </x:c>
      <x:c r="C3210" s="1" t="str">
        <x:v>chl</x:v>
      </x:c>
      <x:c r="D3210" s="1" t="str">
        <x:v>Sin marca</x:v>
      </x:c>
      <x:c r="E3210" s="35" t="n">
        <x:v>1</x:v>
      </x:c>
      <x:c r="F3210" s="36" t="n">
        <x:v>0.78</x:v>
      </x:c>
      <x:c r="G3210" s="36" t="n">
        <x:f>IF(ISNUMBER(F3210),E3210*F3210,"")</x:f>
        <x:v>0.78</x:v>
      </x:c>
      <x:c r="H3210" s="37" t="d">
        <x:v>2026-10-15T00:00:00.000Z</x:v>
      </x:c>
      <x:c r="I3210" s="37" t="d">
        <x:v>2026-09-13T07:15:37.000Z</x:v>
      </x:c>
      <x:c r="J3210" s="1" t="n">
        <x:f>IF(ISNUMBER(F3210),E3210,0)</x:f>
        <x:v>1</x:v>
      </x:c>
      <x:c r="K3210" s="1"/>
      <x:c r="L3210" s="1"/>
      <x:c r="M3210" s="1"/>
    </x:row>
    <x:row r="3211" ht="18.75" customHeight="1">
      <x:c r="A3211" s="1" t="str">
        <x:v>https://blog.skyairline.com/puerto-natales-a-torres-del-paine/</x:v>
      </x:c>
      <x:c r="B3211" s="1" t="str">
        <x:v>desde puerto natales a torres del paine</x:v>
      </x:c>
      <x:c r="C3211" s="1" t="str">
        <x:v>chl</x:v>
      </x:c>
      <x:c r="D3211" s="1" t="str">
        <x:v>Sin marca</x:v>
      </x:c>
      <x:c r="E3211" s="35" t="n">
        <x:v>1</x:v>
      </x:c>
      <x:c r="F3211" s="36"/>
      <x:c r="G3211" s="36" t="str">
        <x:f>IF(ISNUMBER(F3211),E3211*F3211,"")</x:f>
      </x:c>
      <x:c r="H3211" s="37"/>
      <x:c r="I3211" s="37"/>
      <x:c r="J3211" s="1" t="n">
        <x:f>IF(ISNUMBER(F3211),E3211,0)</x:f>
        <x:v>0</x:v>
      </x:c>
      <x:c r="K3211" s="1"/>
      <x:c r="L3211" s="1"/>
      <x:c r="M3211" s="1"/>
    </x:row>
    <x:row r="3212" ht="18.75" customHeight="1">
      <x:c r="A3212" s="1" t="str">
        <x:v>https://blog.skyairline.com/puerto-natales-a-torres-del-paine/</x:v>
      </x:c>
      <x:c r="B3212" s="1" t="str">
        <x:v>desde puerto natales a torres del paine</x:v>
      </x:c>
      <x:c r="C3212" s="1" t="str">
        <x:v>esp</x:v>
      </x:c>
      <x:c r="D3212" s="1" t="str">
        <x:v>Sin marca</x:v>
      </x:c>
      <x:c r="E3212" s="35" t="n">
        <x:v>1</x:v>
      </x:c>
      <x:c r="F3212" s="36"/>
      <x:c r="G3212" s="36" t="str">
        <x:f>IF(ISNUMBER(F3212),E3212*F3212,"")</x:f>
      </x:c>
      <x:c r="H3212" s="37"/>
      <x:c r="I3212" s="37"/>
      <x:c r="J3212" s="1" t="n">
        <x:f>IF(ISNUMBER(F3212),E3212,0)</x:f>
        <x:v>0</x:v>
      </x:c>
      <x:c r="K3212" s="1"/>
      <x:c r="L3212" s="1"/>
      <x:c r="M3212" s="1"/>
    </x:row>
    <x:row r="3213" ht="18.75" customHeight="1">
      <x:c r="A3213" s="1" t="str">
        <x:v>https://blog.skyairline.com/puerto-natales-a-torres-del-paine/</x:v>
      </x:c>
      <x:c r="B3213" s="1" t="str">
        <x:v>distancia puerto natales a torres del paine</x:v>
      </x:c>
      <x:c r="C3213" s="1" t="str">
        <x:v>arg</x:v>
      </x:c>
      <x:c r="D3213" s="1" t="str">
        <x:v>Sin marca</x:v>
      </x:c>
      <x:c r="E3213" s="35" t="n">
        <x:v>1</x:v>
      </x:c>
      <x:c r="F3213" s="36"/>
      <x:c r="G3213" s="36" t="str">
        <x:f>IF(ISNUMBER(F3213),E3213*F3213,"")</x:f>
      </x:c>
      <x:c r="H3213" s="37"/>
      <x:c r="I3213" s="37"/>
      <x:c r="J3213" s="1" t="n">
        <x:f>IF(ISNUMBER(F3213),E3213,0)</x:f>
        <x:v>0</x:v>
      </x:c>
      <x:c r="K3213" s="1"/>
      <x:c r="L3213" s="1"/>
      <x:c r="M3213" s="1"/>
    </x:row>
    <x:row r="3214" ht="18.75" customHeight="1">
      <x:c r="A3214" s="1" t="str">
        <x:v>https://blog.skyairline.com/punta-cana-en-temporada-baja/</x:v>
      </x:c>
      <x:c r="B3214" s="1" t="str">
        <x:v>baja</x:v>
      </x:c>
      <x:c r="C3214" s="1" t="str">
        <x:v>col</x:v>
      </x:c>
      <x:c r="D3214" s="1" t="str">
        <x:v>Sin marca</x:v>
      </x:c>
      <x:c r="E3214" s="35" t="n">
        <x:v>1</x:v>
      </x:c>
      <x:c r="F3214" s="36"/>
      <x:c r="G3214" s="36" t="str">
        <x:f>IF(ISNUMBER(F3214),E3214*F3214,"")</x:f>
      </x:c>
      <x:c r="H3214" s="37"/>
      <x:c r="I3214" s="37"/>
      <x:c r="J3214" s="1" t="n">
        <x:f>IF(ISNUMBER(F3214),E3214,0)</x:f>
        <x:v>0</x:v>
      </x:c>
      <x:c r="K3214" s="1"/>
      <x:c r="L3214" s="1"/>
      <x:c r="M3214" s="1"/>
    </x:row>
    <x:row r="3215" ht="18.75" customHeight="1">
      <x:c r="A3215" s="1" t="str">
        <x:v>https://blog.skyairline.com/punta-cana-en-temporada-baja/</x:v>
      </x:c>
      <x:c r="B3215" s="1" t="str">
        <x:v>clima</x:v>
      </x:c>
      <x:c r="C3215" s="1" t="str">
        <x:v>chl</x:v>
      </x:c>
      <x:c r="D3215" s="1" t="str">
        <x:v>Sin marca</x:v>
      </x:c>
      <x:c r="E3215" s="35" t="n">
        <x:v>1</x:v>
      </x:c>
      <x:c r="F3215" s="36" t="n">
        <x:v>0.09</x:v>
      </x:c>
      <x:c r="G3215" s="36" t="n">
        <x:f>IF(ISNUMBER(F3215),E3215*F3215,"")</x:f>
        <x:v>0.09</x:v>
      </x:c>
      <x:c r="H3215" s="37" t="d">
        <x:v>2026-10-15T00:00:00.000Z</x:v>
      </x:c>
      <x:c r="I3215" s="37" t="d">
        <x:v>2026-09-13T03:44:04.999Z</x:v>
      </x:c>
      <x:c r="J3215" s="1" t="n">
        <x:f>IF(ISNUMBER(F3215),E3215,0)</x:f>
        <x:v>1</x:v>
      </x:c>
      <x:c r="K3215" s="1"/>
      <x:c r="L3215" s="1"/>
      <x:c r="M3215" s="1"/>
    </x:row>
    <x:row r="3216" ht="18.75" customHeight="1">
      <x:c r="A3216" s="1" t="str">
        <x:v>https://blog.skyairline.com/punta-cana-en-temporada-baja/</x:v>
      </x:c>
      <x:c r="B3216" s="1" t="str">
        <x:v>cual es la temporada baja en punta cana</x:v>
      </x:c>
      <x:c r="C3216" s="1" t="str">
        <x:v>pri</x:v>
      </x:c>
      <x:c r="D3216" s="1" t="str">
        <x:v>Sin marca</x:v>
      </x:c>
      <x:c r="E3216" s="35" t="n">
        <x:v>1</x:v>
      </x:c>
      <x:c r="F3216" s="36"/>
      <x:c r="G3216" s="36" t="str">
        <x:f>IF(ISNUMBER(F3216),E3216*F3216,"")</x:f>
      </x:c>
      <x:c r="H3216" s="37"/>
      <x:c r="I3216" s="37"/>
      <x:c r="J3216" s="1" t="n">
        <x:f>IF(ISNUMBER(F3216),E3216,0)</x:f>
        <x:v>0</x:v>
      </x:c>
      <x:c r="K3216" s="1"/>
      <x:c r="L3216" s="1"/>
      <x:c r="M3216" s="1"/>
    </x:row>
    <x:row r="3217" ht="18.75" customHeight="1">
      <x:c r="A3217" s="1" t="str">
        <x:v>https://blog.skyairline.com/punta-cana-en-temporada-baja/</x:v>
      </x:c>
      <x:c r="B3217" s="1" t="str">
        <x:v>occidental caribe - all inclusive fotos</x:v>
      </x:c>
      <x:c r="C3217" s="1" t="str">
        <x:v>chl</x:v>
      </x:c>
      <x:c r="D3217" s="1" t="str">
        <x:v>Sin marca</x:v>
      </x:c>
      <x:c r="E3217" s="35" t="n">
        <x:v>1</x:v>
      </x:c>
      <x:c r="F3217" s="36"/>
      <x:c r="G3217" s="36" t="str">
        <x:f>IF(ISNUMBER(F3217),E3217*F3217,"")</x:f>
      </x:c>
      <x:c r="H3217" s="37"/>
      <x:c r="I3217" s="37"/>
      <x:c r="J3217" s="1" t="n">
        <x:f>IF(ISNUMBER(F3217),E3217,0)</x:f>
        <x:v>0</x:v>
      </x:c>
      <x:c r="K3217" s="1"/>
      <x:c r="L3217" s="1"/>
      <x:c r="M3217" s="1"/>
    </x:row>
    <x:row r="3218" ht="18.75" customHeight="1">
      <x:c r="A3218" s="1" t="str">
        <x:v>https://blog.skyairline.com/punta-cana-en-temporada-baja/</x:v>
      </x:c>
      <x:c r="B3218" s="1" t="str">
        <x:v>punta cana temporada baja</x:v>
      </x:c>
      <x:c r="C3218" s="1" t="str">
        <x:v>chl</x:v>
      </x:c>
      <x:c r="D3218" s="1" t="str">
        <x:v>Sin marca</x:v>
      </x:c>
      <x:c r="E3218" s="35" t="n">
        <x:v>1</x:v>
      </x:c>
      <x:c r="F3218" s="36" t="n">
        <x:v>1.64</x:v>
      </x:c>
      <x:c r="G3218" s="36" t="n">
        <x:f>IF(ISNUMBER(F3218),E3218*F3218,"")</x:f>
        <x:v>1.64</x:v>
      </x:c>
      <x:c r="H3218" s="37" t="d">
        <x:v>2026-10-15T00:00:00.000Z</x:v>
      </x:c>
      <x:c r="I3218" s="37" t="d">
        <x:v>2026-09-16T15:56:48.000Z</x:v>
      </x:c>
      <x:c r="J3218" s="1" t="n">
        <x:f>IF(ISNUMBER(F3218),E3218,0)</x:f>
        <x:v>1</x:v>
      </x:c>
      <x:c r="K3218" s="1"/>
      <x:c r="L3218" s="1"/>
      <x:c r="M3218" s="1"/>
    </x:row>
    <x:row r="3219" ht="18.75" customHeight="1">
      <x:c r="A3219" s="1" t="str">
        <x:v>https://blog.skyairline.com/punta-cana-en-temporada-baja/</x:v>
      </x:c>
      <x:c r="B3219" s="1" t="str">
        <x:v>punta cana temporada baja</x:v>
      </x:c>
      <x:c r="C3219" s="1" t="str">
        <x:v>col</x:v>
      </x:c>
      <x:c r="D3219" s="1" t="str">
        <x:v>Sin marca</x:v>
      </x:c>
      <x:c r="E3219" s="35" t="n">
        <x:v>1</x:v>
      </x:c>
      <x:c r="F3219" s="36"/>
      <x:c r="G3219" s="36" t="str">
        <x:f>IF(ISNUMBER(F3219),E3219*F3219,"")</x:f>
      </x:c>
      <x:c r="H3219" s="37"/>
      <x:c r="I3219" s="37"/>
      <x:c r="J3219" s="1" t="n">
        <x:f>IF(ISNUMBER(F3219),E3219,0)</x:f>
        <x:v>0</x:v>
      </x:c>
      <x:c r="K3219" s="1"/>
      <x:c r="L3219" s="1"/>
      <x:c r="M3219" s="1"/>
    </x:row>
    <x:row r="3220" ht="18.75" customHeight="1">
      <x:c r="A3220" s="1" t="str">
        <x:v>https://blog.skyairline.com/punta-cana-en-temporada-baja/</x:v>
      </x:c>
      <x:c r="B3220" s="1" t="str">
        <x:v>punta cana temporada baja</x:v>
      </x:c>
      <x:c r="C3220" s="1" t="str">
        <x:v>ecu</x:v>
      </x:c>
      <x:c r="D3220" s="1" t="str">
        <x:v>Sin marca</x:v>
      </x:c>
      <x:c r="E3220" s="35" t="n">
        <x:v>1</x:v>
      </x:c>
      <x:c r="F3220" s="36"/>
      <x:c r="G3220" s="36" t="str">
        <x:f>IF(ISNUMBER(F3220),E3220*F3220,"")</x:f>
      </x:c>
      <x:c r="H3220" s="37"/>
      <x:c r="I3220" s="37"/>
      <x:c r="J3220" s="1" t="n">
        <x:f>IF(ISNUMBER(F3220),E3220,0)</x:f>
        <x:v>0</x:v>
      </x:c>
      <x:c r="K3220" s="1"/>
      <x:c r="L3220" s="1"/>
      <x:c r="M3220" s="1"/>
    </x:row>
    <x:row r="3221" ht="18.75" customHeight="1">
      <x:c r="A3221" s="1" t="str">
        <x:v>https://blog.skyairline.com/punta-cana-en-temporada-baja/</x:v>
      </x:c>
      <x:c r="B3221" s="1" t="str">
        <x:v>temporada baja en punta cana</x:v>
      </x:c>
      <x:c r="C3221" s="1" t="str">
        <x:v>pry</x:v>
      </x:c>
      <x:c r="D3221" s="1" t="str">
        <x:v>Sin marca</x:v>
      </x:c>
      <x:c r="E3221" s="35" t="n">
        <x:v>1</x:v>
      </x:c>
      <x:c r="F3221" s="36"/>
      <x:c r="G3221" s="36" t="str">
        <x:f>IF(ISNUMBER(F3221),E3221*F3221,"")</x:f>
      </x:c>
      <x:c r="H3221" s="37"/>
      <x:c r="I3221" s="37"/>
      <x:c r="J3221" s="1" t="n">
        <x:f>IF(ISNUMBER(F3221),E3221,0)</x:f>
        <x:v>0</x:v>
      </x:c>
      <x:c r="K3221" s="1"/>
      <x:c r="L3221" s="1"/>
      <x:c r="M3221" s="1"/>
    </x:row>
    <x:row r="3222" ht="18.75" customHeight="1">
      <x:c r="A3222" s="1" t="str">
        <x:v>https://blog.skyairline.com/punta-cana-en-temporada-baja/</x:v>
      </x:c>
      <x:c r="B3222" s="1" t="str">
        <x:v>temporada baja en punta cana</x:v>
      </x:c>
      <x:c r="C3222" s="1" t="str">
        <x:v>ury</x:v>
      </x:c>
      <x:c r="D3222" s="1" t="str">
        <x:v>Sin marca</x:v>
      </x:c>
      <x:c r="E3222" s="35" t="n">
        <x:v>1</x:v>
      </x:c>
      <x:c r="F3222" s="36"/>
      <x:c r="G3222" s="36" t="str">
        <x:f>IF(ISNUMBER(F3222),E3222*F3222,"")</x:f>
      </x:c>
      <x:c r="H3222" s="37"/>
      <x:c r="I3222" s="37"/>
      <x:c r="J3222" s="1" t="n">
        <x:f>IF(ISNUMBER(F3222),E3222,0)</x:f>
        <x:v>0</x:v>
      </x:c>
      <x:c r="K3222" s="1"/>
      <x:c r="L3222" s="1"/>
      <x:c r="M3222" s="1"/>
    </x:row>
    <x:row r="3223" ht="18.75" customHeight="1">
      <x:c r="A3223" s="1" t="str">
        <x:v>https://blog.skyairline.com/punta-cana-todo-incluido/</x:v>
      </x:c>
      <x:c r="B3223" s="1" t="str">
        <x:v>viajes a punta cana todo incluido</x:v>
      </x:c>
      <x:c r="C3223" s="1" t="str">
        <x:v>chl</x:v>
      </x:c>
      <x:c r="D3223" s="1" t="str">
        <x:v>Sin marca</x:v>
      </x:c>
      <x:c r="E3223" s="35" t="n">
        <x:v>1</x:v>
      </x:c>
      <x:c r="F3223" s="36" t="n">
        <x:v>1.08</x:v>
      </x:c>
      <x:c r="G3223" s="36" t="n">
        <x:f>IF(ISNUMBER(F3223),E3223*F3223,"")</x:f>
        <x:v>1.08</x:v>
      </x:c>
      <x:c r="H3223" s="37" t="d">
        <x:v>2026-10-15T00:00:00.000Z</x:v>
      </x:c>
      <x:c r="I3223" s="37" t="d">
        <x:v>2026-09-17T21:37:46.000Z</x:v>
      </x:c>
      <x:c r="J3223" s="1" t="n">
        <x:f>IF(ISNUMBER(F3223),E3223,0)</x:f>
        <x:v>1</x:v>
      </x:c>
      <x:c r="K3223" s="1"/>
      <x:c r="L3223" s="1"/>
      <x:c r="M3223" s="1"/>
    </x:row>
    <x:row r="3224" ht="18.75" customHeight="1">
      <x:c r="A3224" s="1" t="str">
        <x:v>https://blog.skyairline.com/punta-del-este-montevideo/</x:v>
      </x:c>
      <x:c r="B3224" s="1" t="str">
        <x:v>bus de montevideo a punta del este</x:v>
      </x:c>
      <x:c r="C3224" s="1" t="str">
        <x:v>per</x:v>
      </x:c>
      <x:c r="D3224" s="1" t="str">
        <x:v>Sin marca</x:v>
      </x:c>
      <x:c r="E3224" s="35" t="n">
        <x:v>1</x:v>
      </x:c>
      <x:c r="F3224" s="36"/>
      <x:c r="G3224" s="36" t="str">
        <x:f>IF(ISNUMBER(F3224),E3224*F3224,"")</x:f>
      </x:c>
      <x:c r="H3224" s="37"/>
      <x:c r="I3224" s="37"/>
      <x:c r="J3224" s="1" t="n">
        <x:f>IF(ISNUMBER(F3224),E3224,0)</x:f>
        <x:v>0</x:v>
      </x:c>
      <x:c r="K3224" s="1"/>
      <x:c r="L3224" s="1"/>
      <x:c r="M3224" s="1"/>
    </x:row>
    <x:row r="3225" ht="18.75" customHeight="1">
      <x:c r="A3225" s="1" t="str">
        <x:v>https://blog.skyairline.com/punta-del-este-montevideo/</x:v>
      </x:c>
      <x:c r="B3225" s="1" t="str">
        <x:v>bus montevideo a punta del este</x:v>
      </x:c>
      <x:c r="C3225" s="1" t="str">
        <x:v>ury</x:v>
      </x:c>
      <x:c r="D3225" s="1" t="str">
        <x:v>Sin marca</x:v>
      </x:c>
      <x:c r="E3225" s="35" t="n">
        <x:v>1</x:v>
      </x:c>
      <x:c r="F3225" s="36"/>
      <x:c r="G3225" s="36" t="str">
        <x:f>IF(ISNUMBER(F3225),E3225*F3225,"")</x:f>
      </x:c>
      <x:c r="H3225" s="37"/>
      <x:c r="I3225" s="37"/>
      <x:c r="J3225" s="1" t="n">
        <x:f>IF(ISNUMBER(F3225),E3225,0)</x:f>
        <x:v>0</x:v>
      </x:c>
      <x:c r="K3225" s="1"/>
      <x:c r="L3225" s="1"/>
      <x:c r="M3225" s="1"/>
    </x:row>
    <x:row r="3226" ht="18.75" customHeight="1">
      <x:c r="A3226" s="1" t="str">
        <x:v>https://blog.skyairline.com/punta-del-este-montevideo/</x:v>
      </x:c>
      <x:c r="B3226" s="1" t="str">
        <x:v>buses de montevideo a punta del este</x:v>
      </x:c>
      <x:c r="C3226" s="1" t="str">
        <x:v>chl</x:v>
      </x:c>
      <x:c r="D3226" s="1" t="str">
        <x:v>Sin marca</x:v>
      </x:c>
      <x:c r="E3226" s="35" t="n">
        <x:v>1</x:v>
      </x:c>
      <x:c r="F3226" s="36" t="n">
        <x:v>0.3</x:v>
      </x:c>
      <x:c r="G3226" s="36" t="n">
        <x:f>IF(ISNUMBER(F3226),E3226*F3226,"")</x:f>
        <x:v>0.3</x:v>
      </x:c>
      <x:c r="H3226" s="37" t="d">
        <x:v>2026-10-15T00:00:00.000Z</x:v>
      </x:c>
      <x:c r="I3226" s="37" t="d">
        <x:v>2026-09-12T23:27:44.000Z</x:v>
      </x:c>
      <x:c r="J3226" s="1" t="n">
        <x:f>IF(ISNUMBER(F3226),E3226,0)</x:f>
        <x:v>1</x:v>
      </x:c>
      <x:c r="K3226" s="1"/>
      <x:c r="L3226" s="1"/>
      <x:c r="M3226" s="1"/>
    </x:row>
    <x:row r="3227" ht="18.75" customHeight="1">
      <x:c r="A3227" s="1" t="str">
        <x:v>https://blog.skyairline.com/punta-del-este-montevideo/</x:v>
      </x:c>
      <x:c r="B3227" s="1" t="str">
        <x:v>como ir de montevideo a punta del este</x:v>
      </x:c>
      <x:c r="C3227" s="1" t="str">
        <x:v>col</x:v>
      </x:c>
      <x:c r="D3227" s="1" t="str">
        <x:v>Sin marca</x:v>
      </x:c>
      <x:c r="E3227" s="35" t="n">
        <x:v>1</x:v>
      </x:c>
      <x:c r="F3227" s="36"/>
      <x:c r="G3227" s="36" t="str">
        <x:f>IF(ISNUMBER(F3227),E3227*F3227,"")</x:f>
      </x:c>
      <x:c r="H3227" s="37"/>
      <x:c r="I3227" s="37"/>
      <x:c r="J3227" s="1" t="n">
        <x:f>IF(ISNUMBER(F3227),E3227,0)</x:f>
        <x:v>0</x:v>
      </x:c>
      <x:c r="K3227" s="1"/>
      <x:c r="L3227" s="1"/>
      <x:c r="M3227" s="1"/>
    </x:row>
    <x:row r="3228" ht="18.75" customHeight="1">
      <x:c r="A3228" s="1" t="str">
        <x:v>https://blog.skyairline.com/punta-del-este-montevideo/</x:v>
      </x:c>
      <x:c r="B3228" s="1" t="str">
        <x:v>como llegar a punta del este desde montevideo</x:v>
      </x:c>
      <x:c r="C3228" s="1" t="str">
        <x:v>chl</x:v>
      </x:c>
      <x:c r="D3228" s="1" t="str">
        <x:v>Sin marca</x:v>
      </x:c>
      <x:c r="E3228" s="35" t="n">
        <x:v>1</x:v>
      </x:c>
      <x:c r="F3228" s="36" t="n">
        <x:v>0.07</x:v>
      </x:c>
      <x:c r="G3228" s="36" t="n">
        <x:f>IF(ISNUMBER(F3228),E3228*F3228,"")</x:f>
        <x:v>0.07</x:v>
      </x:c>
      <x:c r="H3228" s="37" t="d">
        <x:v>2026-10-15T00:00:00.000Z</x:v>
      </x:c>
      <x:c r="I3228" s="37" t="d">
        <x:v>2026-09-13T08:48:58.000Z</x:v>
      </x:c>
      <x:c r="J3228" s="1" t="n">
        <x:f>IF(ISNUMBER(F3228),E3228,0)</x:f>
        <x:v>1</x:v>
      </x:c>
      <x:c r="K3228" s="1"/>
      <x:c r="L3228" s="1"/>
      <x:c r="M3228" s="1"/>
    </x:row>
    <x:row r="3229" ht="18.75" customHeight="1">
      <x:c r="A3229" s="1" t="str">
        <x:v>https://blog.skyairline.com/punta-del-este-montevideo/</x:v>
      </x:c>
      <x:c r="B3229" s="1" t="str">
        <x:v>como llegar de montevideo a punta del este</x:v>
      </x:c>
      <x:c r="C3229" s="1" t="str">
        <x:v>chl</x:v>
      </x:c>
      <x:c r="D3229" s="1" t="str">
        <x:v>Sin marca</x:v>
      </x:c>
      <x:c r="E3229" s="35" t="n">
        <x:v>1</x:v>
      </x:c>
      <x:c r="F3229" s="36" t="n">
        <x:v>0.38</x:v>
      </x:c>
      <x:c r="G3229" s="36" t="n">
        <x:f>IF(ISNUMBER(F3229),E3229*F3229,"")</x:f>
        <x:v>0.38</x:v>
      </x:c>
      <x:c r="H3229" s="37" t="d">
        <x:v>2026-10-15T00:00:00.000Z</x:v>
      </x:c>
      <x:c r="I3229" s="37" t="d">
        <x:v>2026-09-16T15:08:44.000Z</x:v>
      </x:c>
      <x:c r="J3229" s="1" t="n">
        <x:f>IF(ISNUMBER(F3229),E3229,0)</x:f>
        <x:v>1</x:v>
      </x:c>
      <x:c r="K3229" s="1"/>
      <x:c r="L3229" s="1"/>
      <x:c r="M3229" s="1"/>
    </x:row>
    <x:row r="3230" ht="18.75" customHeight="1">
      <x:c r="A3230" s="1" t="str">
        <x:v>https://blog.skyairline.com/punta-del-este-montevideo/</x:v>
      </x:c>
      <x:c r="B3230" s="1" t="str">
        <x:v>cuántos kilómetros hay de montevideo a punta del este</x:v>
      </x:c>
      <x:c r="C3230" s="1" t="str">
        <x:v>usa</x:v>
      </x:c>
      <x:c r="D3230" s="1" t="str">
        <x:v>Sin marca</x:v>
      </x:c>
      <x:c r="E3230" s="35" t="n">
        <x:v>1</x:v>
      </x:c>
      <x:c r="F3230" s="36"/>
      <x:c r="G3230" s="36" t="str">
        <x:f>IF(ISNUMBER(F3230),E3230*F3230,"")</x:f>
      </x:c>
      <x:c r="H3230" s="37"/>
      <x:c r="I3230" s="37"/>
      <x:c r="J3230" s="1" t="n">
        <x:f>IF(ISNUMBER(F3230),E3230,0)</x:f>
        <x:v>0</x:v>
      </x:c>
      <x:c r="K3230" s="1"/>
      <x:c r="L3230" s="1"/>
      <x:c r="M3230" s="1"/>
    </x:row>
    <x:row r="3231" ht="18.75" customHeight="1">
      <x:c r="A3231" s="1" t="str">
        <x:v>https://blog.skyairline.com/punta-del-este-montevideo/</x:v>
      </x:c>
      <x:c r="B3231" s="1" t="str">
        <x:v>de montevideo a punta del este</x:v>
      </x:c>
      <x:c r="C3231" s="1" t="str">
        <x:v>arg</x:v>
      </x:c>
      <x:c r="D3231" s="1" t="str">
        <x:v>Sin marca</x:v>
      </x:c>
      <x:c r="E3231" s="35" t="n">
        <x:v>1</x:v>
      </x:c>
      <x:c r="F3231" s="36"/>
      <x:c r="G3231" s="36" t="str">
        <x:f>IF(ISNUMBER(F3231),E3231*F3231,"")</x:f>
      </x:c>
      <x:c r="H3231" s="37"/>
      <x:c r="I3231" s="37"/>
      <x:c r="J3231" s="1" t="n">
        <x:f>IF(ISNUMBER(F3231),E3231,0)</x:f>
        <x:v>0</x:v>
      </x:c>
      <x:c r="K3231" s="1"/>
      <x:c r="L3231" s="1"/>
      <x:c r="M3231" s="1"/>
    </x:row>
    <x:row r="3232" ht="18.75" customHeight="1">
      <x:c r="A3232" s="1" t="str">
        <x:v>https://blog.skyairline.com/punta-del-este-montevideo/</x:v>
      </x:c>
      <x:c r="B3232" s="1" t="str">
        <x:v>de punta del este a montevideo</x:v>
      </x:c>
      <x:c r="C3232" s="1" t="str">
        <x:v>ecu</x:v>
      </x:c>
      <x:c r="D3232" s="1" t="str">
        <x:v>Sin marca</x:v>
      </x:c>
      <x:c r="E3232" s="35" t="n">
        <x:v>1</x:v>
      </x:c>
      <x:c r="F3232" s="36"/>
      <x:c r="G3232" s="36" t="str">
        <x:f>IF(ISNUMBER(F3232),E3232*F3232,"")</x:f>
      </x:c>
      <x:c r="H3232" s="37"/>
      <x:c r="I3232" s="37"/>
      <x:c r="J3232" s="1" t="n">
        <x:f>IF(ISNUMBER(F3232),E3232,0)</x:f>
        <x:v>0</x:v>
      </x:c>
      <x:c r="K3232" s="1"/>
      <x:c r="L3232" s="1"/>
      <x:c r="M3232" s="1"/>
    </x:row>
    <x:row r="3233" ht="18.75" customHeight="1">
      <x:c r="A3233" s="1" t="str">
        <x:v>https://blog.skyairline.com/punta-del-este-montevideo/</x:v>
      </x:c>
      <x:c r="B3233" s="1" t="str">
        <x:v>desde montevideo a punta del este</x:v>
      </x:c>
      <x:c r="C3233" s="1" t="str">
        <x:v>chl</x:v>
      </x:c>
      <x:c r="D3233" s="1" t="str">
        <x:v>Sin marca</x:v>
      </x:c>
      <x:c r="E3233" s="35" t="n">
        <x:v>1</x:v>
      </x:c>
      <x:c r="F3233" s="36"/>
      <x:c r="G3233" s="36" t="str">
        <x:f>IF(ISNUMBER(F3233),E3233*F3233,"")</x:f>
      </x:c>
      <x:c r="H3233" s="37" t="d">
        <x:v>2026-10-15T00:00:00.000Z</x:v>
      </x:c>
      <x:c r="I3233" s="37" t="d">
        <x:v>2026-09-16T18:07:50.000Z</x:v>
      </x:c>
      <x:c r="J3233" s="1" t="n">
        <x:f>IF(ISNUMBER(F3233),E3233,0)</x:f>
        <x:v>0</x:v>
      </x:c>
      <x:c r="K3233" s="1"/>
      <x:c r="L3233" s="1"/>
      <x:c r="M3233" s="1"/>
    </x:row>
    <x:row r="3234" ht="18.75" customHeight="1">
      <x:c r="A3234" s="1" t="str">
        <x:v>https://blog.skyairline.com/punta-del-este-montevideo/</x:v>
      </x:c>
      <x:c r="B3234" s="1" t="str">
        <x:v>distancia de montevideo a punta del este</x:v>
      </x:c>
      <x:c r="C3234" s="1" t="str">
        <x:v>ecu</x:v>
      </x:c>
      <x:c r="D3234" s="1" t="str">
        <x:v>Sin marca</x:v>
      </x:c>
      <x:c r="E3234" s="35" t="n">
        <x:v>1</x:v>
      </x:c>
      <x:c r="F3234" s="36"/>
      <x:c r="G3234" s="36" t="str">
        <x:f>IF(ISNUMBER(F3234),E3234*F3234,"")</x:f>
      </x:c>
      <x:c r="H3234" s="37"/>
      <x:c r="I3234" s="37"/>
      <x:c r="J3234" s="1" t="n">
        <x:f>IF(ISNUMBER(F3234),E3234,0)</x:f>
        <x:v>0</x:v>
      </x:c>
      <x:c r="K3234" s="1"/>
      <x:c r="L3234" s="1"/>
      <x:c r="M3234" s="1"/>
    </x:row>
    <x:row r="3235" ht="18.75" customHeight="1">
      <x:c r="A3235" s="1" t="str">
        <x:v>https://blog.skyairline.com/punta-del-este-montevideo/</x:v>
      </x:c>
      <x:c r="B3235" s="1" t="str">
        <x:v>distancia de montevideo a punta del este en auto</x:v>
      </x:c>
      <x:c r="C3235" s="1" t="str">
        <x:v>chl</x:v>
      </x:c>
      <x:c r="D3235" s="1" t="str">
        <x:v>Sin marca</x:v>
      </x:c>
      <x:c r="E3235" s="35" t="n">
        <x:v>1</x:v>
      </x:c>
      <x:c r="F3235" s="36"/>
      <x:c r="G3235" s="36" t="str">
        <x:f>IF(ISNUMBER(F3235),E3235*F3235,"")</x:f>
      </x:c>
      <x:c r="H3235" s="37" t="d">
        <x:v>2026-10-15T00:00:00.000Z</x:v>
      </x:c>
      <x:c r="I3235" s="37" t="d">
        <x:v>2026-09-16T18:49:48.000Z</x:v>
      </x:c>
      <x:c r="J3235" s="1" t="n">
        <x:f>IF(ISNUMBER(F3235),E3235,0)</x:f>
        <x:v>0</x:v>
      </x:c>
      <x:c r="K3235" s="1"/>
      <x:c r="L3235" s="1"/>
      <x:c r="M3235" s="1"/>
    </x:row>
    <x:row r="3236" ht="18.75" customHeight="1">
      <x:c r="A3236" s="1" t="str">
        <x:v>https://blog.skyairline.com/punta-del-este-montevideo/</x:v>
      </x:c>
      <x:c r="B3236" s="1" t="str">
        <x:v>distancia de punta del este a montevideo</x:v>
      </x:c>
      <x:c r="C3236" s="1" t="str">
        <x:v>chl</x:v>
      </x:c>
      <x:c r="D3236" s="1" t="str">
        <x:v>Sin marca</x:v>
      </x:c>
      <x:c r="E3236" s="35" t="n">
        <x:v>1</x:v>
      </x:c>
      <x:c r="F3236" s="36"/>
      <x:c r="G3236" s="36" t="str">
        <x:f>IF(ISNUMBER(F3236),E3236*F3236,"")</x:f>
      </x:c>
      <x:c r="H3236" s="37"/>
      <x:c r="I3236" s="37"/>
      <x:c r="J3236" s="1" t="n">
        <x:f>IF(ISNUMBER(F3236),E3236,0)</x:f>
        <x:v>0</x:v>
      </x:c>
      <x:c r="K3236" s="1"/>
      <x:c r="L3236" s="1"/>
      <x:c r="M3236" s="1"/>
    </x:row>
    <x:row r="3237" ht="18.75" customHeight="1">
      <x:c r="A3237" s="1" t="str">
        <x:v>https://blog.skyairline.com/punta-del-este-montevideo/</x:v>
      </x:c>
      <x:c r="B3237" s="1" t="str">
        <x:v>distancia entre montevideo y punta del este</x:v>
      </x:c>
      <x:c r="C3237" s="1" t="str">
        <x:v>chl</x:v>
      </x:c>
      <x:c r="D3237" s="1" t="str">
        <x:v>Sin marca</x:v>
      </x:c>
      <x:c r="E3237" s="35" t="n">
        <x:v>1</x:v>
      </x:c>
      <x:c r="F3237" s="36" t="n">
        <x:v>4.38</x:v>
      </x:c>
      <x:c r="G3237" s="36" t="n">
        <x:f>IF(ISNUMBER(F3237),E3237*F3237,"")</x:f>
        <x:v>4.38</x:v>
      </x:c>
      <x:c r="H3237" s="37" t="d">
        <x:v>2026-10-15T00:00:00.000Z</x:v>
      </x:c>
      <x:c r="I3237" s="37" t="d">
        <x:v>2026-09-15T14:11:16.000Z</x:v>
      </x:c>
      <x:c r="J3237" s="1" t="n">
        <x:f>IF(ISNUMBER(F3237),E3237,0)</x:f>
        <x:v>1</x:v>
      </x:c>
      <x:c r="K3237" s="1"/>
      <x:c r="L3237" s="1"/>
      <x:c r="M3237" s="1"/>
    </x:row>
    <x:row r="3238" ht="18.75" customHeight="1">
      <x:c r="A3238" s="1" t="str">
        <x:v>https://blog.skyairline.com/punta-del-este-montevideo/</x:v>
      </x:c>
      <x:c r="B3238" s="1" t="str">
        <x:v>distancia entre punta del este y montevideo</x:v>
      </x:c>
      <x:c r="C3238" s="1" t="str">
        <x:v>ven</x:v>
      </x:c>
      <x:c r="D3238" s="1" t="str">
        <x:v>Sin marca</x:v>
      </x:c>
      <x:c r="E3238" s="35" t="n">
        <x:v>1</x:v>
      </x:c>
      <x:c r="F3238" s="36"/>
      <x:c r="G3238" s="36" t="str">
        <x:f>IF(ISNUMBER(F3238),E3238*F3238,"")</x:f>
      </x:c>
      <x:c r="H3238" s="37"/>
      <x:c r="I3238" s="37"/>
      <x:c r="J3238" s="1" t="n">
        <x:f>IF(ISNUMBER(F3238),E3238,0)</x:f>
        <x:v>0</x:v>
      </x:c>
      <x:c r="K3238" s="1"/>
      <x:c r="L3238" s="1"/>
      <x:c r="M3238" s="1"/>
    </x:row>
    <x:row r="3239" ht="18.75" customHeight="1">
      <x:c r="A3239" s="1" t="str">
        <x:v>https://blog.skyairline.com/punta-del-este-montevideo/</x:v>
      </x:c>
      <x:c r="B3239" s="1" t="str">
        <x:v>distancia montevideo punta del este</x:v>
      </x:c>
      <x:c r="C3239" s="1" t="str">
        <x:v>chl</x:v>
      </x:c>
      <x:c r="D3239" s="1" t="str">
        <x:v>Sin marca</x:v>
      </x:c>
      <x:c r="E3239" s="35" t="n">
        <x:v>1</x:v>
      </x:c>
      <x:c r="F3239" s="36" t="n">
        <x:v>1.45</x:v>
      </x:c>
      <x:c r="G3239" s="36" t="n">
        <x:f>IF(ISNUMBER(F3239),E3239*F3239,"")</x:f>
        <x:v>1.45</x:v>
      </x:c>
      <x:c r="H3239" s="37" t="d">
        <x:v>2026-10-15T00:00:00.000Z</x:v>
      </x:c>
      <x:c r="I3239" s="37" t="d">
        <x:v>2026-09-16T08:43:03.000Z</x:v>
      </x:c>
      <x:c r="J3239" s="1" t="n">
        <x:f>IF(ISNUMBER(F3239),E3239,0)</x:f>
        <x:v>1</x:v>
      </x:c>
      <x:c r="K3239" s="1"/>
      <x:c r="L3239" s="1"/>
      <x:c r="M3239" s="1"/>
    </x:row>
    <x:row r="3240" ht="18.75" customHeight="1">
      <x:c r="A3240" s="1" t="str">
        <x:v>https://blog.skyairline.com/punta-del-este-montevideo/</x:v>
      </x:c>
      <x:c r="B3240" s="1" t="str">
        <x:v>distancia montevideo punta del este</x:v>
      </x:c>
      <x:c r="C3240" s="1" t="str">
        <x:v>ury</x:v>
      </x:c>
      <x:c r="D3240" s="1" t="str">
        <x:v>Sin marca</x:v>
      </x:c>
      <x:c r="E3240" s="35" t="n">
        <x:v>1</x:v>
      </x:c>
      <x:c r="F3240" s="36"/>
      <x:c r="G3240" s="36" t="str">
        <x:f>IF(ISNUMBER(F3240),E3240*F3240,"")</x:f>
      </x:c>
      <x:c r="H3240" s="37"/>
      <x:c r="I3240" s="37"/>
      <x:c r="J3240" s="1" t="n">
        <x:f>IF(ISNUMBER(F3240),E3240,0)</x:f>
        <x:v>0</x:v>
      </x:c>
      <x:c r="K3240" s="1"/>
      <x:c r="L3240" s="1"/>
      <x:c r="M3240" s="1"/>
    </x:row>
    <x:row r="3241" ht="18.75" customHeight="1">
      <x:c r="A3241" s="1" t="str">
        <x:v>https://blog.skyairline.com/punta-del-este-montevideo/</x:v>
      </x:c>
      <x:c r="B3241" s="1" t="str">
        <x:v>distancia punta del este a montevideo</x:v>
      </x:c>
      <x:c r="C3241" s="1" t="str">
        <x:v>pry</x:v>
      </x:c>
      <x:c r="D3241" s="1" t="str">
        <x:v>Sin marca</x:v>
      </x:c>
      <x:c r="E3241" s="35" t="n">
        <x:v>1</x:v>
      </x:c>
      <x:c r="F3241" s="36"/>
      <x:c r="G3241" s="36" t="str">
        <x:f>IF(ISNUMBER(F3241),E3241*F3241,"")</x:f>
      </x:c>
      <x:c r="H3241" s="37"/>
      <x:c r="I3241" s="37"/>
      <x:c r="J3241" s="1" t="n">
        <x:f>IF(ISNUMBER(F3241),E3241,0)</x:f>
        <x:v>0</x:v>
      </x:c>
      <x:c r="K3241" s="1"/>
      <x:c r="L3241" s="1"/>
      <x:c r="M3241" s="1"/>
    </x:row>
    <x:row r="3242" ht="18.75" customHeight="1">
      <x:c r="A3242" s="1" t="str">
        <x:v>https://blog.skyairline.com/punta-del-este-montevideo/</x:v>
      </x:c>
      <x:c r="B3242" s="1" t="str">
        <x:v>distancia punta del este montevideo</x:v>
      </x:c>
      <x:c r="C3242" s="1" t="str">
        <x:v>bra</x:v>
      </x:c>
      <x:c r="D3242" s="1" t="str">
        <x:v>Sin marca</x:v>
      </x:c>
      <x:c r="E3242" s="35" t="n">
        <x:v>1</x:v>
      </x:c>
      <x:c r="F3242" s="36"/>
      <x:c r="G3242" s="36" t="str">
        <x:f>IF(ISNUMBER(F3242),E3242*F3242,"")</x:f>
      </x:c>
      <x:c r="H3242" s="37"/>
      <x:c r="I3242" s="37"/>
      <x:c r="J3242" s="1" t="n">
        <x:f>IF(ISNUMBER(F3242),E3242,0)</x:f>
        <x:v>0</x:v>
      </x:c>
      <x:c r="K3242" s="1"/>
      <x:c r="L3242" s="1"/>
      <x:c r="M3242" s="1"/>
    </x:row>
    <x:row r="3243" ht="18.75" customHeight="1">
      <x:c r="A3243" s="1" t="str">
        <x:v>https://blog.skyairline.com/punta-del-este-montevideo/</x:v>
      </x:c>
      <x:c r="B3243" s="1" t="str">
        <x:v>montevideo a punta del este distancia</x:v>
      </x:c>
      <x:c r="C3243" s="1" t="str">
        <x:v>arg</x:v>
      </x:c>
      <x:c r="D3243" s="1" t="str">
        <x:v>Sin marca</x:v>
      </x:c>
      <x:c r="E3243" s="35" t="n">
        <x:v>1</x:v>
      </x:c>
      <x:c r="F3243" s="36"/>
      <x:c r="G3243" s="36" t="str">
        <x:f>IF(ISNUMBER(F3243),E3243*F3243,"")</x:f>
      </x:c>
      <x:c r="H3243" s="37"/>
      <x:c r="I3243" s="37"/>
      <x:c r="J3243" s="1" t="n">
        <x:f>IF(ISNUMBER(F3243),E3243,0)</x:f>
        <x:v>0</x:v>
      </x:c>
      <x:c r="K3243" s="1"/>
      <x:c r="L3243" s="1"/>
      <x:c r="M3243" s="1"/>
    </x:row>
    <x:row r="3244" ht="18.75" customHeight="1">
      <x:c r="A3244" s="1" t="str">
        <x:v>https://blog.skyairline.com/punta-del-este-montevideo/</x:v>
      </x:c>
      <x:c r="B3244" s="1" t="str">
        <x:v>montevideo punta del este</x:v>
      </x:c>
      <x:c r="C3244" s="1" t="str">
        <x:v>arg</x:v>
      </x:c>
      <x:c r="D3244" s="1" t="str">
        <x:v>Sin marca</x:v>
      </x:c>
      <x:c r="E3244" s="35" t="n">
        <x:v>1</x:v>
      </x:c>
      <x:c r="F3244" s="36"/>
      <x:c r="G3244" s="36" t="str">
        <x:f>IF(ISNUMBER(F3244),E3244*F3244,"")</x:f>
      </x:c>
      <x:c r="H3244" s="37"/>
      <x:c r="I3244" s="37"/>
      <x:c r="J3244" s="1" t="n">
        <x:f>IF(ISNUMBER(F3244),E3244,0)</x:f>
        <x:v>0</x:v>
      </x:c>
      <x:c r="K3244" s="1"/>
      <x:c r="L3244" s="1"/>
      <x:c r="M3244" s="1"/>
    </x:row>
    <x:row r="3245" ht="18.75" customHeight="1">
      <x:c r="A3245" s="1" t="str">
        <x:v>https://blog.skyairline.com/punta-del-este-montevideo/</x:v>
      </x:c>
      <x:c r="B3245" s="1" t="str">
        <x:v>montevideo punta del este</x:v>
      </x:c>
      <x:c r="C3245" s="1" t="str">
        <x:v>ury</x:v>
      </x:c>
      <x:c r="D3245" s="1" t="str">
        <x:v>Sin marca</x:v>
      </x:c>
      <x:c r="E3245" s="35" t="n">
        <x:v>1</x:v>
      </x:c>
      <x:c r="F3245" s="36"/>
      <x:c r="G3245" s="36" t="str">
        <x:f>IF(ISNUMBER(F3245),E3245*F3245,"")</x:f>
      </x:c>
      <x:c r="H3245" s="37"/>
      <x:c r="I3245" s="37"/>
      <x:c r="J3245" s="1" t="n">
        <x:f>IF(ISNUMBER(F3245),E3245,0)</x:f>
        <x:v>0</x:v>
      </x:c>
      <x:c r="K3245" s="1"/>
      <x:c r="L3245" s="1"/>
      <x:c r="M3245" s="1"/>
    </x:row>
    <x:row r="3246" ht="18.75" customHeight="1">
      <x:c r="A3246" s="1" t="str">
        <x:v>https://blog.skyairline.com/punta-del-este-playas/</x:v>
      </x:c>
      <x:c r="B3246" s="1" t="str">
        <x:v>playas en punta del este uruguay</x:v>
      </x:c>
      <x:c r="C3246" s="1" t="str">
        <x:v>chl</x:v>
      </x:c>
      <x:c r="D3246" s="1" t="str">
        <x:v>Sin marca</x:v>
      </x:c>
      <x:c r="E3246" s="35" t="n">
        <x:v>1</x:v>
      </x:c>
      <x:c r="F3246" s="36"/>
      <x:c r="G3246" s="36" t="str">
        <x:f>IF(ISNUMBER(F3246),E3246*F3246,"")</x:f>
      </x:c>
      <x:c r="H3246" s="37"/>
      <x:c r="I3246" s="37"/>
      <x:c r="J3246" s="1" t="n">
        <x:f>IF(ISNUMBER(F3246),E3246,0)</x:f>
        <x:v>0</x:v>
      </x:c>
      <x:c r="K3246" s="1"/>
      <x:c r="L3246" s="1"/>
      <x:c r="M3246" s="1"/>
    </x:row>
    <x:row r="3247" ht="18.75" customHeight="1">
      <x:c r="A3247" s="1" t="str">
        <x:v>https://blog.skyairline.com/punta-sal/</x:v>
      </x:c>
      <x:c r="B3247" s="1" t="str">
        <x:v>como llegar a punta sal</x:v>
      </x:c>
      <x:c r="C3247" s="1" t="str">
        <x:v>chl</x:v>
      </x:c>
      <x:c r="D3247" s="1" t="str">
        <x:v>Sin marca</x:v>
      </x:c>
      <x:c r="E3247" s="35" t="n">
        <x:v>1</x:v>
      </x:c>
      <x:c r="F3247" s="36" t="n">
        <x:v>0.52</x:v>
      </x:c>
      <x:c r="G3247" s="36" t="n">
        <x:f>IF(ISNUMBER(F3247),E3247*F3247,"")</x:f>
        <x:v>0.52</x:v>
      </x:c>
      <x:c r="H3247" s="37" t="d">
        <x:v>2026-10-15T00:00:00.000Z</x:v>
      </x:c>
      <x:c r="I3247" s="37" t="d">
        <x:v>2026-09-15T18:06:55.000Z</x:v>
      </x:c>
      <x:c r="J3247" s="1" t="n">
        <x:f>IF(ISNUMBER(F3247),E3247,0)</x:f>
        <x:v>1</x:v>
      </x:c>
      <x:c r="K3247" s="1"/>
      <x:c r="L3247" s="1"/>
      <x:c r="M3247" s="1"/>
    </x:row>
    <x:row r="3248" ht="18.75" customHeight="1">
      <x:c r="A3248" s="1" t="str">
        <x:v>https://blog.skyairline.com/punta-sal/</x:v>
      </x:c>
      <x:c r="B3248" s="1" t="str">
        <x:v>como llegar a punta sal desde lima</x:v>
      </x:c>
      <x:c r="C3248" s="1" t="str">
        <x:v>deu</x:v>
      </x:c>
      <x:c r="D3248" s="1" t="str">
        <x:v>Sin marca</x:v>
      </x:c>
      <x:c r="E3248" s="35" t="n">
        <x:v>1</x:v>
      </x:c>
      <x:c r="F3248" s="36"/>
      <x:c r="G3248" s="36" t="str">
        <x:f>IF(ISNUMBER(F3248),E3248*F3248,"")</x:f>
      </x:c>
      <x:c r="H3248" s="37"/>
      <x:c r="I3248" s="37"/>
      <x:c r="J3248" s="1" t="n">
        <x:f>IF(ISNUMBER(F3248),E3248,0)</x:f>
        <x:v>0</x:v>
      </x:c>
      <x:c r="K3248" s="1"/>
      <x:c r="L3248" s="1"/>
      <x:c r="M3248" s="1"/>
    </x:row>
    <x:row r="3249" ht="18.75" customHeight="1">
      <x:c r="A3249" s="1" t="str">
        <x:v>https://blog.skyairline.com/punta-sal/</x:v>
      </x:c>
      <x:c r="B3249" s="1" t="str">
        <x:v>distancia del aeropuerto de tumbes a punta sal</x:v>
      </x:c>
      <x:c r="C3249" s="1" t="str">
        <x:v>per</x:v>
      </x:c>
      <x:c r="D3249" s="1" t="str">
        <x:v>Sin marca</x:v>
      </x:c>
      <x:c r="E3249" s="35" t="n">
        <x:v>1</x:v>
      </x:c>
      <x:c r="F3249" s="36"/>
      <x:c r="G3249" s="36" t="str">
        <x:f>IF(ISNUMBER(F3249),E3249*F3249,"")</x:f>
      </x:c>
      <x:c r="H3249" s="37" t="d">
        <x:v>2026-10-15T00:00:00.000Z</x:v>
      </x:c>
      <x:c r="I3249" s="37" t="d">
        <x:v>2026-09-16T19:47:45.000Z</x:v>
      </x:c>
      <x:c r="J3249" s="1" t="n">
        <x:f>IF(ISNUMBER(F3249),E3249,0)</x:f>
        <x:v>0</x:v>
      </x:c>
      <x:c r="K3249" s="1"/>
      <x:c r="L3249" s="1"/>
      <x:c r="M3249" s="1"/>
    </x:row>
    <x:row r="3250" ht="18.75" customHeight="1">
      <x:c r="A3250" s="1" t="str">
        <x:v>https://blog.skyairline.com/punta-sal/</x:v>
      </x:c>
      <x:c r="B3250" s="1" t="str">
        <x:v>donde es punta sal peru</x:v>
      </x:c>
      <x:c r="C3250" s="1" t="str">
        <x:v>arg</x:v>
      </x:c>
      <x:c r="D3250" s="1" t="str">
        <x:v>Sin marca</x:v>
      </x:c>
      <x:c r="E3250" s="35" t="n">
        <x:v>1</x:v>
      </x:c>
      <x:c r="F3250" s="36"/>
      <x:c r="G3250" s="36" t="str">
        <x:f>IF(ISNUMBER(F3250),E3250*F3250,"")</x:f>
      </x:c>
      <x:c r="H3250" s="37"/>
      <x:c r="I3250" s="37"/>
      <x:c r="J3250" s="1" t="n">
        <x:f>IF(ISNUMBER(F3250),E3250,0)</x:f>
        <x:v>0</x:v>
      </x:c>
      <x:c r="K3250" s="1"/>
      <x:c r="L3250" s="1"/>
      <x:c r="M3250" s="1"/>
    </x:row>
    <x:row r="3251" ht="18.75" customHeight="1">
      <x:c r="A3251" s="1" t="str">
        <x:v>https://blog.skyairline.com/punta-sal/</x:v>
      </x:c>
      <x:c r="B3251" s="1" t="str">
        <x:v>donde queda punta sal</x:v>
      </x:c>
      <x:c r="C3251" s="1" t="str">
        <x:v>usa</x:v>
      </x:c>
      <x:c r="D3251" s="1" t="str">
        <x:v>Sin marca</x:v>
      </x:c>
      <x:c r="E3251" s="35" t="n">
        <x:v>1</x:v>
      </x:c>
      <x:c r="F3251" s="36"/>
      <x:c r="G3251" s="36" t="str">
        <x:f>IF(ISNUMBER(F3251),E3251*F3251,"")</x:f>
      </x:c>
      <x:c r="H3251" s="37"/>
      <x:c r="I3251" s="37"/>
      <x:c r="J3251" s="1" t="n">
        <x:f>IF(ISNUMBER(F3251),E3251,0)</x:f>
        <x:v>0</x:v>
      </x:c>
      <x:c r="K3251" s="1"/>
      <x:c r="L3251" s="1"/>
      <x:c r="M3251" s="1"/>
    </x:row>
    <x:row r="3252" ht="18.75" customHeight="1">
      <x:c r="A3252" s="1" t="str">
        <x:v>https://blog.skyairline.com/punta-sal/</x:v>
      </x:c>
      <x:c r="B3252" s="1" t="str">
        <x:v>donde queda punta sal?</x:v>
      </x:c>
      <x:c r="C3252" s="1" t="str">
        <x:v>per</x:v>
      </x:c>
      <x:c r="D3252" s="1" t="str">
        <x:v>Sin marca</x:v>
      </x:c>
      <x:c r="E3252" s="35" t="n">
        <x:v>1</x:v>
      </x:c>
      <x:c r="F3252" s="36"/>
      <x:c r="G3252" s="36" t="str">
        <x:f>IF(ISNUMBER(F3252),E3252*F3252,"")</x:f>
      </x:c>
      <x:c r="H3252" s="37"/>
      <x:c r="I3252" s="37"/>
      <x:c r="J3252" s="1" t="n">
        <x:f>IF(ISNUMBER(F3252),E3252,0)</x:f>
        <x:v>0</x:v>
      </x:c>
      <x:c r="K3252" s="1"/>
      <x:c r="L3252" s="1"/>
      <x:c r="M3252" s="1"/>
    </x:row>
    <x:row r="3253" ht="18.75" customHeight="1">
      <x:c r="A3253" s="1" t="str">
        <x:v>https://blog.skyairline.com/punta-sal/</x:v>
      </x:c>
      <x:c r="B3253" s="1" t="str">
        <x:v>donde queda puntasal</x:v>
      </x:c>
      <x:c r="C3253" s="1" t="str">
        <x:v>per</x:v>
      </x:c>
      <x:c r="D3253" s="1" t="str">
        <x:v>Sin marca</x:v>
      </x:c>
      <x:c r="E3253" s="35" t="n">
        <x:v>1</x:v>
      </x:c>
      <x:c r="F3253" s="36"/>
      <x:c r="G3253" s="36" t="str">
        <x:f>IF(ISNUMBER(F3253),E3253*F3253,"")</x:f>
      </x:c>
      <x:c r="H3253" s="37"/>
      <x:c r="I3253" s="37"/>
      <x:c r="J3253" s="1" t="n">
        <x:f>IF(ISNUMBER(F3253),E3253,0)</x:f>
        <x:v>0</x:v>
      </x:c>
      <x:c r="K3253" s="1"/>
      <x:c r="L3253" s="1"/>
      <x:c r="M3253" s="1"/>
    </x:row>
    <x:row r="3254" ht="18.75" customHeight="1">
      <x:c r="A3254" s="1" t="str">
        <x:v>https://blog.skyairline.com/punta-sal/</x:v>
      </x:c>
      <x:c r="B3254" s="1" t="str">
        <x:v>dónde queda punta sal</x:v>
      </x:c>
      <x:c r="C3254" s="1" t="str">
        <x:v>per</x:v>
      </x:c>
      <x:c r="D3254" s="1" t="str">
        <x:v>Sin marca</x:v>
      </x:c>
      <x:c r="E3254" s="35" t="n">
        <x:v>1</x:v>
      </x:c>
      <x:c r="F3254" s="36" t="n">
        <x:v>2.58</x:v>
      </x:c>
      <x:c r="G3254" s="36" t="n">
        <x:f>IF(ISNUMBER(F3254),E3254*F3254,"")</x:f>
        <x:v>2.58</x:v>
      </x:c>
      <x:c r="H3254" s="37" t="d">
        <x:v>2026-10-15T00:00:00.000Z</x:v>
      </x:c>
      <x:c r="I3254" s="37" t="d">
        <x:v>2026-09-13T10:24:00.999Z</x:v>
      </x:c>
      <x:c r="J3254" s="1" t="n">
        <x:f>IF(ISNUMBER(F3254),E3254,0)</x:f>
        <x:v>1</x:v>
      </x:c>
      <x:c r="K3254" s="1"/>
      <x:c r="L3254" s="1"/>
      <x:c r="M3254" s="1"/>
    </x:row>
    <x:row r="3255" ht="18.75" customHeight="1">
      <x:c r="A3255" s="1" t="str">
        <x:v>https://blog.skyairline.com/punta-sal/</x:v>
      </x:c>
      <x:c r="B3255" s="1" t="str">
        <x:v>mancora</x:v>
      </x:c>
      <x:c r="C3255" s="1" t="str">
        <x:v>chl</x:v>
      </x:c>
      <x:c r="D3255" s="1" t="str">
        <x:v>Sin marca</x:v>
      </x:c>
      <x:c r="E3255" s="35" t="n">
        <x:v>1</x:v>
      </x:c>
      <x:c r="F3255" s="36"/>
      <x:c r="G3255" s="36" t="str">
        <x:f>IF(ISNUMBER(F3255),E3255*F3255,"")</x:f>
      </x:c>
      <x:c r="H3255" s="37"/>
      <x:c r="I3255" s="37"/>
      <x:c r="J3255" s="1" t="n">
        <x:f>IF(ISNUMBER(F3255),E3255,0)</x:f>
        <x:v>0</x:v>
      </x:c>
      <x:c r="K3255" s="1"/>
      <x:c r="L3255" s="1"/>
      <x:c r="M3255" s="1"/>
    </x:row>
    <x:row r="3256" ht="18.75" customHeight="1">
      <x:c r="A3256" s="1" t="str">
        <x:v>https://blog.skyairline.com/punta-sal/</x:v>
      </x:c>
      <x:c r="B3256" s="1" t="str">
        <x:v>pasajes para punta sal</x:v>
      </x:c>
      <x:c r="C3256" s="1" t="str">
        <x:v>per</x:v>
      </x:c>
      <x:c r="D3256" s="1" t="str">
        <x:v>Sin marca</x:v>
      </x:c>
      <x:c r="E3256" s="35" t="n">
        <x:v>1</x:v>
      </x:c>
      <x:c r="F3256" s="36" t="n">
        <x:v>0.16</x:v>
      </x:c>
      <x:c r="G3256" s="36" t="n">
        <x:f>IF(ISNUMBER(F3256),E3256*F3256,"")</x:f>
        <x:v>0.16</x:v>
      </x:c>
      <x:c r="H3256" s="37" t="d">
        <x:v>2026-10-15T00:00:00.000Z</x:v>
      </x:c>
      <x:c r="I3256" s="37" t="d">
        <x:v>2026-09-14T09:38:38.000Z</x:v>
      </x:c>
      <x:c r="J3256" s="1" t="n">
        <x:f>IF(ISNUMBER(F3256),E3256,0)</x:f>
        <x:v>1</x:v>
      </x:c>
      <x:c r="K3256" s="1"/>
      <x:c r="L3256" s="1"/>
      <x:c r="M3256" s="1"/>
    </x:row>
    <x:row r="3257" ht="18.75" customHeight="1">
      <x:c r="A3257" s="1" t="str">
        <x:v>https://blog.skyairline.com/punta-sal/</x:v>
      </x:c>
      <x:c r="B3257" s="1" t="str">
        <x:v>playa punta sal</x:v>
      </x:c>
      <x:c r="C3257" s="1" t="str">
        <x:v>chl</x:v>
      </x:c>
      <x:c r="D3257" s="1" t="str">
        <x:v>Sin marca</x:v>
      </x:c>
      <x:c r="E3257" s="35" t="n">
        <x:v>1</x:v>
      </x:c>
      <x:c r="F3257" s="36" t="n">
        <x:v>0.36</x:v>
      </x:c>
      <x:c r="G3257" s="36" t="n">
        <x:f>IF(ISNUMBER(F3257),E3257*F3257,"")</x:f>
        <x:v>0.36</x:v>
      </x:c>
      <x:c r="H3257" s="37" t="d">
        <x:v>2026-10-15T00:00:00.000Z</x:v>
      </x:c>
      <x:c r="I3257" s="37" t="d">
        <x:v>2026-09-14T19:59:16.000Z</x:v>
      </x:c>
      <x:c r="J3257" s="1" t="n">
        <x:f>IF(ISNUMBER(F3257),E3257,0)</x:f>
        <x:v>1</x:v>
      </x:c>
      <x:c r="K3257" s="1"/>
      <x:c r="L3257" s="1"/>
      <x:c r="M3257" s="1"/>
    </x:row>
    <x:row r="3258" ht="18.75" customHeight="1">
      <x:c r="A3258" s="1" t="str">
        <x:v>https://blog.skyairline.com/punta-sal/</x:v>
      </x:c>
      <x:c r="B3258" s="1" t="str">
        <x:v>punta sal como llegar</x:v>
      </x:c>
      <x:c r="C3258" s="1" t="str">
        <x:v>ita</x:v>
      </x:c>
      <x:c r="D3258" s="1" t="str">
        <x:v>Sin marca</x:v>
      </x:c>
      <x:c r="E3258" s="35" t="n">
        <x:v>1</x:v>
      </x:c>
      <x:c r="F3258" s="36"/>
      <x:c r="G3258" s="36" t="str">
        <x:f>IF(ISNUMBER(F3258),E3258*F3258,"")</x:f>
      </x:c>
      <x:c r="H3258" s="37"/>
      <x:c r="I3258" s="37"/>
      <x:c r="J3258" s="1" t="n">
        <x:f>IF(ISNUMBER(F3258),E3258,0)</x:f>
        <x:v>0</x:v>
      </x:c>
      <x:c r="K3258" s="1"/>
      <x:c r="L3258" s="1"/>
      <x:c r="M3258" s="1"/>
    </x:row>
    <x:row r="3259" ht="18.75" customHeight="1">
      <x:c r="A3259" s="1" t="str">
        <x:v>https://blog.skyairline.com/punta-sal/</x:v>
      </x:c>
      <x:c r="B3259" s="1" t="str">
        <x:v>punta sal donde es</x:v>
      </x:c>
      <x:c r="C3259" s="1" t="str">
        <x:v>per</x:v>
      </x:c>
      <x:c r="D3259" s="1" t="str">
        <x:v>Sin marca</x:v>
      </x:c>
      <x:c r="E3259" s="35" t="n">
        <x:v>1</x:v>
      </x:c>
      <x:c r="F3259" s="36"/>
      <x:c r="G3259" s="36" t="str">
        <x:f>IF(ISNUMBER(F3259),E3259*F3259,"")</x:f>
      </x:c>
      <x:c r="H3259" s="37"/>
      <x:c r="I3259" s="37"/>
      <x:c r="J3259" s="1" t="n">
        <x:f>IF(ISNUMBER(F3259),E3259,0)</x:f>
        <x:v>0</x:v>
      </x:c>
      <x:c r="K3259" s="1"/>
      <x:c r="L3259" s="1"/>
      <x:c r="M3259" s="1"/>
    </x:row>
    <x:row r="3260" ht="18.75" customHeight="1">
      <x:c r="A3260" s="1" t="str">
        <x:v>https://blog.skyairline.com/punta-sal/</x:v>
      </x:c>
      <x:c r="B3260" s="1" t="str">
        <x:v>punta sal donde queda</x:v>
      </x:c>
      <x:c r="C3260" s="1" t="str">
        <x:v>arg</x:v>
      </x:c>
      <x:c r="D3260" s="1" t="str">
        <x:v>Sin marca</x:v>
      </x:c>
      <x:c r="E3260" s="35" t="n">
        <x:v>1</x:v>
      </x:c>
      <x:c r="F3260" s="36"/>
      <x:c r="G3260" s="36" t="str">
        <x:f>IF(ISNUMBER(F3260),E3260*F3260,"")</x:f>
      </x:c>
      <x:c r="H3260" s="37"/>
      <x:c r="I3260" s="37"/>
      <x:c r="J3260" s="1" t="n">
        <x:f>IF(ISNUMBER(F3260),E3260,0)</x:f>
        <x:v>0</x:v>
      </x:c>
      <x:c r="K3260" s="1"/>
      <x:c r="L3260" s="1"/>
      <x:c r="M3260" s="1"/>
    </x:row>
    <x:row r="3261" ht="18.75" customHeight="1">
      <x:c r="A3261" s="1" t="str">
        <x:v>https://blog.skyairline.com/punta-sal/</x:v>
      </x:c>
      <x:c r="B3261" s="1" t="str">
        <x:v>punta sal peru</x:v>
      </x:c>
      <x:c r="C3261" s="1" t="str">
        <x:v>chl</x:v>
      </x:c>
      <x:c r="D3261" s="1" t="str">
        <x:v>Sin marca</x:v>
      </x:c>
      <x:c r="E3261" s="35" t="n">
        <x:v>1</x:v>
      </x:c>
      <x:c r="F3261" s="36" t="n">
        <x:v>0.72</x:v>
      </x:c>
      <x:c r="G3261" s="36" t="n">
        <x:f>IF(ISNUMBER(F3261),E3261*F3261,"")</x:f>
        <x:v>0.72</x:v>
      </x:c>
      <x:c r="H3261" s="37" t="d">
        <x:v>2026-10-15T00:00:00.000Z</x:v>
      </x:c>
      <x:c r="I3261" s="37" t="d">
        <x:v>2026-10-15T09:32:27.000Z</x:v>
      </x:c>
      <x:c r="J3261" s="1" t="n">
        <x:f>IF(ISNUMBER(F3261),E3261,0)</x:f>
        <x:v>1</x:v>
      </x:c>
      <x:c r="K3261" s="1"/>
      <x:c r="L3261" s="1"/>
      <x:c r="M3261" s="1"/>
    </x:row>
    <x:row r="3262" ht="18.75" customHeight="1">
      <x:c r="A3262" s="1" t="str">
        <x:v>https://blog.skyairline.com/punta-sal/</x:v>
      </x:c>
      <x:c r="B3262" s="1" t="str">
        <x:v>punta sal peru</x:v>
      </x:c>
      <x:c r="C3262" s="1" t="str">
        <x:v>mex</x:v>
      </x:c>
      <x:c r="D3262" s="1" t="str">
        <x:v>Sin marca</x:v>
      </x:c>
      <x:c r="E3262" s="35" t="n">
        <x:v>1</x:v>
      </x:c>
      <x:c r="F3262" s="36"/>
      <x:c r="G3262" s="36" t="str">
        <x:f>IF(ISNUMBER(F3262),E3262*F3262,"")</x:f>
      </x:c>
      <x:c r="H3262" s="37"/>
      <x:c r="I3262" s="37"/>
      <x:c r="J3262" s="1" t="n">
        <x:f>IF(ISNUMBER(F3262),E3262,0)</x:f>
        <x:v>0</x:v>
      </x:c>
      <x:c r="K3262" s="1"/>
      <x:c r="L3262" s="1"/>
      <x:c r="M3262" s="1"/>
    </x:row>
    <x:row r="3263" ht="18.75" customHeight="1">
      <x:c r="A3263" s="1" t="str">
        <x:v>https://blog.skyairline.com/punta-sal/</x:v>
      </x:c>
      <x:c r="B3263" s="1" t="str">
        <x:v>punta sal peru como llegar</x:v>
      </x:c>
      <x:c r="C3263" s="1" t="str">
        <x:v>chl</x:v>
      </x:c>
      <x:c r="D3263" s="1" t="str">
        <x:v>Sin marca</x:v>
      </x:c>
      <x:c r="E3263" s="35" t="n">
        <x:v>1</x:v>
      </x:c>
      <x:c r="F3263" s="36"/>
      <x:c r="G3263" s="36" t="str">
        <x:f>IF(ISNUMBER(F3263),E3263*F3263,"")</x:f>
      </x:c>
      <x:c r="H3263" s="37"/>
      <x:c r="I3263" s="37"/>
      <x:c r="J3263" s="1" t="n">
        <x:f>IF(ISNUMBER(F3263),E3263,0)</x:f>
        <x:v>0</x:v>
      </x:c>
      <x:c r="K3263" s="1"/>
      <x:c r="L3263" s="1"/>
      <x:c r="M3263" s="1"/>
    </x:row>
    <x:row r="3264" ht="18.75" customHeight="1">
      <x:c r="A3264" s="1" t="str">
        <x:v>https://blog.skyairline.com/punta-sal/</x:v>
      </x:c>
      <x:c r="B3264" s="1" t="str">
        <x:v>punta sal playa</x:v>
      </x:c>
      <x:c r="C3264" s="1" t="str">
        <x:v>esp</x:v>
      </x:c>
      <x:c r="D3264" s="1" t="str">
        <x:v>Sin marca</x:v>
      </x:c>
      <x:c r="E3264" s="35" t="n">
        <x:v>1</x:v>
      </x:c>
      <x:c r="F3264" s="36"/>
      <x:c r="G3264" s="36" t="str">
        <x:f>IF(ISNUMBER(F3264),E3264*F3264,"")</x:f>
      </x:c>
      <x:c r="H3264" s="37"/>
      <x:c r="I3264" s="37"/>
      <x:c r="J3264" s="1" t="n">
        <x:f>IF(ISNUMBER(F3264),E3264,0)</x:f>
        <x:v>0</x:v>
      </x:c>
      <x:c r="K3264" s="1"/>
      <x:c r="L3264" s="1"/>
      <x:c r="M3264" s="1"/>
    </x:row>
    <x:row r="3265" ht="18.75" customHeight="1">
      <x:c r="A3265" s="1" t="str">
        <x:v>https://blog.skyairline.com/punta-sal/</x:v>
      </x:c>
      <x:c r="B3265" s="1" t="str">
        <x:v>vuelos a punta sal</x:v>
      </x:c>
      <x:c r="C3265" s="1" t="str">
        <x:v>esp</x:v>
      </x:c>
      <x:c r="D3265" s="1" t="str">
        <x:v>Sin marca</x:v>
      </x:c>
      <x:c r="E3265" s="35" t="n">
        <x:v>1</x:v>
      </x:c>
      <x:c r="F3265" s="36"/>
      <x:c r="G3265" s="36" t="str">
        <x:f>IF(ISNUMBER(F3265),E3265*F3265,"")</x:f>
      </x:c>
      <x:c r="H3265" s="37"/>
      <x:c r="I3265" s="37"/>
      <x:c r="J3265" s="1" t="n">
        <x:f>IF(ISNUMBER(F3265),E3265,0)</x:f>
        <x:v>0</x:v>
      </x:c>
      <x:c r="K3265" s="1"/>
      <x:c r="L3265" s="1"/>
      <x:c r="M3265" s="1"/>
    </x:row>
    <x:row r="3266" ht="18.75" customHeight="1">
      <x:c r="A3266" s="1" t="str">
        <x:v>https://blog.skyairline.com/que-comer-en-brasil/</x:v>
      </x:c>
      <x:c r="B3266" s="1" t="str">
        <x:v>comida tipica de brasil</x:v>
      </x:c>
      <x:c r="C3266" s="1" t="str">
        <x:v>chl</x:v>
      </x:c>
      <x:c r="D3266" s="1" t="str">
        <x:v>Sin marca</x:v>
      </x:c>
      <x:c r="E3266" s="35" t="n">
        <x:v>1</x:v>
      </x:c>
      <x:c r="F3266" s="36" t="n">
        <x:v>0.02</x:v>
      </x:c>
      <x:c r="G3266" s="36" t="n">
        <x:f>IF(ISNUMBER(F3266),E3266*F3266,"")</x:f>
        <x:v>0.02</x:v>
      </x:c>
      <x:c r="H3266" s="37" t="d">
        <x:v>2026-10-15T00:00:00.000Z</x:v>
      </x:c>
      <x:c r="I3266" s="37" t="d">
        <x:v>2026-09-14T11:57:42.000Z</x:v>
      </x:c>
      <x:c r="J3266" s="1" t="n">
        <x:f>IF(ISNUMBER(F3266),E3266,0)</x:f>
        <x:v>1</x:v>
      </x:c>
      <x:c r="K3266" s="1"/>
      <x:c r="L3266" s="1"/>
      <x:c r="M3266" s="1"/>
    </x:row>
    <x:row r="3267" ht="18.75" customHeight="1">
      <x:c r="A3267" s="1" t="str">
        <x:v>https://blog.skyairline.com/que-comer-en-brasil/</x:v>
      </x:c>
      <x:c r="B3267" s="1" t="str">
        <x:v>plato tipico de brasil</x:v>
      </x:c>
      <x:c r="C3267" s="1" t="str">
        <x:v>bra</x:v>
      </x:c>
      <x:c r="D3267" s="1" t="str">
        <x:v>Sin marca</x:v>
      </x:c>
      <x:c r="E3267" s="35" t="n">
        <x:v>1</x:v>
      </x:c>
      <x:c r="F3267" s="36"/>
      <x:c r="G3267" s="36" t="str">
        <x:f>IF(ISNUMBER(F3267),E3267*F3267,"")</x:f>
      </x:c>
      <x:c r="H3267" s="37"/>
      <x:c r="I3267" s="37"/>
      <x:c r="J3267" s="1" t="n">
        <x:f>IF(ISNUMBER(F3267),E3267,0)</x:f>
        <x:v>0</x:v>
      </x:c>
      <x:c r="K3267" s="1"/>
      <x:c r="L3267" s="1"/>
      <x:c r="M3267" s="1"/>
    </x:row>
    <x:row r="3268" ht="18.75" customHeight="1">
      <x:c r="A3268" s="1" t="str">
        <x:v>https://blog.skyairline.com/que-es-el-check-in/</x:v>
      </x:c>
      <x:c r="B3268" s="1" t="str">
        <x:v>check in sky</x:v>
      </x:c>
      <x:c r="C3268" s="1" t="str">
        <x:v>per</x:v>
      </x:c>
      <x:c r="D3268" s="1" t="str">
        <x:v>Marca</x:v>
      </x:c>
      <x:c r="E3268" s="35" t="n">
        <x:v>1</x:v>
      </x:c>
      <x:c r="F3268" s="36" t="n">
        <x:v>0.12</x:v>
      </x:c>
      <x:c r="G3268" s="36" t="n">
        <x:f>IF(ISNUMBER(F3268),E3268*F3268,"")</x:f>
        <x:v>0.12</x:v>
      </x:c>
      <x:c r="H3268" s="37" t="d">
        <x:v>2026-10-15T00:00:00.000Z</x:v>
      </x:c>
      <x:c r="I3268" s="37" t="d">
        <x:v>2026-09-14T19:59:11.000Z</x:v>
      </x:c>
      <x:c r="J3268" s="1" t="n">
        <x:f>IF(ISNUMBER(F3268),E3268,0)</x:f>
        <x:v>1</x:v>
      </x:c>
      <x:c r="K3268" s="1"/>
      <x:c r="L3268" s="1"/>
      <x:c r="M3268" s="1"/>
    </x:row>
    <x:row r="3269" ht="18.75" customHeight="1">
      <x:c r="A3269" s="1" t="str">
        <x:v>https://blog.skyairline.com/que-es-el-check-in/</x:v>
      </x:c>
      <x:c r="B3269" s="1" t="str">
        <x:v>check in sky peru vuelos nacionales</x:v>
      </x:c>
      <x:c r="C3269" s="1" t="str">
        <x:v>per</x:v>
      </x:c>
      <x:c r="D3269" s="1" t="str">
        <x:v>Marca</x:v>
      </x:c>
      <x:c r="E3269" s="35" t="n">
        <x:v>1</x:v>
      </x:c>
      <x:c r="F3269" s="36"/>
      <x:c r="G3269" s="36" t="str">
        <x:f>IF(ISNUMBER(F3269),E3269*F3269,"")</x:f>
      </x:c>
      <x:c r="H3269" s="37"/>
      <x:c r="I3269" s="37"/>
      <x:c r="J3269" s="1" t="n">
        <x:f>IF(ISNUMBER(F3269),E3269,0)</x:f>
        <x:v>0</x:v>
      </x:c>
      <x:c r="K3269" s="1"/>
      <x:c r="L3269" s="1"/>
      <x:c r="M3269" s="1"/>
    </x:row>
    <x:row r="3270" ht="18.75" customHeight="1">
      <x:c r="A3270" s="1" t="str">
        <x:v>https://blog.skyairline.com/que-es-el-check-in/</x:v>
      </x:c>
      <x:c r="B3270" s="1" t="str">
        <x:v>check-in sky chile</x:v>
      </x:c>
      <x:c r="C3270" s="1" t="str">
        <x:v>chl</x:v>
      </x:c>
      <x:c r="D3270" s="1" t="str">
        <x:v>Marca</x:v>
      </x:c>
      <x:c r="E3270" s="35" t="n">
        <x:v>1</x:v>
      </x:c>
      <x:c r="F3270" s="36" t="n">
        <x:v>0.07</x:v>
      </x:c>
      <x:c r="G3270" s="36" t="n">
        <x:f>IF(ISNUMBER(F3270),E3270*F3270,"")</x:f>
        <x:v>0.07</x:v>
      </x:c>
      <x:c r="H3270" s="37" t="d">
        <x:v>2026-10-15T00:00:00.000Z</x:v>
      </x:c>
      <x:c r="I3270" s="37" t="d">
        <x:v>2026-10-15T12:59:28.000Z</x:v>
      </x:c>
      <x:c r="J3270" s="1" t="n">
        <x:f>IF(ISNUMBER(F3270),E3270,0)</x:f>
        <x:v>1</x:v>
      </x:c>
      <x:c r="K3270" s="1"/>
      <x:c r="L3270" s="1"/>
      <x:c r="M3270" s="1"/>
    </x:row>
    <x:row r="3271" ht="18.75" customHeight="1">
      <x:c r="A3271" s="1" t="str">
        <x:v>https://blog.skyairline.com/que-es-el-check-in/</x:v>
      </x:c>
      <x:c r="B3271" s="1" t="str">
        <x:v>check-in sky en español</x:v>
      </x:c>
      <x:c r="C3271" s="1" t="str">
        <x:v>chl</x:v>
      </x:c>
      <x:c r="D3271" s="1" t="str">
        <x:v>Marca</x:v>
      </x:c>
      <x:c r="E3271" s="35" t="n">
        <x:v>1</x:v>
      </x:c>
      <x:c r="F3271" s="36" t="n">
        <x:v>0.26</x:v>
      </x:c>
      <x:c r="G3271" s="36" t="n">
        <x:f>IF(ISNUMBER(F3271),E3271*F3271,"")</x:f>
        <x:v>0.26</x:v>
      </x:c>
      <x:c r="H3271" s="37" t="d">
        <x:v>2026-10-15T00:00:00.000Z</x:v>
      </x:c>
      <x:c r="I3271" s="37" t="d">
        <x:v>2026-09-15T03:34:38.000Z</x:v>
      </x:c>
      <x:c r="J3271" s="1" t="n">
        <x:f>IF(ISNUMBER(F3271),E3271,0)</x:f>
        <x:v>1</x:v>
      </x:c>
      <x:c r="K3271" s="1"/>
      <x:c r="L3271" s="1"/>
      <x:c r="M3271" s="1"/>
    </x:row>
    <x:row r="3272" ht="18.75" customHeight="1">
      <x:c r="A3272" s="1" t="str">
        <x:v>https://blog.skyairline.com/que-es-el-check-in/</x:v>
      </x:c>
      <x:c r="B3272" s="1" t="str">
        <x:v>como es un check in</x:v>
      </x:c>
      <x:c r="C3272" s="1" t="str">
        <x:v>per</x:v>
      </x:c>
      <x:c r="D3272" s="1" t="str">
        <x:v>Sin marca</x:v>
      </x:c>
      <x:c r="E3272" s="35" t="n">
        <x:v>1</x:v>
      </x:c>
      <x:c r="F3272" s="36"/>
      <x:c r="G3272" s="36" t="str">
        <x:f>IF(ISNUMBER(F3272),E3272*F3272,"")</x:f>
      </x:c>
      <x:c r="H3272" s="37"/>
      <x:c r="I3272" s="37"/>
      <x:c r="J3272" s="1" t="n">
        <x:f>IF(ISNUMBER(F3272),E3272,0)</x:f>
        <x:v>0</x:v>
      </x:c>
      <x:c r="K3272" s="1"/>
      <x:c r="L3272" s="1"/>
      <x:c r="M3272" s="1"/>
    </x:row>
    <x:row r="3273" ht="18.75" customHeight="1">
      <x:c r="A3273" s="1" t="str">
        <x:v>https://blog.skyairline.com/que-es-el-check-in/</x:v>
      </x:c>
      <x:c r="B3273" s="1" t="str">
        <x:v>como hacer check in sky</x:v>
      </x:c>
      <x:c r="C3273" s="1" t="str">
        <x:v>chl</x:v>
      </x:c>
      <x:c r="D3273" s="1" t="str">
        <x:v>Marca</x:v>
      </x:c>
      <x:c r="E3273" s="35" t="n">
        <x:v>1</x:v>
      </x:c>
      <x:c r="F3273" s="36" t="n">
        <x:v>0.36</x:v>
      </x:c>
      <x:c r="G3273" s="36" t="n">
        <x:f>IF(ISNUMBER(F3273),E3273*F3273,"")</x:f>
        <x:v>0.36</x:v>
      </x:c>
      <x:c r="H3273" s="37" t="d">
        <x:v>2026-10-15T00:00:00.000Z</x:v>
      </x:c>
      <x:c r="I3273" s="37" t="d">
        <x:v>2026-09-16T19:34:38.000Z</x:v>
      </x:c>
      <x:c r="J3273" s="1" t="n">
        <x:f>IF(ISNUMBER(F3273),E3273,0)</x:f>
        <x:v>1</x:v>
      </x:c>
      <x:c r="K3273" s="1"/>
      <x:c r="L3273" s="1"/>
      <x:c r="M3273" s="1"/>
    </x:row>
    <x:row r="3274" ht="18.75" customHeight="1">
      <x:c r="A3274" s="1" t="str">
        <x:v>https://blog.skyairline.com/que-es-el-check-in/</x:v>
      </x:c>
      <x:c r="B3274" s="1" t="str">
        <x:v>para que es el check in</x:v>
      </x:c>
      <x:c r="C3274" s="1" t="str">
        <x:v>per</x:v>
      </x:c>
      <x:c r="D3274" s="1" t="str">
        <x:v>Sin marca</x:v>
      </x:c>
      <x:c r="E3274" s="35" t="n">
        <x:v>1</x:v>
      </x:c>
      <x:c r="F3274" s="36"/>
      <x:c r="G3274" s="36" t="str">
        <x:f>IF(ISNUMBER(F3274),E3274*F3274,"")</x:f>
      </x:c>
      <x:c r="H3274" s="37"/>
      <x:c r="I3274" s="37"/>
      <x:c r="J3274" s="1" t="n">
        <x:f>IF(ISNUMBER(F3274),E3274,0)</x:f>
        <x:v>0</x:v>
      </x:c>
      <x:c r="K3274" s="1"/>
      <x:c r="L3274" s="1"/>
      <x:c r="M3274" s="1"/>
    </x:row>
    <x:row r="3275" ht="18.75" customHeight="1">
      <x:c r="A3275" s="1" t="str">
        <x:v>https://blog.skyairline.com/que-es-el-check-in/</x:v>
      </x:c>
      <x:c r="B3275" s="1" t="str">
        <x:v>para que sirve el check in</x:v>
      </x:c>
      <x:c r="C3275" s="1" t="str">
        <x:v>per</x:v>
      </x:c>
      <x:c r="D3275" s="1" t="str">
        <x:v>Sin marca</x:v>
      </x:c>
      <x:c r="E3275" s="35" t="n">
        <x:v>1</x:v>
      </x:c>
      <x:c r="F3275" s="36"/>
      <x:c r="G3275" s="36" t="str">
        <x:f>IF(ISNUMBER(F3275),E3275*F3275,"")</x:f>
      </x:c>
      <x:c r="H3275" s="37"/>
      <x:c r="I3275" s="37"/>
      <x:c r="J3275" s="1" t="n">
        <x:f>IF(ISNUMBER(F3275),E3275,0)</x:f>
        <x:v>0</x:v>
      </x:c>
      <x:c r="K3275" s="1"/>
      <x:c r="L3275" s="1"/>
      <x:c r="M3275" s="1"/>
    </x:row>
    <x:row r="3276" ht="18.75" customHeight="1">
      <x:c r="A3276" s="1" t="str">
        <x:v>https://blog.skyairline.com/que-es-el-check-in/</x:v>
      </x:c>
      <x:c r="B3276" s="1" t="str">
        <x:v>que es check in</x:v>
      </x:c>
      <x:c r="C3276" s="1" t="str">
        <x:v>chl</x:v>
      </x:c>
      <x:c r="D3276" s="1" t="str">
        <x:v>Sin marca</x:v>
      </x:c>
      <x:c r="E3276" s="35" t="n">
        <x:v>1</x:v>
      </x:c>
      <x:c r="F3276" s="36"/>
      <x:c r="G3276" s="36" t="str">
        <x:f>IF(ISNUMBER(F3276),E3276*F3276,"")</x:f>
      </x:c>
      <x:c r="H3276" s="37" t="d">
        <x:v>2026-10-15T00:00:00.000Z</x:v>
      </x:c>
      <x:c r="I3276" s="37" t="d">
        <x:v>2026-09-14T16:23:39.000Z</x:v>
      </x:c>
      <x:c r="J3276" s="1" t="n">
        <x:f>IF(ISNUMBER(F3276),E3276,0)</x:f>
        <x:v>0</x:v>
      </x:c>
      <x:c r="K3276" s="1"/>
      <x:c r="L3276" s="1"/>
      <x:c r="M3276" s="1"/>
    </x:row>
    <x:row r="3277" ht="18.75" customHeight="1">
      <x:c r="A3277" s="1" t="str">
        <x:v>https://blog.skyairline.com/que-es-el-check-in/</x:v>
      </x:c>
      <x:c r="B3277" s="1" t="str">
        <x:v>que es check in en el aeropuerto</x:v>
      </x:c>
      <x:c r="C3277" s="1" t="str">
        <x:v>per</x:v>
      </x:c>
      <x:c r="D3277" s="1" t="str">
        <x:v>Sin marca</x:v>
      </x:c>
      <x:c r="E3277" s="35" t="n">
        <x:v>1</x:v>
      </x:c>
      <x:c r="F3277" s="36"/>
      <x:c r="G3277" s="36" t="str">
        <x:f>IF(ISNUMBER(F3277),E3277*F3277,"")</x:f>
      </x:c>
      <x:c r="H3277" s="37" t="d">
        <x:v>2026-10-15T00:00:00.000Z</x:v>
      </x:c>
      <x:c r="I3277" s="37" t="d">
        <x:v>2026-09-16T14:01:07.000Z</x:v>
      </x:c>
      <x:c r="J3277" s="1" t="n">
        <x:f>IF(ISNUMBER(F3277),E3277,0)</x:f>
        <x:v>0</x:v>
      </x:c>
      <x:c r="K3277" s="1"/>
      <x:c r="L3277" s="1"/>
      <x:c r="M3277" s="1"/>
    </x:row>
    <x:row r="3278" ht="18.75" customHeight="1">
      <x:c r="A3278" s="1" t="str">
        <x:v>https://blog.skyairline.com/que-es-el-check-in/</x:v>
      </x:c>
      <x:c r="B3278" s="1" t="str">
        <x:v>que es el check in de un vuelo</x:v>
      </x:c>
      <x:c r="C3278" s="1" t="str">
        <x:v>chl</x:v>
      </x:c>
      <x:c r="D3278" s="1" t="str">
        <x:v>Sin marca</x:v>
      </x:c>
      <x:c r="E3278" s="35" t="n">
        <x:v>1</x:v>
      </x:c>
      <x:c r="F3278" s="36"/>
      <x:c r="G3278" s="36" t="str">
        <x:f>IF(ISNUMBER(F3278),E3278*F3278,"")</x:f>
      </x:c>
      <x:c r="H3278" s="37"/>
      <x:c r="I3278" s="37"/>
      <x:c r="J3278" s="1" t="n">
        <x:f>IF(ISNUMBER(F3278),E3278,0)</x:f>
        <x:v>0</x:v>
      </x:c>
      <x:c r="K3278" s="1"/>
      <x:c r="L3278" s="1"/>
      <x:c r="M3278" s="1"/>
    </x:row>
    <x:row r="3279" ht="18.75" customHeight="1">
      <x:c r="A3279" s="1" t="str">
        <x:v>https://blog.skyairline.com/que-es-el-check-in/</x:v>
      </x:c>
      <x:c r="B3279" s="1" t="str">
        <x:v>que es el check in online de un vuelo</x:v>
      </x:c>
      <x:c r="C3279" s="1" t="str">
        <x:v>per</x:v>
      </x:c>
      <x:c r="D3279" s="1" t="str">
        <x:v>Sin marca</x:v>
      </x:c>
      <x:c r="E3279" s="35" t="n">
        <x:v>1</x:v>
      </x:c>
      <x:c r="F3279" s="36"/>
      <x:c r="G3279" s="36" t="str">
        <x:f>IF(ISNUMBER(F3279),E3279*F3279,"")</x:f>
      </x:c>
      <x:c r="H3279" s="37" t="d">
        <x:v>2026-10-15T00:00:00.000Z</x:v>
      </x:c>
      <x:c r="I3279" s="37" t="d">
        <x:v>2026-09-16T17:46:50.000Z</x:v>
      </x:c>
      <x:c r="J3279" s="1" t="n">
        <x:f>IF(ISNUMBER(F3279),E3279,0)</x:f>
        <x:v>0</x:v>
      </x:c>
      <x:c r="K3279" s="1"/>
      <x:c r="L3279" s="1"/>
      <x:c r="M3279" s="1"/>
    </x:row>
    <x:row r="3280" ht="18.75" customHeight="1">
      <x:c r="A3280" s="1" t="str">
        <x:v>https://blog.skyairline.com/que-es-el-check-in/</x:v>
      </x:c>
      <x:c r="B3280" s="1" t="str">
        <x:v>que es el check in?</x:v>
      </x:c>
      <x:c r="C3280" s="1" t="str">
        <x:v>chl</x:v>
      </x:c>
      <x:c r="D3280" s="1" t="str">
        <x:v>Sin marca</x:v>
      </x:c>
      <x:c r="E3280" s="35" t="n">
        <x:v>1</x:v>
      </x:c>
      <x:c r="F3280" s="36"/>
      <x:c r="G3280" s="36" t="str">
        <x:f>IF(ISNUMBER(F3280),E3280*F3280,"")</x:f>
      </x:c>
      <x:c r="H3280" s="37"/>
      <x:c r="I3280" s="37"/>
      <x:c r="J3280" s="1" t="n">
        <x:f>IF(ISNUMBER(F3280),E3280,0)</x:f>
        <x:v>0</x:v>
      </x:c>
      <x:c r="K3280" s="1"/>
      <x:c r="L3280" s="1"/>
      <x:c r="M3280" s="1"/>
    </x:row>
    <x:row r="3281" ht="18.75" customHeight="1">
      <x:c r="A3281" s="1" t="str">
        <x:v>https://blog.skyairline.com/que-es-el-check-in/</x:v>
      </x:c>
      <x:c r="B3281" s="1" t="str">
        <x:v>que es hacer check in en un vuelo</x:v>
      </x:c>
      <x:c r="C3281" s="1" t="str">
        <x:v>chl</x:v>
      </x:c>
      <x:c r="D3281" s="1" t="str">
        <x:v>Sin marca</x:v>
      </x:c>
      <x:c r="E3281" s="35" t="n">
        <x:v>1</x:v>
      </x:c>
      <x:c r="F3281" s="36"/>
      <x:c r="G3281" s="36" t="str">
        <x:f>IF(ISNUMBER(F3281),E3281*F3281,"")</x:f>
      </x:c>
      <x:c r="H3281" s="37"/>
      <x:c r="I3281" s="37"/>
      <x:c r="J3281" s="1" t="n">
        <x:f>IF(ISNUMBER(F3281),E3281,0)</x:f>
        <x:v>0</x:v>
      </x:c>
      <x:c r="K3281" s="1"/>
      <x:c r="L3281" s="1"/>
      <x:c r="M3281" s="1"/>
    </x:row>
    <x:row r="3282" ht="18.75" customHeight="1">
      <x:c r="A3282" s="1" t="str">
        <x:v>https://blog.skyairline.com/que-es-el-check-in/</x:v>
      </x:c>
      <x:c r="B3282" s="1" t="str">
        <x:v>que es un check in en el aeropuerto</x:v>
      </x:c>
      <x:c r="C3282" s="1" t="str">
        <x:v>per</x:v>
      </x:c>
      <x:c r="D3282" s="1" t="str">
        <x:v>Sin marca</x:v>
      </x:c>
      <x:c r="E3282" s="35" t="n">
        <x:v>1</x:v>
      </x:c>
      <x:c r="F3282" s="36"/>
      <x:c r="G3282" s="36" t="str">
        <x:f>IF(ISNUMBER(F3282),E3282*F3282,"")</x:f>
      </x:c>
      <x:c r="H3282" s="37"/>
      <x:c r="I3282" s="37"/>
      <x:c r="J3282" s="1" t="n">
        <x:f>IF(ISNUMBER(F3282),E3282,0)</x:f>
        <x:v>0</x:v>
      </x:c>
      <x:c r="K3282" s="1"/>
      <x:c r="L3282" s="1"/>
      <x:c r="M3282" s="1"/>
    </x:row>
    <x:row r="3283" ht="18.75" customHeight="1">
      <x:c r="A3283" s="1" t="str">
        <x:v>https://blog.skyairline.com/que-es-el-check-in/</x:v>
      </x:c>
      <x:c r="B3283" s="1" t="str">
        <x:v>qué es el check-in</x:v>
      </x:c>
      <x:c r="C3283" s="1" t="str">
        <x:v>per</x:v>
      </x:c>
      <x:c r="D3283" s="1" t="str">
        <x:v>Sin marca</x:v>
      </x:c>
      <x:c r="E3283" s="35" t="n">
        <x:v>1</x:v>
      </x:c>
      <x:c r="F3283" s="36"/>
      <x:c r="G3283" s="36" t="str">
        <x:f>IF(ISNUMBER(F3283),E3283*F3283,"")</x:f>
      </x:c>
      <x:c r="H3283" s="37"/>
      <x:c r="I3283" s="37"/>
      <x:c r="J3283" s="1" t="n">
        <x:f>IF(ISNUMBER(F3283),E3283,0)</x:f>
        <x:v>0</x:v>
      </x:c>
      <x:c r="K3283" s="1"/>
      <x:c r="L3283" s="1"/>
      <x:c r="M3283" s="1"/>
    </x:row>
    <x:row r="3284" ht="18.75" customHeight="1">
      <x:c r="A3284" s="1" t="str">
        <x:v>https://blog.skyairline.com/que-es-el-check-in/</x:v>
      </x:c>
      <x:c r="B3284" s="1" t="str">
        <x:v>sky check in</x:v>
      </x:c>
      <x:c r="C3284" s="1" t="str">
        <x:v>chl</x:v>
      </x:c>
      <x:c r="D3284" s="1" t="str">
        <x:v>Marca</x:v>
      </x:c>
      <x:c r="E3284" s="35" t="n">
        <x:v>1</x:v>
      </x:c>
      <x:c r="F3284" s="36" t="n">
        <x:v>0.19</x:v>
      </x:c>
      <x:c r="G3284" s="36" t="n">
        <x:f>IF(ISNUMBER(F3284),E3284*F3284,"")</x:f>
        <x:v>0.19</x:v>
      </x:c>
      <x:c r="H3284" s="37" t="d">
        <x:v>2026-10-15T00:00:00.000Z</x:v>
      </x:c>
      <x:c r="I3284" s="37" t="d">
        <x:v>2026-09-15T15:26:25.000Z</x:v>
      </x:c>
      <x:c r="J3284" s="1" t="n">
        <x:f>IF(ISNUMBER(F3284),E3284,0)</x:f>
        <x:v>1</x:v>
      </x:c>
      <x:c r="K3284" s="1"/>
      <x:c r="L3284" s="1"/>
      <x:c r="M3284" s="1"/>
    </x:row>
    <x:row r="3285" ht="18.75" customHeight="1">
      <x:c r="A3285" s="1" t="str">
        <x:v>https://blog.skyairline.com/que-es-el-diechiocho/</x:v>
      </x:c>
      <x:c r="B3285" s="1" t="str">
        <x:v>disiochero</x:v>
      </x:c>
      <x:c r="C3285" s="1" t="str">
        <x:v>chl</x:v>
      </x:c>
      <x:c r="D3285" s="1" t="str">
        <x:v>Sin marca</x:v>
      </x:c>
      <x:c r="E3285" s="35" t="n">
        <x:v>1</x:v>
      </x:c>
      <x:c r="F3285" s="36"/>
      <x:c r="G3285" s="36" t="str">
        <x:f>IF(ISNUMBER(F3285),E3285*F3285,"")</x:f>
      </x:c>
      <x:c r="H3285" s="37"/>
      <x:c r="I3285" s="37"/>
      <x:c r="J3285" s="1" t="n">
        <x:f>IF(ISNUMBER(F3285),E3285,0)</x:f>
        <x:v>0</x:v>
      </x:c>
      <x:c r="K3285" s="1"/>
      <x:c r="L3285" s="1"/>
      <x:c r="M3285" s="1"/>
    </x:row>
    <x:row r="3286" ht="18.75" customHeight="1">
      <x:c r="A3286" s="1" t="str">
        <x:v>https://blog.skyairline.com/que-es-el-equipaje-documentado/</x:v>
      </x:c>
      <x:c r="B3286" s="1" t="str">
        <x:v>equipaje de bodega sky</x:v>
      </x:c>
      <x:c r="C3286" s="1" t="str">
        <x:v>chl</x:v>
      </x:c>
      <x:c r="D3286" s="1" t="str">
        <x:v>Marca</x:v>
      </x:c>
      <x:c r="E3286" s="35" t="n">
        <x:v>1</x:v>
      </x:c>
      <x:c r="F3286" s="36"/>
      <x:c r="G3286" s="36" t="str">
        <x:f>IF(ISNUMBER(F3286),E3286*F3286,"")</x:f>
      </x:c>
      <x:c r="H3286" s="37" t="d">
        <x:v>2026-10-15T00:00:00.000Z</x:v>
      </x:c>
      <x:c r="I3286" s="37" t="d">
        <x:v>2026-09-13T10:51:40.000Z</x:v>
      </x:c>
      <x:c r="J3286" s="1" t="n">
        <x:f>IF(ISNUMBER(F3286),E3286,0)</x:f>
        <x:v>0</x:v>
      </x:c>
      <x:c r="K3286" s="1"/>
      <x:c r="L3286" s="1"/>
      <x:c r="M3286" s="1"/>
    </x:row>
    <x:row r="3287" ht="18.75" customHeight="1">
      <x:c r="A3287" s="1" t="str">
        <x:v>https://blog.skyairline.com/que-es-el-equipaje-documentado/</x:v>
      </x:c>
      <x:c r="B3287" s="1" t="str">
        <x:v>equipaje de bodega sky</x:v>
      </x:c>
      <x:c r="C3287" s="1" t="str">
        <x:v>per</x:v>
      </x:c>
      <x:c r="D3287" s="1" t="str">
        <x:v>Marca</x:v>
      </x:c>
      <x:c r="E3287" s="35" t="n">
        <x:v>1</x:v>
      </x:c>
      <x:c r="F3287" s="36"/>
      <x:c r="G3287" s="36" t="str">
        <x:f>IF(ISNUMBER(F3287),E3287*F3287,"")</x:f>
      </x:c>
      <x:c r="H3287" s="37" t="d">
        <x:v>2026-10-15T00:00:00.000Z</x:v>
      </x:c>
      <x:c r="I3287" s="37" t="d">
        <x:v>2026-09-15T11:40:31.000Z</x:v>
      </x:c>
      <x:c r="J3287" s="1" t="n">
        <x:f>IF(ISNUMBER(F3287),E3287,0)</x:f>
        <x:v>0</x:v>
      </x:c>
      <x:c r="K3287" s="1"/>
      <x:c r="L3287" s="1"/>
      <x:c r="M3287" s="1"/>
    </x:row>
    <x:row r="3288" ht="18.75" customHeight="1">
      <x:c r="A3288" s="1" t="str">
        <x:v>https://blog.skyairline.com/que-es-el-equipaje-documentado/</x:v>
      </x:c>
      <x:c r="B3288" s="1" t="str">
        <x:v>equipaje en bodega sky</x:v>
      </x:c>
      <x:c r="C3288" s="1" t="str">
        <x:v>usa</x:v>
      </x:c>
      <x:c r="D3288" s="1" t="str">
        <x:v>Marca</x:v>
      </x:c>
      <x:c r="E3288" s="35" t="n">
        <x:v>1</x:v>
      </x:c>
      <x:c r="F3288" s="36"/>
      <x:c r="G3288" s="36" t="str">
        <x:f>IF(ISNUMBER(F3288),E3288*F3288,"")</x:f>
      </x:c>
      <x:c r="H3288" s="37"/>
      <x:c r="I3288" s="37"/>
      <x:c r="J3288" s="1" t="n">
        <x:f>IF(ISNUMBER(F3288),E3288,0)</x:f>
        <x:v>0</x:v>
      </x:c>
      <x:c r="K3288" s="1"/>
      <x:c r="L3288" s="1"/>
      <x:c r="M3288" s="1"/>
    </x:row>
    <x:row r="3289" ht="18.75" customHeight="1">
      <x:c r="A3289" s="1" t="str">
        <x:v>https://blog.skyairline.com/que-es-el-equipaje-documentado/</x:v>
      </x:c>
      <x:c r="B3289" s="1" t="str">
        <x:v>equipaje para documentar</x:v>
      </x:c>
      <x:c r="C3289" s="1" t="str">
        <x:v>per</x:v>
      </x:c>
      <x:c r="D3289" s="1" t="str">
        <x:v>Sin marca</x:v>
      </x:c>
      <x:c r="E3289" s="35" t="n">
        <x:v>1</x:v>
      </x:c>
      <x:c r="F3289" s="36"/>
      <x:c r="G3289" s="36" t="str">
        <x:f>IF(ISNUMBER(F3289),E3289*F3289,"")</x:f>
      </x:c>
      <x:c r="H3289" s="37"/>
      <x:c r="I3289" s="37"/>
      <x:c r="J3289" s="1" t="n">
        <x:f>IF(ISNUMBER(F3289),E3289,0)</x:f>
        <x:v>0</x:v>
      </x:c>
      <x:c r="K3289" s="1"/>
      <x:c r="L3289" s="1"/>
      <x:c r="M3289" s="1"/>
    </x:row>
    <x:row r="3290" ht="18.75" customHeight="1">
      <x:c r="A3290" s="1" t="str">
        <x:v>https://blog.skyairline.com/que-es-el-equipaje-documentado/</x:v>
      </x:c>
      <x:c r="B3290" s="1" t="str">
        <x:v>medidas de bolso de mano sky</x:v>
      </x:c>
      <x:c r="C3290" s="1" t="str">
        <x:v>chl</x:v>
      </x:c>
      <x:c r="D3290" s="1" t="str">
        <x:v>Marca</x:v>
      </x:c>
      <x:c r="E3290" s="35" t="n">
        <x:v>1</x:v>
      </x:c>
      <x:c r="F3290" s="36"/>
      <x:c r="G3290" s="36" t="str">
        <x:f>IF(ISNUMBER(F3290),E3290*F3290,"")</x:f>
      </x:c>
      <x:c r="H3290" s="37"/>
      <x:c r="I3290" s="37"/>
      <x:c r="J3290" s="1" t="n">
        <x:f>IF(ISNUMBER(F3290),E3290,0)</x:f>
        <x:v>0</x:v>
      </x:c>
      <x:c r="K3290" s="1"/>
      <x:c r="L3290" s="1"/>
      <x:c r="M3290" s="1"/>
    </x:row>
    <x:row r="3291" ht="18.75" customHeight="1">
      <x:c r="A3291" s="1" t="str">
        <x:v>https://blog.skyairline.com/que-es-el-equipaje-documentado/</x:v>
      </x:c>
      <x:c r="B3291" s="1" t="str">
        <x:v>medidas equipaje de mano sky</x:v>
      </x:c>
      <x:c r="C3291" s="1" t="str">
        <x:v>chl</x:v>
      </x:c>
      <x:c r="D3291" s="1" t="str">
        <x:v>Marca</x:v>
      </x:c>
      <x:c r="E3291" s="35" t="n">
        <x:v>1</x:v>
      </x:c>
      <x:c r="F3291" s="36" t="n">
        <x:v>0.35</x:v>
      </x:c>
      <x:c r="G3291" s="36" t="n">
        <x:f>IF(ISNUMBER(F3291),E3291*F3291,"")</x:f>
        <x:v>0.35</x:v>
      </x:c>
      <x:c r="H3291" s="37" t="d">
        <x:v>2026-10-15T00:00:00.000Z</x:v>
      </x:c>
      <x:c r="I3291" s="37" t="d">
        <x:v>2026-09-15T16:47:03.000Z</x:v>
      </x:c>
      <x:c r="J3291" s="1" t="n">
        <x:f>IF(ISNUMBER(F3291),E3291,0)</x:f>
        <x:v>1</x:v>
      </x:c>
      <x:c r="K3291" s="1"/>
      <x:c r="L3291" s="1"/>
      <x:c r="M3291" s="1"/>
    </x:row>
    <x:row r="3292" ht="18.75" customHeight="1">
      <x:c r="A3292" s="1" t="str">
        <x:v>https://blog.skyairline.com/que-es-el-equipaje-documentado/</x:v>
      </x:c>
      <x:c r="B3292" s="1" t="str">
        <x:v>para que se documenta el equipaje</x:v>
      </x:c>
      <x:c r="C3292" s="1" t="str">
        <x:v>mex</x:v>
      </x:c>
      <x:c r="D3292" s="1" t="str">
        <x:v>Sin marca</x:v>
      </x:c>
      <x:c r="E3292" s="35" t="n">
        <x:v>1</x:v>
      </x:c>
      <x:c r="F3292" s="36"/>
      <x:c r="G3292" s="36" t="str">
        <x:f>IF(ISNUMBER(F3292),E3292*F3292,"")</x:f>
      </x:c>
      <x:c r="H3292" s="37"/>
      <x:c r="I3292" s="37"/>
      <x:c r="J3292" s="1" t="n">
        <x:f>IF(ISNUMBER(F3292),E3292,0)</x:f>
        <x:v>0</x:v>
      </x:c>
      <x:c r="K3292" s="1"/>
      <x:c r="L3292" s="1"/>
      <x:c r="M3292" s="1"/>
    </x:row>
    <x:row r="3293" ht="18.75" customHeight="1">
      <x:c r="A3293" s="1" t="str">
        <x:v>https://blog.skyairline.com/que-es-el-equipaje-documentado/</x:v>
      </x:c>
      <x:c r="B3293" s="1" t="str">
        <x:v>que es una maleta documentada</x:v>
      </x:c>
      <x:c r="C3293" s="1" t="str">
        <x:v>chl</x:v>
      </x:c>
      <x:c r="D3293" s="1" t="str">
        <x:v>Sin marca</x:v>
      </x:c>
      <x:c r="E3293" s="35" t="n">
        <x:v>1</x:v>
      </x:c>
      <x:c r="F3293" s="36"/>
      <x:c r="G3293" s="36" t="str">
        <x:f>IF(ISNUMBER(F3293),E3293*F3293,"")</x:f>
      </x:c>
      <x:c r="H3293" s="37"/>
      <x:c r="I3293" s="37"/>
      <x:c r="J3293" s="1" t="n">
        <x:f>IF(ISNUMBER(F3293),E3293,0)</x:f>
        <x:v>0</x:v>
      </x:c>
      <x:c r="K3293" s="1"/>
      <x:c r="L3293" s="1"/>
      <x:c r="M3293" s="1"/>
    </x:row>
    <x:row r="3294" ht="18.75" customHeight="1">
      <x:c r="A3294" s="1" t="str">
        <x:v>https://blog.skyairline.com/que-es-el-equipaje-documentado/</x:v>
      </x:c>
      <x:c r="B3294" s="1" t="str">
        <x:v>que significa equipaje documentado</x:v>
      </x:c>
      <x:c r="C3294" s="1" t="str">
        <x:v>per</x:v>
      </x:c>
      <x:c r="D3294" s="1" t="str">
        <x:v>Sin marca</x:v>
      </x:c>
      <x:c r="E3294" s="35" t="n">
        <x:v>1</x:v>
      </x:c>
      <x:c r="F3294" s="36"/>
      <x:c r="G3294" s="36" t="str">
        <x:f>IF(ISNUMBER(F3294),E3294*F3294,"")</x:f>
      </x:c>
      <x:c r="H3294" s="37"/>
      <x:c r="I3294" s="37"/>
      <x:c r="J3294" s="1" t="n">
        <x:f>IF(ISNUMBER(F3294),E3294,0)</x:f>
        <x:v>0</x:v>
      </x:c>
      <x:c r="K3294" s="1"/>
      <x:c r="L3294" s="1"/>
      <x:c r="M3294" s="1"/>
    </x:row>
    <x:row r="3295" ht="18.75" customHeight="1">
      <x:c r="A3295" s="1" t="str">
        <x:v>https://blog.skyairline.com/que-es-el-equipaje-documentado/</x:v>
      </x:c>
      <x:c r="B3295" s="1" t="str">
        <x:v>sky equipaje de bodega</x:v>
      </x:c>
      <x:c r="C3295" s="1" t="str">
        <x:v>arg</x:v>
      </x:c>
      <x:c r="D3295" s="1" t="str">
        <x:v>Marca</x:v>
      </x:c>
      <x:c r="E3295" s="35" t="n">
        <x:v>1</x:v>
      </x:c>
      <x:c r="F3295" s="36"/>
      <x:c r="G3295" s="36" t="str">
        <x:f>IF(ISNUMBER(F3295),E3295*F3295,"")</x:f>
      </x:c>
      <x:c r="H3295" s="37"/>
      <x:c r="I3295" s="37"/>
      <x:c r="J3295" s="1" t="n">
        <x:f>IF(ISNUMBER(F3295),E3295,0)</x:f>
        <x:v>0</x:v>
      </x:c>
      <x:c r="K3295" s="1"/>
      <x:c r="L3295" s="1"/>
      <x:c r="M3295" s="1"/>
    </x:row>
    <x:row r="3296" ht="18.75" customHeight="1">
      <x:c r="A3296" s="1" t="str">
        <x:v>https://blog.skyairline.com/que-es-el-equipaje-documentado/</x:v>
      </x:c>
      <x:c r="B3296" s="1" t="str">
        <x:v>sky equipaje de bodega</x:v>
      </x:c>
      <x:c r="C3296" s="1" t="str">
        <x:v>chl</x:v>
      </x:c>
      <x:c r="D3296" s="1" t="str">
        <x:v>Marca</x:v>
      </x:c>
      <x:c r="E3296" s="35" t="n">
        <x:v>1</x:v>
      </x:c>
      <x:c r="F3296" s="36"/>
      <x:c r="G3296" s="36" t="str">
        <x:f>IF(ISNUMBER(F3296),E3296*F3296,"")</x:f>
      </x:c>
      <x:c r="H3296" s="37" t="d">
        <x:v>2026-10-15T00:00:00.000Z</x:v>
      </x:c>
      <x:c r="I3296" s="37" t="d">
        <x:v>2026-09-12T18:38:11.000Z</x:v>
      </x:c>
      <x:c r="J3296" s="1" t="n">
        <x:f>IF(ISNUMBER(F3296),E3296,0)</x:f>
        <x:v>0</x:v>
      </x:c>
      <x:c r="K3296" s="1"/>
      <x:c r="L3296" s="1"/>
      <x:c r="M3296" s="1"/>
    </x:row>
    <x:row r="3297" ht="18.75" customHeight="1">
      <x:c r="A3297" s="1" t="str">
        <x:v>https://blog.skyairline.com/que-es-el-equipaje-documentado/</x:v>
      </x:c>
      <x:c r="B3297" s="1" t="str">
        <x:v>sky equipaje de bodega</x:v>
      </x:c>
      <x:c r="C3297" s="1" t="str">
        <x:v>per</x:v>
      </x:c>
      <x:c r="D3297" s="1" t="str">
        <x:v>Marca</x:v>
      </x:c>
      <x:c r="E3297" s="35" t="n">
        <x:v>1</x:v>
      </x:c>
      <x:c r="F3297" s="36" t="n">
        <x:v>0.89</x:v>
      </x:c>
      <x:c r="G3297" s="36" t="n">
        <x:f>IF(ISNUMBER(F3297),E3297*F3297,"")</x:f>
        <x:v>0.89</x:v>
      </x:c>
      <x:c r="H3297" s="37" t="d">
        <x:v>2026-10-15T00:00:00.000Z</x:v>
      </x:c>
      <x:c r="I3297" s="37" t="d">
        <x:v>2026-09-17T13:40:51.000Z</x:v>
      </x:c>
      <x:c r="J3297" s="1" t="n">
        <x:f>IF(ISNUMBER(F3297),E3297,0)</x:f>
        <x:v>1</x:v>
      </x:c>
      <x:c r="K3297" s="1"/>
      <x:c r="L3297" s="1"/>
      <x:c r="M3297" s="1"/>
    </x:row>
    <x:row r="3298" ht="18.75" customHeight="1">
      <x:c r="A3298" s="1" t="str">
        <x:v>https://blog.skyairline.com/que-es-el-fruto-de-oro-y-donde-se-encuentra/</x:v>
      </x:c>
      <x:c r="B3298" s="1" t="str">
        <x:v>fruta de oro</x:v>
      </x:c>
      <x:c r="C3298" s="1" t="str">
        <x:v>chl</x:v>
      </x:c>
      <x:c r="D3298" s="1" t="str">
        <x:v>Sin marca</x:v>
      </x:c>
      <x:c r="E3298" s="35" t="n">
        <x:v>1</x:v>
      </x:c>
      <x:c r="F3298" s="36"/>
      <x:c r="G3298" s="36" t="str">
        <x:f>IF(ISNUMBER(F3298),E3298*F3298,"")</x:f>
      </x:c>
      <x:c r="H3298" s="37" t="d">
        <x:v>2026-10-15T00:00:00.000Z</x:v>
      </x:c>
      <x:c r="I3298" s="37" t="d">
        <x:v>2026-09-15T07:59:53.000Z</x:v>
      </x:c>
      <x:c r="J3298" s="1" t="n">
        <x:f>IF(ISNUMBER(F3298),E3298,0)</x:f>
        <x:v>0</x:v>
      </x:c>
      <x:c r="K3298" s="1"/>
      <x:c r="L3298" s="1"/>
      <x:c r="M3298" s="1"/>
    </x:row>
    <x:row r="3299" ht="18.75" customHeight="1">
      <x:c r="A3299" s="1" t="str">
        <x:v>https://blog.skyairline.com/que-es-el-fruto-de-oro-y-donde-se-encuentra/</x:v>
      </x:c>
      <x:c r="B3299" s="1" t="str">
        <x:v>fruto de oro chile</x:v>
      </x:c>
      <x:c r="C3299" s="1" t="str">
        <x:v>chl</x:v>
      </x:c>
      <x:c r="D3299" s="1" t="str">
        <x:v>Sin marca</x:v>
      </x:c>
      <x:c r="E3299" s="35" t="n">
        <x:v>1</x:v>
      </x:c>
      <x:c r="F3299" s="36" t="n">
        <x:v>0.76</x:v>
      </x:c>
      <x:c r="G3299" s="36" t="n">
        <x:f>IF(ISNUMBER(F3299),E3299*F3299,"")</x:f>
        <x:v>0.76</x:v>
      </x:c>
      <x:c r="H3299" s="37" t="d">
        <x:v>2026-10-15T00:00:00.000Z</x:v>
      </x:c>
      <x:c r="I3299" s="37" t="d">
        <x:v>2026-09-12T23:36:56.000Z</x:v>
      </x:c>
      <x:c r="J3299" s="1" t="n">
        <x:f>IF(ISNUMBER(F3299),E3299,0)</x:f>
        <x:v>1</x:v>
      </x:c>
      <x:c r="K3299" s="1"/>
      <x:c r="L3299" s="1"/>
      <x:c r="M3299" s="1"/>
    </x:row>
    <x:row r="3300" ht="18.75" customHeight="1">
      <x:c r="A3300" s="1" t="str">
        <x:v>https://blog.skyairline.com/que-es-hostal/</x:v>
      </x:c>
      <x:c r="B3300" s="1" t="str">
        <x:v>hostal</x:v>
      </x:c>
      <x:c r="C3300" s="1" t="str">
        <x:v>mex</x:v>
      </x:c>
      <x:c r="D3300" s="1" t="str">
        <x:v>Sin marca</x:v>
      </x:c>
      <x:c r="E3300" s="35" t="n">
        <x:v>1</x:v>
      </x:c>
      <x:c r="F3300" s="36"/>
      <x:c r="G3300" s="36" t="str">
        <x:f>IF(ISNUMBER(F3300),E3300*F3300,"")</x:f>
      </x:c>
      <x:c r="H3300" s="37"/>
      <x:c r="I3300" s="37"/>
      <x:c r="J3300" s="1" t="n">
        <x:f>IF(ISNUMBER(F3300),E3300,0)</x:f>
        <x:v>0</x:v>
      </x:c>
      <x:c r="K3300" s="1"/>
      <x:c r="L3300" s="1"/>
      <x:c r="M3300" s="1"/>
    </x:row>
    <x:row r="3301" ht="18.75" customHeight="1">
      <x:c r="A3301" s="1" t="str">
        <x:v>https://blog.skyairline.com/que-es-hostal/</x:v>
      </x:c>
      <x:c r="B3301" s="1" t="str">
        <x:v>hostal definicion</x:v>
      </x:c>
      <x:c r="C3301" s="1" t="str">
        <x:v>mex</x:v>
      </x:c>
      <x:c r="D3301" s="1" t="str">
        <x:v>Sin marca</x:v>
      </x:c>
      <x:c r="E3301" s="35" t="n">
        <x:v>1</x:v>
      </x:c>
      <x:c r="F3301" s="36"/>
      <x:c r="G3301" s="36" t="str">
        <x:f>IF(ISNUMBER(F3301),E3301*F3301,"")</x:f>
      </x:c>
      <x:c r="H3301" s="37"/>
      <x:c r="I3301" s="37"/>
      <x:c r="J3301" s="1" t="n">
        <x:f>IF(ISNUMBER(F3301),E3301,0)</x:f>
        <x:v>0</x:v>
      </x:c>
      <x:c r="K3301" s="1"/>
      <x:c r="L3301" s="1"/>
      <x:c r="M3301" s="1"/>
    </x:row>
    <x:row r="3302" ht="18.75" customHeight="1">
      <x:c r="A3302" s="1" t="str">
        <x:v>https://blog.skyairline.com/que-es-hostal/</x:v>
      </x:c>
      <x:c r="B3302" s="1" t="str">
        <x:v>hostal el vecino</x:v>
      </x:c>
      <x:c r="C3302" s="1" t="str">
        <x:v>col</x:v>
      </x:c>
      <x:c r="D3302" s="1" t="str">
        <x:v>Sin marca</x:v>
      </x:c>
      <x:c r="E3302" s="35" t="n">
        <x:v>1</x:v>
      </x:c>
      <x:c r="F3302" s="36"/>
      <x:c r="G3302" s="36" t="str">
        <x:f>IF(ISNUMBER(F3302),E3302*F3302,"")</x:f>
      </x:c>
      <x:c r="H3302" s="37"/>
      <x:c r="I3302" s="37"/>
      <x:c r="J3302" s="1" t="n">
        <x:f>IF(ISNUMBER(F3302),E3302,0)</x:f>
        <x:v>0</x:v>
      </x:c>
      <x:c r="K3302" s="1"/>
      <x:c r="L3302" s="1"/>
      <x:c r="M3302" s="1"/>
    </x:row>
    <x:row r="3303" ht="18.75" customHeight="1">
      <x:c r="A3303" s="1" t="str">
        <x:v>https://blog.skyairline.com/que-es-hostal/</x:v>
      </x:c>
      <x:c r="B3303" s="1" t="str">
        <x:v>hostal que es</x:v>
      </x:c>
      <x:c r="C3303" s="1" t="str">
        <x:v>mex</x:v>
      </x:c>
      <x:c r="D3303" s="1" t="str">
        <x:v>Sin marca</x:v>
      </x:c>
      <x:c r="E3303" s="35" t="n">
        <x:v>1</x:v>
      </x:c>
      <x:c r="F3303" s="36"/>
      <x:c r="G3303" s="36" t="str">
        <x:f>IF(ISNUMBER(F3303),E3303*F3303,"")</x:f>
      </x:c>
      <x:c r="H3303" s="37"/>
      <x:c r="I3303" s="37"/>
      <x:c r="J3303" s="1" t="n">
        <x:f>IF(ISNUMBER(F3303),E3303,0)</x:f>
        <x:v>0</x:v>
      </x:c>
      <x:c r="K3303" s="1"/>
      <x:c r="L3303" s="1"/>
      <x:c r="M3303" s="1"/>
    </x:row>
    <x:row r="3304" ht="18.75" customHeight="1">
      <x:c r="A3304" s="1" t="str">
        <x:v>https://blog.skyairline.com/que-es-hostal/</x:v>
      </x:c>
      <x:c r="B3304" s="1" t="str">
        <x:v>hostal significado</x:v>
      </x:c>
      <x:c r="C3304" s="1" t="str">
        <x:v>pry</x:v>
      </x:c>
      <x:c r="D3304" s="1" t="str">
        <x:v>Sin marca</x:v>
      </x:c>
      <x:c r="E3304" s="35" t="n">
        <x:v>1</x:v>
      </x:c>
      <x:c r="F3304" s="36"/>
      <x:c r="G3304" s="36" t="str">
        <x:f>IF(ISNUMBER(F3304),E3304*F3304,"")</x:f>
      </x:c>
      <x:c r="H3304" s="37"/>
      <x:c r="I3304" s="37"/>
      <x:c r="J3304" s="1" t="n">
        <x:f>IF(ISNUMBER(F3304),E3304,0)</x:f>
        <x:v>0</x:v>
      </x:c>
      <x:c r="K3304" s="1"/>
      <x:c r="L3304" s="1"/>
      <x:c r="M3304" s="1"/>
    </x:row>
    <x:row r="3305" ht="18.75" customHeight="1">
      <x:c r="A3305" s="1" t="str">
        <x:v>https://blog.skyairline.com/que-es-hostal/</x:v>
      </x:c>
      <x:c r="B3305" s="1" t="str">
        <x:v>que es hostal</x:v>
      </x:c>
      <x:c r="C3305" s="1" t="str">
        <x:v>mex</x:v>
      </x:c>
      <x:c r="D3305" s="1" t="str">
        <x:v>Sin marca</x:v>
      </x:c>
      <x:c r="E3305" s="35" t="n">
        <x:v>1</x:v>
      </x:c>
      <x:c r="F3305" s="36"/>
      <x:c r="G3305" s="36" t="str">
        <x:f>IF(ISNUMBER(F3305),E3305*F3305,"")</x:f>
      </x:c>
      <x:c r="H3305" s="37"/>
      <x:c r="I3305" s="37"/>
      <x:c r="J3305" s="1" t="n">
        <x:f>IF(ISNUMBER(F3305),E3305,0)</x:f>
        <x:v>0</x:v>
      </x:c>
      <x:c r="K3305" s="1"/>
      <x:c r="L3305" s="1"/>
      <x:c r="M3305" s="1"/>
    </x:row>
    <x:row r="3306" ht="18.75" customHeight="1">
      <x:c r="A3306" s="1" t="str">
        <x:v>https://blog.skyairline.com/que-es-hostal/</x:v>
      </x:c>
      <x:c r="B3306" s="1" t="str">
        <x:v>que es un hostal</x:v>
      </x:c>
      <x:c r="C3306" s="1" t="str">
        <x:v>chl</x:v>
      </x:c>
      <x:c r="D3306" s="1" t="str">
        <x:v>Sin marca</x:v>
      </x:c>
      <x:c r="E3306" s="35" t="n">
        <x:v>1</x:v>
      </x:c>
      <x:c r="F3306" s="36"/>
      <x:c r="G3306" s="36" t="str">
        <x:f>IF(ISNUMBER(F3306),E3306*F3306,"")</x:f>
      </x:c>
      <x:c r="H3306" s="37" t="d">
        <x:v>2026-10-15T00:00:00.000Z</x:v>
      </x:c>
      <x:c r="I3306" s="37" t="d">
        <x:v>2026-09-12T21:15:44.000Z</x:v>
      </x:c>
      <x:c r="J3306" s="1" t="n">
        <x:f>IF(ISNUMBER(F3306),E3306,0)</x:f>
        <x:v>0</x:v>
      </x:c>
      <x:c r="K3306" s="1"/>
      <x:c r="L3306" s="1"/>
      <x:c r="M3306" s="1"/>
    </x:row>
    <x:row r="3307" ht="18.75" customHeight="1">
      <x:c r="A3307" s="1" t="str">
        <x:v>https://blog.skyairline.com/que-es-hostal/</x:v>
      </x:c>
      <x:c r="B3307" s="1" t="str">
        <x:v>que es un hostal</x:v>
      </x:c>
      <x:c r="C3307" s="1" t="str">
        <x:v>col</x:v>
      </x:c>
      <x:c r="D3307" s="1" t="str">
        <x:v>Sin marca</x:v>
      </x:c>
      <x:c r="E3307" s="35" t="n">
        <x:v>1</x:v>
      </x:c>
      <x:c r="F3307" s="36"/>
      <x:c r="G3307" s="36" t="str">
        <x:f>IF(ISNUMBER(F3307),E3307*F3307,"")</x:f>
      </x:c>
      <x:c r="H3307" s="37"/>
      <x:c r="I3307" s="37"/>
      <x:c r="J3307" s="1" t="n">
        <x:f>IF(ISNUMBER(F3307),E3307,0)</x:f>
        <x:v>0</x:v>
      </x:c>
      <x:c r="K3307" s="1"/>
      <x:c r="L3307" s="1"/>
      <x:c r="M3307" s="1"/>
    </x:row>
    <x:row r="3308" ht="18.75" customHeight="1">
      <x:c r="A3308" s="1" t="str">
        <x:v>https://blog.skyairline.com/que-es-hostal/</x:v>
      </x:c>
      <x:c r="B3308" s="1" t="str">
        <x:v>que es un hostal en chile</x:v>
      </x:c>
      <x:c r="C3308" s="1" t="str">
        <x:v>chl</x:v>
      </x:c>
      <x:c r="D3308" s="1" t="str">
        <x:v>Sin marca</x:v>
      </x:c>
      <x:c r="E3308" s="35" t="n">
        <x:v>1</x:v>
      </x:c>
      <x:c r="F3308" s="36"/>
      <x:c r="G3308" s="36" t="str">
        <x:f>IF(ISNUMBER(F3308),E3308*F3308,"")</x:f>
      </x:c>
      <x:c r="H3308" s="37" t="d">
        <x:v>2026-10-15T00:00:00.000Z</x:v>
      </x:c>
      <x:c r="I3308" s="37" t="d">
        <x:v>2026-09-15T23:13:24.000Z</x:v>
      </x:c>
      <x:c r="J3308" s="1" t="n">
        <x:f>IF(ISNUMBER(F3308),E3308,0)</x:f>
        <x:v>0</x:v>
      </x:c>
      <x:c r="K3308" s="1"/>
      <x:c r="L3308" s="1"/>
      <x:c r="M3308" s="1"/>
    </x:row>
    <x:row r="3309" ht="18.75" customHeight="1">
      <x:c r="A3309" s="1" t="str">
        <x:v>https://blog.skyairline.com/que-es-hostal/</x:v>
      </x:c>
      <x:c r="B3309" s="1" t="str">
        <x:v>que es un hostal y para que sirve</x:v>
      </x:c>
      <x:c r="C3309" s="1" t="str">
        <x:v>ecu</x:v>
      </x:c>
      <x:c r="D3309" s="1" t="str">
        <x:v>Sin marca</x:v>
      </x:c>
      <x:c r="E3309" s="35" t="n">
        <x:v>1</x:v>
      </x:c>
      <x:c r="F3309" s="36"/>
      <x:c r="G3309" s="36" t="str">
        <x:f>IF(ISNUMBER(F3309),E3309*F3309,"")</x:f>
      </x:c>
      <x:c r="H3309" s="37"/>
      <x:c r="I3309" s="37"/>
      <x:c r="J3309" s="1" t="n">
        <x:f>IF(ISNUMBER(F3309),E3309,0)</x:f>
        <x:v>0</x:v>
      </x:c>
      <x:c r="K3309" s="1"/>
      <x:c r="L3309" s="1"/>
      <x:c r="M3309" s="1"/>
    </x:row>
    <x:row r="3310" ht="18.75" customHeight="1">
      <x:c r="A3310" s="1" t="str">
        <x:v>https://blog.skyairline.com/que-es-hostal/</x:v>
      </x:c>
      <x:c r="B3310" s="1" t="str">
        <x:v>qué es un hostal</x:v>
      </x:c>
      <x:c r="C3310" s="1" t="str">
        <x:v>col</x:v>
      </x:c>
      <x:c r="D3310" s="1" t="str">
        <x:v>Sin marca</x:v>
      </x:c>
      <x:c r="E3310" s="35" t="n">
        <x:v>1</x:v>
      </x:c>
      <x:c r="F3310" s="36"/>
      <x:c r="G3310" s="36" t="str">
        <x:f>IF(ISNUMBER(F3310),E3310*F3310,"")</x:f>
      </x:c>
      <x:c r="H3310" s="37"/>
      <x:c r="I3310" s="37"/>
      <x:c r="J3310" s="1" t="n">
        <x:f>IF(ISNUMBER(F3310),E3310,0)</x:f>
        <x:v>0</x:v>
      </x:c>
      <x:c r="K3310" s="1"/>
      <x:c r="L3310" s="1"/>
      <x:c r="M3310" s="1"/>
    </x:row>
    <x:row r="3311" ht="18.75" customHeight="1">
      <x:c r="A3311" s="1" t="str">
        <x:v>https://blog.skyairline.com/que-es-un-glamping/</x:v>
      </x:c>
      <x:c r="B3311" s="1" t="str">
        <x:v>que es un glamping</x:v>
      </x:c>
      <x:c r="C3311" s="1" t="str">
        <x:v>chl</x:v>
      </x:c>
      <x:c r="D3311" s="1" t="str">
        <x:v>Sin marca</x:v>
      </x:c>
      <x:c r="E3311" s="35" t="n">
        <x:v>1</x:v>
      </x:c>
      <x:c r="F3311" s="36"/>
      <x:c r="G3311" s="36" t="str">
        <x:f>IF(ISNUMBER(F3311),E3311*F3311,"")</x:f>
      </x:c>
      <x:c r="H3311" s="37" t="d">
        <x:v>2026-10-15T00:00:00.000Z</x:v>
      </x:c>
      <x:c r="I3311" s="37" t="d">
        <x:v>2026-09-16T23:33:39.000Z</x:v>
      </x:c>
      <x:c r="J3311" s="1" t="n">
        <x:f>IF(ISNUMBER(F3311),E3311,0)</x:f>
        <x:v>0</x:v>
      </x:c>
      <x:c r="K3311" s="1"/>
      <x:c r="L3311" s="1"/>
      <x:c r="M3311" s="1"/>
    </x:row>
    <x:row r="3312" ht="18.75" customHeight="1">
      <x:c r="A3312" s="1" t="str">
        <x:v>https://blog.skyairline.com/que-es-una-bitacora/</x:v>
      </x:c>
      <x:c r="B3312" s="1" t="str">
        <x:v>bitacora de viaje que es</x:v>
      </x:c>
      <x:c r="C3312" s="1" t="str">
        <x:v>col</x:v>
      </x:c>
      <x:c r="D3312" s="1" t="str">
        <x:v>Sin marca</x:v>
      </x:c>
      <x:c r="E3312" s="35" t="n">
        <x:v>1</x:v>
      </x:c>
      <x:c r="F3312" s="36"/>
      <x:c r="G3312" s="36" t="str">
        <x:f>IF(ISNUMBER(F3312),E3312*F3312,"")</x:f>
      </x:c>
      <x:c r="H3312" s="37"/>
      <x:c r="I3312" s="37"/>
      <x:c r="J3312" s="1" t="n">
        <x:f>IF(ISNUMBER(F3312),E3312,0)</x:f>
        <x:v>0</x:v>
      </x:c>
      <x:c r="K3312" s="1"/>
      <x:c r="L3312" s="1"/>
      <x:c r="M3312" s="1"/>
    </x:row>
    <x:row r="3313" ht="18.75" customHeight="1">
      <x:c r="A3313" s="1" t="str">
        <x:v>https://blog.skyairline.com/que-es-una-bitacora/</x:v>
      </x:c>
      <x:c r="B3313" s="1" t="str">
        <x:v>que es bitacora de viaje</x:v>
      </x:c>
      <x:c r="C3313" s="1" t="str">
        <x:v>usa</x:v>
      </x:c>
      <x:c r="D3313" s="1" t="str">
        <x:v>Sin marca</x:v>
      </x:c>
      <x:c r="E3313" s="35" t="n">
        <x:v>1</x:v>
      </x:c>
      <x:c r="F3313" s="36"/>
      <x:c r="G3313" s="36" t="str">
        <x:f>IF(ISNUMBER(F3313),E3313*F3313,"")</x:f>
      </x:c>
      <x:c r="H3313" s="37"/>
      <x:c r="I3313" s="37"/>
      <x:c r="J3313" s="1" t="n">
        <x:f>IF(ISNUMBER(F3313),E3313,0)</x:f>
        <x:v>0</x:v>
      </x:c>
      <x:c r="K3313" s="1"/>
      <x:c r="L3313" s="1"/>
      <x:c r="M3313" s="1"/>
    </x:row>
    <x:row r="3314" ht="18.75" customHeight="1">
      <x:c r="A3314" s="1" t="str">
        <x:v>https://blog.skyairline.com/que-es-una-bitacora/</x:v>
      </x:c>
      <x:c r="B3314" s="1" t="str">
        <x:v>que es la bitacora</x:v>
      </x:c>
      <x:c r="C3314" s="1" t="str">
        <x:v>gtm</x:v>
      </x:c>
      <x:c r="D3314" s="1" t="str">
        <x:v>Sin marca</x:v>
      </x:c>
      <x:c r="E3314" s="35" t="n">
        <x:v>1</x:v>
      </x:c>
      <x:c r="F3314" s="36"/>
      <x:c r="G3314" s="36" t="str">
        <x:f>IF(ISNUMBER(F3314),E3314*F3314,"")</x:f>
      </x:c>
      <x:c r="H3314" s="37"/>
      <x:c r="I3314" s="37"/>
      <x:c r="J3314" s="1" t="n">
        <x:f>IF(ISNUMBER(F3314),E3314,0)</x:f>
        <x:v>0</x:v>
      </x:c>
      <x:c r="K3314" s="1"/>
      <x:c r="L3314" s="1"/>
      <x:c r="M3314" s="1"/>
    </x:row>
    <x:row r="3315" ht="18.75" customHeight="1">
      <x:c r="A3315" s="1" t="str">
        <x:v>https://blog.skyairline.com/que-es-una-bitacora/</x:v>
      </x:c>
      <x:c r="B3315" s="1" t="str">
        <x:v>que es la bitácora</x:v>
      </x:c>
      <x:c r="C3315" s="1" t="str">
        <x:v>gtm</x:v>
      </x:c>
      <x:c r="D3315" s="1" t="str">
        <x:v>Sin marca</x:v>
      </x:c>
      <x:c r="E3315" s="35" t="n">
        <x:v>1</x:v>
      </x:c>
      <x:c r="F3315" s="36"/>
      <x:c r="G3315" s="36" t="str">
        <x:f>IF(ISNUMBER(F3315),E3315*F3315,"")</x:f>
      </x:c>
      <x:c r="H3315" s="37"/>
      <x:c r="I3315" s="37"/>
      <x:c r="J3315" s="1" t="n">
        <x:f>IF(ISNUMBER(F3315),E3315,0)</x:f>
        <x:v>0</x:v>
      </x:c>
      <x:c r="K3315" s="1"/>
      <x:c r="L3315" s="1"/>
      <x:c r="M3315" s="1"/>
    </x:row>
    <x:row r="3316" ht="18.75" customHeight="1">
      <x:c r="A3316" s="1" t="str">
        <x:v>https://blog.skyairline.com/que-es-una-bitacora/</x:v>
      </x:c>
      <x:c r="B3316" s="1" t="str">
        <x:v>que es una bitacora de viaje</x:v>
      </x:c>
      <x:c r="C3316" s="1" t="str">
        <x:v>mex</x:v>
      </x:c>
      <x:c r="D3316" s="1" t="str">
        <x:v>Sin marca</x:v>
      </x:c>
      <x:c r="E3316" s="35" t="n">
        <x:v>1</x:v>
      </x:c>
      <x:c r="F3316" s="36"/>
      <x:c r="G3316" s="36" t="str">
        <x:f>IF(ISNUMBER(F3316),E3316*F3316,"")</x:f>
      </x:c>
      <x:c r="H3316" s="37"/>
      <x:c r="I3316" s="37"/>
      <x:c r="J3316" s="1" t="n">
        <x:f>IF(ISNUMBER(F3316),E3316,0)</x:f>
        <x:v>0</x:v>
      </x:c>
      <x:c r="K3316" s="1"/>
      <x:c r="L3316" s="1"/>
      <x:c r="M3316" s="1"/>
    </x:row>
    <x:row r="3317" ht="18.75" customHeight="1">
      <x:c r="A3317" s="1" t="str">
        <x:v>https://blog.skyairline.com/que-es-una-bitacora/</x:v>
      </x:c>
      <x:c r="B3317" s="1" t="str">
        <x:v>que es una bitácora</x:v>
      </x:c>
      <x:c r="C3317" s="1" t="str">
        <x:v>mex</x:v>
      </x:c>
      <x:c r="D3317" s="1" t="str">
        <x:v>Sin marca</x:v>
      </x:c>
      <x:c r="E3317" s="35" t="n">
        <x:v>1</x:v>
      </x:c>
      <x:c r="F3317" s="36"/>
      <x:c r="G3317" s="36" t="str">
        <x:f>IF(ISNUMBER(F3317),E3317*F3317,"")</x:f>
      </x:c>
      <x:c r="H3317" s="37"/>
      <x:c r="I3317" s="37"/>
      <x:c r="J3317" s="1" t="n">
        <x:f>IF(ISNUMBER(F3317),E3317,0)</x:f>
        <x:v>0</x:v>
      </x:c>
      <x:c r="K3317" s="1"/>
      <x:c r="L3317" s="1"/>
      <x:c r="M3317" s="1"/>
    </x:row>
    <x:row r="3318" ht="18.75" customHeight="1">
      <x:c r="A3318" s="1" t="str">
        <x:v>https://blog.skyairline.com/que-es-una-bitacora/</x:v>
      </x:c>
      <x:c r="B3318" s="1" t="str">
        <x:v>qué es una bitácora</x:v>
      </x:c>
      <x:c r="C3318" s="1" t="str">
        <x:v>chl</x:v>
      </x:c>
      <x:c r="D3318" s="1" t="str">
        <x:v>Sin marca</x:v>
      </x:c>
      <x:c r="E3318" s="35" t="n">
        <x:v>1</x:v>
      </x:c>
      <x:c r="F3318" s="36"/>
      <x:c r="G3318" s="36" t="str">
        <x:f>IF(ISNUMBER(F3318),E3318*F3318,"")</x:f>
      </x:c>
      <x:c r="H3318" s="37" t="d">
        <x:v>2026-10-15T00:00:00.000Z</x:v>
      </x:c>
      <x:c r="I3318" s="37" t="d">
        <x:v>2026-09-13T11:53:09.000Z</x:v>
      </x:c>
      <x:c r="J3318" s="1" t="n">
        <x:f>IF(ISNUMBER(F3318),E3318,0)</x:f>
        <x:v>0</x:v>
      </x:c>
      <x:c r="K3318" s="1"/>
      <x:c r="L3318" s="1"/>
      <x:c r="M3318" s="1"/>
    </x:row>
    <x:row r="3319" ht="18.75" customHeight="1">
      <x:c r="A3319" s="1" t="str">
        <x:v>https://blog.skyairline.com/que-es-una-bitacora/</x:v>
      </x:c>
      <x:c r="B3319" s="1" t="str">
        <x:v>qué es una bitácora de viaje</x:v>
      </x:c>
      <x:c r="C3319" s="1" t="str">
        <x:v>col</x:v>
      </x:c>
      <x:c r="D3319" s="1" t="str">
        <x:v>Sin marca</x:v>
      </x:c>
      <x:c r="E3319" s="35" t="n">
        <x:v>1</x:v>
      </x:c>
      <x:c r="F3319" s="36"/>
      <x:c r="G3319" s="36" t="str">
        <x:f>IF(ISNUMBER(F3319),E3319*F3319,"")</x:f>
      </x:c>
      <x:c r="H3319" s="37"/>
      <x:c r="I3319" s="37"/>
      <x:c r="J3319" s="1" t="n">
        <x:f>IF(ISNUMBER(F3319),E3319,0)</x:f>
        <x:v>0</x:v>
      </x:c>
      <x:c r="K3319" s="1"/>
      <x:c r="L3319" s="1"/>
      <x:c r="M3319" s="1"/>
    </x:row>
    <x:row r="3320" ht="18.75" customHeight="1">
      <x:c r="A3320" s="1" t="str">
        <x:v>https://blog.skyairline.com/que-estudia-tripulante-cabina/</x:v>
      </x:c>
      <x:c r="B3320" s="1" t="str">
        <x:v>air hostess</x:v>
      </x:c>
      <x:c r="C3320" s="1" t="str">
        <x:v>chl</x:v>
      </x:c>
      <x:c r="D3320" s="1" t="str">
        <x:v>Sin marca</x:v>
      </x:c>
      <x:c r="E3320" s="35" t="n">
        <x:v>1</x:v>
      </x:c>
      <x:c r="F3320" s="36"/>
      <x:c r="G3320" s="36" t="str">
        <x:f>IF(ISNUMBER(F3320),E3320*F3320,"")</x:f>
      </x:c>
      <x:c r="H3320" s="37" t="d">
        <x:v>2026-10-15T00:00:00.000Z</x:v>
      </x:c>
      <x:c r="I3320" s="37" t="d">
        <x:v>2026-09-16T16:36:41.000Z</x:v>
      </x:c>
      <x:c r="J3320" s="1" t="n">
        <x:f>IF(ISNUMBER(F3320),E3320,0)</x:f>
        <x:v>0</x:v>
      </x:c>
      <x:c r="K3320" s="1"/>
      <x:c r="L3320" s="1"/>
      <x:c r="M3320" s="1"/>
    </x:row>
    <x:row r="3321" ht="18.75" customHeight="1">
      <x:c r="A3321" s="1" t="str">
        <x:v>https://blog.skyairline.com/que-estudia-tripulante-cabina/</x:v>
      </x:c>
      <x:c r="B3321" s="1" t="str">
        <x:v>que carrera se estudia para ser azafata</x:v>
      </x:c>
      <x:c r="C3321" s="1" t="str">
        <x:v>chl</x:v>
      </x:c>
      <x:c r="D3321" s="1" t="str">
        <x:v>Sin marca</x:v>
      </x:c>
      <x:c r="E3321" s="35" t="n">
        <x:v>1</x:v>
      </x:c>
      <x:c r="F3321" s="36"/>
      <x:c r="G3321" s="36" t="str">
        <x:f>IF(ISNUMBER(F3321),E3321*F3321,"")</x:f>
      </x:c>
      <x:c r="H3321" s="37"/>
      <x:c r="I3321" s="37"/>
      <x:c r="J3321" s="1" t="n">
        <x:f>IF(ISNUMBER(F3321),E3321,0)</x:f>
        <x:v>0</x:v>
      </x:c>
      <x:c r="K3321" s="1"/>
      <x:c r="L3321" s="1"/>
      <x:c r="M3321" s="1"/>
    </x:row>
    <x:row r="3322" ht="18.75" customHeight="1">
      <x:c r="A3322" s="1" t="str">
        <x:v>https://blog.skyairline.com/que-estudia-tripulante-cabina/</x:v>
      </x:c>
      <x:c r="B3322" s="1" t="str">
        <x:v>que debo estudiar para ser azafata</x:v>
      </x:c>
      <x:c r="C3322" s="1" t="str">
        <x:v>chl</x:v>
      </x:c>
      <x:c r="D3322" s="1" t="str">
        <x:v>Sin marca</x:v>
      </x:c>
      <x:c r="E3322" s="35" t="n">
        <x:v>1</x:v>
      </x:c>
      <x:c r="F3322" s="36"/>
      <x:c r="G3322" s="36" t="str">
        <x:f>IF(ISNUMBER(F3322),E3322*F3322,"")</x:f>
      </x:c>
      <x:c r="H3322" s="37"/>
      <x:c r="I3322" s="37"/>
      <x:c r="J3322" s="1" t="n">
        <x:f>IF(ISNUMBER(F3322),E3322,0)</x:f>
        <x:v>0</x:v>
      </x:c>
      <x:c r="K3322" s="1"/>
      <x:c r="L3322" s="1"/>
      <x:c r="M3322" s="1"/>
    </x:row>
    <x:row r="3323" ht="18.75" customHeight="1">
      <x:c r="A3323" s="1" t="str">
        <x:v>https://blog.skyairline.com/que-estudia-tripulante-cabina/</x:v>
      </x:c>
      <x:c r="B3323" s="1" t="str">
        <x:v>que estudian las azafatas de vuelo</x:v>
      </x:c>
      <x:c r="C3323" s="1" t="str">
        <x:v>chl</x:v>
      </x:c>
      <x:c r="D3323" s="1" t="str">
        <x:v>Sin marca</x:v>
      </x:c>
      <x:c r="E3323" s="35" t="n">
        <x:v>1</x:v>
      </x:c>
      <x:c r="F3323" s="36"/>
      <x:c r="G3323" s="36" t="str">
        <x:f>IF(ISNUMBER(F3323),E3323*F3323,"")</x:f>
      </x:c>
      <x:c r="H3323" s="37"/>
      <x:c r="I3323" s="37"/>
      <x:c r="J3323" s="1" t="n">
        <x:f>IF(ISNUMBER(F3323),E3323,0)</x:f>
        <x:v>0</x:v>
      </x:c>
      <x:c r="K3323" s="1"/>
      <x:c r="L3323" s="1"/>
      <x:c r="M3323" s="1"/>
    </x:row>
    <x:row r="3324" ht="18.75" customHeight="1">
      <x:c r="A3324" s="1" t="str">
        <x:v>https://blog.skyairline.com/que-estudia-tripulante-cabina/</x:v>
      </x:c>
      <x:c r="B3324" s="1" t="str">
        <x:v>que tengo que estudiar para ser azafata</x:v>
      </x:c>
      <x:c r="C3324" s="1" t="str">
        <x:v>chl</x:v>
      </x:c>
      <x:c r="D3324" s="1" t="str">
        <x:v>Sin marca</x:v>
      </x:c>
      <x:c r="E3324" s="35" t="n">
        <x:v>1</x:v>
      </x:c>
      <x:c r="F3324" s="36"/>
      <x:c r="G3324" s="36" t="str">
        <x:f>IF(ISNUMBER(F3324),E3324*F3324,"")</x:f>
      </x:c>
      <x:c r="H3324" s="37"/>
      <x:c r="I3324" s="37"/>
      <x:c r="J3324" s="1" t="n">
        <x:f>IF(ISNUMBER(F3324),E3324,0)</x:f>
        <x:v>0</x:v>
      </x:c>
      <x:c r="K3324" s="1"/>
      <x:c r="L3324" s="1"/>
      <x:c r="M3324" s="1"/>
    </x:row>
    <x:row r="3325" ht="18.75" customHeight="1">
      <x:c r="A3325" s="1" t="str">
        <x:v>https://blog.skyairline.com/que-estudia-tripulante-cabina/</x:v>
      </x:c>
      <x:c r="B3325" s="1" t="str">
        <x:v>sky curso tripulante de cabina</x:v>
      </x:c>
      <x:c r="C3325" s="1" t="str">
        <x:v>chl</x:v>
      </x:c>
      <x:c r="D3325" s="1" t="str">
        <x:v>Marca</x:v>
      </x:c>
      <x:c r="E3325" s="35" t="n">
        <x:v>1</x:v>
      </x:c>
      <x:c r="F3325" s="36"/>
      <x:c r="G3325" s="36" t="str">
        <x:f>IF(ISNUMBER(F3325),E3325*F3325,"")</x:f>
      </x:c>
      <x:c r="H3325" s="37" t="d">
        <x:v>2026-10-15T00:00:00.000Z</x:v>
      </x:c>
      <x:c r="I3325" s="37" t="d">
        <x:v>2026-09-15T11:23:43.000Z</x:v>
      </x:c>
      <x:c r="J3325" s="1" t="n">
        <x:f>IF(ISNUMBER(F3325),E3325,0)</x:f>
        <x:v>0</x:v>
      </x:c>
      <x:c r="K3325" s="1"/>
      <x:c r="L3325" s="1"/>
      <x:c r="M3325" s="1"/>
    </x:row>
    <x:row r="3326" ht="18.75" customHeight="1">
      <x:c r="A3326" s="1" t="str">
        <x:v>https://blog.skyairline.com/que-estudia-tripulante-cabina/</x:v>
      </x:c>
      <x:c r="B3326" s="1" t="str">
        <x:v>tripulante cabina sky</x:v>
      </x:c>
      <x:c r="C3326" s="1" t="str">
        <x:v>chl</x:v>
      </x:c>
      <x:c r="D3326" s="1" t="str">
        <x:v>Marca</x:v>
      </x:c>
      <x:c r="E3326" s="35" t="n">
        <x:v>1</x:v>
      </x:c>
      <x:c r="F3326" s="36"/>
      <x:c r="G3326" s="36" t="str">
        <x:f>IF(ISNUMBER(F3326),E3326*F3326,"")</x:f>
      </x:c>
      <x:c r="H3326" s="37"/>
      <x:c r="I3326" s="37"/>
      <x:c r="J3326" s="1" t="n">
        <x:f>IF(ISNUMBER(F3326),E3326,0)</x:f>
        <x:v>0</x:v>
      </x:c>
      <x:c r="K3326" s="1"/>
      <x:c r="L3326" s="1"/>
      <x:c r="M3326" s="1"/>
    </x:row>
    <x:row r="3327" ht="18.75" customHeight="1">
      <x:c r="A3327" s="1" t="str">
        <x:v>https://blog.skyairline.com/que-estudia-tripulante-cabina/</x:v>
      </x:c>
      <x:c r="B3327" s="1" t="str">
        <x:v>tripulante de cabina curso</x:v>
      </x:c>
      <x:c r="C3327" s="1" t="str">
        <x:v>chl</x:v>
      </x:c>
      <x:c r="D3327" s="1" t="str">
        <x:v>Sin marca</x:v>
      </x:c>
      <x:c r="E3327" s="35" t="n">
        <x:v>1</x:v>
      </x:c>
      <x:c r="F3327" s="36" t="n">
        <x:v>0.27</x:v>
      </x:c>
      <x:c r="G3327" s="36" t="n">
        <x:f>IF(ISNUMBER(F3327),E3327*F3327,"")</x:f>
        <x:v>0.27</x:v>
      </x:c>
      <x:c r="H3327" s="37" t="d">
        <x:v>2026-10-15T00:00:00.000Z</x:v>
      </x:c>
      <x:c r="I3327" s="37" t="d">
        <x:v>2026-09-14T15:21:51.000Z</x:v>
      </x:c>
      <x:c r="J3327" s="1" t="n">
        <x:f>IF(ISNUMBER(F3327),E3327,0)</x:f>
        <x:v>1</x:v>
      </x:c>
      <x:c r="K3327" s="1"/>
      <x:c r="L3327" s="1"/>
      <x:c r="M3327" s="1"/>
    </x:row>
    <x:row r="3328" ht="18.75" customHeight="1">
      <x:c r="A3328" s="1" t="str">
        <x:v>https://blog.skyairline.com/que-estudia-tripulante-cabina/</x:v>
      </x:c>
      <x:c r="B3328" s="1" t="str">
        <x:v>tripulante de cabina sky</x:v>
      </x:c>
      <x:c r="C3328" s="1" t="str">
        <x:v>chl</x:v>
      </x:c>
      <x:c r="D3328" s="1" t="str">
        <x:v>Marca</x:v>
      </x:c>
      <x:c r="E3328" s="35" t="n">
        <x:v>1</x:v>
      </x:c>
      <x:c r="F3328" s="36" t="n">
        <x:v>0.25</x:v>
      </x:c>
      <x:c r="G3328" s="36" t="n">
        <x:f>IF(ISNUMBER(F3328),E3328*F3328,"")</x:f>
        <x:v>0.25</x:v>
      </x:c>
      <x:c r="H3328" s="37" t="d">
        <x:v>2026-10-15T00:00:00.000Z</x:v>
      </x:c>
      <x:c r="I3328" s="37" t="d">
        <x:v>2026-09-17T04:43:56.000Z</x:v>
      </x:c>
      <x:c r="J3328" s="1" t="n">
        <x:f>IF(ISNUMBER(F3328),E3328,0)</x:f>
        <x:v>1</x:v>
      </x:c>
      <x:c r="K3328" s="1"/>
      <x:c r="L3328" s="1"/>
      <x:c r="M3328" s="1"/>
    </x:row>
    <x:row r="3329" ht="18.75" customHeight="1">
      <x:c r="A3329" s="1" t="str">
        <x:v>https://blog.skyairline.com/que-estudia-tripulante-cabina/</x:v>
      </x:c>
      <x:c r="B3329" s="1" t="str">
        <x:v>tripulante de vuelo</x:v>
      </x:c>
      <x:c r="C3329" s="1" t="str">
        <x:v>chl</x:v>
      </x:c>
      <x:c r="D3329" s="1" t="str">
        <x:v>Sin marca</x:v>
      </x:c>
      <x:c r="E3329" s="35" t="n">
        <x:v>1</x:v>
      </x:c>
      <x:c r="F3329" s="36" t="n">
        <x:v>0.25</x:v>
      </x:c>
      <x:c r="G3329" s="36" t="n">
        <x:f>IF(ISNUMBER(F3329),E3329*F3329,"")</x:f>
        <x:v>0.25</x:v>
      </x:c>
      <x:c r="H3329" s="37" t="d">
        <x:v>2026-10-15T00:00:00.000Z</x:v>
      </x:c>
      <x:c r="I3329" s="37" t="d">
        <x:v>2026-09-15T02:43:55.000Z</x:v>
      </x:c>
      <x:c r="J3329" s="1" t="n">
        <x:f>IF(ISNUMBER(F3329),E3329,0)</x:f>
        <x:v>1</x:v>
      </x:c>
      <x:c r="K3329" s="1"/>
      <x:c r="L3329" s="1"/>
      <x:c r="M3329" s="1"/>
    </x:row>
    <x:row r="3330" ht="18.75" customHeight="1">
      <x:c r="A3330" s="1" t="str">
        <x:v>https://blog.skyairline.com/que-hacer-en-antofagasta/</x:v>
      </x:c>
      <x:c r="B3330" s="1" t="str">
        <x:v>que hacer en antofagasta</x:v>
      </x:c>
      <x:c r="C3330" s="1" t="str">
        <x:v>col</x:v>
      </x:c>
      <x:c r="D3330" s="1" t="str">
        <x:v>Sin marca</x:v>
      </x:c>
      <x:c r="E3330" s="35" t="n">
        <x:v>1</x:v>
      </x:c>
      <x:c r="F3330" s="36"/>
      <x:c r="G3330" s="36" t="str">
        <x:f>IF(ISNUMBER(F3330),E3330*F3330,"")</x:f>
      </x:c>
      <x:c r="H3330" s="37"/>
      <x:c r="I3330" s="37"/>
      <x:c r="J3330" s="1" t="n">
        <x:f>IF(ISNUMBER(F3330),E3330,0)</x:f>
        <x:v>0</x:v>
      </x:c>
      <x:c r="K3330" s="1"/>
      <x:c r="L3330" s="1"/>
      <x:c r="M3330" s="1"/>
    </x:row>
    <x:row r="3331" ht="18.75" customHeight="1">
      <x:c r="A3331" s="1" t="str">
        <x:v>https://blog.skyairline.com/que-hacer-en-la-serena/</x:v>
      </x:c>
      <x:c r="B3331" s="1" t="str">
        <x:v>donde queda la serena</x:v>
      </x:c>
      <x:c r="C3331" s="1" t="str">
        <x:v>chl</x:v>
      </x:c>
      <x:c r="D3331" s="1" t="str">
        <x:v>Sin marca</x:v>
      </x:c>
      <x:c r="E3331" s="35" t="n">
        <x:v>1</x:v>
      </x:c>
      <x:c r="F3331" s="36"/>
      <x:c r="G3331" s="36" t="str">
        <x:f>IF(ISNUMBER(F3331),E3331*F3331,"")</x:f>
      </x:c>
      <x:c r="H3331" s="37" t="d">
        <x:v>2026-10-15T00:00:00.000Z</x:v>
      </x:c>
      <x:c r="I3331" s="37" t="d">
        <x:v>2026-10-15T03:50:26.999Z</x:v>
      </x:c>
      <x:c r="J3331" s="1" t="n">
        <x:f>IF(ISNUMBER(F3331),E3331,0)</x:f>
        <x:v>0</x:v>
      </x:c>
      <x:c r="K3331" s="1"/>
      <x:c r="L3331" s="1"/>
      <x:c r="M3331" s="1"/>
    </x:row>
    <x:row r="3332" ht="18.75" customHeight="1">
      <x:c r="A3332" s="1" t="str">
        <x:v>https://blog.skyairline.com/que-hacer-en-lima/</x:v>
      </x:c>
      <x:c r="B3332" s="1" t="str">
        <x:v>que visitar en lima en 3 dias</x:v>
      </x:c>
      <x:c r="C3332" s="1" t="str">
        <x:v>chl</x:v>
      </x:c>
      <x:c r="D3332" s="1" t="str">
        <x:v>Sin marca</x:v>
      </x:c>
      <x:c r="E3332" s="35" t="n">
        <x:v>1</x:v>
      </x:c>
      <x:c r="F3332" s="36"/>
      <x:c r="G3332" s="36" t="str">
        <x:f>IF(ISNUMBER(F3332),E3332*F3332,"")</x:f>
      </x:c>
      <x:c r="H3332" s="37"/>
      <x:c r="I3332" s="37"/>
      <x:c r="J3332" s="1" t="n">
        <x:f>IF(ISNUMBER(F3332),E3332,0)</x:f>
        <x:v>0</x:v>
      </x:c>
      <x:c r="K3332" s="1"/>
      <x:c r="L3332" s="1"/>
      <x:c r="M3332" s="1"/>
    </x:row>
    <x:row r="3333" ht="18.75" customHeight="1">
      <x:c r="A3333" s="1" t="str">
        <x:v>https://blog.skyairline.com/que-hacer-en-porto-alegre/</x:v>
      </x:c>
      <x:c r="B3333" s="1" t="str">
        <x:v>porto alegre</x:v>
      </x:c>
      <x:c r="C3333" s="1" t="str">
        <x:v>chl</x:v>
      </x:c>
      <x:c r="D3333" s="1" t="str">
        <x:v>Sin marca</x:v>
      </x:c>
      <x:c r="E3333" s="35" t="n">
        <x:v>1</x:v>
      </x:c>
      <x:c r="F3333" s="36" t="n">
        <x:v>0.15</x:v>
      </x:c>
      <x:c r="G3333" s="36" t="n">
        <x:f>IF(ISNUMBER(F3333),E3333*F3333,"")</x:f>
        <x:v>0.15</x:v>
      </x:c>
      <x:c r="H3333" s="37" t="d">
        <x:v>2026-10-15T00:00:00.000Z</x:v>
      </x:c>
      <x:c r="I3333" s="37" t="d">
        <x:v>2026-09-14T18:09:49.000Z</x:v>
      </x:c>
      <x:c r="J3333" s="1" t="n">
        <x:f>IF(ISNUMBER(F3333),E3333,0)</x:f>
        <x:v>1</x:v>
      </x:c>
      <x:c r="K3333" s="1"/>
      <x:c r="L3333" s="1"/>
      <x:c r="M3333" s="1"/>
    </x:row>
    <x:row r="3334" ht="18.75" customHeight="1">
      <x:c r="A3334" s="1" t="str">
        <x:v>https://blog.skyairline.com/que-hacer-en-porto-alegre/</x:v>
      </x:c>
      <x:c r="B3334" s="1" t="str">
        <x:v>porto alegre</x:v>
      </x:c>
      <x:c r="C3334" s="1" t="str">
        <x:v>esp</x:v>
      </x:c>
      <x:c r="D3334" s="1" t="str">
        <x:v>Sin marca</x:v>
      </x:c>
      <x:c r="E3334" s="35" t="n">
        <x:v>1</x:v>
      </x:c>
      <x:c r="F3334" s="36"/>
      <x:c r="G3334" s="36" t="str">
        <x:f>IF(ISNUMBER(F3334),E3334*F3334,"")</x:f>
      </x:c>
      <x:c r="H3334" s="37"/>
      <x:c r="I3334" s="37"/>
      <x:c r="J3334" s="1" t="n">
        <x:f>IF(ISNUMBER(F3334),E3334,0)</x:f>
        <x:v>0</x:v>
      </x:c>
      <x:c r="K3334" s="1"/>
      <x:c r="L3334" s="1"/>
      <x:c r="M3334" s="1"/>
    </x:row>
    <x:row r="3335" ht="18.75" customHeight="1">
      <x:c r="A3335" s="1" t="str">
        <x:v>https://blog.skyairline.com/que-hacer-en-porto-alegre/</x:v>
      </x:c>
      <x:c r="B3335" s="1" t="str">
        <x:v>porto alegre</x:v>
      </x:c>
      <x:c r="C3335" s="1" t="str">
        <x:v>ury</x:v>
      </x:c>
      <x:c r="D3335" s="1" t="str">
        <x:v>Sin marca</x:v>
      </x:c>
      <x:c r="E3335" s="35" t="n">
        <x:v>1</x:v>
      </x:c>
      <x:c r="F3335" s="36"/>
      <x:c r="G3335" s="36" t="str">
        <x:f>IF(ISNUMBER(F3335),E3335*F3335,"")</x:f>
      </x:c>
      <x:c r="H3335" s="37"/>
      <x:c r="I3335" s="37"/>
      <x:c r="J3335" s="1" t="n">
        <x:f>IF(ISNUMBER(F3335),E3335,0)</x:f>
        <x:v>0</x:v>
      </x:c>
      <x:c r="K3335" s="1"/>
      <x:c r="L3335" s="1"/>
      <x:c r="M3335" s="1"/>
    </x:row>
    <x:row r="3336" ht="18.75" customHeight="1">
      <x:c r="A3336" s="1" t="str">
        <x:v>https://blog.skyairline.com/que-hacer-en-porto-alegre/</x:v>
      </x:c>
      <x:c r="B3336" s="1" t="str">
        <x:v>porto alegre clima</x:v>
      </x:c>
      <x:c r="C3336" s="1" t="str">
        <x:v>ury</x:v>
      </x:c>
      <x:c r="D3336" s="1" t="str">
        <x:v>Sin marca</x:v>
      </x:c>
      <x:c r="E3336" s="35" t="n">
        <x:v>1</x:v>
      </x:c>
      <x:c r="F3336" s="36"/>
      <x:c r="G3336" s="36" t="str">
        <x:f>IF(ISNUMBER(F3336),E3336*F3336,"")</x:f>
      </x:c>
      <x:c r="H3336" s="37"/>
      <x:c r="I3336" s="37"/>
      <x:c r="J3336" s="1" t="n">
        <x:f>IF(ISNUMBER(F3336),E3336,0)</x:f>
        <x:v>0</x:v>
      </x:c>
      <x:c r="K3336" s="1"/>
      <x:c r="L3336" s="1"/>
      <x:c r="M3336" s="1"/>
    </x:row>
    <x:row r="3337" ht="18.75" customHeight="1">
      <x:c r="A3337" s="1" t="str">
        <x:v>https://blog.skyairline.com/que-hacer-en-porto-alegre/</x:v>
      </x:c>
      <x:c r="B3337" s="1" t="str">
        <x:v>portoalegre brasil</x:v>
      </x:c>
      <x:c r="C3337" s="1" t="str">
        <x:v>chl</x:v>
      </x:c>
      <x:c r="D3337" s="1" t="str">
        <x:v>Sin marca</x:v>
      </x:c>
      <x:c r="E3337" s="35" t="n">
        <x:v>1</x:v>
      </x:c>
      <x:c r="F3337" s="36" t="n">
        <x:v>0.58</x:v>
      </x:c>
      <x:c r="G3337" s="36" t="n">
        <x:f>IF(ISNUMBER(F3337),E3337*F3337,"")</x:f>
        <x:v>0.58</x:v>
      </x:c>
      <x:c r="H3337" s="37" t="d">
        <x:v>2026-10-15T00:00:00.000Z</x:v>
      </x:c>
      <x:c r="I3337" s="37" t="d">
        <x:v>2026-09-16T18:10:59.000Z</x:v>
      </x:c>
      <x:c r="J3337" s="1" t="n">
        <x:f>IF(ISNUMBER(F3337),E3337,0)</x:f>
        <x:v>1</x:v>
      </x:c>
      <x:c r="K3337" s="1"/>
      <x:c r="L3337" s="1"/>
      <x:c r="M3337" s="1"/>
    </x:row>
    <x:row r="3338" ht="18.75" customHeight="1">
      <x:c r="A3338" s="1" t="str">
        <x:v>https://blog.skyairline.com/que-hacer-en-porto-alegre/</x:v>
      </x:c>
      <x:c r="B3338" s="1" t="str">
        <x:v>que hacer en porto alegre</x:v>
      </x:c>
      <x:c r="C3338" s="1" t="str">
        <x:v>pry</x:v>
      </x:c>
      <x:c r="D3338" s="1" t="str">
        <x:v>Sin marca</x:v>
      </x:c>
      <x:c r="E3338" s="35" t="n">
        <x:v>1</x:v>
      </x:c>
      <x:c r="F3338" s="36"/>
      <x:c r="G3338" s="36" t="str">
        <x:f>IF(ISNUMBER(F3338),E3338*F3338,"")</x:f>
      </x:c>
      <x:c r="H3338" s="37"/>
      <x:c r="I3338" s="37"/>
      <x:c r="J3338" s="1" t="n">
        <x:f>IF(ISNUMBER(F3338),E3338,0)</x:f>
        <x:v>0</x:v>
      </x:c>
      <x:c r="K3338" s="1"/>
      <x:c r="L3338" s="1"/>
      <x:c r="M3338" s="1"/>
    </x:row>
    <x:row r="3339" ht="18.75" customHeight="1">
      <x:c r="A3339" s="1" t="str">
        <x:v>https://blog.skyairline.com/que-hacer-en-sao-paulo/</x:v>
      </x:c>
      <x:c r="B3339" s="1" t="str">
        <x:v>que hacer en sao paulo</x:v>
      </x:c>
      <x:c r="C3339" s="1" t="str">
        <x:v>bra</x:v>
      </x:c>
      <x:c r="D3339" s="1" t="str">
        <x:v>Sin marca</x:v>
      </x:c>
      <x:c r="E3339" s="35" t="n">
        <x:v>1</x:v>
      </x:c>
      <x:c r="F3339" s="36"/>
      <x:c r="G3339" s="36" t="str">
        <x:f>IF(ISNUMBER(F3339),E3339*F3339,"")</x:f>
      </x:c>
      <x:c r="H3339" s="37"/>
      <x:c r="I3339" s="37"/>
      <x:c r="J3339" s="1" t="n">
        <x:f>IF(ISNUMBER(F3339),E3339,0)</x:f>
        <x:v>0</x:v>
      </x:c>
      <x:c r="K3339" s="1"/>
      <x:c r="L3339" s="1"/>
      <x:c r="M3339" s="1"/>
    </x:row>
    <x:row r="3340" ht="18.75" customHeight="1">
      <x:c r="A3340" s="1" t="str">
        <x:v>https://blog.skyairline.com/que-hacer-en-sao-paulo/</x:v>
      </x:c>
      <x:c r="B3340" s="1" t="str">
        <x:v>que visitar en sao paulo brasil</x:v>
      </x:c>
      <x:c r="C3340" s="1" t="str">
        <x:v>ecu</x:v>
      </x:c>
      <x:c r="D3340" s="1" t="str">
        <x:v>Sin marca</x:v>
      </x:c>
      <x:c r="E3340" s="35" t="n">
        <x:v>1</x:v>
      </x:c>
      <x:c r="F3340" s="36"/>
      <x:c r="G3340" s="36" t="str">
        <x:f>IF(ISNUMBER(F3340),E3340*F3340,"")</x:f>
      </x:c>
      <x:c r="H3340" s="37"/>
      <x:c r="I3340" s="37"/>
      <x:c r="J3340" s="1" t="n">
        <x:f>IF(ISNUMBER(F3340),E3340,0)</x:f>
        <x:v>0</x:v>
      </x:c>
      <x:c r="K3340" s="1"/>
      <x:c r="L3340" s="1"/>
      <x:c r="M3340" s="1"/>
    </x:row>
    <x:row r="3341" ht="18.75" customHeight="1">
      <x:c r="A3341" s="1" t="str">
        <x:v>https://blog.skyairline.com/que-hacer-en-sao-paulo/</x:v>
      </x:c>
      <x:c r="B3341" s="1" t="str">
        <x:v>sao paulo</x:v>
      </x:c>
      <x:c r="C3341" s="1" t="str">
        <x:v>chl</x:v>
      </x:c>
      <x:c r="D3341" s="1" t="str">
        <x:v>Sin marca</x:v>
      </x:c>
      <x:c r="E3341" s="35" t="n">
        <x:v>1</x:v>
      </x:c>
      <x:c r="F3341" s="36" t="n">
        <x:v>0.54</x:v>
      </x:c>
      <x:c r="G3341" s="36" t="n">
        <x:f>IF(ISNUMBER(F3341),E3341*F3341,"")</x:f>
        <x:v>0.54</x:v>
      </x:c>
      <x:c r="H3341" s="37" t="d">
        <x:v>2026-10-15T00:00:00.000Z</x:v>
      </x:c>
      <x:c r="I3341" s="37" t="d">
        <x:v>2026-09-17T03:25:23.000Z</x:v>
      </x:c>
      <x:c r="J3341" s="1" t="n">
        <x:f>IF(ISNUMBER(F3341),E3341,0)</x:f>
        <x:v>1</x:v>
      </x:c>
      <x:c r="K3341" s="1"/>
      <x:c r="L3341" s="1"/>
      <x:c r="M3341" s="1"/>
    </x:row>
    <x:row r="3342" ht="18.75" customHeight="1">
      <x:c r="A3342" s="1" t="str">
        <x:v>https://blog.skyairline.com/que-hacer-en-sao-paulo/</x:v>
      </x:c>
      <x:c r="B3342" s="1" t="str">
        <x:v>sao paulo que hacer</x:v>
      </x:c>
      <x:c r="C3342" s="1" t="str">
        <x:v>usa</x:v>
      </x:c>
      <x:c r="D3342" s="1" t="str">
        <x:v>Sin marca</x:v>
      </x:c>
      <x:c r="E3342" s="35" t="n">
        <x:v>1</x:v>
      </x:c>
      <x:c r="F3342" s="36"/>
      <x:c r="G3342" s="36" t="str">
        <x:f>IF(ISNUMBER(F3342),E3342*F3342,"")</x:f>
      </x:c>
      <x:c r="H3342" s="37"/>
      <x:c r="I3342" s="37"/>
      <x:c r="J3342" s="1" t="n">
        <x:f>IF(ISNUMBER(F3342),E3342,0)</x:f>
        <x:v>0</x:v>
      </x:c>
      <x:c r="K3342" s="1"/>
      <x:c r="L3342" s="1"/>
      <x:c r="M3342" s="1"/>
    </x:row>
    <x:row r="3343" ht="18.75" customHeight="1">
      <x:c r="A3343" s="1" t="str">
        <x:v>https://blog.skyairline.com/que-hacer-en-sao-paulo/</x:v>
      </x:c>
      <x:c r="B3343" s="1" t="str">
        <x:v>sao paulo que visitar</x:v>
      </x:c>
      <x:c r="C3343" s="1" t="str">
        <x:v>per</x:v>
      </x:c>
      <x:c r="D3343" s="1" t="str">
        <x:v>Sin marca</x:v>
      </x:c>
      <x:c r="E3343" s="35" t="n">
        <x:v>1</x:v>
      </x:c>
      <x:c r="F3343" s="36"/>
      <x:c r="G3343" s="36" t="str">
        <x:f>IF(ISNUMBER(F3343),E3343*F3343,"")</x:f>
      </x:c>
      <x:c r="H3343" s="37"/>
      <x:c r="I3343" s="37"/>
      <x:c r="J3343" s="1" t="n">
        <x:f>IF(ISNUMBER(F3343),E3343,0)</x:f>
        <x:v>0</x:v>
      </x:c>
      <x:c r="K3343" s="1"/>
      <x:c r="L3343" s="1"/>
      <x:c r="M3343" s="1"/>
    </x:row>
    <x:row r="3344" ht="18.75" customHeight="1">
      <x:c r="A3344" s="1" t="str">
        <x:v>https://blog.skyairline.com/que-hacer-en-talara/</x:v>
      </x:c>
      <x:c r="B3344" s="1" t="str">
        <x:v>lugares turisticos de talara</x:v>
      </x:c>
      <x:c r="C3344" s="1" t="str">
        <x:v>per</x:v>
      </x:c>
      <x:c r="D3344" s="1" t="str">
        <x:v>Sin marca</x:v>
      </x:c>
      <x:c r="E3344" s="35" t="n">
        <x:v>1</x:v>
      </x:c>
      <x:c r="F3344" s="36" t="n">
        <x:v>1.52</x:v>
      </x:c>
      <x:c r="G3344" s="36" t="n">
        <x:f>IF(ISNUMBER(F3344),E3344*F3344,"")</x:f>
        <x:v>1.52</x:v>
      </x:c>
      <x:c r="H3344" s="37" t="d">
        <x:v>2026-10-15T00:00:00.000Z</x:v>
      </x:c>
      <x:c r="I3344" s="37" t="d">
        <x:v>2026-10-15T05:26:35.000Z</x:v>
      </x:c>
      <x:c r="J3344" s="1" t="n">
        <x:f>IF(ISNUMBER(F3344),E3344,0)</x:f>
        <x:v>1</x:v>
      </x:c>
      <x:c r="K3344" s="1"/>
      <x:c r="L3344" s="1"/>
      <x:c r="M3344" s="1"/>
    </x:row>
    <x:row r="3345" ht="18.75" customHeight="1">
      <x:c r="A3345" s="1" t="str">
        <x:v>https://blog.skyairline.com/que-hacer-en-talara/</x:v>
      </x:c>
      <x:c r="B3345" s="1" t="str">
        <x:v>talara</x:v>
      </x:c>
      <x:c r="C3345" s="1" t="str">
        <x:v>chl</x:v>
      </x:c>
      <x:c r="D3345" s="1" t="str">
        <x:v>Sin marca</x:v>
      </x:c>
      <x:c r="E3345" s="35" t="n">
        <x:v>1</x:v>
      </x:c>
      <x:c r="F3345" s="36"/>
      <x:c r="G3345" s="36" t="str">
        <x:f>IF(ISNUMBER(F3345),E3345*F3345,"")</x:f>
      </x:c>
      <x:c r="H3345" s="37"/>
      <x:c r="I3345" s="37"/>
      <x:c r="J3345" s="1" t="n">
        <x:f>IF(ISNUMBER(F3345),E3345,0)</x:f>
        <x:v>0</x:v>
      </x:c>
      <x:c r="K3345" s="1"/>
      <x:c r="L3345" s="1"/>
      <x:c r="M3345" s="1"/>
    </x:row>
    <x:row r="3346" ht="18.75" customHeight="1">
      <x:c r="A3346" s="1" t="str">
        <x:v>https://blog.skyairline.com/que-hacer-en-talara/</x:v>
      </x:c>
      <x:c r="B3346" s="1" t="str">
        <x:v>talara donde queda</x:v>
      </x:c>
      <x:c r="C3346" s="1" t="str">
        <x:v>ecu</x:v>
      </x:c>
      <x:c r="D3346" s="1" t="str">
        <x:v>Sin marca</x:v>
      </x:c>
      <x:c r="E3346" s="35" t="n">
        <x:v>1</x:v>
      </x:c>
      <x:c r="F3346" s="36"/>
      <x:c r="G3346" s="36" t="str">
        <x:f>IF(ISNUMBER(F3346),E3346*F3346,"")</x:f>
      </x:c>
      <x:c r="H3346" s="37"/>
      <x:c r="I3346" s="37"/>
      <x:c r="J3346" s="1" t="n">
        <x:f>IF(ISNUMBER(F3346),E3346,0)</x:f>
        <x:v>0</x:v>
      </x:c>
      <x:c r="K3346" s="1"/>
      <x:c r="L3346" s="1"/>
      <x:c r="M3346" s="1"/>
    </x:row>
    <x:row r="3347" ht="18.75" customHeight="1">
      <x:c r="A3347" s="1" t="str">
        <x:v>https://blog.skyairline.com/que-hacer-si-mi-vuelo-fue-cancelado/</x:v>
      </x:c>
      <x:c r="B3347" s="1" t="str">
        <x:v>sky</x:v>
      </x:c>
      <x:c r="C3347" s="1" t="str">
        <x:v>chl</x:v>
      </x:c>
      <x:c r="D3347" s="1" t="str">
        <x:v>Marca</x:v>
      </x:c>
      <x:c r="E3347" s="35" t="n">
        <x:v>1</x:v>
      </x:c>
      <x:c r="F3347" s="36" t="n">
        <x:v>0.27</x:v>
      </x:c>
      <x:c r="G3347" s="36" t="n">
        <x:f>IF(ISNUMBER(F3347),E3347*F3347,"")</x:f>
        <x:v>0.27</x:v>
      </x:c>
      <x:c r="H3347" s="37" t="d">
        <x:v>2026-10-15T00:00:00.000Z</x:v>
      </x:c>
      <x:c r="I3347" s="37" t="d">
        <x:v>2026-09-17T02:52:38.000Z</x:v>
      </x:c>
      <x:c r="J3347" s="1" t="n">
        <x:f>IF(ISNUMBER(F3347),E3347,0)</x:f>
        <x:v>1</x:v>
      </x:c>
      <x:c r="K3347" s="1"/>
      <x:c r="L3347" s="1"/>
      <x:c r="M3347" s="1"/>
    </x:row>
    <x:row r="3348" ht="18.75" customHeight="1">
      <x:c r="A3348" s="1" t="str">
        <x:v>https://blog.skyairline.com/que-hacer-si-mi-vuelo-fue-cancelado/</x:v>
      </x:c>
      <x:c r="B3348" s="1" t="str">
        <x:v>sky airline</x:v>
      </x:c>
      <x:c r="C3348" s="1" t="str">
        <x:v>can</x:v>
      </x:c>
      <x:c r="D3348" s="1" t="str">
        <x:v>Marca</x:v>
      </x:c>
      <x:c r="E3348" s="35" t="n">
        <x:v>1</x:v>
      </x:c>
      <x:c r="F3348" s="36"/>
      <x:c r="G3348" s="36" t="str">
        <x:f>IF(ISNUMBER(F3348),E3348*F3348,"")</x:f>
      </x:c>
      <x:c r="H3348" s="37"/>
      <x:c r="I3348" s="37"/>
      <x:c r="J3348" s="1" t="n">
        <x:f>IF(ISNUMBER(F3348),E3348,0)</x:f>
        <x:v>0</x:v>
      </x:c>
      <x:c r="K3348" s="1"/>
      <x:c r="L3348" s="1"/>
      <x:c r="M3348" s="1"/>
    </x:row>
    <x:row r="3349" ht="18.75" customHeight="1">
      <x:c r="A3349" s="1" t="str">
        <x:v>https://blog.skyairline.com/que-hacer-si-mi-vuelo-fue-cancelado/</x:v>
      </x:c>
      <x:c r="B3349" s="1" t="str">
        <x:v>sky reembolso</x:v>
      </x:c>
      <x:c r="C3349" s="1" t="str">
        <x:v>chl</x:v>
      </x:c>
      <x:c r="D3349" s="1" t="str">
        <x:v>Marca</x:v>
      </x:c>
      <x:c r="E3349" s="35" t="n">
        <x:v>1</x:v>
      </x:c>
      <x:c r="F3349" s="36"/>
      <x:c r="G3349" s="36" t="str">
        <x:f>IF(ISNUMBER(F3349),E3349*F3349,"")</x:f>
      </x:c>
      <x:c r="H3349" s="37"/>
      <x:c r="I3349" s="37"/>
      <x:c r="J3349" s="1" t="n">
        <x:f>IF(ISNUMBER(F3349),E3349,0)</x:f>
        <x:v>0</x:v>
      </x:c>
      <x:c r="K3349" s="1"/>
      <x:c r="L3349" s="1"/>
      <x:c r="M3349" s="1"/>
    </x:row>
    <x:row r="3350" ht="18.75" customHeight="1">
      <x:c r="A3350" s="1" t="str">
        <x:v>https://blog.skyairline.com/que-is-hostal/</x:v>
      </x:c>
      <x:c r="B3350" s="1" t="str">
        <x:v>hoteles en canton</x:v>
      </x:c>
      <x:c r="C3350" s="1" t="str">
        <x:v>chl</x:v>
      </x:c>
      <x:c r="D3350" s="1" t="str">
        <x:v>Sin marca</x:v>
      </x:c>
      <x:c r="E3350" s="35" t="n">
        <x:v>1</x:v>
      </x:c>
      <x:c r="F3350" s="36"/>
      <x:c r="G3350" s="36" t="str">
        <x:f>IF(ISNUMBER(F3350),E3350*F3350,"")</x:f>
      </x:c>
      <x:c r="H3350" s="37"/>
      <x:c r="I3350" s="37"/>
      <x:c r="J3350" s="1" t="n">
        <x:f>IF(ISNUMBER(F3350),E3350,0)</x:f>
        <x:v>0</x:v>
      </x:c>
      <x:c r="K3350" s="1"/>
      <x:c r="L3350" s="1"/>
      <x:c r="M3350" s="1"/>
    </x:row>
    <x:row r="3351" ht="18.75" customHeight="1">
      <x:c r="A3351" s="1" t="str">
        <x:v>https://blog.skyairline.com/quemchi/</x:v>
      </x:c>
      <x:c r="B3351" s="1" t="str">
        <x:v>quemchi chiloe</x:v>
      </x:c>
      <x:c r="C3351" s="1" t="str">
        <x:v>arg</x:v>
      </x:c>
      <x:c r="D3351" s="1" t="str">
        <x:v>Sin marca</x:v>
      </x:c>
      <x:c r="E3351" s="35" t="n">
        <x:v>1</x:v>
      </x:c>
      <x:c r="F3351" s="36"/>
      <x:c r="G3351" s="36" t="str">
        <x:f>IF(ISNUMBER(F3351),E3351*F3351,"")</x:f>
      </x:c>
      <x:c r="H3351" s="37"/>
      <x:c r="I3351" s="37"/>
      <x:c r="J3351" s="1" t="n">
        <x:f>IF(ISNUMBER(F3351),E3351,0)</x:f>
        <x:v>0</x:v>
      </x:c>
      <x:c r="K3351" s="1"/>
      <x:c r="L3351" s="1"/>
      <x:c r="M3351" s="1"/>
    </x:row>
    <x:row r="3352" ht="18.75" customHeight="1">
      <x:c r="A3352" s="1" t="str">
        <x:v>https://blog.skyairline.com/reales-a-pesos-chilenos/</x:v>
      </x:c>
      <x:c r="B3352" s="1" t="str">
        <x:v>conviene el cambio de peso chileno a real brasileño</x:v>
      </x:c>
      <x:c r="C3352" s="1" t="str">
        <x:v>chl</x:v>
      </x:c>
      <x:c r="D3352" s="1" t="str">
        <x:v>Sin marca</x:v>
      </x:c>
      <x:c r="E3352" s="35" t="n">
        <x:v>1</x:v>
      </x:c>
      <x:c r="F3352" s="36" t="n">
        <x:v>0.84</x:v>
      </x:c>
      <x:c r="G3352" s="36" t="n">
        <x:f>IF(ISNUMBER(F3352),E3352*F3352,"")</x:f>
        <x:v>0.84</x:v>
      </x:c>
      <x:c r="H3352" s="37" t="d">
        <x:v>2026-10-15T00:00:00.000Z</x:v>
      </x:c>
      <x:c r="I3352" s="37" t="d">
        <x:v>2026-10-15T13:33:55.000Z</x:v>
      </x:c>
      <x:c r="J3352" s="1" t="n">
        <x:f>IF(ISNUMBER(F3352),E3352,0)</x:f>
        <x:v>1</x:v>
      </x:c>
      <x:c r="K3352" s="1"/>
      <x:c r="L3352" s="1"/>
      <x:c r="M3352" s="1"/>
    </x:row>
    <x:row r="3353" ht="18.75" customHeight="1">
      <x:c r="A3353" s="1" t="str">
        <x:v>https://blog.skyairline.com/relieve-zona-sur-de-chile/</x:v>
      </x:c>
      <x:c r="B3353" s="1" t="str">
        <x:v>relieve de la zona sur de chile</x:v>
      </x:c>
      <x:c r="C3353" s="1" t="str">
        <x:v>chl</x:v>
      </x:c>
      <x:c r="D3353" s="1" t="str">
        <x:v>Sin marca</x:v>
      </x:c>
      <x:c r="E3353" s="35" t="n">
        <x:v>1</x:v>
      </x:c>
      <x:c r="F3353" s="36"/>
      <x:c r="G3353" s="36" t="str">
        <x:f>IF(ISNUMBER(F3353),E3353*F3353,"")</x:f>
      </x:c>
      <x:c r="H3353" s="37" t="d">
        <x:v>2026-10-15T00:00:00.000Z</x:v>
      </x:c>
      <x:c r="I3353" s="37" t="d">
        <x:v>2026-09-16T05:35:21.000Z</x:v>
      </x:c>
      <x:c r="J3353" s="1" t="n">
        <x:f>IF(ISNUMBER(F3353),E3353,0)</x:f>
        <x:v>0</x:v>
      </x:c>
      <x:c r="K3353" s="1"/>
      <x:c r="L3353" s="1"/>
      <x:c r="M3353" s="1"/>
    </x:row>
    <x:row r="3354" ht="18.75" customHeight="1">
      <x:c r="A3354" s="1" t="str">
        <x:v>https://blog.skyairline.com/relieve-zona-sur-de-chile/</x:v>
      </x:c>
      <x:c r="B3354" s="1" t="str">
        <x:v>relieve del sur de chile</x:v>
      </x:c>
      <x:c r="C3354" s="1" t="str">
        <x:v>chl</x:v>
      </x:c>
      <x:c r="D3354" s="1" t="str">
        <x:v>Sin marca</x:v>
      </x:c>
      <x:c r="E3354" s="35" t="n">
        <x:v>1</x:v>
      </x:c>
      <x:c r="F3354" s="36"/>
      <x:c r="G3354" s="36" t="str">
        <x:f>IF(ISNUMBER(F3354),E3354*F3354,"")</x:f>
      </x:c>
      <x:c r="H3354" s="37" t="d">
        <x:v>2026-10-15T00:00:00.000Z</x:v>
      </x:c>
      <x:c r="I3354" s="37" t="d">
        <x:v>2026-09-17T17:07:17.000Z</x:v>
      </x:c>
      <x:c r="J3354" s="1" t="n">
        <x:f>IF(ISNUMBER(F3354),E3354,0)</x:f>
        <x:v>0</x:v>
      </x:c>
      <x:c r="K3354" s="1"/>
      <x:c r="L3354" s="1"/>
      <x:c r="M3354" s="1"/>
    </x:row>
    <x:row r="3355" ht="18.75" customHeight="1">
      <x:c r="A3355" s="1" t="str">
        <x:v>https://blog.skyairline.com/reloj-vina-del-mar/</x:v>
      </x:c>
      <x:c r="B3355" s="1" t="str">
        <x:v>reloj de flores</x:v>
      </x:c>
      <x:c r="C3355" s="1" t="str">
        <x:v>chl</x:v>
      </x:c>
      <x:c r="D3355" s="1" t="str">
        <x:v>Sin marca</x:v>
      </x:c>
      <x:c r="E3355" s="35" t="n">
        <x:v>1</x:v>
      </x:c>
      <x:c r="F3355" s="36" t="n">
        <x:v>0.5</x:v>
      </x:c>
      <x:c r="G3355" s="36" t="n">
        <x:f>IF(ISNUMBER(F3355),E3355*F3355,"")</x:f>
        <x:v>0.5</x:v>
      </x:c>
      <x:c r="H3355" s="37" t="d">
        <x:v>2026-10-15T00:00:00.000Z</x:v>
      </x:c>
      <x:c r="I3355" s="37" t="d">
        <x:v>2026-10-15T07:53:16.000Z</x:v>
      </x:c>
      <x:c r="J3355" s="1" t="n">
        <x:f>IF(ISNUMBER(F3355),E3355,0)</x:f>
        <x:v>1</x:v>
      </x:c>
      <x:c r="K3355" s="1"/>
      <x:c r="L3355" s="1"/>
      <x:c r="M3355" s="1"/>
    </x:row>
    <x:row r="3356" ht="18.75" customHeight="1">
      <x:c r="A3356" s="1" t="str">
        <x:v>https://blog.skyairline.com/reloj-vina-del-mar/</x:v>
      </x:c>
      <x:c r="B3356" s="1" t="str">
        <x:v>reloj de flores viña del mar</x:v>
      </x:c>
      <x:c r="C3356" s="1" t="str">
        <x:v>chl</x:v>
      </x:c>
      <x:c r="D3356" s="1" t="str">
        <x:v>Sin marca</x:v>
      </x:c>
      <x:c r="E3356" s="35" t="n">
        <x:v>1</x:v>
      </x:c>
      <x:c r="F3356" s="36" t="n">
        <x:v>0.09</x:v>
      </x:c>
      <x:c r="G3356" s="36" t="n">
        <x:f>IF(ISNUMBER(F3356),E3356*F3356,"")</x:f>
        <x:v>0.09</x:v>
      </x:c>
      <x:c r="H3356" s="37" t="d">
        <x:v>2026-10-15T00:00:00.000Z</x:v>
      </x:c>
      <x:c r="I3356" s="37" t="d">
        <x:v>2026-09-17T18:47:58.999Z</x:v>
      </x:c>
      <x:c r="J3356" s="1" t="n">
        <x:f>IF(ISNUMBER(F3356),E3356,0)</x:f>
        <x:v>1</x:v>
      </x:c>
      <x:c r="K3356" s="1"/>
      <x:c r="L3356" s="1"/>
      <x:c r="M3356" s="1"/>
    </x:row>
    <x:row r="3357" ht="18.75" customHeight="1">
      <x:c r="A3357" s="1" t="str">
        <x:v>https://blog.skyairline.com/reloj-vina-del-mar/</x:v>
      </x:c>
      <x:c r="B3357" s="1" t="str">
        <x:v>reloj de viña del mar</x:v>
      </x:c>
      <x:c r="C3357" s="1" t="str">
        <x:v>chl</x:v>
      </x:c>
      <x:c r="D3357" s="1" t="str">
        <x:v>Sin marca</x:v>
      </x:c>
      <x:c r="E3357" s="35" t="n">
        <x:v>1</x:v>
      </x:c>
      <x:c r="F3357" s="36" t="n">
        <x:v>0.03</x:v>
      </x:c>
      <x:c r="G3357" s="36" t="n">
        <x:f>IF(ISNUMBER(F3357),E3357*F3357,"")</x:f>
        <x:v>0.03</x:v>
      </x:c>
      <x:c r="H3357" s="37" t="d">
        <x:v>2026-10-15T00:00:00.000Z</x:v>
      </x:c>
      <x:c r="I3357" s="37" t="d">
        <x:v>2026-10-15T16:10:25.000Z</x:v>
      </x:c>
      <x:c r="J3357" s="1" t="n">
        <x:f>IF(ISNUMBER(F3357),E3357,0)</x:f>
        <x:v>1</x:v>
      </x:c>
      <x:c r="K3357" s="1"/>
      <x:c r="L3357" s="1"/>
      <x:c r="M3357" s="1"/>
    </x:row>
    <x:row r="3358" ht="18.75" customHeight="1">
      <x:c r="A3358" s="1" t="str">
        <x:v>https://blog.skyairline.com/requisitos-para-viajar-a-mexico-desde-chile/</x:v>
      </x:c>
      <x:c r="B3358" s="1" t="str">
        <x:v>necesito visa para viajar a mexico</x:v>
      </x:c>
      <x:c r="C3358" s="1" t="str">
        <x:v>chl</x:v>
      </x:c>
      <x:c r="D3358" s="1" t="str">
        <x:v>Sin marca</x:v>
      </x:c>
      <x:c r="E3358" s="35" t="n">
        <x:v>1</x:v>
      </x:c>
      <x:c r="F3358" s="36"/>
      <x:c r="G3358" s="36" t="str">
        <x:f>IF(ISNUMBER(F3358),E3358*F3358,"")</x:f>
      </x:c>
      <x:c r="H3358" s="37" t="d">
        <x:v>2026-10-15T00:00:00.000Z</x:v>
      </x:c>
      <x:c r="I3358" s="37" t="d">
        <x:v>2026-09-13T05:08:54.000Z</x:v>
      </x:c>
      <x:c r="J3358" s="1" t="n">
        <x:f>IF(ISNUMBER(F3358),E3358,0)</x:f>
        <x:v>0</x:v>
      </x:c>
      <x:c r="K3358" s="1"/>
      <x:c r="L3358" s="1"/>
      <x:c r="M3358" s="1"/>
    </x:row>
    <x:row r="3359" ht="18.75" customHeight="1">
      <x:c r="A3359" s="1" t="str">
        <x:v>https://blog.skyairline.com/requisitos-para-viajar-a-mexico-desde-chile/</x:v>
      </x:c>
      <x:c r="B3359" s="1" t="str">
        <x:v>para ir a cancun se necesita pasaporte</x:v>
      </x:c>
      <x:c r="C3359" s="1" t="str">
        <x:v>chl</x:v>
      </x:c>
      <x:c r="D3359" s="1" t="str">
        <x:v>Sin marca</x:v>
      </x:c>
      <x:c r="E3359" s="35" t="n">
        <x:v>1</x:v>
      </x:c>
      <x:c r="F3359" s="36"/>
      <x:c r="G3359" s="36" t="str">
        <x:f>IF(ISNUMBER(F3359),E3359*F3359,"")</x:f>
      </x:c>
      <x:c r="H3359" s="37"/>
      <x:c r="I3359" s="37"/>
      <x:c r="J3359" s="1" t="n">
        <x:f>IF(ISNUMBER(F3359),E3359,0)</x:f>
        <x:v>0</x:v>
      </x:c>
      <x:c r="K3359" s="1"/>
      <x:c r="L3359" s="1"/>
      <x:c r="M3359" s="1"/>
    </x:row>
    <x:row r="3360" ht="18.75" customHeight="1">
      <x:c r="A3360" s="1" t="str">
        <x:v>https://blog.skyairline.com/requisitos-para-viajar-a-mexico-desde-chile/</x:v>
      </x:c>
      <x:c r="B3360" s="1" t="str">
        <x:v>para ir a mexico se necesita pasaporte</x:v>
      </x:c>
      <x:c r="C3360" s="1" t="str">
        <x:v>chl</x:v>
      </x:c>
      <x:c r="D3360" s="1" t="str">
        <x:v>Sin marca</x:v>
      </x:c>
      <x:c r="E3360" s="35" t="n">
        <x:v>1</x:v>
      </x:c>
      <x:c r="F3360" s="36" t="n">
        <x:v>0.36</x:v>
      </x:c>
      <x:c r="G3360" s="36" t="n">
        <x:f>IF(ISNUMBER(F3360),E3360*F3360,"")</x:f>
        <x:v>0.36</x:v>
      </x:c>
      <x:c r="H3360" s="37" t="d">
        <x:v>2026-10-15T00:00:00.000Z</x:v>
      </x:c>
      <x:c r="I3360" s="37" t="d">
        <x:v>2026-09-14T03:19:47.000Z</x:v>
      </x:c>
      <x:c r="J3360" s="1" t="n">
        <x:f>IF(ISNUMBER(F3360),E3360,0)</x:f>
        <x:v>1</x:v>
      </x:c>
      <x:c r="K3360" s="1"/>
      <x:c r="L3360" s="1"/>
      <x:c r="M3360" s="1"/>
    </x:row>
    <x:row r="3361" ht="18.75" customHeight="1">
      <x:c r="A3361" s="1" t="str">
        <x:v>https://blog.skyairline.com/requisitos-para-viajar-a-mexico-desde-chile/</x:v>
      </x:c>
      <x:c r="B3361" s="1" t="str">
        <x:v>para viajar a mexico desde chile se necesita pasaporte</x:v>
      </x:c>
      <x:c r="C3361" s="1" t="str">
        <x:v>chl</x:v>
      </x:c>
      <x:c r="D3361" s="1" t="str">
        <x:v>Sin marca</x:v>
      </x:c>
      <x:c r="E3361" s="35" t="n">
        <x:v>1</x:v>
      </x:c>
      <x:c r="F3361" s="36"/>
      <x:c r="G3361" s="36" t="str">
        <x:f>IF(ISNUMBER(F3361),E3361*F3361,"")</x:f>
      </x:c>
      <x:c r="H3361" s="37" t="d">
        <x:v>2026-10-15T00:00:00.000Z</x:v>
      </x:c>
      <x:c r="I3361" s="37" t="d">
        <x:v>2026-09-16T20:39:59.000Z</x:v>
      </x:c>
      <x:c r="J3361" s="1" t="n">
        <x:f>IF(ISNUMBER(F3361),E3361,0)</x:f>
        <x:v>0</x:v>
      </x:c>
      <x:c r="K3361" s="1"/>
      <x:c r="L3361" s="1"/>
      <x:c r="M3361" s="1"/>
    </x:row>
    <x:row r="3362" ht="18.75" customHeight="1">
      <x:c r="A3362" s="1" t="str">
        <x:v>https://blog.skyairline.com/requisitos-para-viajar-a-mexico-desde-chile/</x:v>
      </x:c>
      <x:c r="B3362" s="1" t="str">
        <x:v>que necesito para viajar a mexico desde chile</x:v>
      </x:c>
      <x:c r="C3362" s="1" t="str">
        <x:v>chl</x:v>
      </x:c>
      <x:c r="D3362" s="1" t="str">
        <x:v>Sin marca</x:v>
      </x:c>
      <x:c r="E3362" s="35" t="n">
        <x:v>1</x:v>
      </x:c>
      <x:c r="F3362" s="36"/>
      <x:c r="G3362" s="36" t="str">
        <x:f>IF(ISNUMBER(F3362),E3362*F3362,"")</x:f>
      </x:c>
      <x:c r="H3362" s="37" t="d">
        <x:v>2026-10-15T00:00:00.000Z</x:v>
      </x:c>
      <x:c r="I3362" s="37" t="d">
        <x:v>2026-09-13T08:50:16.000Z</x:v>
      </x:c>
      <x:c r="J3362" s="1" t="n">
        <x:f>IF(ISNUMBER(F3362),E3362,0)</x:f>
        <x:v>0</x:v>
      </x:c>
      <x:c r="K3362" s="1"/>
      <x:c r="L3362" s="1"/>
      <x:c r="M3362" s="1"/>
    </x:row>
    <x:row r="3363" ht="18.75" customHeight="1">
      <x:c r="A3363" s="1" t="str">
        <x:v>https://blog.skyairline.com/requisitos-para-viajar-a-mexico-desde-chile/</x:v>
      </x:c>
      <x:c r="B3363" s="1" t="str">
        <x:v>que vacunas se necesitan para viajar a mexico</x:v>
      </x:c>
      <x:c r="C3363" s="1" t="str">
        <x:v>chl</x:v>
      </x:c>
      <x:c r="D3363" s="1" t="str">
        <x:v>Sin marca</x:v>
      </x:c>
      <x:c r="E3363" s="35" t="n">
        <x:v>1</x:v>
      </x:c>
      <x:c r="F3363" s="36"/>
      <x:c r="G3363" s="36" t="str">
        <x:f>IF(ISNUMBER(F3363),E3363*F3363,"")</x:f>
      </x:c>
      <x:c r="H3363" s="37"/>
      <x:c r="I3363" s="37"/>
      <x:c r="J3363" s="1" t="n">
        <x:f>IF(ISNUMBER(F3363),E3363,0)</x:f>
        <x:v>0</x:v>
      </x:c>
      <x:c r="K3363" s="1"/>
      <x:c r="L3363" s="1"/>
      <x:c r="M3363" s="1"/>
    </x:row>
    <x:row r="3364" ht="18.75" customHeight="1">
      <x:c r="A3364" s="1" t="str">
        <x:v>https://blog.skyairline.com/requisitos-para-viajar-a-mexico-desde-chile/</x:v>
      </x:c>
      <x:c r="B3364" s="1" t="str">
        <x:v>requisitos para ir a mexico desde chile</x:v>
      </x:c>
      <x:c r="C3364" s="1" t="str">
        <x:v>chl</x:v>
      </x:c>
      <x:c r="D3364" s="1" t="str">
        <x:v>Sin marca</x:v>
      </x:c>
      <x:c r="E3364" s="35" t="n">
        <x:v>1</x:v>
      </x:c>
      <x:c r="F3364" s="36"/>
      <x:c r="G3364" s="36" t="str">
        <x:f>IF(ISNUMBER(F3364),E3364*F3364,"")</x:f>
      </x:c>
      <x:c r="H3364" s="37"/>
      <x:c r="I3364" s="37"/>
      <x:c r="J3364" s="1" t="n">
        <x:f>IF(ISNUMBER(F3364),E3364,0)</x:f>
        <x:v>0</x:v>
      </x:c>
      <x:c r="K3364" s="1"/>
      <x:c r="L3364" s="1"/>
      <x:c r="M3364" s="1"/>
    </x:row>
    <x:row r="3365" ht="18.75" customHeight="1">
      <x:c r="A3365" s="1" t="str">
        <x:v>https://blog.skyairline.com/requisitos-para-viajar-a-mexico-desde-chile/</x:v>
      </x:c>
      <x:c r="B3365" s="1" t="str">
        <x:v>viajar a mexico desde chile requisitos</x:v>
      </x:c>
      <x:c r="C3365" s="1" t="str">
        <x:v>chl</x:v>
      </x:c>
      <x:c r="D3365" s="1" t="str">
        <x:v>Sin marca</x:v>
      </x:c>
      <x:c r="E3365" s="35" t="n">
        <x:v>1</x:v>
      </x:c>
      <x:c r="F3365" s="36" t="n">
        <x:v>0.07</x:v>
      </x:c>
      <x:c r="G3365" s="36" t="n">
        <x:f>IF(ISNUMBER(F3365),E3365*F3365,"")</x:f>
        <x:v>0.07</x:v>
      </x:c>
      <x:c r="H3365" s="37" t="d">
        <x:v>2026-10-15T00:00:00.000Z</x:v>
      </x:c>
      <x:c r="I3365" s="37" t="d">
        <x:v>2026-09-14T17:22:24.000Z</x:v>
      </x:c>
      <x:c r="J3365" s="1" t="n">
        <x:f>IF(ISNUMBER(F3365),E3365,0)</x:f>
        <x:v>1</x:v>
      </x:c>
      <x:c r="K3365" s="1"/>
      <x:c r="L3365" s="1"/>
      <x:c r="M3365" s="1"/>
    </x:row>
    <x:row r="3366" ht="18.75" customHeight="1">
      <x:c r="A3366" s="1" t="str">
        <x:v>https://blog.skyairline.com/requisitos-para-viajar-a-mexico-desde-chile/</x:v>
      </x:c>
      <x:c r="B3366" s="1" t="str">
        <x:v>visa para mexico desde chile</x:v>
      </x:c>
      <x:c r="C3366" s="1" t="str">
        <x:v>chl</x:v>
      </x:c>
      <x:c r="D3366" s="1" t="str">
        <x:v>Sin marca</x:v>
      </x:c>
      <x:c r="E3366" s="35" t="n">
        <x:v>1</x:v>
      </x:c>
      <x:c r="F3366" s="36"/>
      <x:c r="G3366" s="36" t="str">
        <x:f>IF(ISNUMBER(F3366),E3366*F3366,"")</x:f>
      </x:c>
      <x:c r="H3366" s="37" t="d">
        <x:v>2026-10-15T00:00:00.000Z</x:v>
      </x:c>
      <x:c r="I3366" s="37" t="d">
        <x:v>2026-09-17T18:07:43.999Z</x:v>
      </x:c>
      <x:c r="J3366" s="1" t="n">
        <x:f>IF(ISNUMBER(F3366),E3366,0)</x:f>
        <x:v>0</x:v>
      </x:c>
      <x:c r="K3366" s="1"/>
      <x:c r="L3366" s="1"/>
      <x:c r="M3366" s="1"/>
    </x:row>
    <x:row r="3367" ht="18.75" customHeight="1">
      <x:c r="A3367" s="1" t="str">
        <x:v>https://blog.skyairline.com/reserva-nacional-de-tambopata/</x:v>
      </x:c>
      <x:c r="B3367" s="1" t="str">
        <x:v>rainforest tambopata</x:v>
      </x:c>
      <x:c r="C3367" s="1" t="str">
        <x:v>per</x:v>
      </x:c>
      <x:c r="D3367" s="1" t="str">
        <x:v>Sin marca</x:v>
      </x:c>
      <x:c r="E3367" s="35" t="n">
        <x:v>1</x:v>
      </x:c>
      <x:c r="F3367" s="36" t="n">
        <x:v>0.32</x:v>
      </x:c>
      <x:c r="G3367" s="36" t="n">
        <x:f>IF(ISNUMBER(F3367),E3367*F3367,"")</x:f>
        <x:v>0.32</x:v>
      </x:c>
      <x:c r="H3367" s="37" t="d">
        <x:v>2026-10-15T00:00:00.000Z</x:v>
      </x:c>
      <x:c r="I3367" s="37" t="d">
        <x:v>2026-09-17T19:40:58.000Z</x:v>
      </x:c>
      <x:c r="J3367" s="1" t="n">
        <x:f>IF(ISNUMBER(F3367),E3367,0)</x:f>
        <x:v>1</x:v>
      </x:c>
      <x:c r="K3367" s="1"/>
      <x:c r="L3367" s="1"/>
      <x:c r="M3367" s="1"/>
    </x:row>
    <x:row r="3368" ht="18.75" customHeight="1">
      <x:c r="A3368" s="1" t="str">
        <x:v>https://blog.skyairline.com/reserva-nacional-de-tambopata/</x:v>
      </x:c>
      <x:c r="B3368" s="1" t="str">
        <x:v>tambopata</x:v>
      </x:c>
      <x:c r="C3368" s="1" t="str">
        <x:v>per</x:v>
      </x:c>
      <x:c r="D3368" s="1" t="str">
        <x:v>Sin marca</x:v>
      </x:c>
      <x:c r="E3368" s="35" t="n">
        <x:v>1</x:v>
      </x:c>
      <x:c r="F3368" s="36" t="n">
        <x:v>0.95</x:v>
      </x:c>
      <x:c r="G3368" s="36" t="n">
        <x:f>IF(ISNUMBER(F3368),E3368*F3368,"")</x:f>
        <x:v>0.95</x:v>
      </x:c>
      <x:c r="H3368" s="37" t="d">
        <x:v>2026-10-15T00:00:00.000Z</x:v>
      </x:c>
      <x:c r="I3368" s="37" t="d">
        <x:v>2026-09-15T02:49:34.000Z</x:v>
      </x:c>
      <x:c r="J3368" s="1" t="n">
        <x:f>IF(ISNUMBER(F3368),E3368,0)</x:f>
        <x:v>1</x:v>
      </x:c>
      <x:c r="K3368" s="1"/>
      <x:c r="L3368" s="1"/>
      <x:c r="M3368" s="1"/>
    </x:row>
    <x:row r="3369" ht="18.75" customHeight="1">
      <x:c r="A3369" s="1" t="str">
        <x:v>https://blog.skyairline.com/reservar-un-hotel/</x:v>
      </x:c>
      <x:c r="B3369" s="1" t="str">
        <x:v>booking sky</x:v>
      </x:c>
      <x:c r="C3369" s="1" t="str">
        <x:v>esp</x:v>
      </x:c>
      <x:c r="D3369" s="1" t="str">
        <x:v>Marca</x:v>
      </x:c>
      <x:c r="E3369" s="35" t="n">
        <x:v>1</x:v>
      </x:c>
      <x:c r="F3369" s="36"/>
      <x:c r="G3369" s="36" t="str">
        <x:f>IF(ISNUMBER(F3369),E3369*F3369,"")</x:f>
      </x:c>
      <x:c r="H3369" s="37"/>
      <x:c r="I3369" s="37"/>
      <x:c r="J3369" s="1" t="n">
        <x:f>IF(ISNUMBER(F3369),E3369,0)</x:f>
        <x:v>0</x:v>
      </x:c>
      <x:c r="K3369" s="1"/>
      <x:c r="L3369" s="1"/>
      <x:c r="M3369" s="1"/>
    </x:row>
    <x:row r="3370" ht="18.75" customHeight="1">
      <x:c r="A3370" s="1" t="str">
        <x:v>https://blog.skyairline.com/reservar-un-hotel/</x:v>
      </x:c>
      <x:c r="B3370" s="1" t="str">
        <x:v>sky hoteles</x:v>
      </x:c>
      <x:c r="C3370" s="1" t="str">
        <x:v>per</x:v>
      </x:c>
      <x:c r="D3370" s="1" t="str">
        <x:v>Marca</x:v>
      </x:c>
      <x:c r="E3370" s="35" t="n">
        <x:v>1</x:v>
      </x:c>
      <x:c r="F3370" s="36"/>
      <x:c r="G3370" s="36" t="str">
        <x:f>IF(ISNUMBER(F3370),E3370*F3370,"")</x:f>
      </x:c>
      <x:c r="H3370" s="37"/>
      <x:c r="I3370" s="37"/>
      <x:c r="J3370" s="1" t="n">
        <x:f>IF(ISNUMBER(F3370),E3370,0)</x:f>
        <x:v>0</x:v>
      </x:c>
      <x:c r="K3370" s="1"/>
      <x:c r="L3370" s="1"/>
      <x:c r="M3370" s="1"/>
    </x:row>
    <x:row r="3371" ht="18.75" customHeight="1">
      <x:c r="A3371" s="1" t="str">
        <x:v>https://blog.skyairline.com/restaurantes-de-bogota/</x:v>
      </x:c>
      <x:c r="B3371" s="1" t="str">
        <x:v>restaurante tipico colombiano en bogota</x:v>
      </x:c>
      <x:c r="C3371" s="1" t="str">
        <x:v>col</x:v>
      </x:c>
      <x:c r="D3371" s="1" t="str">
        <x:v>Sin marca</x:v>
      </x:c>
      <x:c r="E3371" s="35" t="n">
        <x:v>1</x:v>
      </x:c>
      <x:c r="F3371" s="36"/>
      <x:c r="G3371" s="36" t="str">
        <x:f>IF(ISNUMBER(F3371),E3371*F3371,"")</x:f>
      </x:c>
      <x:c r="H3371" s="37"/>
      <x:c r="I3371" s="37"/>
      <x:c r="J3371" s="1" t="n">
        <x:f>IF(ISNUMBER(F3371),E3371,0)</x:f>
        <x:v>0</x:v>
      </x:c>
      <x:c r="K3371" s="1"/>
      <x:c r="L3371" s="1"/>
      <x:c r="M3371" s="1"/>
    </x:row>
    <x:row r="3372" ht="18.75" customHeight="1">
      <x:c r="A3372" s="1" t="str">
        <x:v>https://blog.skyairline.com/restaurantes-en-bariloche/</x:v>
      </x:c>
      <x:c r="B3372" s="1" t="str">
        <x:v>mejores restaurantes bariloche</x:v>
      </x:c>
      <x:c r="C3372" s="1" t="str">
        <x:v>arg</x:v>
      </x:c>
      <x:c r="D3372" s="1" t="str">
        <x:v>Sin marca</x:v>
      </x:c>
      <x:c r="E3372" s="35" t="n">
        <x:v>1</x:v>
      </x:c>
      <x:c r="F3372" s="36"/>
      <x:c r="G3372" s="36" t="str">
        <x:f>IF(ISNUMBER(F3372),E3372*F3372,"")</x:f>
      </x:c>
      <x:c r="H3372" s="37"/>
      <x:c r="I3372" s="37"/>
      <x:c r="J3372" s="1" t="n">
        <x:f>IF(ISNUMBER(F3372),E3372,0)</x:f>
        <x:v>0</x:v>
      </x:c>
      <x:c r="K3372" s="1"/>
      <x:c r="L3372" s="1"/>
      <x:c r="M3372" s="1"/>
    </x:row>
    <x:row r="3373" ht="18.75" customHeight="1">
      <x:c r="A3373" s="1" t="str">
        <x:v>https://blog.skyairline.com/restaurantes-en-lima/</x:v>
      </x:c>
      <x:c r="B3373" s="1" t="str">
        <x:v>donde comer lima</x:v>
      </x:c>
      <x:c r="C3373" s="1" t="str">
        <x:v>per</x:v>
      </x:c>
      <x:c r="D3373" s="1" t="str">
        <x:v>Sin marca</x:v>
      </x:c>
      <x:c r="E3373" s="35" t="n">
        <x:v>1</x:v>
      </x:c>
      <x:c r="F3373" s="36" t="n">
        <x:v>0.45</x:v>
      </x:c>
      <x:c r="G3373" s="36" t="n">
        <x:f>IF(ISNUMBER(F3373),E3373*F3373,"")</x:f>
        <x:v>0.45</x:v>
      </x:c>
      <x:c r="H3373" s="37" t="d">
        <x:v>2026-10-15T00:00:00.000Z</x:v>
      </x:c>
      <x:c r="I3373" s="37" t="d">
        <x:v>2026-09-17T20:42:34.000Z</x:v>
      </x:c>
      <x:c r="J3373" s="1" t="n">
        <x:f>IF(ISNUMBER(F3373),E3373,0)</x:f>
        <x:v>1</x:v>
      </x:c>
      <x:c r="K3373" s="1"/>
      <x:c r="L3373" s="1"/>
      <x:c r="M3373" s="1"/>
    </x:row>
    <x:row r="3374" ht="18.75" customHeight="1">
      <x:c r="A3374" s="1" t="str">
        <x:v>https://blog.skyairline.com/restaurantes-en-sao-paulo/</x:v>
      </x:c>
      <x:c r="B3374" s="1" t="str">
        <x:v>mejores restaurantes sao paulo</x:v>
      </x:c>
      <x:c r="C3374" s="1" t="str">
        <x:v>chl</x:v>
      </x:c>
      <x:c r="D3374" s="1" t="str">
        <x:v>Sin marca</x:v>
      </x:c>
      <x:c r="E3374" s="35" t="n">
        <x:v>1</x:v>
      </x:c>
      <x:c r="F3374" s="36" t="n">
        <x:v>0.02</x:v>
      </x:c>
      <x:c r="G3374" s="36" t="n">
        <x:f>IF(ISNUMBER(F3374),E3374*F3374,"")</x:f>
        <x:v>0.02</x:v>
      </x:c>
      <x:c r="H3374" s="37" t="d">
        <x:v>2026-10-15T00:00:00.000Z</x:v>
      </x:c>
      <x:c r="I3374" s="37" t="d">
        <x:v>2026-09-13T00:57:38.000Z</x:v>
      </x:c>
      <x:c r="J3374" s="1" t="n">
        <x:f>IF(ISNUMBER(F3374),E3374,0)</x:f>
        <x:v>1</x:v>
      </x:c>
      <x:c r="K3374" s="1"/>
      <x:c r="L3374" s="1"/>
      <x:c r="M3374" s="1"/>
    </x:row>
    <x:row r="3375" ht="18.75" customHeight="1">
      <x:c r="A3375" s="1" t="str">
        <x:v>https://blog.skyairline.com/retiros-espirituales/</x:v>
      </x:c>
      <x:c r="B3375" s="1" t="str">
        <x:v>retiro de sanacion espiritual</x:v>
      </x:c>
      <x:c r="C3375" s="1" t="str">
        <x:v>chl</x:v>
      </x:c>
      <x:c r="D3375" s="1" t="str">
        <x:v>Sin marca</x:v>
      </x:c>
      <x:c r="E3375" s="35" t="n">
        <x:v>1</x:v>
      </x:c>
      <x:c r="F3375" s="36"/>
      <x:c r="G3375" s="36" t="str">
        <x:f>IF(ISNUMBER(F3375),E3375*F3375,"")</x:f>
      </x:c>
      <x:c r="H3375" s="37"/>
      <x:c r="I3375" s="37"/>
      <x:c r="J3375" s="1" t="n">
        <x:f>IF(ISNUMBER(F3375),E3375,0)</x:f>
        <x:v>0</x:v>
      </x:c>
      <x:c r="K3375" s="1"/>
      <x:c r="L3375" s="1"/>
      <x:c r="M3375" s="1"/>
    </x:row>
    <x:row r="3376" ht="18.75" customHeight="1">
      <x:c r="A3376" s="1" t="str">
        <x:v>https://blog.skyairline.com/retiros-espirituales/</x:v>
      </x:c>
      <x:c r="B3376" s="1" t="str">
        <x:v>retiros espirituales en chile</x:v>
      </x:c>
      <x:c r="C3376" s="1" t="str">
        <x:v>chl</x:v>
      </x:c>
      <x:c r="D3376" s="1" t="str">
        <x:v>Sin marca</x:v>
      </x:c>
      <x:c r="E3376" s="35" t="n">
        <x:v>1</x:v>
      </x:c>
      <x:c r="F3376" s="36" t="n">
        <x:v>0.13</x:v>
      </x:c>
      <x:c r="G3376" s="36" t="n">
        <x:f>IF(ISNUMBER(F3376),E3376*F3376,"")</x:f>
        <x:v>0.13</x:v>
      </x:c>
      <x:c r="H3376" s="37" t="d">
        <x:v>2026-10-15T00:00:00.000Z</x:v>
      </x:c>
      <x:c r="I3376" s="37" t="d">
        <x:v>2026-09-16T12:39:54.000Z</x:v>
      </x:c>
      <x:c r="J3376" s="1" t="n">
        <x:f>IF(ISNUMBER(F3376),E3376,0)</x:f>
        <x:v>1</x:v>
      </x:c>
      <x:c r="K3376" s="1"/>
      <x:c r="L3376" s="1"/>
      <x:c r="M3376" s="1"/>
    </x:row>
    <x:row r="3377" ht="18.75" customHeight="1">
      <x:c r="A3377" s="1" t="str">
        <x:v>https://blog.skyairline.com/rio-amazonas/</x:v>
      </x:c>
      <x:c r="B3377" s="1" t="str">
        <x:v>rio amazonas peru</x:v>
      </x:c>
      <x:c r="C3377" s="1" t="str">
        <x:v>chl</x:v>
      </x:c>
      <x:c r="D3377" s="1" t="str">
        <x:v>Sin marca</x:v>
      </x:c>
      <x:c r="E3377" s="35" t="n">
        <x:v>1</x:v>
      </x:c>
      <x:c r="F3377" s="36" t="n">
        <x:v>0.38</x:v>
      </x:c>
      <x:c r="G3377" s="36" t="n">
        <x:f>IF(ISNUMBER(F3377),E3377*F3377,"")</x:f>
        <x:v>0.38</x:v>
      </x:c>
      <x:c r="H3377" s="37" t="d">
        <x:v>2026-10-15T00:00:00.000Z</x:v>
      </x:c>
      <x:c r="I3377" s="37" t="d">
        <x:v>2026-09-12T19:12:17.000Z</x:v>
      </x:c>
      <x:c r="J3377" s="1" t="n">
        <x:f>IF(ISNUMBER(F3377),E3377,0)</x:f>
        <x:v>1</x:v>
      </x:c>
      <x:c r="K3377" s="1"/>
      <x:c r="L3377" s="1"/>
      <x:c r="M3377" s="1"/>
    </x:row>
    <x:row r="3378" ht="18.75" customHeight="1">
      <x:c r="A3378" s="1" t="str">
        <x:v>https://blog.skyairline.com/rioja-peru/</x:v>
      </x:c>
      <x:c r="B3378" s="1" t="str">
        <x:v>aeropuerto rioja</x:v>
      </x:c>
      <x:c r="C3378" s="1" t="str">
        <x:v>per</x:v>
      </x:c>
      <x:c r="D3378" s="1" t="str">
        <x:v>Sin marca</x:v>
      </x:c>
      <x:c r="E3378" s="35" t="n">
        <x:v>1</x:v>
      </x:c>
      <x:c r="F3378" s="36"/>
      <x:c r="G3378" s="36" t="str">
        <x:f>IF(ISNUMBER(F3378),E3378*F3378,"")</x:f>
      </x:c>
      <x:c r="H3378" s="37" t="d">
        <x:v>2026-10-15T00:00:00.000Z</x:v>
      </x:c>
      <x:c r="I3378" s="37" t="d">
        <x:v>2026-09-14T02:17:15.000Z</x:v>
      </x:c>
      <x:c r="J3378" s="1" t="n">
        <x:f>IF(ISNUMBER(F3378),E3378,0)</x:f>
        <x:v>0</x:v>
      </x:c>
      <x:c r="K3378" s="1"/>
      <x:c r="L3378" s="1"/>
      <x:c r="M3378" s="1"/>
    </x:row>
    <x:row r="3379" ht="18.75" customHeight="1">
      <x:c r="A3379" s="1" t="str">
        <x:v>https://blog.skyairline.com/rioja-peru/</x:v>
      </x:c>
      <x:c r="B3379" s="1" t="str">
        <x:v>como llegar a rioja desde lima</x:v>
      </x:c>
      <x:c r="C3379" s="1" t="str">
        <x:v>per</x:v>
      </x:c>
      <x:c r="D3379" s="1" t="str">
        <x:v>Sin marca</x:v>
      </x:c>
      <x:c r="E3379" s="35" t="n">
        <x:v>1</x:v>
      </x:c>
      <x:c r="F3379" s="36"/>
      <x:c r="G3379" s="36" t="str">
        <x:f>IF(ISNUMBER(F3379),E3379*F3379,"")</x:f>
      </x:c>
      <x:c r="H3379" s="37" t="d">
        <x:v>2026-10-15T00:00:00.000Z</x:v>
      </x:c>
      <x:c r="I3379" s="37" t="d">
        <x:v>2026-09-15T02:00:32.999Z</x:v>
      </x:c>
      <x:c r="J3379" s="1" t="n">
        <x:f>IF(ISNUMBER(F3379),E3379,0)</x:f>
        <x:v>0</x:v>
      </x:c>
      <x:c r="K3379" s="1"/>
      <x:c r="L3379" s="1"/>
      <x:c r="M3379" s="1"/>
    </x:row>
    <x:row r="3380" ht="18.75" customHeight="1">
      <x:c r="A3380" s="1" t="str">
        <x:v>https://blog.skyairline.com/rios-de-chile/</x:v>
      </x:c>
      <x:c r="B3380" s="1" t="str">
        <x:v>rios mas importantes de chile</x:v>
      </x:c>
      <x:c r="C3380" s="1" t="str">
        <x:v>arg</x:v>
      </x:c>
      <x:c r="D3380" s="1" t="str">
        <x:v>Sin marca</x:v>
      </x:c>
      <x:c r="E3380" s="35" t="n">
        <x:v>1</x:v>
      </x:c>
      <x:c r="F3380" s="36"/>
      <x:c r="G3380" s="36" t="str">
        <x:f>IF(ISNUMBER(F3380),E3380*F3380,"")</x:f>
      </x:c>
      <x:c r="H3380" s="37"/>
      <x:c r="I3380" s="37"/>
      <x:c r="J3380" s="1" t="n">
        <x:f>IF(ISNUMBER(F3380),E3380,0)</x:f>
        <x:v>0</x:v>
      </x:c>
      <x:c r="K3380" s="1"/>
      <x:c r="L3380" s="1"/>
      <x:c r="M3380" s="1"/>
    </x:row>
    <x:row r="3381" ht="18.75" customHeight="1">
      <x:c r="A3381" s="1" t="str">
        <x:v>https://blog.skyairline.com/rios-de-chile/</x:v>
      </x:c>
      <x:c r="B3381" s="1" t="str">
        <x:v>rios mas importantes de chile</x:v>
      </x:c>
      <x:c r="C3381" s="1" t="str">
        <x:v>esp</x:v>
      </x:c>
      <x:c r="D3381" s="1" t="str">
        <x:v>Sin marca</x:v>
      </x:c>
      <x:c r="E3381" s="35" t="n">
        <x:v>1</x:v>
      </x:c>
      <x:c r="F3381" s="36"/>
      <x:c r="G3381" s="36" t="str">
        <x:f>IF(ISNUMBER(F3381),E3381*F3381,"")</x:f>
      </x:c>
      <x:c r="H3381" s="37"/>
      <x:c r="I3381" s="37"/>
      <x:c r="J3381" s="1" t="n">
        <x:f>IF(ISNUMBER(F3381),E3381,0)</x:f>
        <x:v>0</x:v>
      </x:c>
      <x:c r="K3381" s="1"/>
      <x:c r="L3381" s="1"/>
      <x:c r="M3381" s="1"/>
    </x:row>
    <x:row r="3382" ht="18.75" customHeight="1">
      <x:c r="A3382" s="1" t="str">
        <x:v>https://blog.skyairline.com/rios-de-chile/</x:v>
      </x:c>
      <x:c r="B3382" s="1" t="str">
        <x:v>río de chile</x:v>
      </x:c>
      <x:c r="C3382" s="1" t="str">
        <x:v>arg</x:v>
      </x:c>
      <x:c r="D3382" s="1" t="str">
        <x:v>Sin marca</x:v>
      </x:c>
      <x:c r="E3382" s="35" t="n">
        <x:v>1</x:v>
      </x:c>
      <x:c r="F3382" s="36"/>
      <x:c r="G3382" s="36" t="str">
        <x:f>IF(ISNUMBER(F3382),E3382*F3382,"")</x:f>
      </x:c>
      <x:c r="H3382" s="37"/>
      <x:c r="I3382" s="37"/>
      <x:c r="J3382" s="1" t="n">
        <x:f>IF(ISNUMBER(F3382),E3382,0)</x:f>
        <x:v>0</x:v>
      </x:c>
      <x:c r="K3382" s="1"/>
      <x:c r="L3382" s="1"/>
      <x:c r="M3382" s="1"/>
    </x:row>
    <x:row r="3383" ht="18.75" customHeight="1">
      <x:c r="A3383" s="1" t="str">
        <x:v>https://blog.skyairline.com/ropa-para-viajar-en-avion/</x:v>
      </x:c>
      <x:c r="B3383" s="1" t="str">
        <x:v>11 grados</x:v>
      </x:c>
      <x:c r="C3383" s="1" t="str">
        <x:v>dom</x:v>
      </x:c>
      <x:c r="D3383" s="1" t="str">
        <x:v>Sin marca</x:v>
      </x:c>
      <x:c r="E3383" s="35" t="n">
        <x:v>1</x:v>
      </x:c>
      <x:c r="F3383" s="36"/>
      <x:c r="G3383" s="36" t="str">
        <x:f>IF(ISNUMBER(F3383),E3383*F3383,"")</x:f>
      </x:c>
      <x:c r="H3383" s="37"/>
      <x:c r="I3383" s="37"/>
      <x:c r="J3383" s="1" t="n">
        <x:f>IF(ISNUMBER(F3383),E3383,0)</x:f>
        <x:v>0</x:v>
      </x:c>
      <x:c r="K3383" s="1"/>
      <x:c r="L3383" s="1"/>
      <x:c r="M3383" s="1"/>
    </x:row>
    <x:row r="3384" ht="18.75" customHeight="1">
      <x:c r="A3384" s="1" t="str">
        <x:v>https://blog.skyairline.com/ropa-para-viajar-en-avion/</x:v>
      </x:c>
      <x:c r="B3384" s="1" t="str">
        <x:v>como vestir para viajar en avion</x:v>
      </x:c>
      <x:c r="C3384" s="1" t="str">
        <x:v>chl</x:v>
      </x:c>
      <x:c r="D3384" s="1" t="str">
        <x:v>Sin marca</x:v>
      </x:c>
      <x:c r="E3384" s="35" t="n">
        <x:v>1</x:v>
      </x:c>
      <x:c r="F3384" s="36" t="n">
        <x:v>0.14</x:v>
      </x:c>
      <x:c r="G3384" s="36" t="n">
        <x:f>IF(ISNUMBER(F3384),E3384*F3384,"")</x:f>
        <x:v>0.14</x:v>
      </x:c>
      <x:c r="H3384" s="37" t="d">
        <x:v>2026-10-15T00:00:00.000Z</x:v>
      </x:c>
      <x:c r="I3384" s="37" t="d">
        <x:v>2026-09-17T15:59:27.000Z</x:v>
      </x:c>
      <x:c r="J3384" s="1" t="n">
        <x:f>IF(ISNUMBER(F3384),E3384,0)</x:f>
        <x:v>1</x:v>
      </x:c>
      <x:c r="K3384" s="1"/>
      <x:c r="L3384" s="1"/>
      <x:c r="M3384" s="1"/>
    </x:row>
    <x:row r="3385" ht="18.75" customHeight="1">
      <x:c r="A3385" s="1" t="str">
        <x:v>https://blog.skyairline.com/ruinas-antiguas-en-peru/</x:v>
      </x:c>
      <x:c r="B3385" s="1" t="str">
        <x:v>ruinas peru</x:v>
      </x:c>
      <x:c r="C3385" s="1" t="str">
        <x:v>ury</x:v>
      </x:c>
      <x:c r="D3385" s="1" t="str">
        <x:v>Sin marca</x:v>
      </x:c>
      <x:c r="E3385" s="35" t="n">
        <x:v>1</x:v>
      </x:c>
      <x:c r="F3385" s="36"/>
      <x:c r="G3385" s="36" t="str">
        <x:f>IF(ISNUMBER(F3385),E3385*F3385,"")</x:f>
      </x:c>
      <x:c r="H3385" s="37"/>
      <x:c r="I3385" s="37"/>
      <x:c r="J3385" s="1" t="n">
        <x:f>IF(ISNUMBER(F3385),E3385,0)</x:f>
        <x:v>0</x:v>
      </x:c>
      <x:c r="K3385" s="1"/>
      <x:c r="L3385" s="1"/>
      <x:c r="M3385" s="1"/>
    </x:row>
    <x:row r="3386" ht="18.75" customHeight="1">
      <x:c r="A3386" s="1" t="str">
        <x:v>https://blog.skyairline.com/salvador-de-bahia/</x:v>
      </x:c>
      <x:c r="B3386" s="1" t="str">
        <x:v>salvador de bahía brasil es peligroso</x:v>
      </x:c>
      <x:c r="C3386" s="1" t="str">
        <x:v>arg</x:v>
      </x:c>
      <x:c r="D3386" s="1" t="str">
        <x:v>Sin marca</x:v>
      </x:c>
      <x:c r="E3386" s="35" t="n">
        <x:v>1</x:v>
      </x:c>
      <x:c r="F3386" s="36"/>
      <x:c r="G3386" s="36" t="str">
        <x:f>IF(ISNUMBER(F3386),E3386*F3386,"")</x:f>
      </x:c>
      <x:c r="H3386" s="37"/>
      <x:c r="I3386" s="37"/>
      <x:c r="J3386" s="1" t="n">
        <x:f>IF(ISNUMBER(F3386),E3386,0)</x:f>
        <x:v>0</x:v>
      </x:c>
      <x:c r="K3386" s="1"/>
      <x:c r="L3386" s="1"/>
      <x:c r="M3386" s="1"/>
    </x:row>
    <x:row r="3387" ht="18.75" customHeight="1">
      <x:c r="A3387" s="1" t="str">
        <x:v>https://blog.skyairline.com/salvador-de-bahia/</x:v>
      </x:c>
      <x:c r="B3387" s="1" t="str">
        <x:v>salvador de bahía es peligroso</x:v>
      </x:c>
      <x:c r="C3387" s="1" t="str">
        <x:v>col</x:v>
      </x:c>
      <x:c r="D3387" s="1" t="str">
        <x:v>Sin marca</x:v>
      </x:c>
      <x:c r="E3387" s="35" t="n">
        <x:v>1</x:v>
      </x:c>
      <x:c r="F3387" s="36"/>
      <x:c r="G3387" s="36" t="str">
        <x:f>IF(ISNUMBER(F3387),E3387*F3387,"")</x:f>
      </x:c>
      <x:c r="H3387" s="37"/>
      <x:c r="I3387" s="37"/>
      <x:c r="J3387" s="1" t="n">
        <x:f>IF(ISNUMBER(F3387),E3387,0)</x:f>
        <x:v>0</x:v>
      </x:c>
      <x:c r="K3387" s="1"/>
      <x:c r="L3387" s="1"/>
      <x:c r="M3387" s="1"/>
    </x:row>
    <x:row r="3388" ht="18.75" customHeight="1">
      <x:c r="A3388" s="1" t="str">
        <x:v>https://blog.skyairline.com/salvador-de-bahia/</x:v>
      </x:c>
      <x:c r="B3388" s="1" t="str">
        <x:v>salvador de bahía es peligroso</x:v>
      </x:c>
      <x:c r="C3388" s="1" t="str">
        <x:v>ecu</x:v>
      </x:c>
      <x:c r="D3388" s="1" t="str">
        <x:v>Sin marca</x:v>
      </x:c>
      <x:c r="E3388" s="35" t="n">
        <x:v>1</x:v>
      </x:c>
      <x:c r="F3388" s="36"/>
      <x:c r="G3388" s="36" t="str">
        <x:f>IF(ISNUMBER(F3388),E3388*F3388,"")</x:f>
      </x:c>
      <x:c r="H3388" s="37"/>
      <x:c r="I3388" s="37"/>
      <x:c r="J3388" s="1" t="n">
        <x:f>IF(ISNUMBER(F3388),E3388,0)</x:f>
        <x:v>0</x:v>
      </x:c>
      <x:c r="K3388" s="1"/>
      <x:c r="L3388" s="1"/>
      <x:c r="M3388" s="1"/>
    </x:row>
    <x:row r="3389" ht="18.75" customHeight="1">
      <x:c r="A3389" s="1" t="str">
        <x:v>https://blog.skyairline.com/salvador-de-bahia/</x:v>
      </x:c>
      <x:c r="B3389" s="1" t="str">
        <x:v>salvador de bahía es peligroso</x:v>
      </x:c>
      <x:c r="C3389" s="1" t="str">
        <x:v>esp</x:v>
      </x:c>
      <x:c r="D3389" s="1" t="str">
        <x:v>Sin marca</x:v>
      </x:c>
      <x:c r="E3389" s="35" t="n">
        <x:v>1</x:v>
      </x:c>
      <x:c r="F3389" s="36"/>
      <x:c r="G3389" s="36" t="str">
        <x:f>IF(ISNUMBER(F3389),E3389*F3389,"")</x:f>
      </x:c>
      <x:c r="H3389" s="37"/>
      <x:c r="I3389" s="37"/>
      <x:c r="J3389" s="1" t="n">
        <x:f>IF(ISNUMBER(F3389),E3389,0)</x:f>
        <x:v>0</x:v>
      </x:c>
      <x:c r="K3389" s="1"/>
      <x:c r="L3389" s="1"/>
      <x:c r="M3389" s="1"/>
    </x:row>
    <x:row r="3390" ht="18.75" customHeight="1">
      <x:c r="A3390" s="1" t="str">
        <x:v>https://blog.skyairline.com/santiago-a-mendoza/</x:v>
      </x:c>
      <x:c r="B3390" s="1" t="str">
        <x:v>distancia de santiago a mendoza en bus</x:v>
      </x:c>
      <x:c r="C3390" s="1" t="str">
        <x:v>chl</x:v>
      </x:c>
      <x:c r="D3390" s="1" t="str">
        <x:v>Sin marca</x:v>
      </x:c>
      <x:c r="E3390" s="35" t="n">
        <x:v>1</x:v>
      </x:c>
      <x:c r="F3390" s="36"/>
      <x:c r="G3390" s="36" t="str">
        <x:f>IF(ISNUMBER(F3390),E3390*F3390,"")</x:f>
      </x:c>
      <x:c r="H3390" s="37" t="d">
        <x:v>2026-10-15T00:00:00.000Z</x:v>
      </x:c>
      <x:c r="I3390" s="37" t="d">
        <x:v>2026-09-17T16:54:18.999Z</x:v>
      </x:c>
      <x:c r="J3390" s="1" t="n">
        <x:f>IF(ISNUMBER(F3390),E3390,0)</x:f>
        <x:v>0</x:v>
      </x:c>
      <x:c r="K3390" s="1"/>
      <x:c r="L3390" s="1"/>
      <x:c r="M3390" s="1"/>
    </x:row>
    <x:row r="3391" ht="18.75" customHeight="1">
      <x:c r="A3391" s="1" t="str">
        <x:v>https://blog.skyairline.com/santiago-a-mendoza/</x:v>
      </x:c>
      <x:c r="B3391" s="1" t="str">
        <x:v>distancia entre mendoza y santiago de chile</x:v>
      </x:c>
      <x:c r="C3391" s="1" t="str">
        <x:v>chl</x:v>
      </x:c>
      <x:c r="D3391" s="1" t="str">
        <x:v>Sin marca</x:v>
      </x:c>
      <x:c r="E3391" s="35" t="n">
        <x:v>1</x:v>
      </x:c>
      <x:c r="F3391" s="36"/>
      <x:c r="G3391" s="36" t="str">
        <x:f>IF(ISNUMBER(F3391),E3391*F3391,"")</x:f>
      </x:c>
      <x:c r="H3391" s="37" t="d">
        <x:v>2026-10-15T00:00:00.000Z</x:v>
      </x:c>
      <x:c r="I3391" s="37" t="d">
        <x:v>2026-09-15T02:33:32.000Z</x:v>
      </x:c>
      <x:c r="J3391" s="1" t="n">
        <x:f>IF(ISNUMBER(F3391),E3391,0)</x:f>
        <x:v>0</x:v>
      </x:c>
      <x:c r="K3391" s="1"/>
      <x:c r="L3391" s="1"/>
      <x:c r="M3391" s="1"/>
    </x:row>
    <x:row r="3392" ht="18.75" customHeight="1">
      <x:c r="A3392" s="1" t="str">
        <x:v>https://blog.skyairline.com/santiago-a-mendoza/</x:v>
      </x:c>
      <x:c r="B3392" s="1" t="str">
        <x:v>distancia entre santiago y mendoza en avión</x:v>
      </x:c>
      <x:c r="C3392" s="1" t="str">
        <x:v>mex</x:v>
      </x:c>
      <x:c r="D3392" s="1" t="str">
        <x:v>Sin marca</x:v>
      </x:c>
      <x:c r="E3392" s="35" t="n">
        <x:v>1</x:v>
      </x:c>
      <x:c r="F3392" s="36"/>
      <x:c r="G3392" s="36" t="str">
        <x:f>IF(ISNUMBER(F3392),E3392*F3392,"")</x:f>
      </x:c>
      <x:c r="H3392" s="37"/>
      <x:c r="I3392" s="37"/>
      <x:c r="J3392" s="1" t="n">
        <x:f>IF(ISNUMBER(F3392),E3392,0)</x:f>
        <x:v>0</x:v>
      </x:c>
      <x:c r="K3392" s="1"/>
      <x:c r="L3392" s="1"/>
      <x:c r="M3392" s="1"/>
    </x:row>
    <x:row r="3393" ht="18.75" customHeight="1">
      <x:c r="A3393" s="1" t="str">
        <x:v>https://blog.skyairline.com/santiago-a-mendoza/</x:v>
      </x:c>
      <x:c r="B3393" s="1" t="str">
        <x:v>distancia santiago de chile a mendoza</x:v>
      </x:c>
      <x:c r="C3393" s="1" t="str">
        <x:v>chl</x:v>
      </x:c>
      <x:c r="D3393" s="1" t="str">
        <x:v>Sin marca</x:v>
      </x:c>
      <x:c r="E3393" s="35" t="n">
        <x:v>1</x:v>
      </x:c>
      <x:c r="F3393" s="36"/>
      <x:c r="G3393" s="36" t="str">
        <x:f>IF(ISNUMBER(F3393),E3393*F3393,"")</x:f>
      </x:c>
      <x:c r="H3393" s="37" t="d">
        <x:v>2026-10-15T00:00:00.000Z</x:v>
      </x:c>
      <x:c r="I3393" s="37" t="d">
        <x:v>2026-09-13T17:03:43.000Z</x:v>
      </x:c>
      <x:c r="J3393" s="1" t="n">
        <x:f>IF(ISNUMBER(F3393),E3393,0)</x:f>
        <x:v>0</x:v>
      </x:c>
      <x:c r="K3393" s="1"/>
      <x:c r="L3393" s="1"/>
      <x:c r="M3393" s="1"/>
    </x:row>
    <x:row r="3394" ht="18.75" customHeight="1">
      <x:c r="A3394" s="1" t="str">
        <x:v>https://blog.skyairline.com/santiago-a-mendoza/</x:v>
      </x:c>
      <x:c r="B3394" s="1" t="str">
        <x:v>distancia santiago mendoza</x:v>
      </x:c>
      <x:c r="C3394" s="1" t="str">
        <x:v>chl</x:v>
      </x:c>
      <x:c r="D3394" s="1" t="str">
        <x:v>Sin marca</x:v>
      </x:c>
      <x:c r="E3394" s="35" t="n">
        <x:v>1</x:v>
      </x:c>
      <x:c r="F3394" s="36"/>
      <x:c r="G3394" s="36" t="str">
        <x:f>IF(ISNUMBER(F3394),E3394*F3394,"")</x:f>
      </x:c>
      <x:c r="H3394" s="37" t="d">
        <x:v>2026-10-15T00:00:00.000Z</x:v>
      </x:c>
      <x:c r="I3394" s="37" t="d">
        <x:v>2026-09-13T11:28:19.000Z</x:v>
      </x:c>
      <x:c r="J3394" s="1" t="n">
        <x:f>IF(ISNUMBER(F3394),E3394,0)</x:f>
        <x:v>0</x:v>
      </x:c>
      <x:c r="K3394" s="1"/>
      <x:c r="L3394" s="1"/>
      <x:c r="M3394" s="1"/>
    </x:row>
    <x:row r="3395" ht="18.75" customHeight="1">
      <x:c r="A3395" s="1" t="str">
        <x:v>https://blog.skyairline.com/santiago-a-mendoza/</x:v>
      </x:c>
      <x:c r="B3395" s="1" t="str">
        <x:v>santiago a mendoza</x:v>
      </x:c>
      <x:c r="C3395" s="1" t="str">
        <x:v>chl</x:v>
      </x:c>
      <x:c r="D3395" s="1" t="str">
        <x:v>Sin marca</x:v>
      </x:c>
      <x:c r="E3395" s="35" t="n">
        <x:v>1</x:v>
      </x:c>
      <x:c r="F3395" s="36" t="n">
        <x:v>0.58</x:v>
      </x:c>
      <x:c r="G3395" s="36" t="n">
        <x:f>IF(ISNUMBER(F3395),E3395*F3395,"")</x:f>
        <x:v>0.58</x:v>
      </x:c>
      <x:c r="H3395" s="37" t="d">
        <x:v>2026-10-15T00:00:00.000Z</x:v>
      </x:c>
      <x:c r="I3395" s="37" t="d">
        <x:v>2026-09-16T18:06:29.000Z</x:v>
      </x:c>
      <x:c r="J3395" s="1" t="n">
        <x:f>IF(ISNUMBER(F3395),E3395,0)</x:f>
        <x:v>1</x:v>
      </x:c>
      <x:c r="K3395" s="1"/>
      <x:c r="L3395" s="1"/>
      <x:c r="M3395" s="1"/>
    </x:row>
    <x:row r="3396" ht="18.75" customHeight="1">
      <x:c r="A3396" s="1" t="str">
        <x:v>https://blog.skyairline.com/santiago-a-mendoza/</x:v>
      </x:c>
      <x:c r="B3396" s="1" t="str">
        <x:v>viajar a mendoza en bus</x:v>
      </x:c>
      <x:c r="C3396" s="1" t="str">
        <x:v>chl</x:v>
      </x:c>
      <x:c r="D3396" s="1" t="str">
        <x:v>Sin marca</x:v>
      </x:c>
      <x:c r="E3396" s="35" t="n">
        <x:v>1</x:v>
      </x:c>
      <x:c r="F3396" s="36" t="n">
        <x:v>0.09</x:v>
      </x:c>
      <x:c r="G3396" s="36" t="n">
        <x:f>IF(ISNUMBER(F3396),E3396*F3396,"")</x:f>
        <x:v>0.09</x:v>
      </x:c>
      <x:c r="H3396" s="37" t="d">
        <x:v>2026-10-15T00:00:00.000Z</x:v>
      </x:c>
      <x:c r="I3396" s="37" t="d">
        <x:v>2026-09-13T04:56:21.000Z</x:v>
      </x:c>
      <x:c r="J3396" s="1" t="n">
        <x:f>IF(ISNUMBER(F3396),E3396,0)</x:f>
        <x:v>1</x:v>
      </x:c>
      <x:c r="K3396" s="1"/>
      <x:c r="L3396" s="1"/>
      <x:c r="M3396" s="1"/>
    </x:row>
    <x:row r="3397" ht="18.75" customHeight="1">
      <x:c r="A3397" s="1" t="str">
        <x:v>https://blog.skyairline.com/santiago-a-mendoza/</x:v>
      </x:c>
      <x:c r="B3397" s="1" t="str">
        <x:v>viaje a mendoza en bus</x:v>
      </x:c>
      <x:c r="C3397" s="1" t="str">
        <x:v>chl</x:v>
      </x:c>
      <x:c r="D3397" s="1" t="str">
        <x:v>Sin marca</x:v>
      </x:c>
      <x:c r="E3397" s="35" t="n">
        <x:v>1</x:v>
      </x:c>
      <x:c r="F3397" s="36" t="n">
        <x:v>0.09</x:v>
      </x:c>
      <x:c r="G3397" s="36" t="n">
        <x:f>IF(ISNUMBER(F3397),E3397*F3397,"")</x:f>
        <x:v>0.09</x:v>
      </x:c>
      <x:c r="H3397" s="37" t="d">
        <x:v>2026-10-15T00:00:00.000Z</x:v>
      </x:c>
      <x:c r="I3397" s="37" t="d">
        <x:v>2026-09-12T21:27:02.000Z</x:v>
      </x:c>
      <x:c r="J3397" s="1" t="n">
        <x:f>IF(ISNUMBER(F3397),E3397,0)</x:f>
        <x:v>1</x:v>
      </x:c>
      <x:c r="K3397" s="1"/>
      <x:c r="L3397" s="1"/>
      <x:c r="M3397" s="1"/>
    </x:row>
    <x:row r="3398" ht="18.75" customHeight="1">
      <x:c r="A3398" s="1" t="str">
        <x:v>https://blog.skyairline.com/santiago-a-mendoza/</x:v>
      </x:c>
      <x:c r="B3398" s="1" t="str">
        <x:v>viaje en bus a mendoza</x:v>
      </x:c>
      <x:c r="C3398" s="1" t="str">
        <x:v>chl</x:v>
      </x:c>
      <x:c r="D3398" s="1" t="str">
        <x:v>Sin marca</x:v>
      </x:c>
      <x:c r="E3398" s="35" t="n">
        <x:v>1</x:v>
      </x:c>
      <x:c r="F3398" s="36" t="n">
        <x:v>0.09</x:v>
      </x:c>
      <x:c r="G3398" s="36" t="n">
        <x:f>IF(ISNUMBER(F3398),E3398*F3398,"")</x:f>
        <x:v>0.09</x:v>
      </x:c>
      <x:c r="H3398" s="37" t="d">
        <x:v>2026-10-15T00:00:00.000Z</x:v>
      </x:c>
      <x:c r="I3398" s="37" t="d">
        <x:v>2026-09-15T00:51:44.000Z</x:v>
      </x:c>
      <x:c r="J3398" s="1" t="n">
        <x:f>IF(ISNUMBER(F3398),E3398,0)</x:f>
        <x:v>1</x:v>
      </x:c>
      <x:c r="K3398" s="1"/>
      <x:c r="L3398" s="1"/>
      <x:c r="M3398" s="1"/>
    </x:row>
    <x:row r="3399" ht="18.75" customHeight="1">
      <x:c r="A3399" s="1" t="str">
        <x:v>https://blog.skyairline.com/santiago-a-rancagua/</x:v>
      </x:c>
      <x:c r="B3399" s="1" t="str">
        <x:v>como llegar a rancagua en auto</x:v>
      </x:c>
      <x:c r="C3399" s="1" t="str">
        <x:v>chl</x:v>
      </x:c>
      <x:c r="D3399" s="1" t="str">
        <x:v>Sin marca</x:v>
      </x:c>
      <x:c r="E3399" s="35" t="n">
        <x:v>1</x:v>
      </x:c>
      <x:c r="F3399" s="36" t="n">
        <x:v>0.19</x:v>
      </x:c>
      <x:c r="G3399" s="36" t="n">
        <x:f>IF(ISNUMBER(F3399),E3399*F3399,"")</x:f>
        <x:v>0.19</x:v>
      </x:c>
      <x:c r="H3399" s="37" t="d">
        <x:v>2026-10-15T00:00:00.000Z</x:v>
      </x:c>
      <x:c r="I3399" s="37" t="d">
        <x:v>2026-09-16T08:59:55.000Z</x:v>
      </x:c>
      <x:c r="J3399" s="1" t="n">
        <x:f>IF(ISNUMBER(F3399),E3399,0)</x:f>
        <x:v>1</x:v>
      </x:c>
      <x:c r="K3399" s="1"/>
      <x:c r="L3399" s="1"/>
      <x:c r="M3399" s="1"/>
    </x:row>
    <x:row r="3400" ht="18.75" customHeight="1">
      <x:c r="A3400" s="1" t="str">
        <x:v>https://blog.skyairline.com/santiago-a-rancagua/</x:v>
      </x:c>
      <x:c r="B3400" s="1" t="str">
        <x:v>distancia entre rancagua y santiago</x:v>
      </x:c>
      <x:c r="C3400" s="1" t="str">
        <x:v>chl</x:v>
      </x:c>
      <x:c r="D3400" s="1" t="str">
        <x:v>Sin marca</x:v>
      </x:c>
      <x:c r="E3400" s="35" t="n">
        <x:v>1</x:v>
      </x:c>
      <x:c r="F3400" s="36"/>
      <x:c r="G3400" s="36" t="str">
        <x:f>IF(ISNUMBER(F3400),E3400*F3400,"")</x:f>
      </x:c>
      <x:c r="H3400" s="37" t="d">
        <x:v>2026-10-15T00:00:00.000Z</x:v>
      </x:c>
      <x:c r="I3400" s="37" t="d">
        <x:v>2026-09-14T17:54:52.000Z</x:v>
      </x:c>
      <x:c r="J3400" s="1" t="n">
        <x:f>IF(ISNUMBER(F3400),E3400,0)</x:f>
        <x:v>0</x:v>
      </x:c>
      <x:c r="K3400" s="1"/>
      <x:c r="L3400" s="1"/>
      <x:c r="M3400" s="1"/>
    </x:row>
    <x:row r="3401" ht="18.75" customHeight="1">
      <x:c r="A3401" s="1" t="str">
        <x:v>https://blog.skyairline.com/santiago-a-rancagua/</x:v>
      </x:c>
      <x:c r="B3401" s="1" t="str">
        <x:v>santiago a rancagua distancia</x:v>
      </x:c>
      <x:c r="C3401" s="1" t="str">
        <x:v>chl</x:v>
      </x:c>
      <x:c r="D3401" s="1" t="str">
        <x:v>Sin marca</x:v>
      </x:c>
      <x:c r="E3401" s="35" t="n">
        <x:v>1</x:v>
      </x:c>
      <x:c r="F3401" s="36"/>
      <x:c r="G3401" s="36" t="str">
        <x:f>IF(ISNUMBER(F3401),E3401*F3401,"")</x:f>
      </x:c>
      <x:c r="H3401" s="37" t="d">
        <x:v>2026-10-15T00:00:00.000Z</x:v>
      </x:c>
      <x:c r="I3401" s="37" t="d">
        <x:v>2026-10-15T01:26:33.000Z</x:v>
      </x:c>
      <x:c r="J3401" s="1" t="n">
        <x:f>IF(ISNUMBER(F3401),E3401,0)</x:f>
        <x:v>0</x:v>
      </x:c>
      <x:c r="K3401" s="1"/>
      <x:c r="L3401" s="1"/>
      <x:c r="M3401" s="1"/>
    </x:row>
    <x:row r="3402" ht="18.75" customHeight="1">
      <x:c r="A3402" s="1" t="str">
        <x:v>https://blog.skyairline.com/santiago-lima-duracion-vuelo/</x:v>
      </x:c>
      <x:c r="B3402" s="1" t="str">
        <x:v>chile a perú en avión tiempo</x:v>
      </x:c>
      <x:c r="C3402" s="1" t="str">
        <x:v>per</x:v>
      </x:c>
      <x:c r="D3402" s="1" t="str">
        <x:v>Sin marca</x:v>
      </x:c>
      <x:c r="E3402" s="35" t="n">
        <x:v>1</x:v>
      </x:c>
      <x:c r="F3402" s="36"/>
      <x:c r="G3402" s="36" t="str">
        <x:f>IF(ISNUMBER(F3402),E3402*F3402,"")</x:f>
      </x:c>
      <x:c r="H3402" s="37" t="d">
        <x:v>2026-10-15T00:00:00.000Z</x:v>
      </x:c>
      <x:c r="I3402" s="37" t="d">
        <x:v>2026-09-17T14:51:43.999Z</x:v>
      </x:c>
      <x:c r="J3402" s="1" t="n">
        <x:f>IF(ISNUMBER(F3402),E3402,0)</x:f>
        <x:v>0</x:v>
      </x:c>
      <x:c r="K3402" s="1"/>
      <x:c r="L3402" s="1"/>
      <x:c r="M3402" s="1"/>
    </x:row>
    <x:row r="3403" ht="18.75" customHeight="1">
      <x:c r="A3403" s="1" t="str">
        <x:v>https://blog.skyairline.com/santiago-lima-duracion-vuelo/</x:v>
      </x:c>
      <x:c r="B3403" s="1" t="str">
        <x:v>cuanto dura un vuelo de peru a chile</x:v>
      </x:c>
      <x:c r="C3403" s="1" t="str">
        <x:v>per</x:v>
      </x:c>
      <x:c r="D3403" s="1" t="str">
        <x:v>Sin marca</x:v>
      </x:c>
      <x:c r="E3403" s="35" t="n">
        <x:v>1</x:v>
      </x:c>
      <x:c r="F3403" s="36"/>
      <x:c r="G3403" s="36" t="str">
        <x:f>IF(ISNUMBER(F3403),E3403*F3403,"")</x:f>
      </x:c>
      <x:c r="H3403" s="37"/>
      <x:c r="I3403" s="37"/>
      <x:c r="J3403" s="1" t="n">
        <x:f>IF(ISNUMBER(F3403),E3403,0)</x:f>
        <x:v>0</x:v>
      </x:c>
      <x:c r="K3403" s="1"/>
      <x:c r="L3403" s="1"/>
      <x:c r="M3403" s="1"/>
    </x:row>
    <x:row r="3404" ht="18.75" customHeight="1">
      <x:c r="A3404" s="1" t="str">
        <x:v>https://blog.skyairline.com/santiago-lima-duracion-vuelo/</x:v>
      </x:c>
      <x:c r="B3404" s="1" t="str">
        <x:v>cuántas horas son de chile a perú en avión</x:v>
      </x:c>
      <x:c r="C3404" s="1" t="str">
        <x:v>per</x:v>
      </x:c>
      <x:c r="D3404" s="1" t="str">
        <x:v>Sin marca</x:v>
      </x:c>
      <x:c r="E3404" s="35" t="n">
        <x:v>1</x:v>
      </x:c>
      <x:c r="F3404" s="36"/>
      <x:c r="G3404" s="36" t="str">
        <x:f>IF(ISNUMBER(F3404),E3404*F3404,"")</x:f>
      </x:c>
      <x:c r="H3404" s="37"/>
      <x:c r="I3404" s="37"/>
      <x:c r="J3404" s="1" t="n">
        <x:f>IF(ISNUMBER(F3404),E3404,0)</x:f>
        <x:v>0</x:v>
      </x:c>
      <x:c r="K3404" s="1"/>
      <x:c r="L3404" s="1"/>
      <x:c r="M3404" s="1"/>
    </x:row>
    <x:row r="3405" ht="18.75" customHeight="1">
      <x:c r="A3405" s="1" t="str">
        <x:v>https://blog.skyairline.com/santiago-lima-duracion-vuelo/</x:v>
      </x:c>
      <x:c r="B3405" s="1" t="str">
        <x:v>de perú a chile cuantas horas son en avión</x:v>
      </x:c>
      <x:c r="C3405" s="1" t="str">
        <x:v>per</x:v>
      </x:c>
      <x:c r="D3405" s="1" t="str">
        <x:v>Sin marca</x:v>
      </x:c>
      <x:c r="E3405" s="35" t="n">
        <x:v>1</x:v>
      </x:c>
      <x:c r="F3405" s="36"/>
      <x:c r="G3405" s="36" t="str">
        <x:f>IF(ISNUMBER(F3405),E3405*F3405,"")</x:f>
      </x:c>
      <x:c r="H3405" s="37" t="d">
        <x:v>2026-10-15T00:00:00.000Z</x:v>
      </x:c>
      <x:c r="I3405" s="37" t="d">
        <x:v>2026-09-15T10:45:43.000Z</x:v>
      </x:c>
      <x:c r="J3405" s="1" t="n">
        <x:f>IF(ISNUMBER(F3405),E3405,0)</x:f>
        <x:v>0</x:v>
      </x:c>
      <x:c r="K3405" s="1"/>
      <x:c r="L3405" s="1"/>
      <x:c r="M3405" s="1"/>
    </x:row>
    <x:row r="3406" ht="18.75" customHeight="1">
      <x:c r="A3406" s="1" t="str">
        <x:v>https://blog.skyairline.com/santiago-lima-duracion-vuelo/</x:v>
      </x:c>
      <x:c r="B3406" s="1" t="str">
        <x:v>duracion vuelo santiago lima</x:v>
      </x:c>
      <x:c r="C3406" s="1" t="str">
        <x:v>chl</x:v>
      </x:c>
      <x:c r="D3406" s="1" t="str">
        <x:v>Sin marca</x:v>
      </x:c>
      <x:c r="E3406" s="35" t="n">
        <x:v>1</x:v>
      </x:c>
      <x:c r="F3406" s="36" t="n">
        <x:v>1.35</x:v>
      </x:c>
      <x:c r="G3406" s="36" t="n">
        <x:f>IF(ISNUMBER(F3406),E3406*F3406,"")</x:f>
        <x:v>1.35</x:v>
      </x:c>
      <x:c r="H3406" s="37" t="d">
        <x:v>2026-10-15T00:00:00.000Z</x:v>
      </x:c>
      <x:c r="I3406" s="37" t="d">
        <x:v>2026-09-17T12:32:37.000Z</x:v>
      </x:c>
      <x:c r="J3406" s="1" t="n">
        <x:f>IF(ISNUMBER(F3406),E3406,0)</x:f>
        <x:v>1</x:v>
      </x:c>
      <x:c r="K3406" s="1"/>
      <x:c r="L3406" s="1"/>
      <x:c r="M3406" s="1"/>
    </x:row>
    <x:row r="3407" ht="18.75" customHeight="1">
      <x:c r="A3407" s="1" t="str">
        <x:v>https://blog.skyairline.com/santiago-lima-duracion-vuelo/</x:v>
      </x:c>
      <x:c r="B3407" s="1" t="str">
        <x:v>horas de vuelo lima santiago de chile</x:v>
      </x:c>
      <x:c r="C3407" s="1" t="str">
        <x:v>per</x:v>
      </x:c>
      <x:c r="D3407" s="1" t="str">
        <x:v>Sin marca</x:v>
      </x:c>
      <x:c r="E3407" s="35" t="n">
        <x:v>1</x:v>
      </x:c>
      <x:c r="F3407" s="36"/>
      <x:c r="G3407" s="36" t="str">
        <x:f>IF(ISNUMBER(F3407),E3407*F3407,"")</x:f>
      </x:c>
      <x:c r="H3407" s="37"/>
      <x:c r="I3407" s="37"/>
      <x:c r="J3407" s="1" t="n">
        <x:f>IF(ISNUMBER(F3407),E3407,0)</x:f>
        <x:v>0</x:v>
      </x:c>
      <x:c r="K3407" s="1"/>
      <x:c r="L3407" s="1"/>
      <x:c r="M3407" s="1"/>
    </x:row>
    <x:row r="3408" ht="18.75" customHeight="1">
      <x:c r="A3408" s="1" t="str">
        <x:v>https://blog.skyairline.com/santiago-lima-duracion-vuelo/</x:v>
      </x:c>
      <x:c r="B3408" s="1" t="str">
        <x:v>tiempo de vuelo santiago a lima</x:v>
      </x:c>
      <x:c r="C3408" s="1" t="str">
        <x:v>chl</x:v>
      </x:c>
      <x:c r="D3408" s="1" t="str">
        <x:v>Sin marca</x:v>
      </x:c>
      <x:c r="E3408" s="35" t="n">
        <x:v>1</x:v>
      </x:c>
      <x:c r="F3408" s="36"/>
      <x:c r="G3408" s="36" t="str">
        <x:f>IF(ISNUMBER(F3408),E3408*F3408,"")</x:f>
      </x:c>
      <x:c r="H3408" s="37"/>
      <x:c r="I3408" s="37"/>
      <x:c r="J3408" s="1" t="n">
        <x:f>IF(ISNUMBER(F3408),E3408,0)</x:f>
        <x:v>0</x:v>
      </x:c>
      <x:c r="K3408" s="1"/>
      <x:c r="L3408" s="1"/>
      <x:c r="M3408" s="1"/>
    </x:row>
    <x:row r="3409" ht="18.75" customHeight="1">
      <x:c r="A3409" s="1" t="str">
        <x:v>https://blog.skyairline.com/sargazo-en-cancun-afecta-a-las-playas-y-el-turismo/</x:v>
      </x:c>
      <x:c r="B3409" s="1" t="str">
        <x:v>mejor epoca para ir a cancun sin sargazo</x:v>
      </x:c>
      <x:c r="C3409" s="1" t="str">
        <x:v>chl</x:v>
      </x:c>
      <x:c r="D3409" s="1" t="str">
        <x:v>Sin marca</x:v>
      </x:c>
      <x:c r="E3409" s="35" t="n">
        <x:v>1</x:v>
      </x:c>
      <x:c r="F3409" s="36"/>
      <x:c r="G3409" s="36" t="str">
        <x:f>IF(ISNUMBER(F3409),E3409*F3409,"")</x:f>
      </x:c>
      <x:c r="H3409" s="37"/>
      <x:c r="I3409" s="37"/>
      <x:c r="J3409" s="1" t="n">
        <x:f>IF(ISNUMBER(F3409),E3409,0)</x:f>
        <x:v>0</x:v>
      </x:c>
      <x:c r="K3409" s="1"/>
      <x:c r="L3409" s="1"/>
      <x:c r="M3409" s="1"/>
    </x:row>
    <x:row r="3410" ht="18.75" customHeight="1">
      <x:c r="A3410" s="1" t="str">
        <x:v>https://blog.skyairline.com/sargazo-en-playa-del-carmen-que-saber-antes-de-viajar/</x:v>
      </x:c>
      <x:c r="B3410" s="1" t="str">
        <x:v>cual es la epoca de sargazo en playa del carmen</x:v>
      </x:c>
      <x:c r="C3410" s="1" t="str">
        <x:v>chl</x:v>
      </x:c>
      <x:c r="D3410" s="1" t="str">
        <x:v>Sin marca</x:v>
      </x:c>
      <x:c r="E3410" s="35" t="n">
        <x:v>1</x:v>
      </x:c>
      <x:c r="F3410" s="36"/>
      <x:c r="G3410" s="36" t="str">
        <x:f>IF(ISNUMBER(F3410),E3410*F3410,"")</x:f>
      </x:c>
      <x:c r="H3410" s="37"/>
      <x:c r="I3410" s="37"/>
      <x:c r="J3410" s="1" t="n">
        <x:f>IF(ISNUMBER(F3410),E3410,0)</x:f>
        <x:v>0</x:v>
      </x:c>
      <x:c r="K3410" s="1"/>
      <x:c r="L3410" s="1"/>
      <x:c r="M3410" s="1"/>
    </x:row>
    <x:row r="3411" ht="18.75" customHeight="1">
      <x:c r="A3411" s="1" t="str">
        <x:v>https://blog.skyairline.com/sargazo-en-playa-del-carmen-que-saber-antes-de-viajar/</x:v>
      </x:c>
      <x:c r="B3411" s="1" t="str">
        <x:v>cuando hay menos sargazo en playa del carmen</x:v>
      </x:c>
      <x:c r="C3411" s="1" t="str">
        <x:v>chl</x:v>
      </x:c>
      <x:c r="D3411" s="1" t="str">
        <x:v>Sin marca</x:v>
      </x:c>
      <x:c r="E3411" s="35" t="n">
        <x:v>1</x:v>
      </x:c>
      <x:c r="F3411" s="36"/>
      <x:c r="G3411" s="36" t="str">
        <x:f>IF(ISNUMBER(F3411),E3411*F3411,"")</x:f>
      </x:c>
      <x:c r="H3411" s="37"/>
      <x:c r="I3411" s="37"/>
      <x:c r="J3411" s="1" t="n">
        <x:f>IF(ISNUMBER(F3411),E3411,0)</x:f>
        <x:v>0</x:v>
      </x:c>
      <x:c r="K3411" s="1"/>
      <x:c r="L3411" s="1"/>
      <x:c r="M3411" s="1"/>
    </x:row>
    <x:row r="3412" ht="18.75" customHeight="1">
      <x:c r="A3412" s="1" t="str">
        <x:v>https://blog.skyairline.com/sargazo-en-playa-del-carmen-que-saber-antes-de-viajar/</x:v>
      </x:c>
      <x:c r="B3412" s="1" t="str">
        <x:v>cuando hay sargazo en playa del carmen</x:v>
      </x:c>
      <x:c r="C3412" s="1" t="str">
        <x:v>mex</x:v>
      </x:c>
      <x:c r="D3412" s="1" t="str">
        <x:v>Sin marca</x:v>
      </x:c>
      <x:c r="E3412" s="35" t="n">
        <x:v>1</x:v>
      </x:c>
      <x:c r="F3412" s="36"/>
      <x:c r="G3412" s="36" t="str">
        <x:f>IF(ISNUMBER(F3412),E3412*F3412,"")</x:f>
      </x:c>
      <x:c r="H3412" s="37"/>
      <x:c r="I3412" s="37"/>
      <x:c r="J3412" s="1" t="n">
        <x:f>IF(ISNUMBER(F3412),E3412,0)</x:f>
        <x:v>0</x:v>
      </x:c>
      <x:c r="K3412" s="1"/>
      <x:c r="L3412" s="1"/>
      <x:c r="M3412" s="1"/>
    </x:row>
    <x:row r="3413" ht="18.75" customHeight="1">
      <x:c r="A3413" s="1" t="str">
        <x:v>https://blog.skyairline.com/sargazo-en-playa-del-carmen-que-saber-antes-de-viajar/</x:v>
      </x:c>
      <x:c r="B3413" s="1" t="str">
        <x:v>en octubre hay sargazo en playa del carmen</x:v>
      </x:c>
      <x:c r="C3413" s="1" t="str">
        <x:v>mex</x:v>
      </x:c>
      <x:c r="D3413" s="1" t="str">
        <x:v>Sin marca</x:v>
      </x:c>
      <x:c r="E3413" s="35" t="n">
        <x:v>1</x:v>
      </x:c>
      <x:c r="F3413" s="36"/>
      <x:c r="G3413" s="36" t="str">
        <x:f>IF(ISNUMBER(F3413),E3413*F3413,"")</x:f>
      </x:c>
      <x:c r="H3413" s="37"/>
      <x:c r="I3413" s="37"/>
      <x:c r="J3413" s="1" t="n">
        <x:f>IF(ISNUMBER(F3413),E3413,0)</x:f>
        <x:v>0</x:v>
      </x:c>
      <x:c r="K3413" s="1"/>
      <x:c r="L3413" s="1"/>
      <x:c r="M3413" s="1"/>
    </x:row>
    <x:row r="3414" ht="18.75" customHeight="1">
      <x:c r="A3414" s="1" t="str">
        <x:v>https://blog.skyairline.com/sargazo-en-playa-del-carmen-que-saber-antes-de-viajar/</x:v>
      </x:c>
      <x:c r="B3414" s="1" t="str">
        <x:v>epoca de sargazo en playa del carmen</x:v>
      </x:c>
      <x:c r="C3414" s="1" t="str">
        <x:v>chl</x:v>
      </x:c>
      <x:c r="D3414" s="1" t="str">
        <x:v>Sin marca</x:v>
      </x:c>
      <x:c r="E3414" s="35" t="n">
        <x:v>1</x:v>
      </x:c>
      <x:c r="F3414" s="36"/>
      <x:c r="G3414" s="36" t="str">
        <x:f>IF(ISNUMBER(F3414),E3414*F3414,"")</x:f>
      </x:c>
      <x:c r="H3414" s="37" t="d">
        <x:v>2026-10-15T00:00:00.000Z</x:v>
      </x:c>
      <x:c r="I3414" s="37" t="d">
        <x:v>2026-09-17T03:28:17.000Z</x:v>
      </x:c>
      <x:c r="J3414" s="1" t="n">
        <x:f>IF(ISNUMBER(F3414),E3414,0)</x:f>
        <x:v>0</x:v>
      </x:c>
      <x:c r="K3414" s="1"/>
      <x:c r="L3414" s="1"/>
      <x:c r="M3414" s="1"/>
    </x:row>
    <x:row r="3415" ht="18.75" customHeight="1">
      <x:c r="A3415" s="1" t="str">
        <x:v>https://blog.skyairline.com/sargazo-en-playa-del-carmen-que-saber-antes-de-viajar/</x:v>
      </x:c>
      <x:c r="B3415" s="1" t="str">
        <x:v>fechas de sargazo en playa del carmen</x:v>
      </x:c>
      <x:c r="C3415" s="1" t="str">
        <x:v>arg</x:v>
      </x:c>
      <x:c r="D3415" s="1" t="str">
        <x:v>Sin marca</x:v>
      </x:c>
      <x:c r="E3415" s="35" t="n">
        <x:v>1</x:v>
      </x:c>
      <x:c r="F3415" s="36"/>
      <x:c r="G3415" s="36" t="str">
        <x:f>IF(ISNUMBER(F3415),E3415*F3415,"")</x:f>
      </x:c>
      <x:c r="H3415" s="37"/>
      <x:c r="I3415" s="37"/>
      <x:c r="J3415" s="1" t="n">
        <x:f>IF(ISNUMBER(F3415),E3415,0)</x:f>
        <x:v>0</x:v>
      </x:c>
      <x:c r="K3415" s="1"/>
      <x:c r="L3415" s="1"/>
      <x:c r="M3415" s="1"/>
    </x:row>
    <x:row r="3416" ht="18.75" customHeight="1">
      <x:c r="A3416" s="1" t="str">
        <x:v>https://blog.skyairline.com/sargazo-en-playa-del-carmen-que-saber-antes-de-viajar/</x:v>
      </x:c>
      <x:c r="B3416" s="1" t="str">
        <x:v>playa del carmen</x:v>
      </x:c>
      <x:c r="C3416" s="1" t="str">
        <x:v>arg</x:v>
      </x:c>
      <x:c r="D3416" s="1" t="str">
        <x:v>Sin marca</x:v>
      </x:c>
      <x:c r="E3416" s="35" t="n">
        <x:v>1</x:v>
      </x:c>
      <x:c r="F3416" s="36"/>
      <x:c r="G3416" s="36" t="str">
        <x:f>IF(ISNUMBER(F3416),E3416*F3416,"")</x:f>
      </x:c>
      <x:c r="H3416" s="37"/>
      <x:c r="I3416" s="37"/>
      <x:c r="J3416" s="1" t="n">
        <x:f>IF(ISNUMBER(F3416),E3416,0)</x:f>
        <x:v>0</x:v>
      </x:c>
      <x:c r="K3416" s="1"/>
      <x:c r="L3416" s="1"/>
      <x:c r="M3416" s="1"/>
    </x:row>
    <x:row r="3417" ht="18.75" customHeight="1">
      <x:c r="A3417" s="1" t="str">
        <x:v>https://blog.skyairline.com/sargazo-en-playa-del-carmen-que-saber-antes-de-viajar/</x:v>
      </x:c>
      <x:c r="B3417" s="1" t="str">
        <x:v>sargazo playa del carmen</x:v>
      </x:c>
      <x:c r="C3417" s="1" t="str">
        <x:v>chl</x:v>
      </x:c>
      <x:c r="D3417" s="1" t="str">
        <x:v>Sin marca</x:v>
      </x:c>
      <x:c r="E3417" s="35" t="n">
        <x:v>1</x:v>
      </x:c>
      <x:c r="F3417" s="36"/>
      <x:c r="G3417" s="36" t="str">
        <x:f>IF(ISNUMBER(F3417),E3417*F3417,"")</x:f>
      </x:c>
      <x:c r="H3417" s="37" t="d">
        <x:v>2026-10-15T00:00:00.000Z</x:v>
      </x:c>
      <x:c r="I3417" s="37" t="d">
        <x:v>2026-09-14T20:26:45.999Z</x:v>
      </x:c>
      <x:c r="J3417" s="1" t="n">
        <x:f>IF(ISNUMBER(F3417),E3417,0)</x:f>
        <x:v>0</x:v>
      </x:c>
      <x:c r="K3417" s="1"/>
      <x:c r="L3417" s="1"/>
      <x:c r="M3417" s="1"/>
    </x:row>
    <x:row r="3418" ht="18.75" customHeight="1">
      <x:c r="A3418" s="1" t="str">
        <x:v>https://blog.skyairline.com/sargazo-en-punta-cana/</x:v>
      </x:c>
      <x:c r="B3418" s="1" t="str">
        <x:v>sargazos en punta cana</x:v>
      </x:c>
      <x:c r="C3418" s="1" t="str">
        <x:v>per</x:v>
      </x:c>
      <x:c r="D3418" s="1" t="str">
        <x:v>Sin marca</x:v>
      </x:c>
      <x:c r="E3418" s="35" t="n">
        <x:v>1</x:v>
      </x:c>
      <x:c r="F3418" s="36"/>
      <x:c r="G3418" s="36" t="str">
        <x:f>IF(ISNUMBER(F3418),E3418*F3418,"")</x:f>
      </x:c>
      <x:c r="H3418" s="37"/>
      <x:c r="I3418" s="37"/>
      <x:c r="J3418" s="1" t="n">
        <x:f>IF(ISNUMBER(F3418),E3418,0)</x:f>
        <x:v>0</x:v>
      </x:c>
      <x:c r="K3418" s="1"/>
      <x:c r="L3418" s="1"/>
      <x:c r="M3418" s="1"/>
    </x:row>
    <x:row r="3419" ht="18.75" customHeight="1">
      <x:c r="A3419" s="1" t="str">
        <x:v>https://blog.skyairline.com/se-puede-llegar-en-avion-a-pucon/</x:v>
      </x:c>
      <x:c r="B3419" s="1" t="str">
        <x:v>aeropuerto cercano a pucon</x:v>
      </x:c>
      <x:c r="C3419" s="1" t="str">
        <x:v>chl</x:v>
      </x:c>
      <x:c r="D3419" s="1" t="str">
        <x:v>Sin marca</x:v>
      </x:c>
      <x:c r="E3419" s="35" t="n">
        <x:v>1</x:v>
      </x:c>
      <x:c r="F3419" s="36"/>
      <x:c r="G3419" s="36" t="str">
        <x:f>IF(ISNUMBER(F3419),E3419*F3419,"")</x:f>
      </x:c>
      <x:c r="H3419" s="37"/>
      <x:c r="I3419" s="37"/>
      <x:c r="J3419" s="1" t="n">
        <x:f>IF(ISNUMBER(F3419),E3419,0)</x:f>
        <x:v>0</x:v>
      </x:c>
      <x:c r="K3419" s="1"/>
      <x:c r="L3419" s="1"/>
      <x:c r="M3419" s="1"/>
    </x:row>
    <x:row r="3420" ht="18.75" customHeight="1">
      <x:c r="A3420" s="1" t="str">
        <x:v>https://blog.skyairline.com/se-puede-llegar-en-avion-a-pucon/</x:v>
      </x:c>
      <x:c r="B3420" s="1" t="str">
        <x:v>aeropuerto en pucon</x:v>
      </x:c>
      <x:c r="C3420" s="1" t="str">
        <x:v>arg</x:v>
      </x:c>
      <x:c r="D3420" s="1" t="str">
        <x:v>Sin marca</x:v>
      </x:c>
      <x:c r="E3420" s="35" t="n">
        <x:v>1</x:v>
      </x:c>
      <x:c r="F3420" s="36"/>
      <x:c r="G3420" s="36" t="str">
        <x:f>IF(ISNUMBER(F3420),E3420*F3420,"")</x:f>
      </x:c>
      <x:c r="H3420" s="37"/>
      <x:c r="I3420" s="37"/>
      <x:c r="J3420" s="1" t="n">
        <x:f>IF(ISNUMBER(F3420),E3420,0)</x:f>
        <x:v>0</x:v>
      </x:c>
      <x:c r="K3420" s="1"/>
      <x:c r="L3420" s="1"/>
      <x:c r="M3420" s="1"/>
    </x:row>
    <x:row r="3421" ht="18.75" customHeight="1">
      <x:c r="A3421" s="1" t="str">
        <x:v>https://blog.skyairline.com/se-puede-llegar-en-avion-a-pucon/</x:v>
      </x:c>
      <x:c r="B3421" s="1" t="str">
        <x:v>aeropuerto en pucon</x:v>
      </x:c>
      <x:c r="C3421" s="1" t="str">
        <x:v>chl</x:v>
      </x:c>
      <x:c r="D3421" s="1" t="str">
        <x:v>Sin marca</x:v>
      </x:c>
      <x:c r="E3421" s="35" t="n">
        <x:v>1</x:v>
      </x:c>
      <x:c r="F3421" s="36" t="n">
        <x:v>0.83</x:v>
      </x:c>
      <x:c r="G3421" s="36" t="n">
        <x:f>IF(ISNUMBER(F3421),E3421*F3421,"")</x:f>
        <x:v>0.83</x:v>
      </x:c>
      <x:c r="H3421" s="37" t="d">
        <x:v>2026-10-15T00:00:00.000Z</x:v>
      </x:c>
      <x:c r="I3421" s="37" t="d">
        <x:v>2026-09-17T14:04:58.000Z</x:v>
      </x:c>
      <x:c r="J3421" s="1" t="n">
        <x:f>IF(ISNUMBER(F3421),E3421,0)</x:f>
        <x:v>1</x:v>
      </x:c>
      <x:c r="K3421" s="1"/>
      <x:c r="L3421" s="1"/>
      <x:c r="M3421" s="1"/>
    </x:row>
    <x:row r="3422" ht="18.75" customHeight="1">
      <x:c r="A3422" s="1" t="str">
        <x:v>https://blog.skyairline.com/se-puede-llegar-en-avion-a-pucon/</x:v>
      </x:c>
      <x:c r="B3422" s="1" t="str">
        <x:v>aeropuerto pucon</x:v>
      </x:c>
      <x:c r="C3422" s="1" t="str">
        <x:v>arg</x:v>
      </x:c>
      <x:c r="D3422" s="1" t="str">
        <x:v>Sin marca</x:v>
      </x:c>
      <x:c r="E3422" s="35" t="n">
        <x:v>1</x:v>
      </x:c>
      <x:c r="F3422" s="36"/>
      <x:c r="G3422" s="36" t="str">
        <x:f>IF(ISNUMBER(F3422),E3422*F3422,"")</x:f>
      </x:c>
      <x:c r="H3422" s="37"/>
      <x:c r="I3422" s="37"/>
      <x:c r="J3422" s="1" t="n">
        <x:f>IF(ISNUMBER(F3422),E3422,0)</x:f>
        <x:v>0</x:v>
      </x:c>
      <x:c r="K3422" s="1"/>
      <x:c r="L3422" s="1"/>
      <x:c r="M3422" s="1"/>
    </x:row>
    <x:row r="3423" ht="18.75" customHeight="1">
      <x:c r="A3423" s="1" t="str">
        <x:v>https://blog.skyairline.com/se-puede-llegar-en-avion-a-pucon/</x:v>
      </x:c>
      <x:c r="B3423" s="1" t="str">
        <x:v>como ir a pucon en avion</x:v>
      </x:c>
      <x:c r="C3423" s="1" t="str">
        <x:v>chl</x:v>
      </x:c>
      <x:c r="D3423" s="1" t="str">
        <x:v>Sin marca</x:v>
      </x:c>
      <x:c r="E3423" s="35" t="n">
        <x:v>1</x:v>
      </x:c>
      <x:c r="F3423" s="36" t="n">
        <x:v>0.37</x:v>
      </x:c>
      <x:c r="G3423" s="36" t="n">
        <x:f>IF(ISNUMBER(F3423),E3423*F3423,"")</x:f>
        <x:v>0.37</x:v>
      </x:c>
      <x:c r="H3423" s="37" t="d">
        <x:v>2026-10-15T00:00:00.000Z</x:v>
      </x:c>
      <x:c r="I3423" s="37" t="d">
        <x:v>2026-09-16T12:39:44.000Z</x:v>
      </x:c>
      <x:c r="J3423" s="1" t="n">
        <x:f>IF(ISNUMBER(F3423),E3423,0)</x:f>
        <x:v>1</x:v>
      </x:c>
      <x:c r="K3423" s="1"/>
      <x:c r="L3423" s="1"/>
      <x:c r="M3423" s="1"/>
    </x:row>
    <x:row r="3424" ht="18.75" customHeight="1">
      <x:c r="A3424" s="1" t="str">
        <x:v>https://blog.skyairline.com/se-puede-llegar-en-avion-a-pucon/</x:v>
      </x:c>
      <x:c r="B3424" s="1" t="str">
        <x:v>cual es el aeropuerto mas cercano a pucon</x:v>
      </x:c>
      <x:c r="C3424" s="1" t="str">
        <x:v>chl</x:v>
      </x:c>
      <x:c r="D3424" s="1" t="str">
        <x:v>Sin marca</x:v>
      </x:c>
      <x:c r="E3424" s="35" t="n">
        <x:v>1</x:v>
      </x:c>
      <x:c r="F3424" s="36" t="n">
        <x:v>3.18</x:v>
      </x:c>
      <x:c r="G3424" s="36" t="n">
        <x:f>IF(ISNUMBER(F3424),E3424*F3424,"")</x:f>
        <x:v>3.18</x:v>
      </x:c>
      <x:c r="H3424" s="37" t="d">
        <x:v>2026-10-15T00:00:00.000Z</x:v>
      </x:c>
      <x:c r="I3424" s="37" t="d">
        <x:v>2026-09-14T16:17:49.999Z</x:v>
      </x:c>
      <x:c r="J3424" s="1" t="n">
        <x:f>IF(ISNUMBER(F3424),E3424,0)</x:f>
        <x:v>1</x:v>
      </x:c>
      <x:c r="K3424" s="1"/>
      <x:c r="L3424" s="1"/>
      <x:c r="M3424" s="1"/>
    </x:row>
    <x:row r="3425" ht="18.75" customHeight="1">
      <x:c r="A3425" s="1" t="str">
        <x:v>https://blog.skyairline.com/se-puede-llegar-en-avion-a-pucon/</x:v>
      </x:c>
      <x:c r="B3425" s="1" t="str">
        <x:v>cual es el aeropuerto mas cercano a pucon</x:v>
      </x:c>
      <x:c r="C3425" s="1" t="str">
        <x:v>esp</x:v>
      </x:c>
      <x:c r="D3425" s="1" t="str">
        <x:v>Sin marca</x:v>
      </x:c>
      <x:c r="E3425" s="35" t="n">
        <x:v>1</x:v>
      </x:c>
      <x:c r="F3425" s="36"/>
      <x:c r="G3425" s="36" t="str">
        <x:f>IF(ISNUMBER(F3425),E3425*F3425,"")</x:f>
      </x:c>
      <x:c r="H3425" s="37"/>
      <x:c r="I3425" s="37"/>
      <x:c r="J3425" s="1" t="n">
        <x:f>IF(ISNUMBER(F3425),E3425,0)</x:f>
        <x:v>0</x:v>
      </x:c>
      <x:c r="K3425" s="1"/>
      <x:c r="L3425" s="1"/>
      <x:c r="M3425" s="1"/>
    </x:row>
    <x:row r="3426" ht="18.75" customHeight="1">
      <x:c r="A3426" s="1" t="str">
        <x:v>https://blog.skyairline.com/se-puede-llegar-en-avion-a-pucon/</x:v>
      </x:c>
      <x:c r="B3426" s="1" t="str">
        <x:v>distancia aeropuerto temuco a pucon</x:v>
      </x:c>
      <x:c r="C3426" s="1" t="str">
        <x:v>chl</x:v>
      </x:c>
      <x:c r="D3426" s="1" t="str">
        <x:v>Sin marca</x:v>
      </x:c>
      <x:c r="E3426" s="35" t="n">
        <x:v>1</x:v>
      </x:c>
      <x:c r="F3426" s="36" t="n">
        <x:v>0.06</x:v>
      </x:c>
      <x:c r="G3426" s="36" t="n">
        <x:f>IF(ISNUMBER(F3426),E3426*F3426,"")</x:f>
        <x:v>0.06</x:v>
      </x:c>
      <x:c r="H3426" s="37" t="d">
        <x:v>2026-10-15T00:00:00.000Z</x:v>
      </x:c>
      <x:c r="I3426" s="37" t="d">
        <x:v>2026-10-15T06:47:43.000Z</x:v>
      </x:c>
      <x:c r="J3426" s="1" t="n">
        <x:f>IF(ISNUMBER(F3426),E3426,0)</x:f>
        <x:v>1</x:v>
      </x:c>
      <x:c r="K3426" s="1"/>
      <x:c r="L3426" s="1"/>
      <x:c r="M3426" s="1"/>
    </x:row>
    <x:row r="3427" ht="18.75" customHeight="1">
      <x:c r="A3427" s="1" t="str">
        <x:v>https://blog.skyairline.com/se-puede-llegar-en-avion-a-pucon/</x:v>
      </x:c>
      <x:c r="B3427" s="1" t="str">
        <x:v>pucon</x:v>
      </x:c>
      <x:c r="C3427" s="1" t="str">
        <x:v>chl</x:v>
      </x:c>
      <x:c r="D3427" s="1" t="str">
        <x:v>Sin marca</x:v>
      </x:c>
      <x:c r="E3427" s="35" t="n">
        <x:v>1</x:v>
      </x:c>
      <x:c r="F3427" s="36" t="n">
        <x:v>0.56</x:v>
      </x:c>
      <x:c r="G3427" s="36" t="n">
        <x:f>IF(ISNUMBER(F3427),E3427*F3427,"")</x:f>
        <x:v>0.56</x:v>
      </x:c>
      <x:c r="H3427" s="37" t="d">
        <x:v>2026-10-15T00:00:00.000Z</x:v>
      </x:c>
      <x:c r="I3427" s="37" t="d">
        <x:v>2026-09-14T03:56:50.000Z</x:v>
      </x:c>
      <x:c r="J3427" s="1" t="n">
        <x:f>IF(ISNUMBER(F3427),E3427,0)</x:f>
        <x:v>1</x:v>
      </x:c>
      <x:c r="K3427" s="1"/>
      <x:c r="L3427" s="1"/>
      <x:c r="M3427" s="1"/>
    </x:row>
    <x:row r="3428" ht="18.75" customHeight="1">
      <x:c r="A3428" s="1" t="str">
        <x:v>https://blog.skyairline.com/se-puede-llegar-en-avion-a-pucon/</x:v>
      </x:c>
      <x:c r="B3428" s="1" t="str">
        <x:v>pucon tiene aeropuerto</x:v>
      </x:c>
      <x:c r="C3428" s="1" t="str">
        <x:v>arg</x:v>
      </x:c>
      <x:c r="D3428" s="1" t="str">
        <x:v>Sin marca</x:v>
      </x:c>
      <x:c r="E3428" s="35" t="n">
        <x:v>1</x:v>
      </x:c>
      <x:c r="F3428" s="36"/>
      <x:c r="G3428" s="36" t="str">
        <x:f>IF(ISNUMBER(F3428),E3428*F3428,"")</x:f>
      </x:c>
      <x:c r="H3428" s="37"/>
      <x:c r="I3428" s="37"/>
      <x:c r="J3428" s="1" t="n">
        <x:f>IF(ISNUMBER(F3428),E3428,0)</x:f>
        <x:v>0</x:v>
      </x:c>
      <x:c r="K3428" s="1"/>
      <x:c r="L3428" s="1"/>
      <x:c r="M3428" s="1"/>
    </x:row>
    <x:row r="3429" ht="18.75" customHeight="1">
      <x:c r="A3429" s="1" t="str">
        <x:v>https://blog.skyairline.com/se-puede-llegar-en-avion-a-pucon/</x:v>
      </x:c>
      <x:c r="B3429" s="1" t="str">
        <x:v>pucon tiene aeropuerto?</x:v>
      </x:c>
      <x:c r="C3429" s="1" t="str">
        <x:v>chl</x:v>
      </x:c>
      <x:c r="D3429" s="1" t="str">
        <x:v>Sin marca</x:v>
      </x:c>
      <x:c r="E3429" s="35" t="n">
        <x:v>1</x:v>
      </x:c>
      <x:c r="F3429" s="36"/>
      <x:c r="G3429" s="36" t="str">
        <x:f>IF(ISNUMBER(F3429),E3429*F3429,"")</x:f>
      </x:c>
      <x:c r="H3429" s="37"/>
      <x:c r="I3429" s="37"/>
      <x:c r="J3429" s="1" t="n">
        <x:f>IF(ISNUMBER(F3429),E3429,0)</x:f>
        <x:v>0</x:v>
      </x:c>
      <x:c r="K3429" s="1"/>
      <x:c r="L3429" s="1"/>
      <x:c r="M3429" s="1"/>
    </x:row>
    <x:row r="3430" ht="18.75" customHeight="1">
      <x:c r="A3430" s="1" t="str">
        <x:v>https://blog.skyairline.com/se-puede-llegar-en-avion-a-pucon/</x:v>
      </x:c>
      <x:c r="B3430" s="1" t="str">
        <x:v>que aeropuerto esta cerca de pucon</x:v>
      </x:c>
      <x:c r="C3430" s="1" t="str">
        <x:v>chl</x:v>
      </x:c>
      <x:c r="D3430" s="1" t="str">
        <x:v>Sin marca</x:v>
      </x:c>
      <x:c r="E3430" s="35" t="n">
        <x:v>1</x:v>
      </x:c>
      <x:c r="F3430" s="36" t="n">
        <x:v>0.76</x:v>
      </x:c>
      <x:c r="G3430" s="36" t="n">
        <x:f>IF(ISNUMBER(F3430),E3430*F3430,"")</x:f>
        <x:v>0.76</x:v>
      </x:c>
      <x:c r="H3430" s="37" t="d">
        <x:v>2026-10-15T00:00:00.000Z</x:v>
      </x:c>
      <x:c r="I3430" s="37" t="d">
        <x:v>2026-09-14T16:30:18.000Z</x:v>
      </x:c>
      <x:c r="J3430" s="1" t="n">
        <x:f>IF(ISNUMBER(F3430),E3430,0)</x:f>
        <x:v>1</x:v>
      </x:c>
      <x:c r="K3430" s="1"/>
      <x:c r="L3430" s="1"/>
      <x:c r="M3430" s="1"/>
    </x:row>
    <x:row r="3431" ht="18.75" customHeight="1">
      <x:c r="A3431" s="1" t="str">
        <x:v>https://blog.skyairline.com/se-puede-llegar-en-avion-a-pucon/</x:v>
      </x:c>
      <x:c r="B3431" s="1" t="str">
        <x:v>vuelos a pucon desde santiago</x:v>
      </x:c>
      <x:c r="C3431" s="1" t="str">
        <x:v>chl</x:v>
      </x:c>
      <x:c r="D3431" s="1" t="str">
        <x:v>Sin marca</x:v>
      </x:c>
      <x:c r="E3431" s="35" t="n">
        <x:v>1</x:v>
      </x:c>
      <x:c r="F3431" s="36" t="n">
        <x:v>0.36</x:v>
      </x:c>
      <x:c r="G3431" s="36" t="n">
        <x:f>IF(ISNUMBER(F3431),E3431*F3431,"")</x:f>
        <x:v>0.36</x:v>
      </x:c>
      <x:c r="H3431" s="37" t="d">
        <x:v>2026-10-15T00:00:00.000Z</x:v>
      </x:c>
      <x:c r="I3431" s="37" t="d">
        <x:v>2026-09-16T02:02:52.000Z</x:v>
      </x:c>
      <x:c r="J3431" s="1" t="n">
        <x:f>IF(ISNUMBER(F3431),E3431,0)</x:f>
        <x:v>1</x:v>
      </x:c>
      <x:c r="K3431" s="1"/>
      <x:c r="L3431" s="1"/>
      <x:c r="M3431" s="1"/>
    </x:row>
    <x:row r="3432" ht="18.75" customHeight="1">
      <x:c r="A3432" s="1" t="str">
        <x:v>https://blog.skyairline.com/se-pueden-cambiar-los-pasajes-de-avion/</x:v>
      </x:c>
      <x:c r="B3432" s="1" t="str">
        <x:v>cambiar vuelo sky</x:v>
      </x:c>
      <x:c r="C3432" s="1" t="str">
        <x:v>chl</x:v>
      </x:c>
      <x:c r="D3432" s="1" t="str">
        <x:v>Marca</x:v>
      </x:c>
      <x:c r="E3432" s="35" t="n">
        <x:v>1</x:v>
      </x:c>
      <x:c r="F3432" s="36" t="n">
        <x:v>0.49</x:v>
      </x:c>
      <x:c r="G3432" s="36" t="n">
        <x:f>IF(ISNUMBER(F3432),E3432*F3432,"")</x:f>
        <x:v>0.49</x:v>
      </x:c>
      <x:c r="H3432" s="37" t="d">
        <x:v>2026-10-15T00:00:00.000Z</x:v>
      </x:c>
      <x:c r="I3432" s="37" t="d">
        <x:v>2026-09-17T15:48:30.000Z</x:v>
      </x:c>
      <x:c r="J3432" s="1" t="n">
        <x:f>IF(ISNUMBER(F3432),E3432,0)</x:f>
        <x:v>1</x:v>
      </x:c>
      <x:c r="K3432" s="1"/>
      <x:c r="L3432" s="1"/>
      <x:c r="M3432" s="1"/>
    </x:row>
    <x:row r="3433" ht="18.75" customHeight="1">
      <x:c r="A3433" s="1" t="str">
        <x:v>https://blog.skyairline.com/se-pueden-cambiar-los-pasajes-de-avion/</x:v>
      </x:c>
      <x:c r="B3433" s="1" t="str">
        <x:v>como cambiar la fecha de mi vuelo</x:v>
      </x:c>
      <x:c r="C3433" s="1" t="str">
        <x:v>per</x:v>
      </x:c>
      <x:c r="D3433" s="1" t="str">
        <x:v>Sin marca</x:v>
      </x:c>
      <x:c r="E3433" s="35" t="n">
        <x:v>1</x:v>
      </x:c>
      <x:c r="F3433" s="36"/>
      <x:c r="G3433" s="36" t="str">
        <x:f>IF(ISNUMBER(F3433),E3433*F3433,"")</x:f>
      </x:c>
      <x:c r="H3433" s="37"/>
      <x:c r="I3433" s="37"/>
      <x:c r="J3433" s="1" t="n">
        <x:f>IF(ISNUMBER(F3433),E3433,0)</x:f>
        <x:v>0</x:v>
      </x:c>
      <x:c r="K3433" s="1"/>
      <x:c r="L3433" s="1"/>
      <x:c r="M3433" s="1"/>
    </x:row>
    <x:row r="3434" ht="18.75" customHeight="1">
      <x:c r="A3434" s="1" t="str">
        <x:v>https://blog.skyairline.com/se-pueden-cambiar-los-pasajes-de-avion/</x:v>
      </x:c>
      <x:c r="B3434" s="1" t="str">
        <x:v>con cuanto tiempo de anticipacion se puede cancelar un vuelo</x:v>
      </x:c>
      <x:c r="C3434" s="1" t="str">
        <x:v>chl</x:v>
      </x:c>
      <x:c r="D3434" s="1" t="str">
        <x:v>Sin marca</x:v>
      </x:c>
      <x:c r="E3434" s="35" t="n">
        <x:v>1</x:v>
      </x:c>
      <x:c r="F3434" s="36"/>
      <x:c r="G3434" s="36" t="str">
        <x:f>IF(ISNUMBER(F3434),E3434*F3434,"")</x:f>
      </x:c>
      <x:c r="H3434" s="37"/>
      <x:c r="I3434" s="37"/>
      <x:c r="J3434" s="1" t="n">
        <x:f>IF(ISNUMBER(F3434),E3434,0)</x:f>
        <x:v>0</x:v>
      </x:c>
      <x:c r="K3434" s="1"/>
      <x:c r="L3434" s="1"/>
      <x:c r="M3434" s="1"/>
    </x:row>
    <x:row r="3435" ht="18.75" customHeight="1">
      <x:c r="A3435" s="1" t="str">
        <x:v>https://blog.skyairline.com/se-pueden-cambiar-los-pasajes-de-avion/</x:v>
      </x:c>
      <x:c r="B3435" s="1" t="str">
        <x:v>cuanto sale cambiar un pasaje de avion</x:v>
      </x:c>
      <x:c r="C3435" s="1" t="str">
        <x:v>chl</x:v>
      </x:c>
      <x:c r="D3435" s="1" t="str">
        <x:v>Sin marca</x:v>
      </x:c>
      <x:c r="E3435" s="35" t="n">
        <x:v>1</x:v>
      </x:c>
      <x:c r="F3435" s="36"/>
      <x:c r="G3435" s="36" t="str">
        <x:f>IF(ISNUMBER(F3435),E3435*F3435,"")</x:f>
      </x:c>
      <x:c r="H3435" s="37"/>
      <x:c r="I3435" s="37"/>
      <x:c r="J3435" s="1" t="n">
        <x:f>IF(ISNUMBER(F3435),E3435,0)</x:f>
        <x:v>0</x:v>
      </x:c>
      <x:c r="K3435" s="1"/>
      <x:c r="L3435" s="1"/>
      <x:c r="M3435" s="1"/>
    </x:row>
    <x:row r="3436" ht="18.75" customHeight="1">
      <x:c r="A3436" s="1" t="str">
        <x:v>https://blog.skyairline.com/se-pueden-cambiar-los-pasajes-de-avion/</x:v>
      </x:c>
      <x:c r="B3436" s="1" t="str">
        <x:v>penalidad por cambio de vuelo</x:v>
      </x:c>
      <x:c r="C3436" s="1" t="str">
        <x:v>per</x:v>
      </x:c>
      <x:c r="D3436" s="1" t="str">
        <x:v>Sin marca</x:v>
      </x:c>
      <x:c r="E3436" s="35" t="n">
        <x:v>1</x:v>
      </x:c>
      <x:c r="F3436" s="36"/>
      <x:c r="G3436" s="36" t="str">
        <x:f>IF(ISNUMBER(F3436),E3436*F3436,"")</x:f>
      </x:c>
      <x:c r="H3436" s="37" t="d">
        <x:v>2026-10-15T00:00:00.000Z</x:v>
      </x:c>
      <x:c r="I3436" s="37" t="d">
        <x:v>2026-09-16T17:57:29.000Z</x:v>
      </x:c>
      <x:c r="J3436" s="1" t="n">
        <x:f>IF(ISNUMBER(F3436),E3436,0)</x:f>
        <x:v>0</x:v>
      </x:c>
      <x:c r="K3436" s="1"/>
      <x:c r="L3436" s="1"/>
      <x:c r="M3436" s="1"/>
    </x:row>
    <x:row r="3437" ht="18.75" customHeight="1">
      <x:c r="A3437" s="1" t="str">
        <x:v>https://blog.skyairline.com/se-pueden-cambiar-los-pasajes-de-avion/</x:v>
      </x:c>
      <x:c r="B3437" s="1" t="str">
        <x:v>puedo transferir mi pasaje de avion a otra persona</x:v>
      </x:c>
      <x:c r="C3437" s="1" t="str">
        <x:v>ury</x:v>
      </x:c>
      <x:c r="D3437" s="1" t="str">
        <x:v>Sin marca</x:v>
      </x:c>
      <x:c r="E3437" s="35" t="n">
        <x:v>1</x:v>
      </x:c>
      <x:c r="F3437" s="36"/>
      <x:c r="G3437" s="36" t="str">
        <x:f>IF(ISNUMBER(F3437),E3437*F3437,"")</x:f>
      </x:c>
      <x:c r="H3437" s="37"/>
      <x:c r="I3437" s="37"/>
      <x:c r="J3437" s="1" t="n">
        <x:f>IF(ISNUMBER(F3437),E3437,0)</x:f>
        <x:v>0</x:v>
      </x:c>
      <x:c r="K3437" s="1"/>
      <x:c r="L3437" s="1"/>
      <x:c r="M3437" s="1"/>
    </x:row>
    <x:row r="3438" ht="18.75" customHeight="1">
      <x:c r="A3438" s="1" t="str">
        <x:v>https://blog.skyairline.com/se-pueden-cambiar-los-pasajes-de-avion/</x:v>
      </x:c>
      <x:c r="B3438" s="1" t="str">
        <x:v>se puede cambiar de fecha un vuelo</x:v>
      </x:c>
      <x:c r="C3438" s="1" t="str">
        <x:v>per</x:v>
      </x:c>
      <x:c r="D3438" s="1" t="str">
        <x:v>Sin marca</x:v>
      </x:c>
      <x:c r="E3438" s="35" t="n">
        <x:v>1</x:v>
      </x:c>
      <x:c r="F3438" s="36"/>
      <x:c r="G3438" s="36" t="str">
        <x:f>IF(ISNUMBER(F3438),E3438*F3438,"")</x:f>
      </x:c>
      <x:c r="H3438" s="37"/>
      <x:c r="I3438" s="37"/>
      <x:c r="J3438" s="1" t="n">
        <x:f>IF(ISNUMBER(F3438),E3438,0)</x:f>
        <x:v>0</x:v>
      </x:c>
      <x:c r="K3438" s="1"/>
      <x:c r="L3438" s="1"/>
      <x:c r="M3438" s="1"/>
    </x:row>
    <x:row r="3439" ht="18.75" customHeight="1">
      <x:c r="A3439" s="1" t="str">
        <x:v>https://blog.skyairline.com/se-pueden-cambiar-los-pasajes-de-avion/</x:v>
      </x:c>
      <x:c r="B3439" s="1" t="str">
        <x:v>se puede cambiar el nombre de un pasaje de avion</x:v>
      </x:c>
      <x:c r="C3439" s="1" t="str">
        <x:v>chl</x:v>
      </x:c>
      <x:c r="D3439" s="1" t="str">
        <x:v>Sin marca</x:v>
      </x:c>
      <x:c r="E3439" s="35" t="n">
        <x:v>1</x:v>
      </x:c>
      <x:c r="F3439" s="36"/>
      <x:c r="G3439" s="36" t="str">
        <x:f>IF(ISNUMBER(F3439),E3439*F3439,"")</x:f>
      </x:c>
      <x:c r="H3439" s="37" t="d">
        <x:v>2026-10-15T00:00:00.000Z</x:v>
      </x:c>
      <x:c r="I3439" s="37" t="d">
        <x:v>2026-09-14T17:39:59.000Z</x:v>
      </x:c>
      <x:c r="J3439" s="1" t="n">
        <x:f>IF(ISNUMBER(F3439),E3439,0)</x:f>
        <x:v>0</x:v>
      </x:c>
      <x:c r="K3439" s="1"/>
      <x:c r="L3439" s="1"/>
      <x:c r="M3439" s="1"/>
    </x:row>
    <x:row r="3440" ht="18.75" customHeight="1">
      <x:c r="A3440" s="1" t="str">
        <x:v>https://blog.skyairline.com/se-pueden-cambiar-los-pasajes-de-avion/</x:v>
      </x:c>
      <x:c r="B3440" s="1" t="str">
        <x:v>se puede cambiar la fecha de un vuelo</x:v>
      </x:c>
      <x:c r="C3440" s="1" t="str">
        <x:v>per</x:v>
      </x:c>
      <x:c r="D3440" s="1" t="str">
        <x:v>Sin marca</x:v>
      </x:c>
      <x:c r="E3440" s="35" t="n">
        <x:v>1</x:v>
      </x:c>
      <x:c r="F3440" s="36"/>
      <x:c r="G3440" s="36" t="str">
        <x:f>IF(ISNUMBER(F3440),E3440*F3440,"")</x:f>
      </x:c>
      <x:c r="H3440" s="37"/>
      <x:c r="I3440" s="37"/>
      <x:c r="J3440" s="1" t="n">
        <x:f>IF(ISNUMBER(F3440),E3440,0)</x:f>
        <x:v>0</x:v>
      </x:c>
      <x:c r="K3440" s="1"/>
      <x:c r="L3440" s="1"/>
      <x:c r="M3440" s="1"/>
    </x:row>
    <x:row r="3441" ht="18.75" customHeight="1">
      <x:c r="A3441" s="1" t="str">
        <x:v>https://blog.skyairline.com/se-pueden-cambiar-los-pasajes-de-avion/</x:v>
      </x:c>
      <x:c r="B3441" s="1" t="str">
        <x:v>se puede cambiar los pasajes de avion</x:v>
      </x:c>
      <x:c r="C3441" s="1" t="str">
        <x:v>chl</x:v>
      </x:c>
      <x:c r="D3441" s="1" t="str">
        <x:v>Sin marca</x:v>
      </x:c>
      <x:c r="E3441" s="35" t="n">
        <x:v>1</x:v>
      </x:c>
      <x:c r="F3441" s="36"/>
      <x:c r="G3441" s="36" t="str">
        <x:f>IF(ISNUMBER(F3441),E3441*F3441,"")</x:f>
      </x:c>
      <x:c r="H3441" s="37"/>
      <x:c r="I3441" s="37"/>
      <x:c r="J3441" s="1" t="n">
        <x:f>IF(ISNUMBER(F3441),E3441,0)</x:f>
        <x:v>0</x:v>
      </x:c>
      <x:c r="K3441" s="1"/>
      <x:c r="L3441" s="1"/>
      <x:c r="M3441" s="1"/>
    </x:row>
    <x:row r="3442" ht="18.75" customHeight="1">
      <x:c r="A3442" s="1" t="str">
        <x:v>https://blog.skyairline.com/se-pueden-cambiar-los-pasajes-de-avion/</x:v>
      </x:c>
      <x:c r="B3442" s="1" t="str">
        <x:v>se puede cancelar un viaje en avion</x:v>
      </x:c>
      <x:c r="C3442" s="1" t="str">
        <x:v>per</x:v>
      </x:c>
      <x:c r="D3442" s="1" t="str">
        <x:v>Sin marca</x:v>
      </x:c>
      <x:c r="E3442" s="35" t="n">
        <x:v>1</x:v>
      </x:c>
      <x:c r="F3442" s="36"/>
      <x:c r="G3442" s="36" t="str">
        <x:f>IF(ISNUMBER(F3442),E3442*F3442,"")</x:f>
      </x:c>
      <x:c r="H3442" s="37"/>
      <x:c r="I3442" s="37"/>
      <x:c r="J3442" s="1" t="n">
        <x:f>IF(ISNUMBER(F3442),E3442,0)</x:f>
        <x:v>0</x:v>
      </x:c>
      <x:c r="K3442" s="1"/>
      <x:c r="L3442" s="1"/>
      <x:c r="M3442" s="1"/>
    </x:row>
    <x:row r="3443" ht="18.75" customHeight="1">
      <x:c r="A3443" s="1" t="str">
        <x:v>https://blog.skyairline.com/se-pueden-cambiar-los-pasajes-de-avion/</x:v>
      </x:c>
      <x:c r="B3443" s="1" t="str">
        <x:v>se pueden cambiar los pasajes de avion</x:v>
      </x:c>
      <x:c r="C3443" s="1" t="str">
        <x:v>chl</x:v>
      </x:c>
      <x:c r="D3443" s="1" t="str">
        <x:v>Sin marca</x:v>
      </x:c>
      <x:c r="E3443" s="35" t="n">
        <x:v>1</x:v>
      </x:c>
      <x:c r="F3443" s="36"/>
      <x:c r="G3443" s="36" t="str">
        <x:f>IF(ISNUMBER(F3443),E3443*F3443,"")</x:f>
      </x:c>
      <x:c r="H3443" s="37"/>
      <x:c r="I3443" s="37"/>
      <x:c r="J3443" s="1" t="n">
        <x:f>IF(ISNUMBER(F3443),E3443,0)</x:f>
        <x:v>0</x:v>
      </x:c>
      <x:c r="K3443" s="1"/>
      <x:c r="L3443" s="1"/>
      <x:c r="M3443" s="1"/>
    </x:row>
    <x:row r="3444" ht="18.75" customHeight="1">
      <x:c r="A3444" s="1" t="str">
        <x:v>https://blog.skyairline.com/se-pueden-cambiar-los-pasajes-de-avion/</x:v>
      </x:c>
      <x:c r="B3444" s="1" t="str">
        <x:v>sky cambio de fecha de vuelo</x:v>
      </x:c>
      <x:c r="C3444" s="1" t="str">
        <x:v>per</x:v>
      </x:c>
      <x:c r="D3444" s="1" t="str">
        <x:v>Marca</x:v>
      </x:c>
      <x:c r="E3444" s="35" t="n">
        <x:v>1</x:v>
      </x:c>
      <x:c r="F3444" s="36" t="n">
        <x:v>0.07</x:v>
      </x:c>
      <x:c r="G3444" s="36" t="n">
        <x:f>IF(ISNUMBER(F3444),E3444*F3444,"")</x:f>
        <x:v>0.07</x:v>
      </x:c>
      <x:c r="H3444" s="37" t="d">
        <x:v>2026-10-15T00:00:00.000Z</x:v>
      </x:c>
      <x:c r="I3444" s="37" t="d">
        <x:v>2026-09-17T00:02:36.000Z</x:v>
      </x:c>
      <x:c r="J3444" s="1" t="n">
        <x:f>IF(ISNUMBER(F3444),E3444,0)</x:f>
        <x:v>1</x:v>
      </x:c>
      <x:c r="K3444" s="1"/>
      <x:c r="L3444" s="1"/>
      <x:c r="M3444" s="1"/>
    </x:row>
    <x:row r="3445" ht="18.75" customHeight="1">
      <x:c r="A3445" s="1" t="str">
        <x:v>https://blog.skyairline.com/se-pueden-cambiar-los-pasajes-de-avion/</x:v>
      </x:c>
      <x:c r="B3445" s="1" t="str">
        <x:v>sky cambio de vuelo</x:v>
      </x:c>
      <x:c r="C3445" s="1" t="str">
        <x:v>chl</x:v>
      </x:c>
      <x:c r="D3445" s="1" t="str">
        <x:v>Marca</x:v>
      </x:c>
      <x:c r="E3445" s="35" t="n">
        <x:v>1</x:v>
      </x:c>
      <x:c r="F3445" s="36" t="n">
        <x:v>0.58</x:v>
      </x:c>
      <x:c r="G3445" s="36" t="n">
        <x:f>IF(ISNUMBER(F3445),E3445*F3445,"")</x:f>
        <x:v>0.58</x:v>
      </x:c>
      <x:c r="H3445" s="37" t="d">
        <x:v>2026-10-15T00:00:00.000Z</x:v>
      </x:c>
      <x:c r="I3445" s="37" t="d">
        <x:v>2026-09-13T04:56:21.000Z</x:v>
      </x:c>
      <x:c r="J3445" s="1" t="n">
        <x:f>IF(ISNUMBER(F3445),E3445,0)</x:f>
        <x:v>1</x:v>
      </x:c>
      <x:c r="K3445" s="1"/>
      <x:c r="L3445" s="1"/>
      <x:c r="M3445" s="1"/>
    </x:row>
    <x:row r="3446" ht="18.75" customHeight="1">
      <x:c r="A3446" s="1" t="str">
        <x:v>https://blog.skyairline.com/seguimiento-de-vuelos/</x:v>
      </x:c>
      <x:c r="B3446" s="1" t="str">
        <x:v>como saber donde viene un vuelo</x:v>
      </x:c>
      <x:c r="C3446" s="1" t="str">
        <x:v>chl</x:v>
      </x:c>
      <x:c r="D3446" s="1" t="str">
        <x:v>Sin marca</x:v>
      </x:c>
      <x:c r="E3446" s="35" t="n">
        <x:v>1</x:v>
      </x:c>
      <x:c r="F3446" s="36"/>
      <x:c r="G3446" s="36" t="str">
        <x:f>IF(ISNUMBER(F3446),E3446*F3446,"")</x:f>
      </x:c>
      <x:c r="H3446" s="37"/>
      <x:c r="I3446" s="37"/>
      <x:c r="J3446" s="1" t="n">
        <x:f>IF(ISNUMBER(F3446),E3446,0)</x:f>
        <x:v>0</x:v>
      </x:c>
      <x:c r="K3446" s="1"/>
      <x:c r="L3446" s="1"/>
      <x:c r="M3446" s="1"/>
    </x:row>
    <x:row r="3447" ht="18.75" customHeight="1">
      <x:c r="A3447" s="1" t="str">
        <x:v>https://blog.skyairline.com/seguimiento-de-vuelos/</x:v>
      </x:c>
      <x:c r="B3447" s="1" t="str">
        <x:v>rastrear vuelo air europa</x:v>
      </x:c>
      <x:c r="C3447" s="1" t="str">
        <x:v>col</x:v>
      </x:c>
      <x:c r="D3447" s="1" t="str">
        <x:v>Sin marca</x:v>
      </x:c>
      <x:c r="E3447" s="35" t="n">
        <x:v>1</x:v>
      </x:c>
      <x:c r="F3447" s="36"/>
      <x:c r="G3447" s="36" t="str">
        <x:f>IF(ISNUMBER(F3447),E3447*F3447,"")</x:f>
      </x:c>
      <x:c r="H3447" s="37"/>
      <x:c r="I3447" s="37"/>
      <x:c r="J3447" s="1" t="n">
        <x:f>IF(ISNUMBER(F3447),E3447,0)</x:f>
        <x:v>0</x:v>
      </x:c>
      <x:c r="K3447" s="1"/>
      <x:c r="L3447" s="1"/>
      <x:c r="M3447" s="1"/>
    </x:row>
    <x:row r="3448" ht="18.75" customHeight="1">
      <x:c r="A3448" s="1" t="str">
        <x:v>https://blog.skyairline.com/seguimiento-de-vuelos/</x:v>
      </x:c>
      <x:c r="B3448" s="1" t="str">
        <x:v>ver vuelos de aviones en tiempo real</x:v>
      </x:c>
      <x:c r="C3448" s="1" t="str">
        <x:v>chl</x:v>
      </x:c>
      <x:c r="D3448" s="1" t="str">
        <x:v>Sin marca</x:v>
      </x:c>
      <x:c r="E3448" s="35" t="n">
        <x:v>1</x:v>
      </x:c>
      <x:c r="F3448" s="36"/>
      <x:c r="G3448" s="36" t="str">
        <x:f>IF(ISNUMBER(F3448),E3448*F3448,"")</x:f>
      </x:c>
      <x:c r="H3448" s="37"/>
      <x:c r="I3448" s="37"/>
      <x:c r="J3448" s="1" t="n">
        <x:f>IF(ISNUMBER(F3448),E3448,0)</x:f>
        <x:v>0</x:v>
      </x:c>
      <x:c r="K3448" s="1"/>
      <x:c r="L3448" s="1"/>
      <x:c r="M3448" s="1"/>
    </x:row>
    <x:row r="3449" ht="18.75" customHeight="1">
      <x:c r="A3449" s="1" t="str">
        <x:v>https://blog.skyairline.com/seguro-de-viaje/</x:v>
      </x:c>
      <x:c r="B3449" s="1" t="str">
        <x:v>seguro de viaje sky</x:v>
      </x:c>
      <x:c r="C3449" s="1" t="str">
        <x:v>bra</x:v>
      </x:c>
      <x:c r="D3449" s="1" t="str">
        <x:v>Marca</x:v>
      </x:c>
      <x:c r="E3449" s="35" t="n">
        <x:v>1</x:v>
      </x:c>
      <x:c r="F3449" s="36"/>
      <x:c r="G3449" s="36" t="str">
        <x:f>IF(ISNUMBER(F3449),E3449*F3449,"")</x:f>
      </x:c>
      <x:c r="H3449" s="37"/>
      <x:c r="I3449" s="37"/>
      <x:c r="J3449" s="1" t="n">
        <x:f>IF(ISNUMBER(F3449),E3449,0)</x:f>
        <x:v>0</x:v>
      </x:c>
      <x:c r="K3449" s="1"/>
      <x:c r="L3449" s="1"/>
      <x:c r="M3449" s="1"/>
    </x:row>
    <x:row r="3450" ht="18.75" customHeight="1">
      <x:c r="A3450" s="1" t="str">
        <x:v>https://blog.skyairline.com/seguro-de-viaje/</x:v>
      </x:c>
      <x:c r="B3450" s="1" t="str">
        <x:v>viajo con sky</x:v>
      </x:c>
      <x:c r="C3450" s="1" t="str">
        <x:v>per</x:v>
      </x:c>
      <x:c r="D3450" s="1" t="str">
        <x:v>Marca</x:v>
      </x:c>
      <x:c r="E3450" s="35" t="n">
        <x:v>1</x:v>
      </x:c>
      <x:c r="F3450" s="36"/>
      <x:c r="G3450" s="36" t="str">
        <x:f>IF(ISNUMBER(F3450),E3450*F3450,"")</x:f>
      </x:c>
      <x:c r="H3450" s="37"/>
      <x:c r="I3450" s="37"/>
      <x:c r="J3450" s="1" t="n">
        <x:f>IF(ISNUMBER(F3450),E3450,0)</x:f>
        <x:v>0</x:v>
      </x:c>
      <x:c r="K3450" s="1"/>
      <x:c r="L3450" s="1"/>
      <x:c r="M3450" s="1"/>
    </x:row>
    <x:row r="3451" ht="18.75" customHeight="1">
      <x:c r="A3451" s="1" t="str">
        <x:v>https://blog.skyairline.com/selva-peruana/</x:v>
      </x:c>
      <x:c r="B3451" s="1" t="str">
        <x:v>amazonia peruana</x:v>
      </x:c>
      <x:c r="C3451" s="1" t="str">
        <x:v>arg</x:v>
      </x:c>
      <x:c r="D3451" s="1" t="str">
        <x:v>Sin marca</x:v>
      </x:c>
      <x:c r="E3451" s="35" t="n">
        <x:v>1</x:v>
      </x:c>
      <x:c r="F3451" s="36"/>
      <x:c r="G3451" s="36" t="str">
        <x:f>IF(ISNUMBER(F3451),E3451*F3451,"")</x:f>
      </x:c>
      <x:c r="H3451" s="37"/>
      <x:c r="I3451" s="37"/>
      <x:c r="J3451" s="1" t="n">
        <x:f>IF(ISNUMBER(F3451),E3451,0)</x:f>
        <x:v>0</x:v>
      </x:c>
      <x:c r="K3451" s="1"/>
      <x:c r="L3451" s="1"/>
      <x:c r="M3451" s="1"/>
    </x:row>
    <x:row r="3452" ht="18.75" customHeight="1">
      <x:c r="A3452" s="1" t="str">
        <x:v>https://blog.skyairline.com/selva-peruana/</x:v>
      </x:c>
      <x:c r="B3452" s="1" t="str">
        <x:v>selva</x:v>
      </x:c>
      <x:c r="C3452" s="1" t="str">
        <x:v>per</x:v>
      </x:c>
      <x:c r="D3452" s="1" t="str">
        <x:v>Sin marca</x:v>
      </x:c>
      <x:c r="E3452" s="35" t="n">
        <x:v>1</x:v>
      </x:c>
      <x:c r="F3452" s="36" t="n">
        <x:v>0.05</x:v>
      </x:c>
      <x:c r="G3452" s="36" t="n">
        <x:f>IF(ISNUMBER(F3452),E3452*F3452,"")</x:f>
        <x:v>0.05</x:v>
      </x:c>
      <x:c r="H3452" s="37" t="d">
        <x:v>2026-10-15T00:00:00.000Z</x:v>
      </x:c>
      <x:c r="I3452" s="37" t="d">
        <x:v>2026-09-17T05:18:46.000Z</x:v>
      </x:c>
      <x:c r="J3452" s="1" t="n">
        <x:f>IF(ISNUMBER(F3452),E3452,0)</x:f>
        <x:v>1</x:v>
      </x:c>
      <x:c r="K3452" s="1"/>
      <x:c r="L3452" s="1"/>
      <x:c r="M3452" s="1"/>
    </x:row>
    <x:row r="3453" ht="18.75" customHeight="1">
      <x:c r="A3453" s="1" t="str">
        <x:v>https://blog.skyairline.com/selva-peruana/</x:v>
      </x:c>
      <x:c r="B3453" s="1" t="str">
        <x:v>selva peruana</x:v>
      </x:c>
      <x:c r="C3453" s="1" t="str">
        <x:v>chl</x:v>
      </x:c>
      <x:c r="D3453" s="1" t="str">
        <x:v>Sin marca</x:v>
      </x:c>
      <x:c r="E3453" s="35" t="n">
        <x:v>1</x:v>
      </x:c>
      <x:c r="F3453" s="36" t="n">
        <x:v>0.65</x:v>
      </x:c>
      <x:c r="G3453" s="36" t="n">
        <x:f>IF(ISNUMBER(F3453),E3453*F3453,"")</x:f>
        <x:v>0.65</x:v>
      </x:c>
      <x:c r="H3453" s="37" t="d">
        <x:v>2026-10-15T00:00:00.000Z</x:v>
      </x:c>
      <x:c r="I3453" s="37" t="d">
        <x:v>2026-10-15T10:30:17.000Z</x:v>
      </x:c>
      <x:c r="J3453" s="1" t="n">
        <x:f>IF(ISNUMBER(F3453),E3453,0)</x:f>
        <x:v>1</x:v>
      </x:c>
      <x:c r="K3453" s="1"/>
      <x:c r="L3453" s="1"/>
      <x:c r="M3453" s="1"/>
    </x:row>
    <x:row r="3454" ht="18.75" customHeight="1">
      <x:c r="A3454" s="1" t="str">
        <x:v>https://blog.skyairline.com/selva-peruana/</x:v>
      </x:c>
      <x:c r="B3454" s="1" t="str">
        <x:v>selva peruana</x:v>
      </x:c>
      <x:c r="C3454" s="1" t="str">
        <x:v>per</x:v>
      </x:c>
      <x:c r="D3454" s="1" t="str">
        <x:v>Sin marca</x:v>
      </x:c>
      <x:c r="E3454" s="35" t="n">
        <x:v>1</x:v>
      </x:c>
      <x:c r="F3454" s="36" t="n">
        <x:v>0.34</x:v>
      </x:c>
      <x:c r="G3454" s="36" t="n">
        <x:f>IF(ISNUMBER(F3454),E3454*F3454,"")</x:f>
        <x:v>0.34</x:v>
      </x:c>
      <x:c r="H3454" s="37" t="d">
        <x:v>2026-10-15T00:00:00.000Z</x:v>
      </x:c>
      <x:c r="I3454" s="37" t="d">
        <x:v>2026-09-17T16:37:59.000Z</x:v>
      </x:c>
      <x:c r="J3454" s="1" t="n">
        <x:f>IF(ISNUMBER(F3454),E3454,0)</x:f>
        <x:v>1</x:v>
      </x:c>
      <x:c r="K3454" s="1"/>
      <x:c r="L3454" s="1"/>
      <x:c r="M3454" s="1"/>
    </x:row>
    <x:row r="3455" ht="18.75" customHeight="1">
      <x:c r="A3455" s="1" t="str">
        <x:v>https://blog.skyairline.com/selva-peruana/</x:v>
      </x:c>
      <x:c r="B3455" s="1" t="str">
        <x:v>selva peruana ciudades</x:v>
      </x:c>
      <x:c r="C3455" s="1" t="str">
        <x:v>esp</x:v>
      </x:c>
      <x:c r="D3455" s="1" t="str">
        <x:v>Sin marca</x:v>
      </x:c>
      <x:c r="E3455" s="35" t="n">
        <x:v>1</x:v>
      </x:c>
      <x:c r="F3455" s="36"/>
      <x:c r="G3455" s="36" t="str">
        <x:f>IF(ISNUMBER(F3455),E3455*F3455,"")</x:f>
      </x:c>
      <x:c r="H3455" s="37"/>
      <x:c r="I3455" s="37"/>
      <x:c r="J3455" s="1" t="n">
        <x:f>IF(ISNUMBER(F3455),E3455,0)</x:f>
        <x:v>0</x:v>
      </x:c>
      <x:c r="K3455" s="1"/>
      <x:c r="L3455" s="1"/>
      <x:c r="M3455" s="1"/>
    </x:row>
    <x:row r="3456" ht="18.75" customHeight="1">
      <x:c r="A3456" s="1" t="str">
        <x:v>https://blog.skyairline.com/servicios-de-aerolinea/</x:v>
      </x:c>
      <x:c r="B3456" s="1" t="str">
        <x:v>sky</x:v>
      </x:c>
      <x:c r="C3456" s="1" t="str">
        <x:v>chl</x:v>
      </x:c>
      <x:c r="D3456" s="1" t="str">
        <x:v>Marca</x:v>
      </x:c>
      <x:c r="E3456" s="35" t="n">
        <x:v>1</x:v>
      </x:c>
      <x:c r="F3456" s="36" t="n">
        <x:v>0.27</x:v>
      </x:c>
      <x:c r="G3456" s="36" t="n">
        <x:f>IF(ISNUMBER(F3456),E3456*F3456,"")</x:f>
        <x:v>0.27</x:v>
      </x:c>
      <x:c r="H3456" s="37" t="d">
        <x:v>2026-10-15T00:00:00.000Z</x:v>
      </x:c>
      <x:c r="I3456" s="37" t="d">
        <x:v>2026-09-17T02:52:38.000Z</x:v>
      </x:c>
      <x:c r="J3456" s="1" t="n">
        <x:f>IF(ISNUMBER(F3456),E3456,0)</x:f>
        <x:v>1</x:v>
      </x:c>
      <x:c r="K3456" s="1"/>
      <x:c r="L3456" s="1"/>
      <x:c r="M3456" s="1"/>
    </x:row>
    <x:row r="3457" ht="18.75" customHeight="1">
      <x:c r="A3457" s="1" t="str">
        <x:v>https://blog.skyairline.com/servicios-de-aerolinea/</x:v>
      </x:c>
      <x:c r="B3457" s="1" t="str">
        <x:v>sky arline</x:v>
      </x:c>
      <x:c r="C3457" s="1" t="str">
        <x:v>chl</x:v>
      </x:c>
      <x:c r="D3457" s="1" t="str">
        <x:v>Marca</x:v>
      </x:c>
      <x:c r="E3457" s="35" t="n">
        <x:v>1</x:v>
      </x:c>
      <x:c r="F3457" s="36"/>
      <x:c r="G3457" s="36" t="str">
        <x:f>IF(ISNUMBER(F3457),E3457*F3457,"")</x:f>
      </x:c>
      <x:c r="H3457" s="37"/>
      <x:c r="I3457" s="37"/>
      <x:c r="J3457" s="1" t="n">
        <x:f>IF(ISNUMBER(F3457),E3457,0)</x:f>
        <x:v>0</x:v>
      </x:c>
      <x:c r="K3457" s="1"/>
      <x:c r="L3457" s="1"/>
      <x:c r="M3457" s="1"/>
    </x:row>
    <x:row r="3458" ht="18.75" customHeight="1">
      <x:c r="A3458" s="1" t="str">
        <x:v>https://blog.skyairline.com/servicios-de-aerolinea/</x:v>
      </x:c>
      <x:c r="B3458" s="1" t="str">
        <x:v>vuelo nacional</x:v>
      </x:c>
      <x:c r="C3458" s="1" t="str">
        <x:v>per</x:v>
      </x:c>
      <x:c r="D3458" s="1" t="str">
        <x:v>Sin marca</x:v>
      </x:c>
      <x:c r="E3458" s="35" t="n">
        <x:v>1</x:v>
      </x:c>
      <x:c r="F3458" s="36" t="n">
        <x:v>0.28</x:v>
      </x:c>
      <x:c r="G3458" s="36" t="n">
        <x:f>IF(ISNUMBER(F3458),E3458*F3458,"")</x:f>
        <x:v>0.28</x:v>
      </x:c>
      <x:c r="H3458" s="37" t="d">
        <x:v>2026-10-15T00:00:00.000Z</x:v>
      </x:c>
      <x:c r="I3458" s="37" t="d">
        <x:v>2026-09-14T05:53:14.000Z</x:v>
      </x:c>
      <x:c r="J3458" s="1" t="n">
        <x:f>IF(ISNUMBER(F3458),E3458,0)</x:f>
        <x:v>1</x:v>
      </x:c>
      <x:c r="K3458" s="1"/>
      <x:c r="L3458" s="1"/>
      <x:c r="M3458" s="1"/>
    </x:row>
    <x:row r="3459" ht="18.75" customHeight="1">
      <x:c r="A3459" s="1" t="str">
        <x:v>https://blog.skyairline.com/servicios-de-sky/</x:v>
      </x:c>
      <x:c r="B3459" s="1" t="str">
        <x:v>grupos sky airlines</x:v>
      </x:c>
      <x:c r="C3459" s="1" t="str">
        <x:v>chl</x:v>
      </x:c>
      <x:c r="D3459" s="1" t="str">
        <x:v>Marca</x:v>
      </x:c>
      <x:c r="E3459" s="35" t="n">
        <x:v>1</x:v>
      </x:c>
      <x:c r="F3459" s="36" t="n">
        <x:v>3.3</x:v>
      </x:c>
      <x:c r="G3459" s="36" t="n">
        <x:f>IF(ISNUMBER(F3459),E3459*F3459,"")</x:f>
        <x:v>3.3</x:v>
      </x:c>
      <x:c r="H3459" s="37" t="d">
        <x:v>2026-10-15T00:00:00.000Z</x:v>
      </x:c>
      <x:c r="I3459" s="37" t="d">
        <x:v>2026-09-17T20:51:59.000Z</x:v>
      </x:c>
      <x:c r="J3459" s="1" t="n">
        <x:f>IF(ISNUMBER(F3459),E3459,0)</x:f>
        <x:v>1</x:v>
      </x:c>
      <x:c r="K3459" s="1"/>
      <x:c r="L3459" s="1"/>
      <x:c r="M3459" s="1"/>
    </x:row>
    <x:row r="3460" ht="18.75" customHeight="1">
      <x:c r="A3460" s="1" t="str">
        <x:v>https://blog.skyairline.com/skiplagging/</x:v>
      </x:c>
      <x:c r="B3460" s="1" t="str">
        <x:v>hidden city ticketing</x:v>
      </x:c>
      <x:c r="C3460" s="1" t="str">
        <x:v>mex</x:v>
      </x:c>
      <x:c r="D3460" s="1" t="str">
        <x:v>Sin marca</x:v>
      </x:c>
      <x:c r="E3460" s="35" t="n">
        <x:v>1</x:v>
      </x:c>
      <x:c r="F3460" s="36"/>
      <x:c r="G3460" s="36" t="str">
        <x:f>IF(ISNUMBER(F3460),E3460*F3460,"")</x:f>
      </x:c>
      <x:c r="H3460" s="37"/>
      <x:c r="I3460" s="37"/>
      <x:c r="J3460" s="1" t="n">
        <x:f>IF(ISNUMBER(F3460),E3460,0)</x:f>
        <x:v>0</x:v>
      </x:c>
      <x:c r="K3460" s="1"/>
      <x:c r="L3460" s="1"/>
      <x:c r="M3460" s="1"/>
    </x:row>
    <x:row r="3461" ht="18.75" customHeight="1">
      <x:c r="A3461" s="1" t="str">
        <x:v>https://blog.skyairline.com/skiplagging/</x:v>
      </x:c>
      <x:c r="B3461" s="1" t="str">
        <x:v>skiplagging</x:v>
      </x:c>
      <x:c r="C3461" s="1" t="str">
        <x:v>esp</x:v>
      </x:c>
      <x:c r="D3461" s="1" t="str">
        <x:v>Sin marca</x:v>
      </x:c>
      <x:c r="E3461" s="35" t="n">
        <x:v>1</x:v>
      </x:c>
      <x:c r="F3461" s="36"/>
      <x:c r="G3461" s="36" t="str">
        <x:f>IF(ISNUMBER(F3461),E3461*F3461,"")</x:f>
      </x:c>
      <x:c r="H3461" s="37"/>
      <x:c r="I3461" s="37"/>
      <x:c r="J3461" s="1" t="n">
        <x:f>IF(ISNUMBER(F3461),E3461,0)</x:f>
        <x:v>0</x:v>
      </x:c>
      <x:c r="K3461" s="1"/>
      <x:c r="L3461" s="1"/>
      <x:c r="M3461" s="1"/>
    </x:row>
    <x:row r="3462" ht="18.75" customHeight="1">
      <x:c r="A3462" s="1" t="str">
        <x:v>https://blog.skyairline.com/skiplagging/</x:v>
      </x:c>
      <x:c r="B3462" s="1" t="str">
        <x:v>skiplagging latam</x:v>
      </x:c>
      <x:c r="C3462" s="1" t="str">
        <x:v>chl</x:v>
      </x:c>
      <x:c r="D3462" s="1" t="str">
        <x:v>Sin marca</x:v>
      </x:c>
      <x:c r="E3462" s="35" t="n">
        <x:v>1</x:v>
      </x:c>
      <x:c r="F3462" s="36"/>
      <x:c r="G3462" s="36" t="str">
        <x:f>IF(ISNUMBER(F3462),E3462*F3462,"")</x:f>
      </x:c>
      <x:c r="H3462" s="37" t="d">
        <x:v>2026-10-15T00:00:00.000Z</x:v>
      </x:c>
      <x:c r="I3462" s="37" t="d">
        <x:v>2026-09-12T20:15:13.000Z</x:v>
      </x:c>
      <x:c r="J3462" s="1" t="n">
        <x:f>IF(ISNUMBER(F3462),E3462,0)</x:f>
        <x:v>0</x:v>
      </x:c>
      <x:c r="K3462" s="1"/>
      <x:c r="L3462" s="1"/>
      <x:c r="M3462" s="1"/>
    </x:row>
    <x:row r="3463" ht="18.75" customHeight="1">
      <x:c r="A3463" s="1" t="str">
        <x:v>https://blog.skyairline.com/skiplagging/</x:v>
      </x:c>
      <x:c r="B3463" s="1" t="str">
        <x:v>skiplagging que es</x:v>
      </x:c>
      <x:c r="C3463" s="1" t="str">
        <x:v>esp</x:v>
      </x:c>
      <x:c r="D3463" s="1" t="str">
        <x:v>Sin marca</x:v>
      </x:c>
      <x:c r="E3463" s="35" t="n">
        <x:v>1</x:v>
      </x:c>
      <x:c r="F3463" s="36"/>
      <x:c r="G3463" s="36" t="str">
        <x:f>IF(ISNUMBER(F3463),E3463*F3463,"")</x:f>
      </x:c>
      <x:c r="H3463" s="37"/>
      <x:c r="I3463" s="37"/>
      <x:c r="J3463" s="1" t="n">
        <x:f>IF(ISNUMBER(F3463),E3463,0)</x:f>
        <x:v>0</x:v>
      </x:c>
      <x:c r="K3463" s="1"/>
      <x:c r="L3463" s="1"/>
      <x:c r="M3463" s="1"/>
    </x:row>
    <x:row r="3464" ht="18.75" customHeight="1">
      <x:c r="A3464" s="1" t="str">
        <x:v>https://blog.skyairline.com/sky-airline-2/</x:v>
      </x:c>
      <x:c r="B3464" s="1" t="str">
        <x:v>asistencia sky</x:v>
      </x:c>
      <x:c r="C3464" s="1" t="str">
        <x:v>chl</x:v>
      </x:c>
      <x:c r="D3464" s="1" t="str">
        <x:v>Marca</x:v>
      </x:c>
      <x:c r="E3464" s="35" t="n">
        <x:v>1</x:v>
      </x:c>
      <x:c r="F3464" s="36"/>
      <x:c r="G3464" s="36" t="str">
        <x:f>IF(ISNUMBER(F3464),E3464*F3464,"")</x:f>
      </x:c>
      <x:c r="H3464" s="37" t="d">
        <x:v>2026-10-15T00:00:00.000Z</x:v>
      </x:c>
      <x:c r="I3464" s="37" t="d">
        <x:v>2026-09-14T04:54:36.000Z</x:v>
      </x:c>
      <x:c r="J3464" s="1" t="n">
        <x:f>IF(ISNUMBER(F3464),E3464,0)</x:f>
        <x:v>0</x:v>
      </x:c>
      <x:c r="K3464" s="1"/>
      <x:c r="L3464" s="1"/>
      <x:c r="M3464" s="1"/>
    </x:row>
    <x:row r="3465" ht="18.75" customHeight="1">
      <x:c r="A3465" s="1" t="str">
        <x:v>https://blog.skyairline.com/sky-airline-2/</x:v>
      </x:c>
      <x:c r="B3465" s="1" t="str">
        <x:v>billetera digital sky</x:v>
      </x:c>
      <x:c r="C3465" s="1" t="str">
        <x:v>per</x:v>
      </x:c>
      <x:c r="D3465" s="1" t="str">
        <x:v>Marca</x:v>
      </x:c>
      <x:c r="E3465" s="35" t="n">
        <x:v>1</x:v>
      </x:c>
      <x:c r="F3465" s="36" t="n">
        <x:v>0.08</x:v>
      </x:c>
      <x:c r="G3465" s="36" t="n">
        <x:f>IF(ISNUMBER(F3465),E3465*F3465,"")</x:f>
        <x:v>0.08</x:v>
      </x:c>
      <x:c r="H3465" s="37" t="d">
        <x:v>2026-10-15T00:00:00.000Z</x:v>
      </x:c>
      <x:c r="I3465" s="37" t="d">
        <x:v>2026-09-16T19:22:02.000Z</x:v>
      </x:c>
      <x:c r="J3465" s="1" t="n">
        <x:f>IF(ISNUMBER(F3465),E3465,0)</x:f>
        <x:v>1</x:v>
      </x:c>
      <x:c r="K3465" s="1"/>
      <x:c r="L3465" s="1"/>
      <x:c r="M3465" s="1"/>
    </x:row>
    <x:row r="3466" ht="18.75" customHeight="1">
      <x:c r="A3466" s="1" t="str">
        <x:v>https://blog.skyairline.com/sky-airline-2/</x:v>
      </x:c>
      <x:c r="B3466" s="1" t="str">
        <x:v>billetera sky airlines</x:v>
      </x:c>
      <x:c r="C3466" s="1" t="str">
        <x:v>chl</x:v>
      </x:c>
      <x:c r="D3466" s="1" t="str">
        <x:v>Marca</x:v>
      </x:c>
      <x:c r="E3466" s="35" t="n">
        <x:v>1</x:v>
      </x:c>
      <x:c r="F3466" s="36"/>
      <x:c r="G3466" s="36" t="str">
        <x:f>IF(ISNUMBER(F3466),E3466*F3466,"")</x:f>
      </x:c>
      <x:c r="H3466" s="37"/>
      <x:c r="I3466" s="37"/>
      <x:c r="J3466" s="1" t="n">
        <x:f>IF(ISNUMBER(F3466),E3466,0)</x:f>
        <x:v>0</x:v>
      </x:c>
      <x:c r="K3466" s="1"/>
      <x:c r="L3466" s="1"/>
      <x:c r="M3466" s="1"/>
    </x:row>
    <x:row r="3467" ht="18.75" customHeight="1">
      <x:c r="A3467" s="1" t="str">
        <x:v>https://blog.skyairline.com/sky-airline-2/</x:v>
      </x:c>
      <x:c r="B3467" s="1" t="str">
        <x:v>llamar a sky chile desde celular</x:v>
      </x:c>
      <x:c r="C3467" s="1" t="str">
        <x:v>chl</x:v>
      </x:c>
      <x:c r="D3467" s="1" t="str">
        <x:v>Marca</x:v>
      </x:c>
      <x:c r="E3467" s="35" t="n">
        <x:v>1</x:v>
      </x:c>
      <x:c r="F3467" s="36" t="n">
        <x:v>1.33</x:v>
      </x:c>
      <x:c r="G3467" s="36" t="n">
        <x:f>IF(ISNUMBER(F3467),E3467*F3467,"")</x:f>
        <x:v>1.33</x:v>
      </x:c>
      <x:c r="H3467" s="37" t="d">
        <x:v>2026-10-15T00:00:00.000Z</x:v>
      </x:c>
      <x:c r="I3467" s="37" t="d">
        <x:v>2026-09-13T10:24:11.999Z</x:v>
      </x:c>
      <x:c r="J3467" s="1" t="n">
        <x:f>IF(ISNUMBER(F3467),E3467,0)</x:f>
        <x:v>1</x:v>
      </x:c>
      <x:c r="K3467" s="1"/>
      <x:c r="L3467" s="1"/>
      <x:c r="M3467" s="1"/>
    </x:row>
    <x:row r="3468" ht="18.75" customHeight="1">
      <x:c r="A3468" s="1" t="str">
        <x:v>https://blog.skyairline.com/sky-airline-2/</x:v>
      </x:c>
      <x:c r="B3468" s="1" t="str">
        <x:v>numero telefono sky</x:v>
      </x:c>
      <x:c r="C3468" s="1" t="str">
        <x:v>chl</x:v>
      </x:c>
      <x:c r="D3468" s="1" t="str">
        <x:v>Marca</x:v>
      </x:c>
      <x:c r="E3468" s="35" t="n">
        <x:v>1</x:v>
      </x:c>
      <x:c r="F3468" s="36"/>
      <x:c r="G3468" s="36" t="str">
        <x:f>IF(ISNUMBER(F3468),E3468*F3468,"")</x:f>
      </x:c>
      <x:c r="H3468" s="37"/>
      <x:c r="I3468" s="37"/>
      <x:c r="J3468" s="1" t="n">
        <x:f>IF(ISNUMBER(F3468),E3468,0)</x:f>
        <x:v>0</x:v>
      </x:c>
      <x:c r="K3468" s="1"/>
      <x:c r="L3468" s="1"/>
      <x:c r="M3468" s="1"/>
    </x:row>
    <x:row r="3469" ht="18.75" customHeight="1">
      <x:c r="A3469" s="1" t="str">
        <x:v>https://blog.skyairline.com/sky-airline-2/</x:v>
      </x:c>
      <x:c r="B3469" s="1" t="str">
        <x:v>numero telefono sky chile</x:v>
      </x:c>
      <x:c r="C3469" s="1" t="str">
        <x:v>chl</x:v>
      </x:c>
      <x:c r="D3469" s="1" t="str">
        <x:v>Marca</x:v>
      </x:c>
      <x:c r="E3469" s="35" t="n">
        <x:v>1</x:v>
      </x:c>
      <x:c r="F3469" s="36"/>
      <x:c r="G3469" s="36" t="str">
        <x:f>IF(ISNUMBER(F3469),E3469*F3469,"")</x:f>
      </x:c>
      <x:c r="H3469" s="37"/>
      <x:c r="I3469" s="37"/>
      <x:c r="J3469" s="1" t="n">
        <x:f>IF(ISNUMBER(F3469),E3469,0)</x:f>
        <x:v>0</x:v>
      </x:c>
      <x:c r="K3469" s="1"/>
      <x:c r="L3469" s="1"/>
      <x:c r="M3469" s="1"/>
    </x:row>
    <x:row r="3470" ht="18.75" customHeight="1">
      <x:c r="A3470" s="1" t="str">
        <x:v>https://blog.skyairline.com/sky-airline-2/</x:v>
      </x:c>
      <x:c r="B3470" s="1" t="str">
        <x:v>servicio al cliente sky</x:v>
      </x:c>
      <x:c r="C3470" s="1" t="str">
        <x:v>chl</x:v>
      </x:c>
      <x:c r="D3470" s="1" t="str">
        <x:v>Marca</x:v>
      </x:c>
      <x:c r="E3470" s="35" t="n">
        <x:v>1</x:v>
      </x:c>
      <x:c r="F3470" s="36"/>
      <x:c r="G3470" s="36" t="str">
        <x:f>IF(ISNUMBER(F3470),E3470*F3470,"")</x:f>
      </x:c>
      <x:c r="H3470" s="37" t="d">
        <x:v>2026-10-15T00:00:00.000Z</x:v>
      </x:c>
      <x:c r="I3470" s="37" t="d">
        <x:v>2026-09-14T23:06:24.000Z</x:v>
      </x:c>
      <x:c r="J3470" s="1" t="n">
        <x:f>IF(ISNUMBER(F3470),E3470,0)</x:f>
        <x:v>0</x:v>
      </x:c>
      <x:c r="K3470" s="1"/>
      <x:c r="L3470" s="1"/>
      <x:c r="M3470" s="1"/>
    </x:row>
    <x:row r="3471" ht="18.75" customHeight="1">
      <x:c r="A3471" s="1" t="str">
        <x:v>https://blog.skyairline.com/sky-airline-2/</x:v>
      </x:c>
      <x:c r="B3471" s="1" t="str">
        <x:v>sky airline atencion al cliente</x:v>
      </x:c>
      <x:c r="C3471" s="1" t="str">
        <x:v>per</x:v>
      </x:c>
      <x:c r="D3471" s="1" t="str">
        <x:v>Marca</x:v>
      </x:c>
      <x:c r="E3471" s="35" t="n">
        <x:v>1</x:v>
      </x:c>
      <x:c r="F3471" s="36"/>
      <x:c r="G3471" s="36" t="str">
        <x:f>IF(ISNUMBER(F3471),E3471*F3471,"")</x:f>
      </x:c>
      <x:c r="H3471" s="37"/>
      <x:c r="I3471" s="37"/>
      <x:c r="J3471" s="1" t="n">
        <x:f>IF(ISNUMBER(F3471),E3471,0)</x:f>
        <x:v>0</x:v>
      </x:c>
      <x:c r="K3471" s="1"/>
      <x:c r="L3471" s="1"/>
      <x:c r="M3471" s="1"/>
    </x:row>
    <x:row r="3472" ht="18.75" customHeight="1">
      <x:c r="A3472" s="1" t="str">
        <x:v>https://blog.skyairline.com/sky-airline-2/</x:v>
      </x:c>
      <x:c r="B3472" s="1" t="str">
        <x:v>sky airline telefono atencion al cliente</x:v>
      </x:c>
      <x:c r="C3472" s="1" t="str">
        <x:v>chl</x:v>
      </x:c>
      <x:c r="D3472" s="1" t="str">
        <x:v>Marca</x:v>
      </x:c>
      <x:c r="E3472" s="35" t="n">
        <x:v>1</x:v>
      </x:c>
      <x:c r="F3472" s="36"/>
      <x:c r="G3472" s="36" t="str">
        <x:f>IF(ISNUMBER(F3472),E3472*F3472,"")</x:f>
      </x:c>
      <x:c r="H3472" s="37"/>
      <x:c r="I3472" s="37"/>
      <x:c r="J3472" s="1" t="n">
        <x:f>IF(ISNUMBER(F3472),E3472,0)</x:f>
        <x:v>0</x:v>
      </x:c>
      <x:c r="K3472" s="1"/>
      <x:c r="L3472" s="1"/>
      <x:c r="M3472" s="1"/>
    </x:row>
    <x:row r="3473" ht="18.75" customHeight="1">
      <x:c r="A3473" s="1" t="str">
        <x:v>https://blog.skyairline.com/sky-airline-2/</x:v>
      </x:c>
      <x:c r="B3473" s="1" t="str">
        <x:v>sky airlines mascotas</x:v>
      </x:c>
      <x:c r="C3473" s="1" t="str">
        <x:v>mex</x:v>
      </x:c>
      <x:c r="D3473" s="1" t="str">
        <x:v>Marca</x:v>
      </x:c>
      <x:c r="E3473" s="35" t="n">
        <x:v>1</x:v>
      </x:c>
      <x:c r="F3473" s="36"/>
      <x:c r="G3473" s="36" t="str">
        <x:f>IF(ISNUMBER(F3473),E3473*F3473,"")</x:f>
      </x:c>
      <x:c r="H3473" s="37"/>
      <x:c r="I3473" s="37"/>
      <x:c r="J3473" s="1" t="n">
        <x:f>IF(ISNUMBER(F3473),E3473,0)</x:f>
        <x:v>0</x:v>
      </x:c>
      <x:c r="K3473" s="1"/>
      <x:c r="L3473" s="1"/>
      <x:c r="M3473" s="1"/>
    </x:row>
    <x:row r="3474" ht="18.75" customHeight="1">
      <x:c r="A3474" s="1" t="str">
        <x:v>https://blog.skyairline.com/sky-airline-2/</x:v>
      </x:c>
      <x:c r="B3474" s="1" t="str">
        <x:v>sky airlines telefono</x:v>
      </x:c>
      <x:c r="C3474" s="1" t="str">
        <x:v>chl</x:v>
      </x:c>
      <x:c r="D3474" s="1" t="str">
        <x:v>Marca</x:v>
      </x:c>
      <x:c r="E3474" s="35" t="n">
        <x:v>1</x:v>
      </x:c>
      <x:c r="F3474" s="36" t="n">
        <x:v>1</x:v>
      </x:c>
      <x:c r="G3474" s="36" t="n">
        <x:f>IF(ISNUMBER(F3474),E3474*F3474,"")</x:f>
        <x:v>1</x:v>
      </x:c>
      <x:c r="H3474" s="37" t="d">
        <x:v>2026-10-15T00:00:00.000Z</x:v>
      </x:c>
      <x:c r="I3474" s="37" t="d">
        <x:v>2026-09-12T18:06:04.000Z</x:v>
      </x:c>
      <x:c r="J3474" s="1" t="n">
        <x:f>IF(ISNUMBER(F3474),E3474,0)</x:f>
        <x:v>1</x:v>
      </x:c>
      <x:c r="K3474" s="1"/>
      <x:c r="L3474" s="1"/>
      <x:c r="M3474" s="1"/>
    </x:row>
    <x:row r="3475" ht="18.75" customHeight="1">
      <x:c r="A3475" s="1" t="str">
        <x:v>https://blog.skyairline.com/sky-airline-2/</x:v>
      </x:c>
      <x:c r="B3475" s="1" t="str">
        <x:v>sky airlines teléfono</x:v>
      </x:c>
      <x:c r="C3475" s="1" t="str">
        <x:v>chl</x:v>
      </x:c>
      <x:c r="D3475" s="1" t="str">
        <x:v>Marca</x:v>
      </x:c>
      <x:c r="E3475" s="35" t="n">
        <x:v>1</x:v>
      </x:c>
      <x:c r="F3475" s="36" t="n">
        <x:v>1</x:v>
      </x:c>
      <x:c r="G3475" s="36" t="n">
        <x:f>IF(ISNUMBER(F3475),E3475*F3475,"")</x:f>
        <x:v>1</x:v>
      </x:c>
      <x:c r="H3475" s="37" t="d">
        <x:v>2026-10-15T00:00:00.000Z</x:v>
      </x:c>
      <x:c r="I3475" s="37" t="d">
        <x:v>2026-09-16T00:02:12.000Z</x:v>
      </x:c>
      <x:c r="J3475" s="1" t="n">
        <x:f>IF(ISNUMBER(F3475),E3475,0)</x:f>
        <x:v>1</x:v>
      </x:c>
      <x:c r="K3475" s="1"/>
      <x:c r="L3475" s="1"/>
      <x:c r="M3475" s="1"/>
    </x:row>
    <x:row r="3476" ht="18.75" customHeight="1">
      <x:c r="A3476" s="1" t="str">
        <x:v>https://blog.skyairline.com/sky-airline-2/</x:v>
      </x:c>
      <x:c r="B3476" s="1" t="str">
        <x:v>sky atención al cliente</x:v>
      </x:c>
      <x:c r="C3476" s="1" t="str">
        <x:v>chl</x:v>
      </x:c>
      <x:c r="D3476" s="1" t="str">
        <x:v>Marca</x:v>
      </x:c>
      <x:c r="E3476" s="35" t="n">
        <x:v>1</x:v>
      </x:c>
      <x:c r="F3476" s="36" t="n">
        <x:v>2.68</x:v>
      </x:c>
      <x:c r="G3476" s="36" t="n">
        <x:f>IF(ISNUMBER(F3476),E3476*F3476,"")</x:f>
        <x:v>2.68</x:v>
      </x:c>
      <x:c r="H3476" s="37" t="d">
        <x:v>2026-10-15T00:00:00.000Z</x:v>
      </x:c>
      <x:c r="I3476" s="37" t="d">
        <x:v>2026-09-12T20:12:54.999Z</x:v>
      </x:c>
      <x:c r="J3476" s="1" t="n">
        <x:f>IF(ISNUMBER(F3476),E3476,0)</x:f>
        <x:v>1</x:v>
      </x:c>
      <x:c r="K3476" s="1"/>
      <x:c r="L3476" s="1"/>
      <x:c r="M3476" s="1"/>
    </x:row>
    <x:row r="3477" ht="18.75" customHeight="1">
      <x:c r="A3477" s="1" t="str">
        <x:v>https://blog.skyairline.com/sky-airline-2/</x:v>
      </x:c>
      <x:c r="B3477" s="1" t="str">
        <x:v>sky atención al cliente telefono</x:v>
      </x:c>
      <x:c r="C3477" s="1" t="str">
        <x:v>chl</x:v>
      </x:c>
      <x:c r="D3477" s="1" t="str">
        <x:v>Marca</x:v>
      </x:c>
      <x:c r="E3477" s="35" t="n">
        <x:v>1</x:v>
      </x:c>
      <x:c r="F3477" s="36"/>
      <x:c r="G3477" s="36" t="str">
        <x:f>IF(ISNUMBER(F3477),E3477*F3477,"")</x:f>
      </x:c>
      <x:c r="H3477" s="37"/>
      <x:c r="I3477" s="37"/>
      <x:c r="J3477" s="1" t="n">
        <x:f>IF(ISNUMBER(F3477),E3477,0)</x:f>
        <x:v>0</x:v>
      </x:c>
      <x:c r="K3477" s="1"/>
      <x:c r="L3477" s="1"/>
      <x:c r="M3477" s="1"/>
    </x:row>
    <x:row r="3478" ht="18.75" customHeight="1">
      <x:c r="A3478" s="1" t="str">
        <x:v>https://blog.skyairline.com/sky-airline-2/</x:v>
      </x:c>
      <x:c r="B3478" s="1" t="str">
        <x:v>sky call center chile</x:v>
      </x:c>
      <x:c r="C3478" s="1" t="str">
        <x:v>chl</x:v>
      </x:c>
      <x:c r="D3478" s="1" t="str">
        <x:v>Marca</x:v>
      </x:c>
      <x:c r="E3478" s="35" t="n">
        <x:v>1</x:v>
      </x:c>
      <x:c r="F3478" s="36" t="n">
        <x:v>1.03</x:v>
      </x:c>
      <x:c r="G3478" s="36" t="n">
        <x:f>IF(ISNUMBER(F3478),E3478*F3478,"")</x:f>
        <x:v>1.03</x:v>
      </x:c>
      <x:c r="H3478" s="37" t="d">
        <x:v>2026-10-15T00:00:00.000Z</x:v>
      </x:c>
      <x:c r="I3478" s="37" t="d">
        <x:v>2026-09-17T17:55:39.000Z</x:v>
      </x:c>
      <x:c r="J3478" s="1" t="n">
        <x:f>IF(ISNUMBER(F3478),E3478,0)</x:f>
        <x:v>1</x:v>
      </x:c>
      <x:c r="K3478" s="1"/>
      <x:c r="L3478" s="1"/>
      <x:c r="M3478" s="1"/>
    </x:row>
    <x:row r="3479" ht="18.75" customHeight="1">
      <x:c r="A3479" s="1" t="str">
        <x:v>https://blog.skyairline.com/sky-airline-2/</x:v>
      </x:c>
      <x:c r="B3479" s="1" t="str">
        <x:v>sky numero de contacto</x:v>
      </x:c>
      <x:c r="C3479" s="1" t="str">
        <x:v>chl</x:v>
      </x:c>
      <x:c r="D3479" s="1" t="str">
        <x:v>Marca</x:v>
      </x:c>
      <x:c r="E3479" s="35" t="n">
        <x:v>1</x:v>
      </x:c>
      <x:c r="F3479" s="36"/>
      <x:c r="G3479" s="36" t="str">
        <x:f>IF(ISNUMBER(F3479),E3479*F3479,"")</x:f>
      </x:c>
      <x:c r="H3479" s="37"/>
      <x:c r="I3479" s="37"/>
      <x:c r="J3479" s="1" t="n">
        <x:f>IF(ISNUMBER(F3479),E3479,0)</x:f>
        <x:v>0</x:v>
      </x:c>
      <x:c r="K3479" s="1"/>
      <x:c r="L3479" s="1"/>
      <x:c r="M3479" s="1"/>
    </x:row>
    <x:row r="3480" ht="18.75" customHeight="1">
      <x:c r="A3480" s="1" t="str">
        <x:v>https://blog.skyairline.com/sky-airline-2/</x:v>
      </x:c>
      <x:c r="B3480" s="1" t="str">
        <x:v>sky preguntas</x:v>
      </x:c>
      <x:c r="C3480" s="1" t="str">
        <x:v>per</x:v>
      </x:c>
      <x:c r="D3480" s="1" t="str">
        <x:v>Marca</x:v>
      </x:c>
      <x:c r="E3480" s="35" t="n">
        <x:v>1</x:v>
      </x:c>
      <x:c r="F3480" s="36"/>
      <x:c r="G3480" s="36" t="str">
        <x:f>IF(ISNUMBER(F3480),E3480*F3480,"")</x:f>
      </x:c>
      <x:c r="H3480" s="37"/>
      <x:c r="I3480" s="37"/>
      <x:c r="J3480" s="1" t="n">
        <x:f>IF(ISNUMBER(F3480),E3480,0)</x:f>
        <x:v>0</x:v>
      </x:c>
      <x:c r="K3480" s="1"/>
      <x:c r="L3480" s="1"/>
      <x:c r="M3480" s="1"/>
    </x:row>
    <x:row r="3481" ht="18.75" customHeight="1">
      <x:c r="A3481" s="1" t="str">
        <x:v>https://blog.skyairline.com/sky-airline-2/</x:v>
      </x:c>
      <x:c r="B3481" s="1" t="str">
        <x:v>sky requisitos para viajar con mascota</x:v>
      </x:c>
      <x:c r="C3481" s="1" t="str">
        <x:v>chl</x:v>
      </x:c>
      <x:c r="D3481" s="1" t="str">
        <x:v>Marca</x:v>
      </x:c>
      <x:c r="E3481" s="35" t="n">
        <x:v>1</x:v>
      </x:c>
      <x:c r="F3481" s="36"/>
      <x:c r="G3481" s="36" t="str">
        <x:f>IF(ISNUMBER(F3481),E3481*F3481,"")</x:f>
      </x:c>
      <x:c r="H3481" s="37" t="d">
        <x:v>2026-10-15T00:00:00.000Z</x:v>
      </x:c>
      <x:c r="I3481" s="37" t="d">
        <x:v>2026-09-15T14:51:58.000Z</x:v>
      </x:c>
      <x:c r="J3481" s="1" t="n">
        <x:f>IF(ISNUMBER(F3481),E3481,0)</x:f>
        <x:v>0</x:v>
      </x:c>
      <x:c r="K3481" s="1"/>
      <x:c r="L3481" s="1"/>
      <x:c r="M3481" s="1"/>
    </x:row>
    <x:row r="3482" ht="18.75" customHeight="1">
      <x:c r="A3482" s="1" t="str">
        <x:v>https://blog.skyairline.com/sky-airline-2/</x:v>
      </x:c>
      <x:c r="B3482" s="1" t="str">
        <x:v>sky telefono de contacto</x:v>
      </x:c>
      <x:c r="C3482" s="1" t="str">
        <x:v>chl</x:v>
      </x:c>
      <x:c r="D3482" s="1" t="str">
        <x:v>Marca</x:v>
      </x:c>
      <x:c r="E3482" s="35" t="n">
        <x:v>1</x:v>
      </x:c>
      <x:c r="F3482" s="36"/>
      <x:c r="G3482" s="36" t="str">
        <x:f>IF(ISNUMBER(F3482),E3482*F3482,"")</x:f>
      </x:c>
      <x:c r="H3482" s="37" t="d">
        <x:v>2026-10-15T00:00:00.000Z</x:v>
      </x:c>
      <x:c r="I3482" s="37" t="d">
        <x:v>2026-09-16T17:13:40.000Z</x:v>
      </x:c>
      <x:c r="J3482" s="1" t="n">
        <x:f>IF(ISNUMBER(F3482),E3482,0)</x:f>
        <x:v>0</x:v>
      </x:c>
      <x:c r="K3482" s="1"/>
      <x:c r="L3482" s="1"/>
      <x:c r="M3482" s="1"/>
    </x:row>
    <x:row r="3483" ht="18.75" customHeight="1">
      <x:c r="A3483" s="1" t="str">
        <x:v>https://blog.skyairline.com/sky-airline-2/</x:v>
      </x:c>
      <x:c r="B3483" s="1" t="str">
        <x:v>sky teléfono chile</x:v>
      </x:c>
      <x:c r="C3483" s="1" t="str">
        <x:v>chl</x:v>
      </x:c>
      <x:c r="D3483" s="1" t="str">
        <x:v>Marca</x:v>
      </x:c>
      <x:c r="E3483" s="35" t="n">
        <x:v>1</x:v>
      </x:c>
      <x:c r="F3483" s="36" t="n">
        <x:v>1.29</x:v>
      </x:c>
      <x:c r="G3483" s="36" t="n">
        <x:f>IF(ISNUMBER(F3483),E3483*F3483,"")</x:f>
        <x:v>1.29</x:v>
      </x:c>
      <x:c r="H3483" s="37" t="d">
        <x:v>2026-10-15T00:00:00.000Z</x:v>
      </x:c>
      <x:c r="I3483" s="37" t="d">
        <x:v>2026-09-16T16:36:41.000Z</x:v>
      </x:c>
      <x:c r="J3483" s="1" t="n">
        <x:f>IF(ISNUMBER(F3483),E3483,0)</x:f>
        <x:v>1</x:v>
      </x:c>
      <x:c r="K3483" s="1"/>
      <x:c r="L3483" s="1"/>
      <x:c r="M3483" s="1"/>
    </x:row>
    <x:row r="3484" ht="18.75" customHeight="1">
      <x:c r="A3484" s="1" t="str">
        <x:v>https://blog.skyairline.com/sky-airline-2/</x:v>
      </x:c>
      <x:c r="B3484" s="1" t="str">
        <x:v>teléfono de sky atención a clientes 01800</x:v>
      </x:c>
      <x:c r="C3484" s="1" t="str">
        <x:v>chl</x:v>
      </x:c>
      <x:c r="D3484" s="1" t="str">
        <x:v>Marca</x:v>
      </x:c>
      <x:c r="E3484" s="35" t="n">
        <x:v>1</x:v>
      </x:c>
      <x:c r="F3484" s="36" t="n">
        <x:v>1.05</x:v>
      </x:c>
      <x:c r="G3484" s="36" t="n">
        <x:f>IF(ISNUMBER(F3484),E3484*F3484,"")</x:f>
        <x:v>1.05</x:v>
      </x:c>
      <x:c r="H3484" s="37" t="d">
        <x:v>2026-10-15T00:00:00.000Z</x:v>
      </x:c>
      <x:c r="I3484" s="37" t="d">
        <x:v>2026-09-16T05:15:45.000Z</x:v>
      </x:c>
      <x:c r="J3484" s="1" t="n">
        <x:f>IF(ISNUMBER(F3484),E3484,0)</x:f>
        <x:v>1</x:v>
      </x:c>
      <x:c r="K3484" s="1"/>
      <x:c r="L3484" s="1"/>
      <x:c r="M3484" s="1"/>
    </x:row>
    <x:row r="3485" ht="18.75" customHeight="1">
      <x:c r="A3485" s="1" t="str">
        <x:v>https://blog.skyairline.com/sky-airline-2/</x:v>
      </x:c>
      <x:c r="B3485" s="1" t="str">
        <x:v>teléfono sky chile</x:v>
      </x:c>
      <x:c r="C3485" s="1" t="str">
        <x:v>chl</x:v>
      </x:c>
      <x:c r="D3485" s="1" t="str">
        <x:v>Marca</x:v>
      </x:c>
      <x:c r="E3485" s="35" t="n">
        <x:v>1</x:v>
      </x:c>
      <x:c r="F3485" s="36" t="n">
        <x:v>1.29</x:v>
      </x:c>
      <x:c r="G3485" s="36" t="n">
        <x:f>IF(ISNUMBER(F3485),E3485*F3485,"")</x:f>
        <x:v>1.29</x:v>
      </x:c>
      <x:c r="H3485" s="37" t="d">
        <x:v>2026-10-15T00:00:00.000Z</x:v>
      </x:c>
      <x:c r="I3485" s="37" t="d">
        <x:v>2026-09-15T21:48:31.000Z</x:v>
      </x:c>
      <x:c r="J3485" s="1" t="n">
        <x:f>IF(ISNUMBER(F3485),E3485,0)</x:f>
        <x:v>1</x:v>
      </x:c>
      <x:c r="K3485" s="1"/>
      <x:c r="L3485" s="1"/>
      <x:c r="M3485" s="1"/>
    </x:row>
    <x:row r="3486" ht="18.75" customHeight="1">
      <x:c r="A3486" s="1" t="str">
        <x:v>https://blog.skyairline.com/sky-airline-2/</x:v>
      </x:c>
      <x:c r="B3486" s="1" t="str">
        <x:v>teléfonos de sky servicio al cliente</x:v>
      </x:c>
      <x:c r="C3486" s="1" t="str">
        <x:v>per</x:v>
      </x:c>
      <x:c r="D3486" s="1" t="str">
        <x:v>Marca</x:v>
      </x:c>
      <x:c r="E3486" s="35" t="n">
        <x:v>1</x:v>
      </x:c>
      <x:c r="F3486" s="36" t="n">
        <x:v>0.7</x:v>
      </x:c>
      <x:c r="G3486" s="36" t="n">
        <x:f>IF(ISNUMBER(F3486),E3486*F3486,"")</x:f>
        <x:v>0.7</x:v>
      </x:c>
      <x:c r="H3486" s="37" t="d">
        <x:v>2026-10-15T00:00:00.000Z</x:v>
      </x:c>
      <x:c r="I3486" s="37" t="d">
        <x:v>2026-09-14T01:33:47.000Z</x:v>
      </x:c>
      <x:c r="J3486" s="1" t="n">
        <x:f>IF(ISNUMBER(F3486),E3486,0)</x:f>
        <x:v>1</x:v>
      </x:c>
      <x:c r="K3486" s="1"/>
      <x:c r="L3486" s="1"/>
      <x:c r="M3486" s="1"/>
    </x:row>
    <x:row r="3487" ht="18.75" customHeight="1">
      <x:c r="A3487" s="1" t="str">
        <x:v>https://blog.skyairline.com/sky-airline-2/</x:v>
      </x:c>
      <x:c r="B3487" s="1" t="str">
        <x:v>teléfonos de sky servicio al cliente 600 chile</x:v>
      </x:c>
      <x:c r="C3487" s="1" t="str">
        <x:v>chl</x:v>
      </x:c>
      <x:c r="D3487" s="1" t="str">
        <x:v>Marca</x:v>
      </x:c>
      <x:c r="E3487" s="35" t="n">
        <x:v>1</x:v>
      </x:c>
      <x:c r="F3487" s="36"/>
      <x:c r="G3487" s="36" t="str">
        <x:f>IF(ISNUMBER(F3487),E3487*F3487,"")</x:f>
      </x:c>
      <x:c r="H3487" s="37"/>
      <x:c r="I3487" s="37"/>
      <x:c r="J3487" s="1" t="n">
        <x:f>IF(ISNUMBER(F3487),E3487,0)</x:f>
        <x:v>0</x:v>
      </x:c>
      <x:c r="K3487" s="1"/>
      <x:c r="L3487" s="1"/>
      <x:c r="M3487" s="1"/>
    </x:row>
    <x:row r="3488" ht="18.75" customHeight="1">
      <x:c r="A3488" s="1" t="str">
        <x:v>https://blog.skyairline.com/sky-airline-anuncia-la-llegada-de-cuatro-nuevos-aviones-airbus-a320/</x:v>
      </x:c>
      <x:c r="B3488" s="1" t="str">
        <x:v>sky airline a321xlr</x:v>
      </x:c>
      <x:c r="C3488" s="1" t="str">
        <x:v>chl</x:v>
      </x:c>
      <x:c r="D3488" s="1" t="str">
        <x:v>Marca</x:v>
      </x:c>
      <x:c r="E3488" s="35" t="n">
        <x:v>1</x:v>
      </x:c>
      <x:c r="F3488" s="36"/>
      <x:c r="G3488" s="36" t="str">
        <x:f>IF(ISNUMBER(F3488),E3488*F3488,"")</x:f>
      </x:c>
      <x:c r="H3488" s="37"/>
      <x:c r="I3488" s="37"/>
      <x:c r="J3488" s="1" t="n">
        <x:f>IF(ISNUMBER(F3488),E3488,0)</x:f>
        <x:v>0</x:v>
      </x:c>
      <x:c r="K3488" s="1"/>
      <x:c r="L3488" s="1"/>
      <x:c r="M3488" s="1"/>
    </x:row>
    <x:row r="3489" ht="18.75" customHeight="1">
      <x:c r="A3489" s="1" t="str">
        <x:v>https://blog.skyairline.com/sky-airline-cumple-25-anos-de-trayectoria/</x:v>
      </x:c>
      <x:c r="B3489" s="1" t="str">
        <x:v>sky airline origen</x:v>
      </x:c>
      <x:c r="C3489" s="1" t="str">
        <x:v>mex</x:v>
      </x:c>
      <x:c r="D3489" s="1" t="str">
        <x:v>Marca</x:v>
      </x:c>
      <x:c r="E3489" s="35" t="n">
        <x:v>1</x:v>
      </x:c>
      <x:c r="F3489" s="36"/>
      <x:c r="G3489" s="36" t="str">
        <x:f>IF(ISNUMBER(F3489),E3489*F3489,"")</x:f>
      </x:c>
      <x:c r="H3489" s="37"/>
      <x:c r="I3489" s="37"/>
      <x:c r="J3489" s="1" t="n">
        <x:f>IF(ISNUMBER(F3489),E3489,0)</x:f>
        <x:v>0</x:v>
      </x:c>
      <x:c r="K3489" s="1"/>
      <x:c r="L3489" s="1"/>
      <x:c r="M3489" s="1"/>
    </x:row>
    <x:row r="3490" ht="18.75" customHeight="1">
      <x:c r="A3490" s="1" t="str">
        <x:v>https://blog.skyairline.com/sky-airline/</x:v>
      </x:c>
      <x:c r="B3490" s="1" t="str">
        <x:v>sky airline</x:v>
      </x:c>
      <x:c r="C3490" s="1" t="str">
        <x:v>arg</x:v>
      </x:c>
      <x:c r="D3490" s="1" t="str">
        <x:v>Marca</x:v>
      </x:c>
      <x:c r="E3490" s="35" t="n">
        <x:v>1</x:v>
      </x:c>
      <x:c r="F3490" s="36"/>
      <x:c r="G3490" s="36" t="str">
        <x:f>IF(ISNUMBER(F3490),E3490*F3490,"")</x:f>
      </x:c>
      <x:c r="H3490" s="37"/>
      <x:c r="I3490" s="37"/>
      <x:c r="J3490" s="1" t="n">
        <x:f>IF(ISNUMBER(F3490),E3490,0)</x:f>
        <x:v>0</x:v>
      </x:c>
      <x:c r="K3490" s="1"/>
      <x:c r="L3490" s="1"/>
      <x:c r="M3490" s="1"/>
    </x:row>
    <x:row r="3491" ht="18.75" customHeight="1">
      <x:c r="A3491" s="1" t="str">
        <x:v>https://blog.skyairline.com/sky-app/</x:v>
      </x:c>
      <x:c r="B3491" s="1" t="str">
        <x:v>aplicación sky</x:v>
      </x:c>
      <x:c r="C3491" s="1" t="str">
        <x:v>mex</x:v>
      </x:c>
      <x:c r="D3491" s="1" t="str">
        <x:v>Marca</x:v>
      </x:c>
      <x:c r="E3491" s="35" t="n">
        <x:v>1</x:v>
      </x:c>
      <x:c r="F3491" s="36"/>
      <x:c r="G3491" s="36" t="str">
        <x:f>IF(ISNUMBER(F3491),E3491*F3491,"")</x:f>
      </x:c>
      <x:c r="H3491" s="37"/>
      <x:c r="I3491" s="37"/>
      <x:c r="J3491" s="1" t="n">
        <x:f>IF(ISNUMBER(F3491),E3491,0)</x:f>
        <x:v>0</x:v>
      </x:c>
      <x:c r="K3491" s="1"/>
      <x:c r="L3491" s="1"/>
      <x:c r="M3491" s="1"/>
    </x:row>
    <x:row r="3492" ht="18.75" customHeight="1">
      <x:c r="A3492" s="1" t="str">
        <x:v>https://blog.skyairline.com/sky-app/</x:v>
      </x:c>
      <x:c r="B3492" s="1" t="str">
        <x:v>app sky airline</x:v>
      </x:c>
      <x:c r="C3492" s="1" t="str">
        <x:v>ury</x:v>
      </x:c>
      <x:c r="D3492" s="1" t="str">
        <x:v>Marca</x:v>
      </x:c>
      <x:c r="E3492" s="35" t="n">
        <x:v>1</x:v>
      </x:c>
      <x:c r="F3492" s="36"/>
      <x:c r="G3492" s="36" t="str">
        <x:f>IF(ISNUMBER(F3492),E3492*F3492,"")</x:f>
      </x:c>
      <x:c r="H3492" s="37"/>
      <x:c r="I3492" s="37"/>
      <x:c r="J3492" s="1" t="n">
        <x:f>IF(ISNUMBER(F3492),E3492,0)</x:f>
        <x:v>0</x:v>
      </x:c>
      <x:c r="K3492" s="1"/>
      <x:c r="L3492" s="1"/>
      <x:c r="M3492" s="1"/>
    </x:row>
    <x:row r="3493" ht="18.75" customHeight="1">
      <x:c r="A3493" s="1" t="str">
        <x:v>https://blog.skyairline.com/sky-app/</x:v>
      </x:c>
      <x:c r="B3493" s="1" t="str">
        <x:v>descargar sky</x:v>
      </x:c>
      <x:c r="C3493" s="1" t="str">
        <x:v>ury</x:v>
      </x:c>
      <x:c r="D3493" s="1" t="str">
        <x:v>Marca</x:v>
      </x:c>
      <x:c r="E3493" s="35" t="n">
        <x:v>1</x:v>
      </x:c>
      <x:c r="F3493" s="36"/>
      <x:c r="G3493" s="36" t="str">
        <x:f>IF(ISNUMBER(F3493),E3493*F3493,"")</x:f>
      </x:c>
      <x:c r="H3493" s="37"/>
      <x:c r="I3493" s="37"/>
      <x:c r="J3493" s="1" t="n">
        <x:f>IF(ISNUMBER(F3493),E3493,0)</x:f>
        <x:v>0</x:v>
      </x:c>
      <x:c r="K3493" s="1"/>
      <x:c r="L3493" s="1"/>
      <x:c r="M3493" s="1"/>
    </x:row>
    <x:row r="3494" ht="18.75" customHeight="1">
      <x:c r="A3494" s="1" t="str">
        <x:v>https://blog.skyairline.com/sky-app/</x:v>
      </x:c>
      <x:c r="B3494" s="1" t="str">
        <x:v>sky airline app</x:v>
      </x:c>
      <x:c r="C3494" s="1" t="str">
        <x:v>esp</x:v>
      </x:c>
      <x:c r="D3494" s="1" t="str">
        <x:v>Marca</x:v>
      </x:c>
      <x:c r="E3494" s="35" t="n">
        <x:v>1</x:v>
      </x:c>
      <x:c r="F3494" s="36"/>
      <x:c r="G3494" s="36" t="str">
        <x:f>IF(ISNUMBER(F3494),E3494*F3494,"")</x:f>
      </x:c>
      <x:c r="H3494" s="37"/>
      <x:c r="I3494" s="37"/>
      <x:c r="J3494" s="1" t="n">
        <x:f>IF(ISNUMBER(F3494),E3494,0)</x:f>
        <x:v>0</x:v>
      </x:c>
      <x:c r="K3494" s="1"/>
      <x:c r="L3494" s="1"/>
      <x:c r="M3494" s="1"/>
    </x:row>
    <x:row r="3495" ht="18.75" customHeight="1">
      <x:c r="A3495" s="1" t="str">
        <x:v>https://blog.skyairline.com/sky-app/</x:v>
      </x:c>
      <x:c r="B3495" s="1" t="str">
        <x:v>sky aplicacion movil</x:v>
      </x:c>
      <x:c r="C3495" s="1" t="str">
        <x:v>chl</x:v>
      </x:c>
      <x:c r="D3495" s="1" t="str">
        <x:v>Marca</x:v>
      </x:c>
      <x:c r="E3495" s="35" t="n">
        <x:v>1</x:v>
      </x:c>
      <x:c r="F3495" s="36"/>
      <x:c r="G3495" s="36" t="str">
        <x:f>IF(ISNUMBER(F3495),E3495*F3495,"")</x:f>
      </x:c>
      <x:c r="H3495" s="37"/>
      <x:c r="I3495" s="37"/>
      <x:c r="J3495" s="1" t="n">
        <x:f>IF(ISNUMBER(F3495),E3495,0)</x:f>
        <x:v>0</x:v>
      </x:c>
      <x:c r="K3495" s="1"/>
      <x:c r="L3495" s="1"/>
      <x:c r="M3495" s="1"/>
    </x:row>
    <x:row r="3496" ht="18.75" customHeight="1">
      <x:c r="A3496" s="1" t="str">
        <x:v>https://blog.skyairline.com/sky-app/</x:v>
      </x:c>
      <x:c r="B3496" s="1" t="str">
        <x:v>sky app</x:v>
      </x:c>
      <x:c r="C3496" s="1" t="str">
        <x:v>ury</x:v>
      </x:c>
      <x:c r="D3496" s="1" t="str">
        <x:v>Marca</x:v>
      </x:c>
      <x:c r="E3496" s="35" t="n">
        <x:v>1</x:v>
      </x:c>
      <x:c r="F3496" s="36"/>
      <x:c r="G3496" s="36" t="str">
        <x:f>IF(ISNUMBER(F3496),E3496*F3496,"")</x:f>
      </x:c>
      <x:c r="H3496" s="37"/>
      <x:c r="I3496" s="37"/>
      <x:c r="J3496" s="1" t="n">
        <x:f>IF(ISNUMBER(F3496),E3496,0)</x:f>
        <x:v>0</x:v>
      </x:c>
      <x:c r="K3496" s="1"/>
      <x:c r="L3496" s="1"/>
      <x:c r="M3496" s="1"/>
    </x:row>
    <x:row r="3497" ht="18.75" customHeight="1">
      <x:c r="A3497" s="1" t="str">
        <x:v>https://blog.skyairline.com/sky-app/</x:v>
      </x:c>
      <x:c r="B3497" s="1" t="str">
        <x:v>sky app descargar</x:v>
      </x:c>
      <x:c r="C3497" s="1" t="str">
        <x:v>are</x:v>
      </x:c>
      <x:c r="D3497" s="1" t="str">
        <x:v>Marca</x:v>
      </x:c>
      <x:c r="E3497" s="35" t="n">
        <x:v>1</x:v>
      </x:c>
      <x:c r="F3497" s="36"/>
      <x:c r="G3497" s="36" t="str">
        <x:f>IF(ISNUMBER(F3497),E3497*F3497,"")</x:f>
      </x:c>
      <x:c r="H3497" s="37"/>
      <x:c r="I3497" s="37"/>
      <x:c r="J3497" s="1" t="n">
        <x:f>IF(ISNUMBER(F3497),E3497,0)</x:f>
        <x:v>0</x:v>
      </x:c>
      <x:c r="K3497" s="1"/>
      <x:c r="L3497" s="1"/>
      <x:c r="M3497" s="1"/>
    </x:row>
    <x:row r="3498" ht="18.75" customHeight="1">
      <x:c r="A3498" s="1" t="str">
        <x:v>https://blog.skyairline.com/sky-aviones/</x:v>
      </x:c>
      <x:c r="B3498" s="1" t="str">
        <x:v>a320neo sky airlines</x:v>
      </x:c>
      <x:c r="C3498" s="1" t="str">
        <x:v>arg</x:v>
      </x:c>
      <x:c r="D3498" s="1" t="str">
        <x:v>Marca</x:v>
      </x:c>
      <x:c r="E3498" s="35" t="n">
        <x:v>1</x:v>
      </x:c>
      <x:c r="F3498" s="36"/>
      <x:c r="G3498" s="36" t="str">
        <x:f>IF(ISNUMBER(F3498),E3498*F3498,"")</x:f>
      </x:c>
      <x:c r="H3498" s="37"/>
      <x:c r="I3498" s="37"/>
      <x:c r="J3498" s="1" t="n">
        <x:f>IF(ISNUMBER(F3498),E3498,0)</x:f>
        <x:v>0</x:v>
      </x:c>
      <x:c r="K3498" s="1"/>
      <x:c r="L3498" s="1"/>
      <x:c r="M3498" s="1"/>
    </x:row>
    <x:row r="3499" ht="18.75" customHeight="1">
      <x:c r="A3499" s="1" t="str">
        <x:v>https://blog.skyairline.com/sky-aviones/</x:v>
      </x:c>
      <x:c r="B3499" s="1" t="str">
        <x:v>aerolínea sky high</x:v>
      </x:c>
      <x:c r="C3499" s="1" t="str">
        <x:v>cub</x:v>
      </x:c>
      <x:c r="D3499" s="1" t="str">
        <x:v>Marca</x:v>
      </x:c>
      <x:c r="E3499" s="35" t="n">
        <x:v>1</x:v>
      </x:c>
      <x:c r="F3499" s="36"/>
      <x:c r="G3499" s="36" t="str">
        <x:f>IF(ISNUMBER(F3499),E3499*F3499,"")</x:f>
      </x:c>
      <x:c r="H3499" s="37"/>
      <x:c r="I3499" s="37"/>
      <x:c r="J3499" s="1" t="n">
        <x:f>IF(ISNUMBER(F3499),E3499,0)</x:f>
        <x:v>0</x:v>
      </x:c>
      <x:c r="K3499" s="1"/>
      <x:c r="L3499" s="1"/>
      <x:c r="M3499" s="1"/>
    </x:row>
    <x:row r="3500" ht="18.75" customHeight="1">
      <x:c r="A3500" s="1" t="str">
        <x:v>https://blog.skyairline.com/sky-aviones/</x:v>
      </x:c>
      <x:c r="B3500" s="1" t="str">
        <x:v>airbus a321 sky airline</x:v>
      </x:c>
      <x:c r="C3500" s="1" t="str">
        <x:v>chl</x:v>
      </x:c>
      <x:c r="D3500" s="1" t="str">
        <x:v>Marca</x:v>
      </x:c>
      <x:c r="E3500" s="35" t="n">
        <x:v>1</x:v>
      </x:c>
      <x:c r="F3500" s="36"/>
      <x:c r="G3500" s="36" t="str">
        <x:f>IF(ISNUMBER(F3500),E3500*F3500,"")</x:f>
      </x:c>
      <x:c r="H3500" s="37" t="d">
        <x:v>2026-10-15T00:00:00.000Z</x:v>
      </x:c>
      <x:c r="I3500" s="37" t="d">
        <x:v>2026-09-13T19:43:51.000Z</x:v>
      </x:c>
      <x:c r="J3500" s="1" t="n">
        <x:f>IF(ISNUMBER(F3500),E3500,0)</x:f>
        <x:v>0</x:v>
      </x:c>
      <x:c r="K3500" s="1"/>
      <x:c r="L3500" s="1"/>
      <x:c r="M3500" s="1"/>
    </x:row>
    <x:row r="3501" ht="18.75" customHeight="1">
      <x:c r="A3501" s="1" t="str">
        <x:v>https://blog.skyairline.com/sky-aviones/</x:v>
      </x:c>
      <x:c r="B3501" s="1" t="str">
        <x:v>airbus a321neo sky</x:v>
      </x:c>
      <x:c r="C3501" s="1" t="str">
        <x:v>chl</x:v>
      </x:c>
      <x:c r="D3501" s="1" t="str">
        <x:v>Marca</x:v>
      </x:c>
      <x:c r="E3501" s="35" t="n">
        <x:v>1</x:v>
      </x:c>
      <x:c r="F3501" s="36"/>
      <x:c r="G3501" s="36" t="str">
        <x:f>IF(ISNUMBER(F3501),E3501*F3501,"")</x:f>
      </x:c>
      <x:c r="H3501" s="37" t="d">
        <x:v>2026-10-15T00:00:00.000Z</x:v>
      </x:c>
      <x:c r="I3501" s="37" t="d">
        <x:v>2026-09-15T16:52:05.000Z</x:v>
      </x:c>
      <x:c r="J3501" s="1" t="n">
        <x:f>IF(ISNUMBER(F3501),E3501,0)</x:f>
        <x:v>0</x:v>
      </x:c>
      <x:c r="K3501" s="1"/>
      <x:c r="L3501" s="1"/>
      <x:c r="M3501" s="1"/>
    </x:row>
    <x:row r="3502" ht="18.75" customHeight="1">
      <x:c r="A3502" s="1" t="str">
        <x:v>https://blog.skyairline.com/sky-aviones/</x:v>
      </x:c>
      <x:c r="B3502" s="1" t="str">
        <x:v>avion sky por dentro</x:v>
      </x:c>
      <x:c r="C3502" s="1" t="str">
        <x:v>chl</x:v>
      </x:c>
      <x:c r="D3502" s="1" t="str">
        <x:v>Marca</x:v>
      </x:c>
      <x:c r="E3502" s="35" t="n">
        <x:v>1</x:v>
      </x:c>
      <x:c r="F3502" s="36"/>
      <x:c r="G3502" s="36" t="str">
        <x:f>IF(ISNUMBER(F3502),E3502*F3502,"")</x:f>
      </x:c>
      <x:c r="H3502" s="37"/>
      <x:c r="I3502" s="37"/>
      <x:c r="J3502" s="1" t="n">
        <x:f>IF(ISNUMBER(F3502),E3502,0)</x:f>
        <x:v>0</x:v>
      </x:c>
      <x:c r="K3502" s="1"/>
      <x:c r="L3502" s="1"/>
      <x:c r="M3502" s="1"/>
    </x:row>
    <x:row r="3503" ht="18.75" customHeight="1">
      <x:c r="A3503" s="1" t="str">
        <x:v>https://blog.skyairline.com/sky-aviones/</x:v>
      </x:c>
      <x:c r="B3503" s="1" t="str">
        <x:v>aviones de sky</x:v>
      </x:c>
      <x:c r="C3503" s="1" t="str">
        <x:v>chl</x:v>
      </x:c>
      <x:c r="D3503" s="1" t="str">
        <x:v>Marca</x:v>
      </x:c>
      <x:c r="E3503" s="35" t="n">
        <x:v>1</x:v>
      </x:c>
      <x:c r="F3503" s="36"/>
      <x:c r="G3503" s="36" t="str">
        <x:f>IF(ISNUMBER(F3503),E3503*F3503,"")</x:f>
      </x:c>
      <x:c r="H3503" s="37" t="d">
        <x:v>2026-10-15T00:00:00.000Z</x:v>
      </x:c>
      <x:c r="I3503" s="37" t="d">
        <x:v>2026-09-16T11:33:58.999Z</x:v>
      </x:c>
      <x:c r="J3503" s="1" t="n">
        <x:f>IF(ISNUMBER(F3503),E3503,0)</x:f>
        <x:v>0</x:v>
      </x:c>
      <x:c r="K3503" s="1"/>
      <x:c r="L3503" s="1"/>
      <x:c r="M3503" s="1"/>
    </x:row>
    <x:row r="3504" ht="18.75" customHeight="1">
      <x:c r="A3504" s="1" t="str">
        <x:v>https://blog.skyairline.com/sky-aviones/</x:v>
      </x:c>
      <x:c r="B3504" s="1" t="str">
        <x:v>aviones de sky</x:v>
      </x:c>
      <x:c r="C3504" s="1" t="str">
        <x:v>per</x:v>
      </x:c>
      <x:c r="D3504" s="1" t="str">
        <x:v>Marca</x:v>
      </x:c>
      <x:c r="E3504" s="35" t="n">
        <x:v>1</x:v>
      </x:c>
      <x:c r="F3504" s="36"/>
      <x:c r="G3504" s="36" t="str">
        <x:f>IF(ISNUMBER(F3504),E3504*F3504,"")</x:f>
      </x:c>
      <x:c r="H3504" s="37"/>
      <x:c r="I3504" s="37"/>
      <x:c r="J3504" s="1" t="n">
        <x:f>IF(ISNUMBER(F3504),E3504,0)</x:f>
        <x:v>0</x:v>
      </x:c>
      <x:c r="K3504" s="1"/>
      <x:c r="L3504" s="1"/>
      <x:c r="M3504" s="1"/>
    </x:row>
    <x:row r="3505" ht="18.75" customHeight="1">
      <x:c r="A3505" s="1" t="str">
        <x:v>https://blog.skyairline.com/sky-aviones/</x:v>
      </x:c>
      <x:c r="B3505" s="1" t="str">
        <x:v>aviones de sky airline</x:v>
      </x:c>
      <x:c r="C3505" s="1" t="str">
        <x:v>arg</x:v>
      </x:c>
      <x:c r="D3505" s="1" t="str">
        <x:v>Marca</x:v>
      </x:c>
      <x:c r="E3505" s="35" t="n">
        <x:v>1</x:v>
      </x:c>
      <x:c r="F3505" s="36"/>
      <x:c r="G3505" s="36" t="str">
        <x:f>IF(ISNUMBER(F3505),E3505*F3505,"")</x:f>
      </x:c>
      <x:c r="H3505" s="37"/>
      <x:c r="I3505" s="37"/>
      <x:c r="J3505" s="1" t="n">
        <x:f>IF(ISNUMBER(F3505),E3505,0)</x:f>
        <x:v>0</x:v>
      </x:c>
      <x:c r="K3505" s="1"/>
      <x:c r="L3505" s="1"/>
      <x:c r="M3505" s="1"/>
    </x:row>
    <x:row r="3506" ht="18.75" customHeight="1">
      <x:c r="A3506" s="1" t="str">
        <x:v>https://blog.skyairline.com/sky-aviones/</x:v>
      </x:c>
      <x:c r="B3506" s="1" t="str">
        <x:v>aviones sky</x:v>
      </x:c>
      <x:c r="C3506" s="1" t="str">
        <x:v>chl</x:v>
      </x:c>
      <x:c r="D3506" s="1" t="str">
        <x:v>Marca</x:v>
      </x:c>
      <x:c r="E3506" s="35" t="n">
        <x:v>1</x:v>
      </x:c>
      <x:c r="F3506" s="36" t="n">
        <x:v>0.63</x:v>
      </x:c>
      <x:c r="G3506" s="36" t="n">
        <x:f>IF(ISNUMBER(F3506),E3506*F3506,"")</x:f>
        <x:v>0.63</x:v>
      </x:c>
      <x:c r="H3506" s="37" t="d">
        <x:v>2026-10-15T00:00:00.000Z</x:v>
      </x:c>
      <x:c r="I3506" s="37" t="d">
        <x:v>2026-09-16T09:56:02.000Z</x:v>
      </x:c>
      <x:c r="J3506" s="1" t="n">
        <x:f>IF(ISNUMBER(F3506),E3506,0)</x:f>
        <x:v>1</x:v>
      </x:c>
      <x:c r="K3506" s="1"/>
      <x:c r="L3506" s="1"/>
      <x:c r="M3506" s="1"/>
    </x:row>
    <x:row r="3507" ht="18.75" customHeight="1">
      <x:c r="A3507" s="1" t="str">
        <x:v>https://blog.skyairline.com/sky-aviones/</x:v>
      </x:c>
      <x:c r="B3507" s="1" t="str">
        <x:v>aviones sky</x:v>
      </x:c>
      <x:c r="C3507" s="1" t="str">
        <x:v>ury</x:v>
      </x:c>
      <x:c r="D3507" s="1" t="str">
        <x:v>Marca</x:v>
      </x:c>
      <x:c r="E3507" s="35" t="n">
        <x:v>1</x:v>
      </x:c>
      <x:c r="F3507" s="36"/>
      <x:c r="G3507" s="36" t="str">
        <x:f>IF(ISNUMBER(F3507),E3507*F3507,"")</x:f>
      </x:c>
      <x:c r="H3507" s="37"/>
      <x:c r="I3507" s="37"/>
      <x:c r="J3507" s="1" t="n">
        <x:f>IF(ISNUMBER(F3507),E3507,0)</x:f>
        <x:v>0</x:v>
      </x:c>
      <x:c r="K3507" s="1"/>
      <x:c r="L3507" s="1"/>
      <x:c r="M3507" s="1"/>
    </x:row>
    <x:row r="3508" ht="18.75" customHeight="1">
      <x:c r="A3508" s="1" t="str">
        <x:v>https://blog.skyairline.com/sky-aviones/</x:v>
      </x:c>
      <x:c r="B3508" s="1" t="str">
        <x:v>aviones sky airlines</x:v>
      </x:c>
      <x:c r="C3508" s="1" t="str">
        <x:v>mex</x:v>
      </x:c>
      <x:c r="D3508" s="1" t="str">
        <x:v>Marca</x:v>
      </x:c>
      <x:c r="E3508" s="35" t="n">
        <x:v>1</x:v>
      </x:c>
      <x:c r="F3508" s="36"/>
      <x:c r="G3508" s="36" t="str">
        <x:f>IF(ISNUMBER(F3508),E3508*F3508,"")</x:f>
      </x:c>
      <x:c r="H3508" s="37"/>
      <x:c r="I3508" s="37"/>
      <x:c r="J3508" s="1" t="n">
        <x:f>IF(ISNUMBER(F3508),E3508,0)</x:f>
        <x:v>0</x:v>
      </x:c>
      <x:c r="K3508" s="1"/>
      <x:c r="L3508" s="1"/>
      <x:c r="M3508" s="1"/>
    </x:row>
    <x:row r="3509" ht="18.75" customHeight="1">
      <x:c r="A3509" s="1" t="str">
        <x:v>https://blog.skyairline.com/sky-aviones/</x:v>
      </x:c>
      <x:c r="B3509" s="1" t="str">
        <x:v>aviones sky airlines</x:v>
      </x:c>
      <x:c r="C3509" s="1" t="str">
        <x:v>per</x:v>
      </x:c>
      <x:c r="D3509" s="1" t="str">
        <x:v>Marca</x:v>
      </x:c>
      <x:c r="E3509" s="35" t="n">
        <x:v>1</x:v>
      </x:c>
      <x:c r="F3509" s="36" t="n">
        <x:v>0.07</x:v>
      </x:c>
      <x:c r="G3509" s="36" t="n">
        <x:f>IF(ISNUMBER(F3509),E3509*F3509,"")</x:f>
        <x:v>0.07</x:v>
      </x:c>
      <x:c r="H3509" s="37" t="d">
        <x:v>2026-10-15T00:00:00.000Z</x:v>
      </x:c>
      <x:c r="I3509" s="37" t="d">
        <x:v>2026-09-15T12:24:15.000Z</x:v>
      </x:c>
      <x:c r="J3509" s="1" t="n">
        <x:f>IF(ISNUMBER(F3509),E3509,0)</x:f>
        <x:v>1</x:v>
      </x:c>
      <x:c r="K3509" s="1"/>
      <x:c r="L3509" s="1"/>
      <x:c r="M3509" s="1"/>
    </x:row>
    <x:row r="3510" ht="18.75" customHeight="1">
      <x:c r="A3510" s="1" t="str">
        <x:v>https://blog.skyairline.com/sky-aviones/</x:v>
      </x:c>
      <x:c r="B3510" s="1" t="str">
        <x:v>aviones sky airlines por dentro</x:v>
      </x:c>
      <x:c r="C3510" s="1" t="str">
        <x:v>chl</x:v>
      </x:c>
      <x:c r="D3510" s="1" t="str">
        <x:v>Marca</x:v>
      </x:c>
      <x:c r="E3510" s="35" t="n">
        <x:v>1</x:v>
      </x:c>
      <x:c r="F3510" s="36" t="n">
        <x:v>2.31</x:v>
      </x:c>
      <x:c r="G3510" s="36" t="n">
        <x:f>IF(ISNUMBER(F3510),E3510*F3510,"")</x:f>
        <x:v>2.31</x:v>
      </x:c>
      <x:c r="H3510" s="37" t="d">
        <x:v>2026-10-15T00:00:00.000Z</x:v>
      </x:c>
      <x:c r="I3510" s="37" t="d">
        <x:v>2026-09-14T09:59:12.000Z</x:v>
      </x:c>
      <x:c r="J3510" s="1" t="n">
        <x:f>IF(ISNUMBER(F3510),E3510,0)</x:f>
        <x:v>1</x:v>
      </x:c>
      <x:c r="K3510" s="1"/>
      <x:c r="L3510" s="1"/>
      <x:c r="M3510" s="1"/>
    </x:row>
    <x:row r="3511" ht="18.75" customHeight="1">
      <x:c r="A3511" s="1" t="str">
        <x:v>https://blog.skyairline.com/sky-aviones/</x:v>
      </x:c>
      <x:c r="B3511" s="1" t="str">
        <x:v>avión sky</x:v>
      </x:c>
      <x:c r="C3511" s="1" t="str">
        <x:v>chl</x:v>
      </x:c>
      <x:c r="D3511" s="1" t="str">
        <x:v>Marca</x:v>
      </x:c>
      <x:c r="E3511" s="35" t="n">
        <x:v>1</x:v>
      </x:c>
      <x:c r="F3511" s="36" t="n">
        <x:v>0.24</x:v>
      </x:c>
      <x:c r="G3511" s="36" t="n">
        <x:f>IF(ISNUMBER(F3511),E3511*F3511,"")</x:f>
        <x:v>0.24</x:v>
      </x:c>
      <x:c r="H3511" s="37" t="d">
        <x:v>2026-10-15T00:00:00.000Z</x:v>
      </x:c>
      <x:c r="I3511" s="37" t="d">
        <x:v>2026-09-17T02:48:38.000Z</x:v>
      </x:c>
      <x:c r="J3511" s="1" t="n">
        <x:f>IF(ISNUMBER(F3511),E3511,0)</x:f>
        <x:v>1</x:v>
      </x:c>
      <x:c r="K3511" s="1"/>
      <x:c r="L3511" s="1"/>
      <x:c r="M3511" s="1"/>
    </x:row>
    <x:row r="3512" ht="18.75" customHeight="1">
      <x:c r="A3512" s="1" t="str">
        <x:v>https://blog.skyairline.com/sky-aviones/</x:v>
      </x:c>
      <x:c r="B3512" s="1" t="str">
        <x:v>cuantos aviones tiene sky</x:v>
      </x:c>
      <x:c r="C3512" s="1" t="str">
        <x:v>chl</x:v>
      </x:c>
      <x:c r="D3512" s="1" t="str">
        <x:v>Marca</x:v>
      </x:c>
      <x:c r="E3512" s="35" t="n">
        <x:v>1</x:v>
      </x:c>
      <x:c r="F3512" s="36"/>
      <x:c r="G3512" s="36" t="str">
        <x:f>IF(ISNUMBER(F3512),E3512*F3512,"")</x:f>
      </x:c>
      <x:c r="H3512" s="37" t="d">
        <x:v>2026-10-15T00:00:00.000Z</x:v>
      </x:c>
      <x:c r="I3512" s="37" t="d">
        <x:v>2026-09-14T15:32:57.999Z</x:v>
      </x:c>
      <x:c r="J3512" s="1" t="n">
        <x:f>IF(ISNUMBER(F3512),E3512,0)</x:f>
        <x:v>0</x:v>
      </x:c>
      <x:c r="K3512" s="1"/>
      <x:c r="L3512" s="1"/>
      <x:c r="M3512" s="1"/>
    </x:row>
    <x:row r="3513" ht="18.75" customHeight="1">
      <x:c r="A3513" s="1" t="str">
        <x:v>https://blog.skyairline.com/sky-aviones/</x:v>
      </x:c>
      <x:c r="B3513" s="1" t="str">
        <x:v>flota de sky airlines</x:v>
      </x:c>
      <x:c r="C3513" s="1" t="str">
        <x:v>chl</x:v>
      </x:c>
      <x:c r="D3513" s="1" t="str">
        <x:v>Marca</x:v>
      </x:c>
      <x:c r="E3513" s="35" t="n">
        <x:v>1</x:v>
      </x:c>
      <x:c r="F3513" s="36"/>
      <x:c r="G3513" s="36" t="str">
        <x:f>IF(ISNUMBER(F3513),E3513*F3513,"")</x:f>
      </x:c>
      <x:c r="H3513" s="37"/>
      <x:c r="I3513" s="37"/>
      <x:c r="J3513" s="1" t="n">
        <x:f>IF(ISNUMBER(F3513),E3513,0)</x:f>
        <x:v>0</x:v>
      </x:c>
      <x:c r="K3513" s="1"/>
      <x:c r="L3513" s="1"/>
      <x:c r="M3513" s="1"/>
    </x:row>
    <x:row r="3514" ht="18.75" customHeight="1">
      <x:c r="A3514" s="1" t="str">
        <x:v>https://blog.skyairline.com/sky-aviones/</x:v>
      </x:c>
      <x:c r="B3514" s="1" t="str">
        <x:v>flota de sky airlines</x:v>
      </x:c>
      <x:c r="C3514" s="1" t="str">
        <x:v>dom</x:v>
      </x:c>
      <x:c r="D3514" s="1" t="str">
        <x:v>Marca</x:v>
      </x:c>
      <x:c r="E3514" s="35" t="n">
        <x:v>1</x:v>
      </x:c>
      <x:c r="F3514" s="36"/>
      <x:c r="G3514" s="36" t="str">
        <x:f>IF(ISNUMBER(F3514),E3514*F3514,"")</x:f>
      </x:c>
      <x:c r="H3514" s="37"/>
      <x:c r="I3514" s="37"/>
      <x:c r="J3514" s="1" t="n">
        <x:f>IF(ISNUMBER(F3514),E3514,0)</x:f>
        <x:v>0</x:v>
      </x:c>
      <x:c r="K3514" s="1"/>
      <x:c r="L3514" s="1"/>
      <x:c r="M3514" s="1"/>
    </x:row>
    <x:row r="3515" ht="18.75" customHeight="1">
      <x:c r="A3515" s="1" t="str">
        <x:v>https://blog.skyairline.com/sky-aviones/</x:v>
      </x:c>
      <x:c r="B3515" s="1" t="str">
        <x:v>flota de sky airlines</x:v>
      </x:c>
      <x:c r="C3515" s="1" t="str">
        <x:v>esp</x:v>
      </x:c>
      <x:c r="D3515" s="1" t="str">
        <x:v>Marca</x:v>
      </x:c>
      <x:c r="E3515" s="35" t="n">
        <x:v>1</x:v>
      </x:c>
      <x:c r="F3515" s="36"/>
      <x:c r="G3515" s="36" t="str">
        <x:f>IF(ISNUMBER(F3515),E3515*F3515,"")</x:f>
      </x:c>
      <x:c r="H3515" s="37"/>
      <x:c r="I3515" s="37"/>
      <x:c r="J3515" s="1" t="n">
        <x:f>IF(ISNUMBER(F3515),E3515,0)</x:f>
        <x:v>0</x:v>
      </x:c>
      <x:c r="K3515" s="1"/>
      <x:c r="L3515" s="1"/>
      <x:c r="M3515" s="1"/>
    </x:row>
    <x:row r="3516" ht="18.75" customHeight="1">
      <x:c r="A3516" s="1" t="str">
        <x:v>https://blog.skyairline.com/sky-aviones/</x:v>
      </x:c>
      <x:c r="B3516" s="1" t="str">
        <x:v>flota de sky airlines</x:v>
      </x:c>
      <x:c r="C3516" s="1" t="str">
        <x:v>mex</x:v>
      </x:c>
      <x:c r="D3516" s="1" t="str">
        <x:v>Marca</x:v>
      </x:c>
      <x:c r="E3516" s="35" t="n">
        <x:v>1</x:v>
      </x:c>
      <x:c r="F3516" s="36"/>
      <x:c r="G3516" s="36" t="str">
        <x:f>IF(ISNUMBER(F3516),E3516*F3516,"")</x:f>
      </x:c>
      <x:c r="H3516" s="37"/>
      <x:c r="I3516" s="37"/>
      <x:c r="J3516" s="1" t="n">
        <x:f>IF(ISNUMBER(F3516),E3516,0)</x:f>
        <x:v>0</x:v>
      </x:c>
      <x:c r="K3516" s="1"/>
      <x:c r="L3516" s="1"/>
      <x:c r="M3516" s="1"/>
    </x:row>
    <x:row r="3517" ht="18.75" customHeight="1">
      <x:c r="A3517" s="1" t="str">
        <x:v>https://blog.skyairline.com/sky-aviones/</x:v>
      </x:c>
      <x:c r="B3517" s="1" t="str">
        <x:v>flota sky</x:v>
      </x:c>
      <x:c r="C3517" s="1" t="str">
        <x:v>nld</x:v>
      </x:c>
      <x:c r="D3517" s="1" t="str">
        <x:v>Marca</x:v>
      </x:c>
      <x:c r="E3517" s="35" t="n">
        <x:v>1</x:v>
      </x:c>
      <x:c r="F3517" s="36"/>
      <x:c r="G3517" s="36" t="str">
        <x:f>IF(ISNUMBER(F3517),E3517*F3517,"")</x:f>
      </x:c>
      <x:c r="H3517" s="37"/>
      <x:c r="I3517" s="37"/>
      <x:c r="J3517" s="1" t="n">
        <x:f>IF(ISNUMBER(F3517),E3517,0)</x:f>
        <x:v>0</x:v>
      </x:c>
      <x:c r="K3517" s="1"/>
      <x:c r="L3517" s="1"/>
      <x:c r="M3517" s="1"/>
    </x:row>
    <x:row r="3518" ht="18.75" customHeight="1">
      <x:c r="A3518" s="1" t="str">
        <x:v>https://blog.skyairline.com/sky-aviones/</x:v>
      </x:c>
      <x:c r="B3518" s="1" t="str">
        <x:v>flota sky airlines</x:v>
      </x:c>
      <x:c r="C3518" s="1" t="str">
        <x:v>ury</x:v>
      </x:c>
      <x:c r="D3518" s="1" t="str">
        <x:v>Marca</x:v>
      </x:c>
      <x:c r="E3518" s="35" t="n">
        <x:v>1</x:v>
      </x:c>
      <x:c r="F3518" s="36"/>
      <x:c r="G3518" s="36" t="str">
        <x:f>IF(ISNUMBER(F3518),E3518*F3518,"")</x:f>
      </x:c>
      <x:c r="H3518" s="37"/>
      <x:c r="I3518" s="37"/>
      <x:c r="J3518" s="1" t="n">
        <x:f>IF(ISNUMBER(F3518),E3518,0)</x:f>
        <x:v>0</x:v>
      </x:c>
      <x:c r="K3518" s="1"/>
      <x:c r="L3518" s="1"/>
      <x:c r="M3518" s="1"/>
    </x:row>
    <x:row r="3519" ht="18.75" customHeight="1">
      <x:c r="A3519" s="1" t="str">
        <x:v>https://blog.skyairline.com/sky-aviones/</x:v>
      </x:c>
      <x:c r="B3519" s="1" t="str">
        <x:v>que aviones usa sky airlines</x:v>
      </x:c>
      <x:c r="C3519" s="1" t="str">
        <x:v>arg</x:v>
      </x:c>
      <x:c r="D3519" s="1" t="str">
        <x:v>Marca</x:v>
      </x:c>
      <x:c r="E3519" s="35" t="n">
        <x:v>1</x:v>
      </x:c>
      <x:c r="F3519" s="36"/>
      <x:c r="G3519" s="36" t="str">
        <x:f>IF(ISNUMBER(F3519),E3519*F3519,"")</x:f>
      </x:c>
      <x:c r="H3519" s="37"/>
      <x:c r="I3519" s="37"/>
      <x:c r="J3519" s="1" t="n">
        <x:f>IF(ISNUMBER(F3519),E3519,0)</x:f>
        <x:v>0</x:v>
      </x:c>
      <x:c r="K3519" s="1"/>
      <x:c r="L3519" s="1"/>
      <x:c r="M3519" s="1"/>
    </x:row>
    <x:row r="3520" ht="18.75" customHeight="1">
      <x:c r="A3520" s="1" t="str">
        <x:v>https://blog.skyairline.com/sky-aviones/</x:v>
      </x:c>
      <x:c r="B3520" s="1" t="str">
        <x:v>que aviones usa sky airlines</x:v>
      </x:c>
      <x:c r="C3520" s="1" t="str">
        <x:v>ury</x:v>
      </x:c>
      <x:c r="D3520" s="1" t="str">
        <x:v>Marca</x:v>
      </x:c>
      <x:c r="E3520" s="35" t="n">
        <x:v>1</x:v>
      </x:c>
      <x:c r="F3520" s="36"/>
      <x:c r="G3520" s="36" t="str">
        <x:f>IF(ISNUMBER(F3520),E3520*F3520,"")</x:f>
      </x:c>
      <x:c r="H3520" s="37"/>
      <x:c r="I3520" s="37"/>
      <x:c r="J3520" s="1" t="n">
        <x:f>IF(ISNUMBER(F3520),E3520,0)</x:f>
        <x:v>0</x:v>
      </x:c>
      <x:c r="K3520" s="1"/>
      <x:c r="L3520" s="1"/>
      <x:c r="M3520" s="1"/>
    </x:row>
    <x:row r="3521" ht="18.75" customHeight="1">
      <x:c r="A3521" s="1" t="str">
        <x:v>https://blog.skyairline.com/sky-aviones/</x:v>
      </x:c>
      <x:c r="B3521" s="1" t="str">
        <x:v>sky a320neo</x:v>
      </x:c>
      <x:c r="C3521" s="1" t="str">
        <x:v>chl</x:v>
      </x:c>
      <x:c r="D3521" s="1" t="str">
        <x:v>Marca</x:v>
      </x:c>
      <x:c r="E3521" s="35" t="n">
        <x:v>1</x:v>
      </x:c>
      <x:c r="F3521" s="36"/>
      <x:c r="G3521" s="36" t="str">
        <x:f>IF(ISNUMBER(F3521),E3521*F3521,"")</x:f>
      </x:c>
      <x:c r="H3521" s="37"/>
      <x:c r="I3521" s="37"/>
      <x:c r="J3521" s="1" t="n">
        <x:f>IF(ISNUMBER(F3521),E3521,0)</x:f>
        <x:v>0</x:v>
      </x:c>
      <x:c r="K3521" s="1"/>
      <x:c r="L3521" s="1"/>
      <x:c r="M3521" s="1"/>
    </x:row>
    <x:row r="3522" ht="18.75" customHeight="1">
      <x:c r="A3522" s="1" t="str">
        <x:v>https://blog.skyairline.com/sky-aviones/</x:v>
      </x:c>
      <x:c r="B3522" s="1" t="str">
        <x:v>sky airline airbus a321neo</x:v>
      </x:c>
      <x:c r="C3522" s="1" t="str">
        <x:v>chl</x:v>
      </x:c>
      <x:c r="D3522" s="1" t="str">
        <x:v>Marca</x:v>
      </x:c>
      <x:c r="E3522" s="35" t="n">
        <x:v>1</x:v>
      </x:c>
      <x:c r="F3522" s="36"/>
      <x:c r="G3522" s="36" t="str">
        <x:f>IF(ISNUMBER(F3522),E3522*F3522,"")</x:f>
      </x:c>
      <x:c r="H3522" s="37"/>
      <x:c r="I3522" s="37"/>
      <x:c r="J3522" s="1" t="n">
        <x:f>IF(ISNUMBER(F3522),E3522,0)</x:f>
        <x:v>0</x:v>
      </x:c>
      <x:c r="K3522" s="1"/>
      <x:c r="L3522" s="1"/>
      <x:c r="M3522" s="1"/>
    </x:row>
    <x:row r="3523" ht="18.75" customHeight="1">
      <x:c r="A3523" s="1" t="str">
        <x:v>https://blog.skyairline.com/sky-aviones/</x:v>
      </x:c>
      <x:c r="B3523" s="1" t="str">
        <x:v>sky airline aviones</x:v>
      </x:c>
      <x:c r="C3523" s="1" t="str">
        <x:v>arg</x:v>
      </x:c>
      <x:c r="D3523" s="1" t="str">
        <x:v>Marca</x:v>
      </x:c>
      <x:c r="E3523" s="35" t="n">
        <x:v>1</x:v>
      </x:c>
      <x:c r="F3523" s="36"/>
      <x:c r="G3523" s="36" t="str">
        <x:f>IF(ISNUMBER(F3523),E3523*F3523,"")</x:f>
      </x:c>
      <x:c r="H3523" s="37"/>
      <x:c r="I3523" s="37"/>
      <x:c r="J3523" s="1" t="n">
        <x:f>IF(ISNUMBER(F3523),E3523,0)</x:f>
        <x:v>0</x:v>
      </x:c>
      <x:c r="K3523" s="1"/>
      <x:c r="L3523" s="1"/>
      <x:c r="M3523" s="1"/>
    </x:row>
    <x:row r="3524" ht="18.75" customHeight="1">
      <x:c r="A3524" s="1" t="str">
        <x:v>https://blog.skyairline.com/sky-aviones/</x:v>
      </x:c>
      <x:c r="B3524" s="1" t="str">
        <x:v>sky airline aviones</x:v>
      </x:c>
      <x:c r="C3524" s="1" t="str">
        <x:v>per</x:v>
      </x:c>
      <x:c r="D3524" s="1" t="str">
        <x:v>Marca</x:v>
      </x:c>
      <x:c r="E3524" s="35" t="n">
        <x:v>1</x:v>
      </x:c>
      <x:c r="F3524" s="36"/>
      <x:c r="G3524" s="36" t="str">
        <x:f>IF(ISNUMBER(F3524),E3524*F3524,"")</x:f>
      </x:c>
      <x:c r="H3524" s="37"/>
      <x:c r="I3524" s="37"/>
      <x:c r="J3524" s="1" t="n">
        <x:f>IF(ISNUMBER(F3524),E3524,0)</x:f>
        <x:v>0</x:v>
      </x:c>
      <x:c r="K3524" s="1"/>
      <x:c r="L3524" s="1"/>
      <x:c r="M3524" s="1"/>
    </x:row>
    <x:row r="3525" ht="18.75" customHeight="1">
      <x:c r="A3525" s="1" t="str">
        <x:v>https://blog.skyairline.com/sky-aviones/</x:v>
      </x:c>
      <x:c r="B3525" s="1" t="str">
        <x:v>sky airline flota</x:v>
      </x:c>
      <x:c r="C3525" s="1" t="str">
        <x:v>per</x:v>
      </x:c>
      <x:c r="D3525" s="1" t="str">
        <x:v>Marca</x:v>
      </x:c>
      <x:c r="E3525" s="35" t="n">
        <x:v>1</x:v>
      </x:c>
      <x:c r="F3525" s="36"/>
      <x:c r="G3525" s="36" t="str">
        <x:f>IF(ISNUMBER(F3525),E3525*F3525,"")</x:f>
      </x:c>
      <x:c r="H3525" s="37" t="d">
        <x:v>2026-10-15T00:00:00.000Z</x:v>
      </x:c>
      <x:c r="I3525" s="37" t="d">
        <x:v>2026-09-16T22:47:04.000Z</x:v>
      </x:c>
      <x:c r="J3525" s="1" t="n">
        <x:f>IF(ISNUMBER(F3525),E3525,0)</x:f>
        <x:v>0</x:v>
      </x:c>
      <x:c r="K3525" s="1"/>
      <x:c r="L3525" s="1"/>
      <x:c r="M3525" s="1"/>
    </x:row>
    <x:row r="3526" ht="18.75" customHeight="1">
      <x:c r="A3526" s="1" t="str">
        <x:v>https://blog.skyairline.com/sky-aviones/</x:v>
      </x:c>
      <x:c r="B3526" s="1" t="str">
        <x:v>sky airlines aviones</x:v>
      </x:c>
      <x:c r="C3526" s="1" t="str">
        <x:v>chl</x:v>
      </x:c>
      <x:c r="D3526" s="1" t="str">
        <x:v>Marca</x:v>
      </x:c>
      <x:c r="E3526" s="35" t="n">
        <x:v>1</x:v>
      </x:c>
      <x:c r="F3526" s="36"/>
      <x:c r="G3526" s="36" t="str">
        <x:f>IF(ISNUMBER(F3526),E3526*F3526,"")</x:f>
      </x:c>
      <x:c r="H3526" s="37" t="d">
        <x:v>2026-10-15T00:00:00.000Z</x:v>
      </x:c>
      <x:c r="I3526" s="37" t="d">
        <x:v>2026-09-13T02:18:41.000Z</x:v>
      </x:c>
      <x:c r="J3526" s="1" t="n">
        <x:f>IF(ISNUMBER(F3526),E3526,0)</x:f>
        <x:v>0</x:v>
      </x:c>
      <x:c r="K3526" s="1"/>
      <x:c r="L3526" s="1"/>
      <x:c r="M3526" s="1"/>
    </x:row>
    <x:row r="3527" ht="18.75" customHeight="1">
      <x:c r="A3527" s="1" t="str">
        <x:v>https://blog.skyairline.com/sky-aviones/</x:v>
      </x:c>
      <x:c r="B3527" s="1" t="str">
        <x:v>sky aviones</x:v>
      </x:c>
      <x:c r="C3527" s="1" t="str">
        <x:v>chl</x:v>
      </x:c>
      <x:c r="D3527" s="1" t="str">
        <x:v>Marca</x:v>
      </x:c>
      <x:c r="E3527" s="35" t="n">
        <x:v>1</x:v>
      </x:c>
      <x:c r="F3527" s="36" t="n">
        <x:v>0.24</x:v>
      </x:c>
      <x:c r="G3527" s="36" t="n">
        <x:f>IF(ISNUMBER(F3527),E3527*F3527,"")</x:f>
        <x:v>0.24</x:v>
      </x:c>
      <x:c r="H3527" s="37" t="d">
        <x:v>2026-10-15T00:00:00.000Z</x:v>
      </x:c>
      <x:c r="I3527" s="37" t="d">
        <x:v>2026-09-15T16:52:05.000Z</x:v>
      </x:c>
      <x:c r="J3527" s="1" t="n">
        <x:f>IF(ISNUMBER(F3527),E3527,0)</x:f>
        <x:v>1</x:v>
      </x:c>
      <x:c r="K3527" s="1"/>
      <x:c r="L3527" s="1"/>
      <x:c r="M3527" s="1"/>
    </x:row>
    <x:row r="3528" ht="18.75" customHeight="1">
      <x:c r="A3528" s="1" t="str">
        <x:v>https://blog.skyairline.com/sky-aviones/</x:v>
      </x:c>
      <x:c r="B3528" s="1" t="str">
        <x:v>sky aviones</x:v>
      </x:c>
      <x:c r="C3528" s="1" t="str">
        <x:v>esp</x:v>
      </x:c>
      <x:c r="D3528" s="1" t="str">
        <x:v>Marca</x:v>
      </x:c>
      <x:c r="E3528" s="35" t="n">
        <x:v>1</x:v>
      </x:c>
      <x:c r="F3528" s="36"/>
      <x:c r="G3528" s="36" t="str">
        <x:f>IF(ISNUMBER(F3528),E3528*F3528,"")</x:f>
      </x:c>
      <x:c r="H3528" s="37"/>
      <x:c r="I3528" s="37"/>
      <x:c r="J3528" s="1" t="n">
        <x:f>IF(ISNUMBER(F3528),E3528,0)</x:f>
        <x:v>0</x:v>
      </x:c>
      <x:c r="K3528" s="1"/>
      <x:c r="L3528" s="1"/>
      <x:c r="M3528" s="1"/>
    </x:row>
    <x:row r="3529" ht="18.75" customHeight="1">
      <x:c r="A3529" s="1" t="str">
        <x:v>https://blog.skyairline.com/sky-aviones/</x:v>
      </x:c>
      <x:c r="B3529" s="1" t="str">
        <x:v>sky aviones</x:v>
      </x:c>
      <x:c r="C3529" s="1" t="str">
        <x:v>ita</x:v>
      </x:c>
      <x:c r="D3529" s="1" t="str">
        <x:v>Marca</x:v>
      </x:c>
      <x:c r="E3529" s="35" t="n">
        <x:v>1</x:v>
      </x:c>
      <x:c r="F3529" s="36"/>
      <x:c r="G3529" s="36" t="str">
        <x:f>IF(ISNUMBER(F3529),E3529*F3529,"")</x:f>
      </x:c>
      <x:c r="H3529" s="37"/>
      <x:c r="I3529" s="37"/>
      <x:c r="J3529" s="1" t="n">
        <x:f>IF(ISNUMBER(F3529),E3529,0)</x:f>
        <x:v>0</x:v>
      </x:c>
      <x:c r="K3529" s="1"/>
      <x:c r="L3529" s="1"/>
      <x:c r="M3529" s="1"/>
    </x:row>
    <x:row r="3530" ht="18.75" customHeight="1">
      <x:c r="A3530" s="1" t="str">
        <x:v>https://blog.skyairline.com/sky-aviones/</x:v>
      </x:c>
      <x:c r="B3530" s="1" t="str">
        <x:v>viajo en sky</x:v>
      </x:c>
      <x:c r="C3530" s="1" t="str">
        <x:v>arg</x:v>
      </x:c>
      <x:c r="D3530" s="1" t="str">
        <x:v>Marca</x:v>
      </x:c>
      <x:c r="E3530" s="35" t="n">
        <x:v>1</x:v>
      </x:c>
      <x:c r="F3530" s="36"/>
      <x:c r="G3530" s="36" t="str">
        <x:f>IF(ISNUMBER(F3530),E3530*F3530,"")</x:f>
      </x:c>
      <x:c r="H3530" s="37"/>
      <x:c r="I3530" s="37"/>
      <x:c r="J3530" s="1" t="n">
        <x:f>IF(ISNUMBER(F3530),E3530,0)</x:f>
        <x:v>0</x:v>
      </x:c>
      <x:c r="K3530" s="1"/>
      <x:c r="L3530" s="1"/>
      <x:c r="M3530" s="1"/>
    </x:row>
    <x:row r="3531" ht="18.75" customHeight="1">
      <x:c r="A3531" s="1" t="str">
        <x:v>https://blog.skyairline.com/sky-aviones/</x:v>
      </x:c>
      <x:c r="B3531" s="1" t="str">
        <x:v>what type of plane</x:v>
      </x:c>
      <x:c r="C3531" s="1" t="str">
        <x:v>chl</x:v>
      </x:c>
      <x:c r="D3531" s="1" t="str">
        <x:v>Sin marca</x:v>
      </x:c>
      <x:c r="E3531" s="35" t="n">
        <x:v>1</x:v>
      </x:c>
      <x:c r="F3531" s="36"/>
      <x:c r="G3531" s="36" t="str">
        <x:f>IF(ISNUMBER(F3531),E3531*F3531,"")</x:f>
      </x:c>
      <x:c r="H3531" s="37"/>
      <x:c r="I3531" s="37"/>
      <x:c r="J3531" s="1" t="n">
        <x:f>IF(ISNUMBER(F3531),E3531,0)</x:f>
        <x:v>0</x:v>
      </x:c>
      <x:c r="K3531" s="1"/>
      <x:c r="L3531" s="1"/>
      <x:c r="M3531" s="1"/>
    </x:row>
    <x:row r="3532" ht="18.75" customHeight="1">
      <x:c r="A3532" s="1" t="str">
        <x:v>https://blog.skyairline.com/sky-es-reconocida-por-emin-como-mejor-proveedor-a-nivel-nacional-2025-en-logistica-personas/</x:v>
      </x:c>
      <x:c r="B3532" s="1" t="str">
        <x:v>emin vuelos</x:v>
      </x:c>
      <x:c r="C3532" s="1" t="str">
        <x:v>chl</x:v>
      </x:c>
      <x:c r="D3532" s="1" t="str">
        <x:v>Sin marca</x:v>
      </x:c>
      <x:c r="E3532" s="35" t="n">
        <x:v>1</x:v>
      </x:c>
      <x:c r="F3532" s="36" t="n">
        <x:v>2.16</x:v>
      </x:c>
      <x:c r="G3532" s="36" t="n">
        <x:f>IF(ISNUMBER(F3532),E3532*F3532,"")</x:f>
        <x:v>2.16</x:v>
      </x:c>
      <x:c r="H3532" s="37" t="d">
        <x:v>2026-10-15T00:00:00.000Z</x:v>
      </x:c>
      <x:c r="I3532" s="37" t="d">
        <x:v>2026-09-17T01:54:18.999Z</x:v>
      </x:c>
      <x:c r="J3532" s="1" t="n">
        <x:f>IF(ISNUMBER(F3532),E3532,0)</x:f>
        <x:v>1</x:v>
      </x:c>
      <x:c r="K3532" s="1"/>
      <x:c r="L3532" s="1"/>
      <x:c r="M3532" s="1"/>
    </x:row>
    <x:row r="3533" ht="18.75" customHeight="1">
      <x:c r="A3533" s="1" t="str">
        <x:v>https://blog.skyairline.com/sky-es-reconocida-por-segundo-ano-consecutivo-por-contar-con-la-flota-mas-nueva-de-sudamerica/</x:v>
      </x:c>
      <x:c r="B3533" s="1" t="str">
        <x:v>sky airline</x:v>
      </x:c>
      <x:c r="C3533" s="1" t="str">
        <x:v>arg</x:v>
      </x:c>
      <x:c r="D3533" s="1" t="str">
        <x:v>Marca</x:v>
      </x:c>
      <x:c r="E3533" s="35" t="n">
        <x:v>1</x:v>
      </x:c>
      <x:c r="F3533" s="36"/>
      <x:c r="G3533" s="36" t="str">
        <x:f>IF(ISNUMBER(F3533),E3533*F3533,"")</x:f>
      </x:c>
      <x:c r="H3533" s="37"/>
      <x:c r="I3533" s="37"/>
      <x:c r="J3533" s="1" t="n">
        <x:f>IF(ISNUMBER(F3533),E3533,0)</x:f>
        <x:v>0</x:v>
      </x:c>
      <x:c r="K3533" s="1"/>
      <x:c r="L3533" s="1"/>
      <x:c r="M3533" s="1"/>
    </x:row>
    <x:row r="3534" ht="18.75" customHeight="1">
      <x:c r="A3534" s="1" t="str">
        <x:v>https://blog.skyairline.com/sky-flota-mas-nueva-de-suramerica/</x:v>
      </x:c>
      <x:c r="B3534" s="1" t="str">
        <x:v>flota de sky airlines</x:v>
      </x:c>
      <x:c r="C3534" s="1" t="str">
        <x:v>per</x:v>
      </x:c>
      <x:c r="D3534" s="1" t="str">
        <x:v>Marca</x:v>
      </x:c>
      <x:c r="E3534" s="35" t="n">
        <x:v>1</x:v>
      </x:c>
      <x:c r="F3534" s="36"/>
      <x:c r="G3534" s="36" t="str">
        <x:f>IF(ISNUMBER(F3534),E3534*F3534,"")</x:f>
      </x:c>
      <x:c r="H3534" s="37"/>
      <x:c r="I3534" s="37"/>
      <x:c r="J3534" s="1" t="n">
        <x:f>IF(ISNUMBER(F3534),E3534,0)</x:f>
        <x:v>0</x:v>
      </x:c>
      <x:c r="K3534" s="1"/>
      <x:c r="L3534" s="1"/>
      <x:c r="M3534" s="1"/>
    </x:row>
    <x:row r="3535" ht="18.75" customHeight="1">
      <x:c r="A3535" s="1" t="str">
        <x:v>https://blog.skyairline.com/sky-flota-mas-nueva-de-suramerica/</x:v>
      </x:c>
      <x:c r="B3535" s="1" t="str">
        <x:v>que aviones usa sky airlines</x:v>
      </x:c>
      <x:c r="C3535" s="1" t="str">
        <x:v>usa</x:v>
      </x:c>
      <x:c r="D3535" s="1" t="str">
        <x:v>Marca</x:v>
      </x:c>
      <x:c r="E3535" s="35" t="n">
        <x:v>1</x:v>
      </x:c>
      <x:c r="F3535" s="36"/>
      <x:c r="G3535" s="36" t="str">
        <x:f>IF(ISNUMBER(F3535),E3535*F3535,"")</x:f>
      </x:c>
      <x:c r="H3535" s="37"/>
      <x:c r="I3535" s="37"/>
      <x:c r="J3535" s="1" t="n">
        <x:f>IF(ISNUMBER(F3535),E3535,0)</x:f>
        <x:v>0</x:v>
      </x:c>
      <x:c r="K3535" s="1"/>
      <x:c r="L3535" s="1"/>
      <x:c r="M3535" s="1"/>
    </x:row>
    <x:row r="3536" ht="18.75" customHeight="1">
      <x:c r="A3536" s="1" t="str">
        <x:v>https://blog.skyairline.com/sky-fortalece-su-propuesta-de-valor-para-su-pasajeros-con-economy-premier/</x:v>
      </x:c>
      <x:c r="B3536" s="1" t="str">
        <x:v>economy premier sky</x:v>
      </x:c>
      <x:c r="C3536" s="1" t="str">
        <x:v>per</x:v>
      </x:c>
      <x:c r="D3536" s="1" t="str">
        <x:v>Marca</x:v>
      </x:c>
      <x:c r="E3536" s="35" t="n">
        <x:v>1</x:v>
      </x:c>
      <x:c r="F3536" s="36"/>
      <x:c r="G3536" s="36" t="str">
        <x:f>IF(ISNUMBER(F3536),E3536*F3536,"")</x:f>
      </x:c>
      <x:c r="H3536" s="37"/>
      <x:c r="I3536" s="37"/>
      <x:c r="J3536" s="1" t="n">
        <x:f>IF(ISNUMBER(F3536),E3536,0)</x:f>
        <x:v>0</x:v>
      </x:c>
      <x:c r="K3536" s="1"/>
      <x:c r="L3536" s="1"/>
      <x:c r="M3536" s="1"/>
    </x:row>
    <x:row r="3537" ht="18.75" customHeight="1">
      <x:c r="A3537" s="1" t="str">
        <x:v>https://blog.skyairline.com/sky-fortalece-su-propuesta-de-valor-para-sus-pasajeros-con-economy-premier/</x:v>
      </x:c>
      <x:c r="B3537" s="1" t="str">
        <x:v>economi premium</x:v>
      </x:c>
      <x:c r="C3537" s="1" t="str">
        <x:v>chl</x:v>
      </x:c>
      <x:c r="D3537" s="1" t="str">
        <x:v>Sin marca</x:v>
      </x:c>
      <x:c r="E3537" s="35" t="n">
        <x:v>1</x:v>
      </x:c>
      <x:c r="F3537" s="36"/>
      <x:c r="G3537" s="36" t="str">
        <x:f>IF(ISNUMBER(F3537),E3537*F3537,"")</x:f>
      </x:c>
      <x:c r="H3537" s="37"/>
      <x:c r="I3537" s="37"/>
      <x:c r="J3537" s="1" t="n">
        <x:f>IF(ISNUMBER(F3537),E3537,0)</x:f>
        <x:v>0</x:v>
      </x:c>
      <x:c r="K3537" s="1"/>
      <x:c r="L3537" s="1"/>
      <x:c r="M3537" s="1"/>
    </x:row>
    <x:row r="3538" ht="18.75" customHeight="1">
      <x:c r="A3538" s="1" t="str">
        <x:v>https://blog.skyairline.com/sky-fortalece-su-propuesta-de-valor-para-sus-pasajeros-con-economy-premier/</x:v>
      </x:c>
      <x:c r="B3538" s="1" t="str">
        <x:v>economy premier sky</x:v>
      </x:c>
      <x:c r="C3538" s="1" t="str">
        <x:v>arg</x:v>
      </x:c>
      <x:c r="D3538" s="1" t="str">
        <x:v>Marca</x:v>
      </x:c>
      <x:c r="E3538" s="35" t="n">
        <x:v>1</x:v>
      </x:c>
      <x:c r="F3538" s="36"/>
      <x:c r="G3538" s="36" t="str">
        <x:f>IF(ISNUMBER(F3538),E3538*F3538,"")</x:f>
      </x:c>
      <x:c r="H3538" s="37"/>
      <x:c r="I3538" s="37"/>
      <x:c r="J3538" s="1" t="n">
        <x:f>IF(ISNUMBER(F3538),E3538,0)</x:f>
        <x:v>0</x:v>
      </x:c>
      <x:c r="K3538" s="1"/>
      <x:c r="L3538" s="1"/>
      <x:c r="M3538" s="1"/>
    </x:row>
    <x:row r="3539" ht="18.75" customHeight="1">
      <x:c r="A3539" s="1" t="str">
        <x:v>https://blog.skyairline.com/sky-fortalece-su-propuesta-de-valor-para-sus-pasajeros-con-economy-premier/</x:v>
      </x:c>
      <x:c r="B3539" s="1" t="str">
        <x:v>economy premier sky</x:v>
      </x:c>
      <x:c r="C3539" s="1" t="str">
        <x:v>mex</x:v>
      </x:c>
      <x:c r="D3539" s="1" t="str">
        <x:v>Marca</x:v>
      </x:c>
      <x:c r="E3539" s="35" t="n">
        <x:v>1</x:v>
      </x:c>
      <x:c r="F3539" s="36"/>
      <x:c r="G3539" s="36" t="str">
        <x:f>IF(ISNUMBER(F3539),E3539*F3539,"")</x:f>
      </x:c>
      <x:c r="H3539" s="37"/>
      <x:c r="I3539" s="37"/>
      <x:c r="J3539" s="1" t="n">
        <x:f>IF(ISNUMBER(F3539),E3539,0)</x:f>
        <x:v>0</x:v>
      </x:c>
      <x:c r="K3539" s="1"/>
      <x:c r="L3539" s="1"/>
      <x:c r="M3539" s="1"/>
    </x:row>
    <x:row r="3540" ht="18.75" customHeight="1">
      <x:c r="A3540" s="1" t="str">
        <x:v>https://blog.skyairline.com/sky-fortalece-su-propuesta-de-valor-para-sus-pasajeros-con-economy-premier/</x:v>
      </x:c>
      <x:c r="B3540" s="1" t="str">
        <x:v>economy premier sky</x:v>
      </x:c>
      <x:c r="C3540" s="1" t="str">
        <x:v>usa</x:v>
      </x:c>
      <x:c r="D3540" s="1" t="str">
        <x:v>Marca</x:v>
      </x:c>
      <x:c r="E3540" s="35" t="n">
        <x:v>1</x:v>
      </x:c>
      <x:c r="F3540" s="36"/>
      <x:c r="G3540" s="36" t="str">
        <x:f>IF(ISNUMBER(F3540),E3540*F3540,"")</x:f>
      </x:c>
      <x:c r="H3540" s="37"/>
      <x:c r="I3540" s="37"/>
      <x:c r="J3540" s="1" t="n">
        <x:f>IF(ISNUMBER(F3540),E3540,0)</x:f>
        <x:v>0</x:v>
      </x:c>
      <x:c r="K3540" s="1"/>
      <x:c r="L3540" s="1"/>
      <x:c r="M3540" s="1"/>
    </x:row>
    <x:row r="3541" ht="18.75" customHeight="1">
      <x:c r="A3541" s="1" t="str">
        <x:v>https://blog.skyairline.com/sky-fortalece-su-propuesta-de-valor-para-sus-pasajeros-con-economy-premier/</x:v>
      </x:c>
      <x:c r="B3541" s="1" t="str">
        <x:v>en sky</x:v>
      </x:c>
      <x:c r="C3541" s="1" t="str">
        <x:v>per</x:v>
      </x:c>
      <x:c r="D3541" s="1" t="str">
        <x:v>Marca</x:v>
      </x:c>
      <x:c r="E3541" s="35" t="n">
        <x:v>1</x:v>
      </x:c>
      <x:c r="F3541" s="36"/>
      <x:c r="G3541" s="36" t="str">
        <x:f>IF(ISNUMBER(F3541),E3541*F3541,"")</x:f>
      </x:c>
      <x:c r="H3541" s="37"/>
      <x:c r="I3541" s="37"/>
      <x:c r="J3541" s="1" t="n">
        <x:f>IF(ISNUMBER(F3541),E3541,0)</x:f>
        <x:v>0</x:v>
      </x:c>
      <x:c r="K3541" s="1"/>
      <x:c r="L3541" s="1"/>
      <x:c r="M3541" s="1"/>
    </x:row>
    <x:row r="3542" ht="18.75" customHeight="1">
      <x:c r="A3542" s="1" t="str">
        <x:v>https://blog.skyairline.com/sky-fortalece-su-propuesta-de-valor-para-sus-pasajeros-con-economy-premier/</x:v>
      </x:c>
      <x:c r="B3542" s="1" t="str">
        <x:v>sky airline economy premier</x:v>
      </x:c>
      <x:c r="C3542" s="1" t="str">
        <x:v>arg</x:v>
      </x:c>
      <x:c r="D3542" s="1" t="str">
        <x:v>Marca</x:v>
      </x:c>
      <x:c r="E3542" s="35" t="n">
        <x:v>1</x:v>
      </x:c>
      <x:c r="F3542" s="36"/>
      <x:c r="G3542" s="36" t="str">
        <x:f>IF(ISNUMBER(F3542),E3542*F3542,"")</x:f>
      </x:c>
      <x:c r="H3542" s="37"/>
      <x:c r="I3542" s="37"/>
      <x:c r="J3542" s="1" t="n">
        <x:f>IF(ISNUMBER(F3542),E3542,0)</x:f>
        <x:v>0</x:v>
      </x:c>
      <x:c r="K3542" s="1"/>
      <x:c r="L3542" s="1"/>
      <x:c r="M3542" s="1"/>
    </x:row>
    <x:row r="3543" ht="18.75" customHeight="1">
      <x:c r="A3543" s="1" t="str">
        <x:v>https://blog.skyairline.com/sky-fortalece-su-propuesta-de-valor-para-sus-pasajeros-con-economy-premier/</x:v>
      </x:c>
      <x:c r="B3543" s="1" t="str">
        <x:v>sky airline economy premier</x:v>
      </x:c>
      <x:c r="C3543" s="1" t="str">
        <x:v>aus</x:v>
      </x:c>
      <x:c r="D3543" s="1" t="str">
        <x:v>Marca</x:v>
      </x:c>
      <x:c r="E3543" s="35" t="n">
        <x:v>1</x:v>
      </x:c>
      <x:c r="F3543" s="36"/>
      <x:c r="G3543" s="36" t="str">
        <x:f>IF(ISNUMBER(F3543),E3543*F3543,"")</x:f>
      </x:c>
      <x:c r="H3543" s="37"/>
      <x:c r="I3543" s="37"/>
      <x:c r="J3543" s="1" t="n">
        <x:f>IF(ISNUMBER(F3543),E3543,0)</x:f>
        <x:v>0</x:v>
      </x:c>
      <x:c r="K3543" s="1"/>
      <x:c r="L3543" s="1"/>
      <x:c r="M3543" s="1"/>
    </x:row>
    <x:row r="3544" ht="18.75" customHeight="1">
      <x:c r="A3544" s="1" t="str">
        <x:v>https://blog.skyairline.com/sky-fortalece-su-propuesta-de-valor-para-sus-pasajeros-con-economy-premier/</x:v>
      </x:c>
      <x:c r="B3544" s="1" t="str">
        <x:v>sky airline economy premier</x:v>
      </x:c>
      <x:c r="C3544" s="1" t="str">
        <x:v>per</x:v>
      </x:c>
      <x:c r="D3544" s="1" t="str">
        <x:v>Marca</x:v>
      </x:c>
      <x:c r="E3544" s="35" t="n">
        <x:v>1</x:v>
      </x:c>
      <x:c r="F3544" s="36"/>
      <x:c r="G3544" s="36" t="str">
        <x:f>IF(ISNUMBER(F3544),E3544*F3544,"")</x:f>
      </x:c>
      <x:c r="H3544" s="37"/>
      <x:c r="I3544" s="37"/>
      <x:c r="J3544" s="1" t="n">
        <x:f>IF(ISNUMBER(F3544),E3544,0)</x:f>
        <x:v>0</x:v>
      </x:c>
      <x:c r="K3544" s="1"/>
      <x:c r="L3544" s="1"/>
      <x:c r="M3544" s="1"/>
    </x:row>
    <x:row r="3545" ht="18.75" customHeight="1">
      <x:c r="A3545" s="1" t="str">
        <x:v>https://blog.skyairline.com/sky-fortalece-su-propuesta-de-valor-para-sus-pasajeros-con-economy-premier/</x:v>
      </x:c>
      <x:c r="B3545" s="1" t="str">
        <x:v>sky airline premium economy</x:v>
      </x:c>
      <x:c r="C3545" s="1" t="str">
        <x:v>chl</x:v>
      </x:c>
      <x:c r="D3545" s="1" t="str">
        <x:v>Marca</x:v>
      </x:c>
      <x:c r="E3545" s="35" t="n">
        <x:v>1</x:v>
      </x:c>
      <x:c r="F3545" s="36"/>
      <x:c r="G3545" s="36" t="str">
        <x:f>IF(ISNUMBER(F3545),E3545*F3545,"")</x:f>
      </x:c>
      <x:c r="H3545" s="37"/>
      <x:c r="I3545" s="37"/>
      <x:c r="J3545" s="1" t="n">
        <x:f>IF(ISNUMBER(F3545),E3545,0)</x:f>
        <x:v>0</x:v>
      </x:c>
      <x:c r="K3545" s="1"/>
      <x:c r="L3545" s="1"/>
      <x:c r="M3545" s="1"/>
    </x:row>
    <x:row r="3546" ht="18.75" customHeight="1">
      <x:c r="A3546" s="1" t="str">
        <x:v>https://blog.skyairline.com/sky-fortalece-su-propuesta-de-valor-para-sus-pasajeros-con-economy-premier/</x:v>
      </x:c>
      <x:c r="B3546" s="1" t="str">
        <x:v>sky airline premium economy</x:v>
      </x:c>
      <x:c r="C3546" s="1" t="str">
        <x:v>per</x:v>
      </x:c>
      <x:c r="D3546" s="1" t="str">
        <x:v>Marca</x:v>
      </x:c>
      <x:c r="E3546" s="35" t="n">
        <x:v>1</x:v>
      </x:c>
      <x:c r="F3546" s="36"/>
      <x:c r="G3546" s="36" t="str">
        <x:f>IF(ISNUMBER(F3546),E3546*F3546,"")</x:f>
      </x:c>
      <x:c r="H3546" s="37"/>
      <x:c r="I3546" s="37"/>
      <x:c r="J3546" s="1" t="n">
        <x:f>IF(ISNUMBER(F3546),E3546,0)</x:f>
        <x:v>0</x:v>
      </x:c>
      <x:c r="K3546" s="1"/>
      <x:c r="L3546" s="1"/>
      <x:c r="M3546" s="1"/>
    </x:row>
    <x:row r="3547" ht="18.75" customHeight="1">
      <x:c r="A3547" s="1" t="str">
        <x:v>https://blog.skyairline.com/sky-fortalece-su-propuesta-de-valor-para-sus-pasajeros-con-economy-premier/</x:v>
      </x:c>
      <x:c r="B3547" s="1" t="str">
        <x:v>sky economy</x:v>
      </x:c>
      <x:c r="C3547" s="1" t="str">
        <x:v>per</x:v>
      </x:c>
      <x:c r="D3547" s="1" t="str">
        <x:v>Marca</x:v>
      </x:c>
      <x:c r="E3547" s="35" t="n">
        <x:v>1</x:v>
      </x:c>
      <x:c r="F3547" s="36"/>
      <x:c r="G3547" s="36" t="str">
        <x:f>IF(ISNUMBER(F3547),E3547*F3547,"")</x:f>
      </x:c>
      <x:c r="H3547" s="37"/>
      <x:c r="I3547" s="37"/>
      <x:c r="J3547" s="1" t="n">
        <x:f>IF(ISNUMBER(F3547),E3547,0)</x:f>
        <x:v>0</x:v>
      </x:c>
      <x:c r="K3547" s="1"/>
      <x:c r="L3547" s="1"/>
      <x:c r="M3547" s="1"/>
    </x:row>
    <x:row r="3548" ht="18.75" customHeight="1">
      <x:c r="A3548" s="1" t="str">
        <x:v>https://blog.skyairline.com/sky-fortalece-su-propuesta-de-valor-para-sus-pasajeros-con-economy-premier/</x:v>
      </x:c>
      <x:c r="B3548" s="1" t="str">
        <x:v>sky economy premier</x:v>
      </x:c>
      <x:c r="C3548" s="1" t="str">
        <x:v>arg</x:v>
      </x:c>
      <x:c r="D3548" s="1" t="str">
        <x:v>Marca</x:v>
      </x:c>
      <x:c r="E3548" s="35" t="n">
        <x:v>1</x:v>
      </x:c>
      <x:c r="F3548" s="36"/>
      <x:c r="G3548" s="36" t="str">
        <x:f>IF(ISNUMBER(F3548),E3548*F3548,"")</x:f>
      </x:c>
      <x:c r="H3548" s="37"/>
      <x:c r="I3548" s="37"/>
      <x:c r="J3548" s="1" t="n">
        <x:f>IF(ISNUMBER(F3548),E3548,0)</x:f>
        <x:v>0</x:v>
      </x:c>
      <x:c r="K3548" s="1"/>
      <x:c r="L3548" s="1"/>
      <x:c r="M3548" s="1"/>
    </x:row>
    <x:row r="3549" ht="18.75" customHeight="1">
      <x:c r="A3549" s="1" t="str">
        <x:v>https://blog.skyairline.com/sky-fortalece-su-propuesta-de-valor-para-sus-pasajeros-con-economy-premier/</x:v>
      </x:c>
      <x:c r="B3549" s="1" t="str">
        <x:v>sky economy premier</x:v>
      </x:c>
      <x:c r="C3549" s="1" t="str">
        <x:v>nzl</x:v>
      </x:c>
      <x:c r="D3549" s="1" t="str">
        <x:v>Marca</x:v>
      </x:c>
      <x:c r="E3549" s="35" t="n">
        <x:v>1</x:v>
      </x:c>
      <x:c r="F3549" s="36"/>
      <x:c r="G3549" s="36" t="str">
        <x:f>IF(ISNUMBER(F3549),E3549*F3549,"")</x:f>
      </x:c>
      <x:c r="H3549" s="37"/>
      <x:c r="I3549" s="37"/>
      <x:c r="J3549" s="1" t="n">
        <x:f>IF(ISNUMBER(F3549),E3549,0)</x:f>
        <x:v>0</x:v>
      </x:c>
      <x:c r="K3549" s="1"/>
      <x:c r="L3549" s="1"/>
      <x:c r="M3549" s="1"/>
    </x:row>
    <x:row r="3550" ht="18.75" customHeight="1">
      <x:c r="A3550" s="1" t="str">
        <x:v>https://blog.skyairline.com/sky-fortalece-su-propuesta-de-valor-para-sus-pasajeros-con-economy-premier/</x:v>
      </x:c>
      <x:c r="B3550" s="1" t="str">
        <x:v>sky premiere</x:v>
      </x:c>
      <x:c r="C3550" s="1" t="str">
        <x:v>per</x:v>
      </x:c>
      <x:c r="D3550" s="1" t="str">
        <x:v>Marca</x:v>
      </x:c>
      <x:c r="E3550" s="35" t="n">
        <x:v>1</x:v>
      </x:c>
      <x:c r="F3550" s="36"/>
      <x:c r="G3550" s="36" t="str">
        <x:f>IF(ISNUMBER(F3550),E3550*F3550,"")</x:f>
      </x:c>
      <x:c r="H3550" s="37"/>
      <x:c r="I3550" s="37"/>
      <x:c r="J3550" s="1" t="n">
        <x:f>IF(ISNUMBER(F3550),E3550,0)</x:f>
        <x:v>0</x:v>
      </x:c>
      <x:c r="K3550" s="1"/>
      <x:c r="L3550" s="1"/>
      <x:c r="M3550" s="1"/>
    </x:row>
    <x:row r="3551" ht="18.75" customHeight="1">
      <x:c r="A3551" s="1" t="str">
        <x:v>https://blog.skyairline.com/sky-fortalece-su-propuesta-de-valor-para-sus-pasajeros-con-economy-premier/</x:v>
      </x:c>
      <x:c r="B3551" s="1" t="str">
        <x:v>sky upgrade</x:v>
      </x:c>
      <x:c r="C3551" s="1" t="str">
        <x:v>per</x:v>
      </x:c>
      <x:c r="D3551" s="1" t="str">
        <x:v>Marca</x:v>
      </x:c>
      <x:c r="E3551" s="35" t="n">
        <x:v>1</x:v>
      </x:c>
      <x:c r="F3551" s="36"/>
      <x:c r="G3551" s="36" t="str">
        <x:f>IF(ISNUMBER(F3551),E3551*F3551,"")</x:f>
      </x:c>
      <x:c r="H3551" s="37"/>
      <x:c r="I3551" s="37"/>
      <x:c r="J3551" s="1" t="n">
        <x:f>IF(ISNUMBER(F3551),E3551,0)</x:f>
        <x:v>0</x:v>
      </x:c>
      <x:c r="K3551" s="1"/>
      <x:c r="L3551" s="1"/>
      <x:c r="M3551" s="1"/>
    </x:row>
    <x:row r="3552" ht="18.75" customHeight="1">
      <x:c r="A3552" s="1" t="str">
        <x:v>https://blog.skyairline.com/sky-lanza-nueva-ruta-en-peru-lima-talara/</x:v>
      </x:c>
      <x:c r="B3552" s="1" t="str">
        <x:v>lima talara vuelos</x:v>
      </x:c>
      <x:c r="C3552" s="1" t="str">
        <x:v>per</x:v>
      </x:c>
      <x:c r="D3552" s="1" t="str">
        <x:v>Sin marca</x:v>
      </x:c>
      <x:c r="E3552" s="35" t="n">
        <x:v>1</x:v>
      </x:c>
      <x:c r="F3552" s="36" t="n">
        <x:v>0.28</x:v>
      </x:c>
      <x:c r="G3552" s="36" t="n">
        <x:f>IF(ISNUMBER(F3552),E3552*F3552,"")</x:f>
        <x:v>0.28</x:v>
      </x:c>
      <x:c r="H3552" s="37" t="d">
        <x:v>2026-10-15T00:00:00.000Z</x:v>
      </x:c>
      <x:c r="I3552" s="37" t="d">
        <x:v>2026-09-14T17:47:02.000Z</x:v>
      </x:c>
      <x:c r="J3552" s="1" t="n">
        <x:f>IF(ISNUMBER(F3552),E3552,0)</x:f>
        <x:v>1</x:v>
      </x:c>
      <x:c r="K3552" s="1"/>
      <x:c r="L3552" s="1"/>
      <x:c r="M3552" s="1"/>
    </x:row>
    <x:row r="3553" ht="18.75" customHeight="1">
      <x:c r="A3553" s="1" t="str">
        <x:v>https://blog.skyairline.com/sky-lanza-nueva-ruta-en-peru-lima-talara/</x:v>
      </x:c>
      <x:c r="B3553" s="1" t="str">
        <x:v>vuelo a talara</x:v>
      </x:c>
      <x:c r="C3553" s="1" t="str">
        <x:v>per</x:v>
      </x:c>
      <x:c r="D3553" s="1" t="str">
        <x:v>Sin marca</x:v>
      </x:c>
      <x:c r="E3553" s="35" t="n">
        <x:v>1</x:v>
      </x:c>
      <x:c r="F3553" s="36"/>
      <x:c r="G3553" s="36" t="str">
        <x:f>IF(ISNUMBER(F3553),E3553*F3553,"")</x:f>
      </x:c>
      <x:c r="H3553" s="37"/>
      <x:c r="I3553" s="37"/>
      <x:c r="J3553" s="1" t="n">
        <x:f>IF(ISNUMBER(F3553),E3553,0)</x:f>
        <x:v>0</x:v>
      </x:c>
      <x:c r="K3553" s="1"/>
      <x:c r="L3553" s="1"/>
      <x:c r="M3553" s="1"/>
    </x:row>
    <x:row r="3554" ht="18.75" customHeight="1">
      <x:c r="A3554" s="1" t="str">
        <x:v>https://blog.skyairline.com/sky-lanza-nueva-ruta-en-peru-lima-talara/</x:v>
      </x:c>
      <x:c r="B3554" s="1" t="str">
        <x:v>vuelos a talara sky</x:v>
      </x:c>
      <x:c r="C3554" s="1" t="str">
        <x:v>per</x:v>
      </x:c>
      <x:c r="D3554" s="1" t="str">
        <x:v>Marca</x:v>
      </x:c>
      <x:c r="E3554" s="35" t="n">
        <x:v>1</x:v>
      </x:c>
      <x:c r="F3554" s="36" t="n">
        <x:v>0.15</x:v>
      </x:c>
      <x:c r="G3554" s="36" t="n">
        <x:f>IF(ISNUMBER(F3554),E3554*F3554,"")</x:f>
        <x:v>0.15</x:v>
      </x:c>
      <x:c r="H3554" s="37" t="d">
        <x:v>2026-10-15T00:00:00.000Z</x:v>
      </x:c>
      <x:c r="I3554" s="37" t="d">
        <x:v>2026-09-16T16:50:49.000Z</x:v>
      </x:c>
      <x:c r="J3554" s="1" t="n">
        <x:f>IF(ISNUMBER(F3554),E3554,0)</x:f>
        <x:v>1</x:v>
      </x:c>
      <x:c r="K3554" s="1"/>
      <x:c r="L3554" s="1"/>
      <x:c r="M3554" s="1"/>
    </x:row>
    <x:row r="3555" ht="18.75" customHeight="1">
      <x:c r="A3555" s="1" t="str">
        <x:v>https://blog.skyairline.com/sky-lanza-nueva-ruta-en-peru-lima-talara/</x:v>
      </x:c>
      <x:c r="B3555" s="1" t="str">
        <x:v>vuelos lima talara</x:v>
      </x:c>
      <x:c r="C3555" s="1" t="str">
        <x:v>per</x:v>
      </x:c>
      <x:c r="D3555" s="1" t="str">
        <x:v>Sin marca</x:v>
      </x:c>
      <x:c r="E3555" s="35" t="n">
        <x:v>1</x:v>
      </x:c>
      <x:c r="F3555" s="36" t="n">
        <x:v>0.32</x:v>
      </x:c>
      <x:c r="G3555" s="36" t="n">
        <x:f>IF(ISNUMBER(F3555),E3555*F3555,"")</x:f>
        <x:v>0.32</x:v>
      </x:c>
      <x:c r="H3555" s="37" t="d">
        <x:v>2026-10-15T00:00:00.000Z</x:v>
      </x:c>
      <x:c r="I3555" s="37" t="d">
        <x:v>2026-10-15T12:43:46.000Z</x:v>
      </x:c>
      <x:c r="J3555" s="1" t="n">
        <x:f>IF(ISNUMBER(F3555),E3555,0)</x:f>
        <x:v>1</x:v>
      </x:c>
      <x:c r="K3555" s="1"/>
      <x:c r="L3555" s="1"/>
      <x:c r="M3555" s="1"/>
    </x:row>
    <x:row r="3556" ht="18.75" customHeight="1">
      <x:c r="A3556" s="1" t="str">
        <x:v>https://blog.skyairline.com/sky-lanza-nueva-ruta-en-peru-lima-talara/</x:v>
      </x:c>
      <x:c r="B3556" s="1" t="str">
        <x:v>vuelos talara a lima</x:v>
      </x:c>
      <x:c r="C3556" s="1" t="str">
        <x:v>ecu</x:v>
      </x:c>
      <x:c r="D3556" s="1" t="str">
        <x:v>Sin marca</x:v>
      </x:c>
      <x:c r="E3556" s="35" t="n">
        <x:v>1</x:v>
      </x:c>
      <x:c r="F3556" s="36"/>
      <x:c r="G3556" s="36" t="str">
        <x:f>IF(ISNUMBER(F3556),E3556*F3556,"")</x:f>
      </x:c>
      <x:c r="H3556" s="37"/>
      <x:c r="I3556" s="37"/>
      <x:c r="J3556" s="1" t="n">
        <x:f>IF(ISNUMBER(F3556),E3556,0)</x:f>
        <x:v>0</x:v>
      </x:c>
      <x:c r="K3556" s="1"/>
      <x:c r="L3556" s="1"/>
      <x:c r="M3556" s="1"/>
    </x:row>
    <x:row r="3557" ht="18.75" customHeight="1">
      <x:c r="A3557" s="1" t="str">
        <x:v>https://blog.skyairline.com/sky-lanza-nuevo-programa-de-fidelidad-sky-plus-2/</x:v>
      </x:c>
      <x:c r="B3557" s="1" t="str">
        <x:v>que puedo cambiar</x:v>
      </x:c>
      <x:c r="C3557" s="1" t="str">
        <x:v>chl</x:v>
      </x:c>
      <x:c r="D3557" s="1" t="str">
        <x:v>Sin marca</x:v>
      </x:c>
      <x:c r="E3557" s="35" t="n">
        <x:v>1</x:v>
      </x:c>
      <x:c r="F3557" s="36"/>
      <x:c r="G3557" s="36" t="str">
        <x:f>IF(ISNUMBER(F3557),E3557*F3557,"")</x:f>
      </x:c>
      <x:c r="H3557" s="37"/>
      <x:c r="I3557" s="37"/>
      <x:c r="J3557" s="1" t="n">
        <x:f>IF(ISNUMBER(F3557),E3557,0)</x:f>
        <x:v>0</x:v>
      </x:c>
      <x:c r="K3557" s="1"/>
      <x:c r="L3557" s="1"/>
      <x:c r="M3557" s="1"/>
    </x:row>
    <x:row r="3558" ht="18.75" customHeight="1">
      <x:c r="A3558" s="1" t="str">
        <x:v>https://blog.skyairline.com/sky-lanza-nuevo-programa-de-fidelidad-sky-plus/</x:v>
      </x:c>
      <x:c r="B3558" s="1" t="str">
        <x:v>como se si lo tengo</x:v>
      </x:c>
      <x:c r="C3558" s="1" t="str">
        <x:v>chl</x:v>
      </x:c>
      <x:c r="D3558" s="1" t="str">
        <x:v>Sin marca</x:v>
      </x:c>
      <x:c r="E3558" s="35" t="n">
        <x:v>1</x:v>
      </x:c>
      <x:c r="F3558" s="36"/>
      <x:c r="G3558" s="36" t="str">
        <x:f>IF(ISNUMBER(F3558),E3558*F3558,"")</x:f>
      </x:c>
      <x:c r="H3558" s="37"/>
      <x:c r="I3558" s="37"/>
      <x:c r="J3558" s="1" t="n">
        <x:f>IF(ISNUMBER(F3558),E3558,0)</x:f>
        <x:v>0</x:v>
      </x:c>
      <x:c r="K3558" s="1"/>
      <x:c r="L3558" s="1"/>
      <x:c r="M3558" s="1"/>
    </x:row>
    <x:row r="3559" ht="18.75" customHeight="1">
      <x:c r="A3559" s="1" t="str">
        <x:v>https://blog.skyairline.com/sky-lanza-nuevo-programa-de-fidelidad-sky-plus/</x:v>
      </x:c>
      <x:c r="B3559" s="1" t="str">
        <x:v>sky plus registrarse</x:v>
      </x:c>
      <x:c r="C3559" s="1" t="str">
        <x:v>per</x:v>
      </x:c>
      <x:c r="D3559" s="1" t="str">
        <x:v>Marca</x:v>
      </x:c>
      <x:c r="E3559" s="35" t="n">
        <x:v>1</x:v>
      </x:c>
      <x:c r="F3559" s="36" t="n">
        <x:v>0.1</x:v>
      </x:c>
      <x:c r="G3559" s="36" t="n">
        <x:f>IF(ISNUMBER(F3559),E3559*F3559,"")</x:f>
        <x:v>0.1</x:v>
      </x:c>
      <x:c r="H3559" s="37" t="d">
        <x:v>2026-10-15T00:00:00.000Z</x:v>
      </x:c>
      <x:c r="I3559" s="37" t="d">
        <x:v>2026-09-15T17:31:18.000Z</x:v>
      </x:c>
      <x:c r="J3559" s="1" t="n">
        <x:f>IF(ISNUMBER(F3559),E3559,0)</x:f>
        <x:v>1</x:v>
      </x:c>
      <x:c r="K3559" s="1"/>
      <x:c r="L3559" s="1"/>
      <x:c r="M3559" s="1"/>
    </x:row>
    <x:row r="3560" ht="18.75" customHeight="1">
      <x:c r="A3560" s="1" t="str">
        <x:v>https://blog.skyairline.com/sky-plus/</x:v>
      </x:c>
      <x:c r="B3560" s="1" t="str">
        <x:v>200 puntos sky plus</x:v>
      </x:c>
      <x:c r="C3560" s="1" t="str">
        <x:v>chl</x:v>
      </x:c>
      <x:c r="D3560" s="1" t="str">
        <x:v>Marca</x:v>
      </x:c>
      <x:c r="E3560" s="35" t="n">
        <x:v>1</x:v>
      </x:c>
      <x:c r="F3560" s="36"/>
      <x:c r="G3560" s="36" t="str">
        <x:f>IF(ISNUMBER(F3560),E3560*F3560,"")</x:f>
      </x:c>
      <x:c r="H3560" s="37"/>
      <x:c r="I3560" s="37"/>
      <x:c r="J3560" s="1" t="n">
        <x:f>IF(ISNUMBER(F3560),E3560,0)</x:f>
        <x:v>0</x:v>
      </x:c>
      <x:c r="K3560" s="1"/>
      <x:c r="L3560" s="1"/>
      <x:c r="M3560" s="1"/>
    </x:row>
    <x:row r="3561" ht="18.75" customHeight="1">
      <x:c r="A3561" s="1" t="str">
        <x:v>https://blog.skyairline.com/sky-plus/</x:v>
      </x:c>
      <x:c r="B3561" s="1" t="str">
        <x:v>905</x:v>
      </x:c>
      <x:c r="C3561" s="1" t="str">
        <x:v>chl</x:v>
      </x:c>
      <x:c r="D3561" s="1" t="str">
        <x:v>Sin marca</x:v>
      </x:c>
      <x:c r="E3561" s="35" t="n">
        <x:v>1</x:v>
      </x:c>
      <x:c r="F3561" s="36"/>
      <x:c r="G3561" s="36" t="str">
        <x:f>IF(ISNUMBER(F3561),E3561*F3561,"")</x:f>
      </x:c>
      <x:c r="H3561" s="37"/>
      <x:c r="I3561" s="37"/>
      <x:c r="J3561" s="1" t="n">
        <x:f>IF(ISNUMBER(F3561),E3561,0)</x:f>
        <x:v>0</x:v>
      </x:c>
      <x:c r="K3561" s="1"/>
      <x:c r="L3561" s="1"/>
      <x:c r="M3561" s="1"/>
    </x:row>
    <x:row r="3562" ht="18.75" customHeight="1">
      <x:c r="A3562" s="1" t="str">
        <x:v>https://blog.skyairline.com/sky-plus/</x:v>
      </x:c>
      <x:c r="B3562" s="1" t="str">
        <x:v>beneficios de sky plus</x:v>
      </x:c>
      <x:c r="C3562" s="1" t="str">
        <x:v>per</x:v>
      </x:c>
      <x:c r="D3562" s="1" t="str">
        <x:v>Marca</x:v>
      </x:c>
      <x:c r="E3562" s="35" t="n">
        <x:v>1</x:v>
      </x:c>
      <x:c r="F3562" s="36"/>
      <x:c r="G3562" s="36" t="str">
        <x:f>IF(ISNUMBER(F3562),E3562*F3562,"")</x:f>
      </x:c>
      <x:c r="H3562" s="37"/>
      <x:c r="I3562" s="37"/>
      <x:c r="J3562" s="1" t="n">
        <x:f>IF(ISNUMBER(F3562),E3562,0)</x:f>
        <x:v>0</x:v>
      </x:c>
      <x:c r="K3562" s="1"/>
      <x:c r="L3562" s="1"/>
      <x:c r="M3562" s="1"/>
    </x:row>
    <x:row r="3563" ht="18.75" customHeight="1">
      <x:c r="A3563" s="1" t="str">
        <x:v>https://blog.skyairline.com/sky-plus/</x:v>
      </x:c>
      <x:c r="B3563" s="1" t="str">
        <x:v>beneficios platino sky</x:v>
      </x:c>
      <x:c r="C3563" s="1" t="str">
        <x:v>chl</x:v>
      </x:c>
      <x:c r="D3563" s="1" t="str">
        <x:v>Marca</x:v>
      </x:c>
      <x:c r="E3563" s="35" t="n">
        <x:v>1</x:v>
      </x:c>
      <x:c r="F3563" s="36"/>
      <x:c r="G3563" s="36" t="str">
        <x:f>IF(ISNUMBER(F3563),E3563*F3563,"")</x:f>
      </x:c>
      <x:c r="H3563" s="37"/>
      <x:c r="I3563" s="37"/>
      <x:c r="J3563" s="1" t="n">
        <x:f>IF(ISNUMBER(F3563),E3563,0)</x:f>
        <x:v>0</x:v>
      </x:c>
      <x:c r="K3563" s="1"/>
      <x:c r="L3563" s="1"/>
      <x:c r="M3563" s="1"/>
    </x:row>
    <x:row r="3564" ht="18.75" customHeight="1">
      <x:c r="A3564" s="1" t="str">
        <x:v>https://blog.skyairline.com/sky-plus/</x:v>
      </x:c>
      <x:c r="B3564" s="1" t="str">
        <x:v>beneficios platinum sky</x:v>
      </x:c>
      <x:c r="C3564" s="1" t="str">
        <x:v>chl</x:v>
      </x:c>
      <x:c r="D3564" s="1" t="str">
        <x:v>Marca</x:v>
      </x:c>
      <x:c r="E3564" s="35" t="n">
        <x:v>1</x:v>
      </x:c>
      <x:c r="F3564" s="36"/>
      <x:c r="G3564" s="36" t="str">
        <x:f>IF(ISNUMBER(F3564),E3564*F3564,"")</x:f>
      </x:c>
      <x:c r="H3564" s="37"/>
      <x:c r="I3564" s="37"/>
      <x:c r="J3564" s="1" t="n">
        <x:f>IF(ISNUMBER(F3564),E3564,0)</x:f>
        <x:v>0</x:v>
      </x:c>
      <x:c r="K3564" s="1"/>
      <x:c r="L3564" s="1"/>
      <x:c r="M3564" s="1"/>
    </x:row>
    <x:row r="3565" ht="18.75" customHeight="1">
      <x:c r="A3565" s="1" t="str">
        <x:v>https://blog.skyairline.com/sky-plus/</x:v>
      </x:c>
      <x:c r="B3565" s="1" t="str">
        <x:v>beneficios sky plus</x:v>
      </x:c>
      <x:c r="C3565" s="1" t="str">
        <x:v>dom</x:v>
      </x:c>
      <x:c r="D3565" s="1" t="str">
        <x:v>Marca</x:v>
      </x:c>
      <x:c r="E3565" s="35" t="n">
        <x:v>1</x:v>
      </x:c>
      <x:c r="F3565" s="36"/>
      <x:c r="G3565" s="36" t="str">
        <x:f>IF(ISNUMBER(F3565),E3565*F3565,"")</x:f>
      </x:c>
      <x:c r="H3565" s="37"/>
      <x:c r="I3565" s="37"/>
      <x:c r="J3565" s="1" t="n">
        <x:f>IF(ISNUMBER(F3565),E3565,0)</x:f>
        <x:v>0</x:v>
      </x:c>
      <x:c r="K3565" s="1"/>
      <x:c r="L3565" s="1"/>
      <x:c r="M3565" s="1"/>
    </x:row>
    <x:row r="3566" ht="18.75" customHeight="1">
      <x:c r="A3566" s="1" t="str">
        <x:v>https://blog.skyairline.com/sky-plus/</x:v>
      </x:c>
      <x:c r="B3566" s="1" t="str">
        <x:v>beneficios sky plus</x:v>
      </x:c>
      <x:c r="C3566" s="1" t="str">
        <x:v>per</x:v>
      </x:c>
      <x:c r="D3566" s="1" t="str">
        <x:v>Marca</x:v>
      </x:c>
      <x:c r="E3566" s="35" t="n">
        <x:v>1</x:v>
      </x:c>
      <x:c r="F3566" s="36"/>
      <x:c r="G3566" s="36" t="str">
        <x:f>IF(ISNUMBER(F3566),E3566*F3566,"")</x:f>
      </x:c>
      <x:c r="H3566" s="37"/>
      <x:c r="I3566" s="37"/>
      <x:c r="J3566" s="1" t="n">
        <x:f>IF(ISNUMBER(F3566),E3566,0)</x:f>
        <x:v>0</x:v>
      </x:c>
      <x:c r="K3566" s="1"/>
      <x:c r="L3566" s="1"/>
      <x:c r="M3566" s="1"/>
    </x:row>
    <x:row r="3567" ht="18.75" customHeight="1">
      <x:c r="A3567" s="1" t="str">
        <x:v>https://blog.skyairline.com/sky-plus/</x:v>
      </x:c>
      <x:c r="B3567" s="1" t="str">
        <x:v>beneficios skyplus</x:v>
      </x:c>
      <x:c r="C3567" s="1" t="str">
        <x:v>chl</x:v>
      </x:c>
      <x:c r="D3567" s="1" t="str">
        <x:v>Sin marca</x:v>
      </x:c>
      <x:c r="E3567" s="35" t="n">
        <x:v>1</x:v>
      </x:c>
      <x:c r="F3567" s="36"/>
      <x:c r="G3567" s="36" t="str">
        <x:f>IF(ISNUMBER(F3567),E3567*F3567,"")</x:f>
      </x:c>
      <x:c r="H3567" s="37"/>
      <x:c r="I3567" s="37"/>
      <x:c r="J3567" s="1" t="n">
        <x:f>IF(ISNUMBER(F3567),E3567,0)</x:f>
        <x:v>0</x:v>
      </x:c>
      <x:c r="K3567" s="1"/>
      <x:c r="L3567" s="1"/>
      <x:c r="M3567" s="1"/>
    </x:row>
    <x:row r="3568" ht="18.75" customHeight="1">
      <x:c r="A3568" s="1" t="str">
        <x:v>https://blog.skyairline.com/sky-plus/</x:v>
      </x:c>
      <x:c r="B3568" s="1" t="str">
        <x:v>canjear puntos sky</x:v>
      </x:c>
      <x:c r="C3568" s="1" t="str">
        <x:v>per</x:v>
      </x:c>
      <x:c r="D3568" s="1" t="str">
        <x:v>Marca</x:v>
      </x:c>
      <x:c r="E3568" s="35" t="n">
        <x:v>1</x:v>
      </x:c>
      <x:c r="F3568" s="36"/>
      <x:c r="G3568" s="36" t="str">
        <x:f>IF(ISNUMBER(F3568),E3568*F3568,"")</x:f>
      </x:c>
      <x:c r="H3568" s="37"/>
      <x:c r="I3568" s="37"/>
      <x:c r="J3568" s="1" t="n">
        <x:f>IF(ISNUMBER(F3568),E3568,0)</x:f>
        <x:v>0</x:v>
      </x:c>
      <x:c r="K3568" s="1"/>
      <x:c r="L3568" s="1"/>
      <x:c r="M3568" s="1"/>
    </x:row>
    <x:row r="3569" ht="18.75" customHeight="1">
      <x:c r="A3569" s="1" t="str">
        <x:v>https://blog.skyairline.com/sky-plus/</x:v>
      </x:c>
      <x:c r="B3569" s="1" t="str">
        <x:v>categorias sky plus</x:v>
      </x:c>
      <x:c r="C3569" s="1" t="str">
        <x:v>chl</x:v>
      </x:c>
      <x:c r="D3569" s="1" t="str">
        <x:v>Marca</x:v>
      </x:c>
      <x:c r="E3569" s="35" t="n">
        <x:v>1</x:v>
      </x:c>
      <x:c r="F3569" s="36"/>
      <x:c r="G3569" s="36" t="str">
        <x:f>IF(ISNUMBER(F3569),E3569*F3569,"")</x:f>
      </x:c>
      <x:c r="H3569" s="37"/>
      <x:c r="I3569" s="37"/>
      <x:c r="J3569" s="1" t="n">
        <x:f>IF(ISNUMBER(F3569),E3569,0)</x:f>
        <x:v>0</x:v>
      </x:c>
      <x:c r="K3569" s="1"/>
      <x:c r="L3569" s="1"/>
      <x:c r="M3569" s="1"/>
    </x:row>
    <x:row r="3570" ht="18.75" customHeight="1">
      <x:c r="A3570" s="1" t="str">
        <x:v>https://blog.skyairline.com/sky-plus/</x:v>
      </x:c>
      <x:c r="B3570" s="1" t="str">
        <x:v>como canjear puntos sky</x:v>
      </x:c>
      <x:c r="C3570" s="1" t="str">
        <x:v>chl</x:v>
      </x:c>
      <x:c r="D3570" s="1" t="str">
        <x:v>Marca</x:v>
      </x:c>
      <x:c r="E3570" s="35" t="n">
        <x:v>1</x:v>
      </x:c>
      <x:c r="F3570" s="36"/>
      <x:c r="G3570" s="36" t="str">
        <x:f>IF(ISNUMBER(F3570),E3570*F3570,"")</x:f>
      </x:c>
      <x:c r="H3570" s="37"/>
      <x:c r="I3570" s="37"/>
      <x:c r="J3570" s="1" t="n">
        <x:f>IF(ISNUMBER(F3570),E3570,0)</x:f>
        <x:v>0</x:v>
      </x:c>
      <x:c r="K3570" s="1"/>
      <x:c r="L3570" s="1"/>
      <x:c r="M3570" s="1"/>
    </x:row>
    <x:row r="3571" ht="18.75" customHeight="1">
      <x:c r="A3571" s="1" t="str">
        <x:v>https://blog.skyairline.com/sky-plus/</x:v>
      </x:c>
      <x:c r="B3571" s="1" t="str">
        <x:v>como canjear puntos sky plus por pasajes</x:v>
      </x:c>
      <x:c r="C3571" s="1" t="str">
        <x:v>chl</x:v>
      </x:c>
      <x:c r="D3571" s="1" t="str">
        <x:v>Marca</x:v>
      </x:c>
      <x:c r="E3571" s="35" t="n">
        <x:v>1</x:v>
      </x:c>
      <x:c r="F3571" s="36"/>
      <x:c r="G3571" s="36" t="str">
        <x:f>IF(ISNUMBER(F3571),E3571*F3571,"")</x:f>
      </x:c>
      <x:c r="H3571" s="37"/>
      <x:c r="I3571" s="37"/>
      <x:c r="J3571" s="1" t="n">
        <x:f>IF(ISNUMBER(F3571),E3571,0)</x:f>
        <x:v>0</x:v>
      </x:c>
      <x:c r="K3571" s="1"/>
      <x:c r="L3571" s="1"/>
      <x:c r="M3571" s="1"/>
    </x:row>
    <x:row r="3572" ht="18.75" customHeight="1">
      <x:c r="A3572" s="1" t="str">
        <x:v>https://blog.skyairline.com/sky-plus/</x:v>
      </x:c>
      <x:c r="B3572" s="1" t="str">
        <x:v>como canjear puntos sky plus por pasajes</x:v>
      </x:c>
      <x:c r="C3572" s="1" t="str">
        <x:v>per</x:v>
      </x:c>
      <x:c r="D3572" s="1" t="str">
        <x:v>Marca</x:v>
      </x:c>
      <x:c r="E3572" s="35" t="n">
        <x:v>1</x:v>
      </x:c>
      <x:c r="F3572" s="36"/>
      <x:c r="G3572" s="36" t="str">
        <x:f>IF(ISNUMBER(F3572),E3572*F3572,"")</x:f>
      </x:c>
      <x:c r="H3572" s="37"/>
      <x:c r="I3572" s="37"/>
      <x:c r="J3572" s="1" t="n">
        <x:f>IF(ISNUMBER(F3572),E3572,0)</x:f>
        <x:v>0</x:v>
      </x:c>
      <x:c r="K3572" s="1"/>
      <x:c r="L3572" s="1"/>
      <x:c r="M3572" s="1"/>
    </x:row>
    <x:row r="3573" ht="18.75" customHeight="1">
      <x:c r="A3573" s="1" t="str">
        <x:v>https://blog.skyairline.com/sky-plus/</x:v>
      </x:c>
      <x:c r="B3573" s="1" t="str">
        <x:v>como contratar sky plus</x:v>
      </x:c>
      <x:c r="C3573" s="1" t="str">
        <x:v>chl</x:v>
      </x:c>
      <x:c r="D3573" s="1" t="str">
        <x:v>Marca</x:v>
      </x:c>
      <x:c r="E3573" s="35" t="n">
        <x:v>1</x:v>
      </x:c>
      <x:c r="F3573" s="36"/>
      <x:c r="G3573" s="36" t="str">
        <x:f>IF(ISNUMBER(F3573),E3573*F3573,"")</x:f>
      </x:c>
      <x:c r="H3573" s="37"/>
      <x:c r="I3573" s="37"/>
      <x:c r="J3573" s="1" t="n">
        <x:f>IF(ISNUMBER(F3573),E3573,0)</x:f>
        <x:v>0</x:v>
      </x:c>
      <x:c r="K3573" s="1"/>
      <x:c r="L3573" s="1"/>
      <x:c r="M3573" s="1"/>
    </x:row>
    <x:row r="3574" ht="18.75" customHeight="1">
      <x:c r="A3574" s="1" t="str">
        <x:v>https://blog.skyairline.com/sky-plus/</x:v>
      </x:c>
      <x:c r="B3574" s="1" t="str">
        <x:v>como funciona sky plus</x:v>
      </x:c>
      <x:c r="C3574" s="1" t="str">
        <x:v>per</x:v>
      </x:c>
      <x:c r="D3574" s="1" t="str">
        <x:v>Marca</x:v>
      </x:c>
      <x:c r="E3574" s="35" t="n">
        <x:v>1</x:v>
      </x:c>
      <x:c r="F3574" s="36"/>
      <x:c r="G3574" s="36" t="str">
        <x:f>IF(ISNUMBER(F3574),E3574*F3574,"")</x:f>
      </x:c>
      <x:c r="H3574" s="37" t="d">
        <x:v>2026-10-15T00:00:00.000Z</x:v>
      </x:c>
      <x:c r="I3574" s="37" t="d">
        <x:v>2026-10-15T09:50:47.000Z</x:v>
      </x:c>
      <x:c r="J3574" s="1" t="n">
        <x:f>IF(ISNUMBER(F3574),E3574,0)</x:f>
        <x:v>0</x:v>
      </x:c>
      <x:c r="K3574" s="1"/>
      <x:c r="L3574" s="1"/>
      <x:c r="M3574" s="1"/>
    </x:row>
    <x:row r="3575" ht="18.75" customHeight="1">
      <x:c r="A3575" s="1" t="str">
        <x:v>https://blog.skyairline.com/sky-plus/</x:v>
      </x:c>
      <x:c r="B3575" s="1" t="str">
        <x:v>como saber mi numero de pasajero frecuente sky</x:v>
      </x:c>
      <x:c r="C3575" s="1" t="str">
        <x:v>per</x:v>
      </x:c>
      <x:c r="D3575" s="1" t="str">
        <x:v>Marca</x:v>
      </x:c>
      <x:c r="E3575" s="35" t="n">
        <x:v>1</x:v>
      </x:c>
      <x:c r="F3575" s="36"/>
      <x:c r="G3575" s="36" t="str">
        <x:f>IF(ISNUMBER(F3575),E3575*F3575,"")</x:f>
      </x:c>
      <x:c r="H3575" s="37"/>
      <x:c r="I3575" s="37"/>
      <x:c r="J3575" s="1" t="n">
        <x:f>IF(ISNUMBER(F3575),E3575,0)</x:f>
        <x:v>0</x:v>
      </x:c>
      <x:c r="K3575" s="1"/>
      <x:c r="L3575" s="1"/>
      <x:c r="M3575" s="1"/>
    </x:row>
    <x:row r="3576" ht="18.75" customHeight="1">
      <x:c r="A3576" s="1" t="str">
        <x:v>https://blog.skyairline.com/sky-plus/</x:v>
      </x:c>
      <x:c r="B3576" s="1" t="str">
        <x:v>como ser sky plus</x:v>
      </x:c>
      <x:c r="C3576" s="1" t="str">
        <x:v>per</x:v>
      </x:c>
      <x:c r="D3576" s="1" t="str">
        <x:v>Marca</x:v>
      </x:c>
      <x:c r="E3576" s="35" t="n">
        <x:v>1</x:v>
      </x:c>
      <x:c r="F3576" s="36"/>
      <x:c r="G3576" s="36" t="str">
        <x:f>IF(ISNUMBER(F3576),E3576*F3576,"")</x:f>
      </x:c>
      <x:c r="H3576" s="37"/>
      <x:c r="I3576" s="37"/>
      <x:c r="J3576" s="1" t="n">
        <x:f>IF(ISNUMBER(F3576),E3576,0)</x:f>
        <x:v>0</x:v>
      </x:c>
      <x:c r="K3576" s="1"/>
      <x:c r="L3576" s="1"/>
      <x:c r="M3576" s="1"/>
    </x:row>
    <x:row r="3577" ht="18.75" customHeight="1">
      <x:c r="A3577" s="1" t="str">
        <x:v>https://blog.skyairline.com/sky-plus/</x:v>
      </x:c>
      <x:c r="B3577" s="1" t="str">
        <x:v>comprar membresia sky plus</x:v>
      </x:c>
      <x:c r="C3577" s="1" t="str">
        <x:v>chl</x:v>
      </x:c>
      <x:c r="D3577" s="1" t="str">
        <x:v>Marca</x:v>
      </x:c>
      <x:c r="E3577" s="35" t="n">
        <x:v>1</x:v>
      </x:c>
      <x:c r="F3577" s="36"/>
      <x:c r="G3577" s="36" t="str">
        <x:f>IF(ISNUMBER(F3577),E3577*F3577,"")</x:f>
      </x:c>
      <x:c r="H3577" s="37"/>
      <x:c r="I3577" s="37"/>
      <x:c r="J3577" s="1" t="n">
        <x:f>IF(ISNUMBER(F3577),E3577,0)</x:f>
        <x:v>0</x:v>
      </x:c>
      <x:c r="K3577" s="1"/>
      <x:c r="L3577" s="1"/>
      <x:c r="M3577" s="1"/>
    </x:row>
    <x:row r="3578" ht="18.75" customHeight="1">
      <x:c r="A3578" s="1" t="str">
        <x:v>https://blog.skyairline.com/sky-plus/</x:v>
      </x:c>
      <x:c r="B3578" s="1" t="str">
        <x:v>comprar puntos sky plus</x:v>
      </x:c>
      <x:c r="C3578" s="1" t="str">
        <x:v>chl</x:v>
      </x:c>
      <x:c r="D3578" s="1" t="str">
        <x:v>Marca</x:v>
      </x:c>
      <x:c r="E3578" s="35" t="n">
        <x:v>1</x:v>
      </x:c>
      <x:c r="F3578" s="36" t="n">
        <x:v>1.29</x:v>
      </x:c>
      <x:c r="G3578" s="36" t="n">
        <x:f>IF(ISNUMBER(F3578),E3578*F3578,"")</x:f>
        <x:v>1.29</x:v>
      </x:c>
      <x:c r="H3578" s="37" t="d">
        <x:v>2026-10-15T00:00:00.000Z</x:v>
      </x:c>
      <x:c r="I3578" s="37" t="d">
        <x:v>2026-09-14T17:58:48.000Z</x:v>
      </x:c>
      <x:c r="J3578" s="1" t="n">
        <x:f>IF(ISNUMBER(F3578),E3578,0)</x:f>
        <x:v>1</x:v>
      </x:c>
      <x:c r="K3578" s="1"/>
      <x:c r="L3578" s="1"/>
      <x:c r="M3578" s="1"/>
    </x:row>
    <x:row r="3579" ht="18.75" customHeight="1">
      <x:c r="A3579" s="1" t="str">
        <x:v>https://blog.skyairline.com/sky-plus/</x:v>
      </x:c>
      <x:c r="B3579" s="1" t="str">
        <x:v>contratar sky plus</x:v>
      </x:c>
      <x:c r="C3579" s="1" t="str">
        <x:v>chl</x:v>
      </x:c>
      <x:c r="D3579" s="1" t="str">
        <x:v>Marca</x:v>
      </x:c>
      <x:c r="E3579" s="35" t="n">
        <x:v>1</x:v>
      </x:c>
      <x:c r="F3579" s="36"/>
      <x:c r="G3579" s="36" t="str">
        <x:f>IF(ISNUMBER(F3579),E3579*F3579,"")</x:f>
      </x:c>
      <x:c r="H3579" s="37"/>
      <x:c r="I3579" s="37"/>
      <x:c r="J3579" s="1" t="n">
        <x:f>IF(ISNUMBER(F3579),E3579,0)</x:f>
        <x:v>0</x:v>
      </x:c>
      <x:c r="K3579" s="1"/>
      <x:c r="L3579" s="1"/>
      <x:c r="M3579" s="1"/>
    </x:row>
    <x:row r="3580" ht="18.75" customHeight="1">
      <x:c r="A3580" s="1" t="str">
        <x:v>https://blog.skyairline.com/sky-plus/</x:v>
      </x:c>
      <x:c r="B3580" s="1" t="str">
        <x:v>cuanto cuesta sky plus</x:v>
      </x:c>
      <x:c r="C3580" s="1" t="str">
        <x:v>chl</x:v>
      </x:c>
      <x:c r="D3580" s="1" t="str">
        <x:v>Marca</x:v>
      </x:c>
      <x:c r="E3580" s="35" t="n">
        <x:v>1</x:v>
      </x:c>
      <x:c r="F3580" s="36"/>
      <x:c r="G3580" s="36" t="str">
        <x:f>IF(ISNUMBER(F3580),E3580*F3580,"")</x:f>
      </x:c>
      <x:c r="H3580" s="37"/>
      <x:c r="I3580" s="37"/>
      <x:c r="J3580" s="1" t="n">
        <x:f>IF(ISNUMBER(F3580),E3580,0)</x:f>
        <x:v>0</x:v>
      </x:c>
      <x:c r="K3580" s="1"/>
      <x:c r="L3580" s="1"/>
      <x:c r="M3580" s="1"/>
    </x:row>
    <x:row r="3581" ht="18.75" customHeight="1">
      <x:c r="A3581" s="1" t="str">
        <x:v>https://blog.skyairline.com/sky-plus/</x:v>
      </x:c>
      <x:c r="B3581" s="1" t="str">
        <x:v>cómo se obtiene</x:v>
      </x:c>
      <x:c r="C3581" s="1" t="str">
        <x:v>chl</x:v>
      </x:c>
      <x:c r="D3581" s="1" t="str">
        <x:v>Sin marca</x:v>
      </x:c>
      <x:c r="E3581" s="35" t="n">
        <x:v>1</x:v>
      </x:c>
      <x:c r="F3581" s="36"/>
      <x:c r="G3581" s="36" t="str">
        <x:f>IF(ISNUMBER(F3581),E3581*F3581,"")</x:f>
      </x:c>
      <x:c r="H3581" s="37" t="d">
        <x:v>2026-10-15T00:00:00.000Z</x:v>
      </x:c>
      <x:c r="I3581" s="37" t="d">
        <x:v>2026-09-13T08:27:47.000Z</x:v>
      </x:c>
      <x:c r="J3581" s="1" t="n">
        <x:f>IF(ISNUMBER(F3581),E3581,0)</x:f>
        <x:v>0</x:v>
      </x:c>
      <x:c r="K3581" s="1"/>
      <x:c r="L3581" s="1"/>
      <x:c r="M3581" s="1"/>
    </x:row>
    <x:row r="3582" ht="18.75" customHeight="1">
      <x:c r="A3582" s="1" t="str">
        <x:v>https://blog.skyairline.com/sky-plus/</x:v>
      </x:c>
      <x:c r="B3582" s="1" t="str">
        <x:v>membresia sky plus</x:v>
      </x:c>
      <x:c r="C3582" s="1" t="str">
        <x:v>chl</x:v>
      </x:c>
      <x:c r="D3582" s="1" t="str">
        <x:v>Marca</x:v>
      </x:c>
      <x:c r="E3582" s="35" t="n">
        <x:v>1</x:v>
      </x:c>
      <x:c r="F3582" s="36"/>
      <x:c r="G3582" s="36" t="str">
        <x:f>IF(ISNUMBER(F3582),E3582*F3582,"")</x:f>
      </x:c>
      <x:c r="H3582" s="37"/>
      <x:c r="I3582" s="37"/>
      <x:c r="J3582" s="1" t="n">
        <x:f>IF(ISNUMBER(F3582),E3582,0)</x:f>
        <x:v>0</x:v>
      </x:c>
      <x:c r="K3582" s="1"/>
      <x:c r="L3582" s="1"/>
      <x:c r="M3582" s="1"/>
    </x:row>
    <x:row r="3583" ht="18.75" customHeight="1">
      <x:c r="A3583" s="1" t="str">
        <x:v>https://blog.skyairline.com/sky-plus/</x:v>
      </x:c>
      <x:c r="B3583" s="1" t="str">
        <x:v>millas sky</x:v>
      </x:c>
      <x:c r="C3583" s="1" t="str">
        <x:v>per</x:v>
      </x:c>
      <x:c r="D3583" s="1" t="str">
        <x:v>Marca</x:v>
      </x:c>
      <x:c r="E3583" s="35" t="n">
        <x:v>1</x:v>
      </x:c>
      <x:c r="F3583" s="36"/>
      <x:c r="G3583" s="36" t="str">
        <x:f>IF(ISNUMBER(F3583),E3583*F3583,"")</x:f>
      </x:c>
      <x:c r="H3583" s="37"/>
      <x:c r="I3583" s="37"/>
      <x:c r="J3583" s="1" t="n">
        <x:f>IF(ISNUMBER(F3583),E3583,0)</x:f>
        <x:v>0</x:v>
      </x:c>
      <x:c r="K3583" s="1"/>
      <x:c r="L3583" s="1"/>
      <x:c r="M3583" s="1"/>
    </x:row>
    <x:row r="3584" ht="18.75" customHeight="1">
      <x:c r="A3584" s="1" t="str">
        <x:v>https://blog.skyairline.com/sky-plus/</x:v>
      </x:c>
      <x:c r="B3584" s="1" t="str">
        <x:v>millas sky airlines</x:v>
      </x:c>
      <x:c r="C3584" s="1" t="str">
        <x:v>chl</x:v>
      </x:c>
      <x:c r="D3584" s="1" t="str">
        <x:v>Marca</x:v>
      </x:c>
      <x:c r="E3584" s="35" t="n">
        <x:v>1</x:v>
      </x:c>
      <x:c r="F3584" s="36" t="n">
        <x:v>0.36</x:v>
      </x:c>
      <x:c r="G3584" s="36" t="n">
        <x:f>IF(ISNUMBER(F3584),E3584*F3584,"")</x:f>
        <x:v>0.36</x:v>
      </x:c>
      <x:c r="H3584" s="37" t="d">
        <x:v>2026-10-15T00:00:00.000Z</x:v>
      </x:c>
      <x:c r="I3584" s="37" t="d">
        <x:v>2026-09-13T06:34:33.000Z</x:v>
      </x:c>
      <x:c r="J3584" s="1" t="n">
        <x:f>IF(ISNUMBER(F3584),E3584,0)</x:f>
        <x:v>1</x:v>
      </x:c>
      <x:c r="K3584" s="1"/>
      <x:c r="L3584" s="1"/>
      <x:c r="M3584" s="1"/>
    </x:row>
    <x:row r="3585" ht="18.75" customHeight="1">
      <x:c r="A3585" s="1" t="str">
        <x:v>https://blog.skyairline.com/sky-plus/</x:v>
      </x:c>
      <x:c r="B3585" s="1" t="str">
        <x:v>no me permite comprar</x:v>
      </x:c>
      <x:c r="C3585" s="1" t="str">
        <x:v>chl</x:v>
      </x:c>
      <x:c r="D3585" s="1" t="str">
        <x:v>Sin marca</x:v>
      </x:c>
      <x:c r="E3585" s="35" t="n">
        <x:v>1</x:v>
      </x:c>
      <x:c r="F3585" s="36"/>
      <x:c r="G3585" s="36" t="str">
        <x:f>IF(ISNUMBER(F3585),E3585*F3585,"")</x:f>
      </x:c>
      <x:c r="H3585" s="37"/>
      <x:c r="I3585" s="37"/>
      <x:c r="J3585" s="1" t="n">
        <x:f>IF(ISNUMBER(F3585),E3585,0)</x:f>
        <x:v>0</x:v>
      </x:c>
      <x:c r="K3585" s="1"/>
      <x:c r="L3585" s="1"/>
      <x:c r="M3585" s="1"/>
    </x:row>
    <x:row r="3586" ht="18.75" customHeight="1">
      <x:c r="A3586" s="1" t="str">
        <x:v>https://blog.skyairline.com/sky-plus/</x:v>
      </x:c>
      <x:c r="B3586" s="1" t="str">
        <x:v>numero de pasajero frecuente sky</x:v>
      </x:c>
      <x:c r="C3586" s="1" t="str">
        <x:v>per</x:v>
      </x:c>
      <x:c r="D3586" s="1" t="str">
        <x:v>Marca</x:v>
      </x:c>
      <x:c r="E3586" s="35" t="n">
        <x:v>1</x:v>
      </x:c>
      <x:c r="F3586" s="36"/>
      <x:c r="G3586" s="36" t="str">
        <x:f>IF(ISNUMBER(F3586),E3586*F3586,"")</x:f>
      </x:c>
      <x:c r="H3586" s="37"/>
      <x:c r="I3586" s="37"/>
      <x:c r="J3586" s="1" t="n">
        <x:f>IF(ISNUMBER(F3586),E3586,0)</x:f>
        <x:v>0</x:v>
      </x:c>
      <x:c r="K3586" s="1"/>
      <x:c r="L3586" s="1"/>
      <x:c r="M3586" s="1"/>
    </x:row>
    <x:row r="3587" ht="18.75" customHeight="1">
      <x:c r="A3587" s="1" t="str">
        <x:v>https://blog.skyairline.com/sky-plus/</x:v>
      </x:c>
      <x:c r="B3587" s="1" t="str">
        <x:v>pasajero frecuente sky airlines</x:v>
      </x:c>
      <x:c r="C3587" s="1" t="str">
        <x:v>chl</x:v>
      </x:c>
      <x:c r="D3587" s="1" t="str">
        <x:v>Marca</x:v>
      </x:c>
      <x:c r="E3587" s="35" t="n">
        <x:v>1</x:v>
      </x:c>
      <x:c r="F3587" s="36"/>
      <x:c r="G3587" s="36" t="str">
        <x:f>IF(ISNUMBER(F3587),E3587*F3587,"")</x:f>
      </x:c>
      <x:c r="H3587" s="37"/>
      <x:c r="I3587" s="37"/>
      <x:c r="J3587" s="1" t="n">
        <x:f>IF(ISNUMBER(F3587),E3587,0)</x:f>
        <x:v>0</x:v>
      </x:c>
      <x:c r="K3587" s="1"/>
      <x:c r="L3587" s="1"/>
      <x:c r="M3587" s="1"/>
    </x:row>
    <x:row r="3588" ht="18.75" customHeight="1">
      <x:c r="A3588" s="1" t="str">
        <x:v>https://blog.skyairline.com/sky-plus/</x:v>
      </x:c>
      <x:c r="B3588" s="1" t="str">
        <x:v>platino sky plus</x:v>
      </x:c>
      <x:c r="C3588" s="1" t="str">
        <x:v>arg</x:v>
      </x:c>
      <x:c r="D3588" s="1" t="str">
        <x:v>Marca</x:v>
      </x:c>
      <x:c r="E3588" s="35" t="n">
        <x:v>1</x:v>
      </x:c>
      <x:c r="F3588" s="36"/>
      <x:c r="G3588" s="36" t="str">
        <x:f>IF(ISNUMBER(F3588),E3588*F3588,"")</x:f>
      </x:c>
      <x:c r="H3588" s="37"/>
      <x:c r="I3588" s="37"/>
      <x:c r="J3588" s="1" t="n">
        <x:f>IF(ISNUMBER(F3588),E3588,0)</x:f>
        <x:v>0</x:v>
      </x:c>
      <x:c r="K3588" s="1"/>
      <x:c r="L3588" s="1"/>
      <x:c r="M3588" s="1"/>
    </x:row>
    <x:row r="3589" ht="18.75" customHeight="1">
      <x:c r="A3589" s="1" t="str">
        <x:v>https://blog.skyairline.com/sky-plus/</x:v>
      </x:c>
      <x:c r="B3589" s="1" t="str">
        <x:v>platino sky plus</x:v>
      </x:c>
      <x:c r="C3589" s="1" t="str">
        <x:v>chl</x:v>
      </x:c>
      <x:c r="D3589" s="1" t="str">
        <x:v>Marca</x:v>
      </x:c>
      <x:c r="E3589" s="35" t="n">
        <x:v>1</x:v>
      </x:c>
      <x:c r="F3589" s="36" t="n">
        <x:v>0.37</x:v>
      </x:c>
      <x:c r="G3589" s="36" t="n">
        <x:f>IF(ISNUMBER(F3589),E3589*F3589,"")</x:f>
        <x:v>0.37</x:v>
      </x:c>
      <x:c r="H3589" s="37" t="d">
        <x:v>2026-10-15T00:00:00.000Z</x:v>
      </x:c>
      <x:c r="I3589" s="37" t="d">
        <x:v>2026-09-16T11:54:48.000Z</x:v>
      </x:c>
      <x:c r="J3589" s="1" t="n">
        <x:f>IF(ISNUMBER(F3589),E3589,0)</x:f>
        <x:v>1</x:v>
      </x:c>
      <x:c r="K3589" s="1"/>
      <x:c r="L3589" s="1"/>
      <x:c r="M3589" s="1"/>
    </x:row>
    <x:row r="3590" ht="18.75" customHeight="1">
      <x:c r="A3590" s="1" t="str">
        <x:v>https://blog.skyairline.com/sky-plus/</x:v>
      </x:c>
      <x:c r="B3590" s="1" t="str">
        <x:v>programa de beneficios sky plus</x:v>
      </x:c>
      <x:c r="C3590" s="1" t="str">
        <x:v>chl</x:v>
      </x:c>
      <x:c r="D3590" s="1" t="str">
        <x:v>Marca</x:v>
      </x:c>
      <x:c r="E3590" s="35" t="n">
        <x:v>1</x:v>
      </x:c>
      <x:c r="F3590" s="36"/>
      <x:c r="G3590" s="36" t="str">
        <x:f>IF(ISNUMBER(F3590),E3590*F3590,"")</x:f>
      </x:c>
      <x:c r="H3590" s="37"/>
      <x:c r="I3590" s="37"/>
      <x:c r="J3590" s="1" t="n">
        <x:f>IF(ISNUMBER(F3590),E3590,0)</x:f>
        <x:v>0</x:v>
      </x:c>
      <x:c r="K3590" s="1"/>
      <x:c r="L3590" s="1"/>
      <x:c r="M3590" s="1"/>
    </x:row>
    <x:row r="3591" ht="18.75" customHeight="1">
      <x:c r="A3591" s="1" t="str">
        <x:v>https://blog.skyairline.com/sky-plus/</x:v>
      </x:c>
      <x:c r="B3591" s="1" t="str">
        <x:v>punto sky</x:v>
      </x:c>
      <x:c r="C3591" s="1" t="str">
        <x:v>chl</x:v>
      </x:c>
      <x:c r="D3591" s="1" t="str">
        <x:v>Marca</x:v>
      </x:c>
      <x:c r="E3591" s="35" t="n">
        <x:v>1</x:v>
      </x:c>
      <x:c r="F3591" s="36"/>
      <x:c r="G3591" s="36" t="str">
        <x:f>IF(ISNUMBER(F3591),E3591*F3591,"")</x:f>
      </x:c>
      <x:c r="H3591" s="37" t="d">
        <x:v>2026-10-15T00:00:00.000Z</x:v>
      </x:c>
      <x:c r="I3591" s="37" t="d">
        <x:v>2026-09-13T18:42:34.000Z</x:v>
      </x:c>
      <x:c r="J3591" s="1" t="n">
        <x:f>IF(ISNUMBER(F3591),E3591,0)</x:f>
        <x:v>0</x:v>
      </x:c>
      <x:c r="K3591" s="1"/>
      <x:c r="L3591" s="1"/>
      <x:c r="M3591" s="1"/>
    </x:row>
    <x:row r="3592" ht="18.75" customHeight="1">
      <x:c r="A3592" s="1" t="str">
        <x:v>https://blog.skyairline.com/sky-plus/</x:v>
      </x:c>
      <x:c r="B3592" s="1" t="str">
        <x:v>puntos sky plus para que sirven</x:v>
      </x:c>
      <x:c r="C3592" s="1" t="str">
        <x:v>usa</x:v>
      </x:c>
      <x:c r="D3592" s="1" t="str">
        <x:v>Marca</x:v>
      </x:c>
      <x:c r="E3592" s="35" t="n">
        <x:v>1</x:v>
      </x:c>
      <x:c r="F3592" s="36"/>
      <x:c r="G3592" s="36" t="str">
        <x:f>IF(ISNUMBER(F3592),E3592*F3592,"")</x:f>
      </x:c>
      <x:c r="H3592" s="37"/>
      <x:c r="I3592" s="37"/>
      <x:c r="J3592" s="1" t="n">
        <x:f>IF(ISNUMBER(F3592),E3592,0)</x:f>
        <x:v>0</x:v>
      </x:c>
      <x:c r="K3592" s="1"/>
      <x:c r="L3592" s="1"/>
      <x:c r="M3592" s="1"/>
    </x:row>
    <x:row r="3593" ht="18.75" customHeight="1">
      <x:c r="A3593" s="1" t="str">
        <x:v>https://blog.skyairline.com/sky-plus/</x:v>
      </x:c>
      <x:c r="B3593" s="1" t="str">
        <x:v>que es sky plus</x:v>
      </x:c>
      <x:c r="C3593" s="1" t="str">
        <x:v>per</x:v>
      </x:c>
      <x:c r="D3593" s="1" t="str">
        <x:v>Marca</x:v>
      </x:c>
      <x:c r="E3593" s="35" t="n">
        <x:v>1</x:v>
      </x:c>
      <x:c r="F3593" s="36" t="n">
        <x:v>1.3</x:v>
      </x:c>
      <x:c r="G3593" s="36" t="n">
        <x:f>IF(ISNUMBER(F3593),E3593*F3593,"")</x:f>
        <x:v>1.3</x:v>
      </x:c>
      <x:c r="H3593" s="37" t="d">
        <x:v>2026-10-15T00:00:00.000Z</x:v>
      </x:c>
      <x:c r="I3593" s="37" t="d">
        <x:v>2026-09-17T08:48:59.000Z</x:v>
      </x:c>
      <x:c r="J3593" s="1" t="n">
        <x:f>IF(ISNUMBER(F3593),E3593,0)</x:f>
        <x:v>1</x:v>
      </x:c>
      <x:c r="K3593" s="1"/>
      <x:c r="L3593" s="1"/>
      <x:c r="M3593" s="1"/>
    </x:row>
    <x:row r="3594" ht="18.75" customHeight="1">
      <x:c r="A3594" s="1" t="str">
        <x:v>https://blog.skyairline.com/sky-plus/</x:v>
      </x:c>
      <x:c r="B3594" s="1" t="str">
        <x:v>sky beneficios</x:v>
      </x:c>
      <x:c r="C3594" s="1" t="str">
        <x:v>chl</x:v>
      </x:c>
      <x:c r="D3594" s="1" t="str">
        <x:v>Marca</x:v>
      </x:c>
      <x:c r="E3594" s="35" t="n">
        <x:v>1</x:v>
      </x:c>
      <x:c r="F3594" s="36" t="n">
        <x:v>0.82</x:v>
      </x:c>
      <x:c r="G3594" s="36" t="n">
        <x:f>IF(ISNUMBER(F3594),E3594*F3594,"")</x:f>
        <x:v>0.82</x:v>
      </x:c>
      <x:c r="H3594" s="37" t="d">
        <x:v>2026-10-15T00:00:00.000Z</x:v>
      </x:c>
      <x:c r="I3594" s="37" t="d">
        <x:v>2026-09-17T15:22:56.000Z</x:v>
      </x:c>
      <x:c r="J3594" s="1" t="n">
        <x:f>IF(ISNUMBER(F3594),E3594,0)</x:f>
        <x:v>1</x:v>
      </x:c>
      <x:c r="K3594" s="1"/>
      <x:c r="L3594" s="1"/>
      <x:c r="M3594" s="1"/>
    </x:row>
    <x:row r="3595" ht="18.75" customHeight="1">
      <x:c r="A3595" s="1" t="str">
        <x:v>https://blog.skyairline.com/sky-plus/</x:v>
      </x:c>
      <x:c r="B3595" s="1" t="str">
        <x:v>sky membresia</x:v>
      </x:c>
      <x:c r="C3595" s="1" t="str">
        <x:v>per</x:v>
      </x:c>
      <x:c r="D3595" s="1" t="str">
        <x:v>Marca</x:v>
      </x:c>
      <x:c r="E3595" s="35" t="n">
        <x:v>1</x:v>
      </x:c>
      <x:c r="F3595" s="36"/>
      <x:c r="G3595" s="36" t="str">
        <x:f>IF(ISNUMBER(F3595),E3595*F3595,"")</x:f>
      </x:c>
      <x:c r="H3595" s="37"/>
      <x:c r="I3595" s="37"/>
      <x:c r="J3595" s="1" t="n">
        <x:f>IF(ISNUMBER(F3595),E3595,0)</x:f>
        <x:v>0</x:v>
      </x:c>
      <x:c r="K3595" s="1"/>
      <x:c r="L3595" s="1"/>
      <x:c r="M3595" s="1"/>
    </x:row>
    <x:row r="3596" ht="18.75" customHeight="1">
      <x:c r="A3596" s="1" t="str">
        <x:v>https://blog.skyairline.com/sky-plus/</x:v>
      </x:c>
      <x:c r="B3596" s="1" t="str">
        <x:v>sky millas</x:v>
      </x:c>
      <x:c r="C3596" s="1" t="str">
        <x:v>chl</x:v>
      </x:c>
      <x:c r="D3596" s="1" t="str">
        <x:v>Marca</x:v>
      </x:c>
      <x:c r="E3596" s="35" t="n">
        <x:v>1</x:v>
      </x:c>
      <x:c r="F3596" s="36"/>
      <x:c r="G3596" s="36" t="str">
        <x:f>IF(ISNUMBER(F3596),E3596*F3596,"")</x:f>
      </x:c>
      <x:c r="H3596" s="37"/>
      <x:c r="I3596" s="37"/>
      <x:c r="J3596" s="1" t="n">
        <x:f>IF(ISNUMBER(F3596),E3596,0)</x:f>
        <x:v>0</x:v>
      </x:c>
      <x:c r="K3596" s="1"/>
      <x:c r="L3596" s="1"/>
      <x:c r="M3596" s="1"/>
    </x:row>
    <x:row r="3597" ht="18.75" customHeight="1">
      <x:c r="A3597" s="1" t="str">
        <x:v>https://blog.skyairline.com/sky-plus/</x:v>
      </x:c>
      <x:c r="B3597" s="1" t="str">
        <x:v>sky millas</x:v>
      </x:c>
      <x:c r="C3597" s="1" t="str">
        <x:v>esp</x:v>
      </x:c>
      <x:c r="D3597" s="1" t="str">
        <x:v>Marca</x:v>
      </x:c>
      <x:c r="E3597" s="35" t="n">
        <x:v>1</x:v>
      </x:c>
      <x:c r="F3597" s="36"/>
      <x:c r="G3597" s="36" t="str">
        <x:f>IF(ISNUMBER(F3597),E3597*F3597,"")</x:f>
      </x:c>
      <x:c r="H3597" s="37"/>
      <x:c r="I3597" s="37"/>
      <x:c r="J3597" s="1" t="n">
        <x:f>IF(ISNUMBER(F3597),E3597,0)</x:f>
        <x:v>0</x:v>
      </x:c>
      <x:c r="K3597" s="1"/>
      <x:c r="L3597" s="1"/>
      <x:c r="M3597" s="1"/>
    </x:row>
    <x:row r="3598" ht="18.75" customHeight="1">
      <x:c r="A3598" s="1" t="str">
        <x:v>https://blog.skyairline.com/sky-plus/</x:v>
      </x:c>
      <x:c r="B3598" s="1" t="str">
        <x:v>sky numero de pasajero frecuente</x:v>
      </x:c>
      <x:c r="C3598" s="1" t="str">
        <x:v>chl</x:v>
      </x:c>
      <x:c r="D3598" s="1" t="str">
        <x:v>Marca</x:v>
      </x:c>
      <x:c r="E3598" s="35" t="n">
        <x:v>1</x:v>
      </x:c>
      <x:c r="F3598" s="36"/>
      <x:c r="G3598" s="36" t="str">
        <x:f>IF(ISNUMBER(F3598),E3598*F3598,"")</x:f>
      </x:c>
      <x:c r="H3598" s="37"/>
      <x:c r="I3598" s="37"/>
      <x:c r="J3598" s="1" t="n">
        <x:f>IF(ISNUMBER(F3598),E3598,0)</x:f>
        <x:v>0</x:v>
      </x:c>
      <x:c r="K3598" s="1"/>
      <x:c r="L3598" s="1"/>
      <x:c r="M3598" s="1"/>
    </x:row>
    <x:row r="3599" ht="18.75" customHeight="1">
      <x:c r="A3599" s="1" t="str">
        <x:v>https://blog.skyairline.com/sky-plus/</x:v>
      </x:c>
      <x:c r="B3599" s="1" t="str">
        <x:v>sky pasajero frecuente</x:v>
      </x:c>
      <x:c r="C3599" s="1" t="str">
        <x:v>arg</x:v>
      </x:c>
      <x:c r="D3599" s="1" t="str">
        <x:v>Marca</x:v>
      </x:c>
      <x:c r="E3599" s="35" t="n">
        <x:v>1</x:v>
      </x:c>
      <x:c r="F3599" s="36"/>
      <x:c r="G3599" s="36" t="str">
        <x:f>IF(ISNUMBER(F3599),E3599*F3599,"")</x:f>
      </x:c>
      <x:c r="H3599" s="37"/>
      <x:c r="I3599" s="37"/>
      <x:c r="J3599" s="1" t="n">
        <x:f>IF(ISNUMBER(F3599),E3599,0)</x:f>
        <x:v>0</x:v>
      </x:c>
      <x:c r="K3599" s="1"/>
      <x:c r="L3599" s="1"/>
      <x:c r="M3599" s="1"/>
    </x:row>
    <x:row r="3600" ht="18.75" customHeight="1">
      <x:c r="A3600" s="1" t="str">
        <x:v>https://blog.skyairline.com/sky-plus/</x:v>
      </x:c>
      <x:c r="B3600" s="1" t="str">
        <x:v>sky pasajero frecuente</x:v>
      </x:c>
      <x:c r="C3600" s="1" t="str">
        <x:v>per</x:v>
      </x:c>
      <x:c r="D3600" s="1" t="str">
        <x:v>Marca</x:v>
      </x:c>
      <x:c r="E3600" s="35" t="n">
        <x:v>1</x:v>
      </x:c>
      <x:c r="F3600" s="36" t="n">
        <x:v>0.19</x:v>
      </x:c>
      <x:c r="G3600" s="36" t="n">
        <x:f>IF(ISNUMBER(F3600),E3600*F3600,"")</x:f>
        <x:v>0.19</x:v>
      </x:c>
      <x:c r="H3600" s="37" t="d">
        <x:v>2026-10-15T00:00:00.000Z</x:v>
      </x:c>
      <x:c r="I3600" s="37" t="d">
        <x:v>2026-09-17T10:24:35.000Z</x:v>
      </x:c>
      <x:c r="J3600" s="1" t="n">
        <x:f>IF(ISNUMBER(F3600),E3600,0)</x:f>
        <x:v>1</x:v>
      </x:c>
      <x:c r="K3600" s="1"/>
      <x:c r="L3600" s="1"/>
      <x:c r="M3600" s="1"/>
    </x:row>
    <x:row r="3601" ht="18.75" customHeight="1">
      <x:c r="A3601" s="1" t="str">
        <x:v>https://blog.skyairline.com/sky-plus/</x:v>
      </x:c>
      <x:c r="B3601" s="1" t="str">
        <x:v>sky platinum</x:v>
      </x:c>
      <x:c r="C3601" s="1" t="str">
        <x:v>arg</x:v>
      </x:c>
      <x:c r="D3601" s="1" t="str">
        <x:v>Marca</x:v>
      </x:c>
      <x:c r="E3601" s="35" t="n">
        <x:v>1</x:v>
      </x:c>
      <x:c r="F3601" s="36"/>
      <x:c r="G3601" s="36" t="str">
        <x:f>IF(ISNUMBER(F3601),E3601*F3601,"")</x:f>
      </x:c>
      <x:c r="H3601" s="37"/>
      <x:c r="I3601" s="37"/>
      <x:c r="J3601" s="1" t="n">
        <x:f>IF(ISNUMBER(F3601),E3601,0)</x:f>
        <x:v>0</x:v>
      </x:c>
      <x:c r="K3601" s="1"/>
      <x:c r="L3601" s="1"/>
      <x:c r="M3601" s="1"/>
    </x:row>
    <x:row r="3602" ht="18.75" customHeight="1">
      <x:c r="A3602" s="1" t="str">
        <x:v>https://blog.skyairline.com/sky-plus/</x:v>
      </x:c>
      <x:c r="B3602" s="1" t="str">
        <x:v>sky plis</x:v>
      </x:c>
      <x:c r="C3602" s="1" t="str">
        <x:v>chl</x:v>
      </x:c>
      <x:c r="D3602" s="1" t="str">
        <x:v>Marca</x:v>
      </x:c>
      <x:c r="E3602" s="35" t="n">
        <x:v>1</x:v>
      </x:c>
      <x:c r="F3602" s="36"/>
      <x:c r="G3602" s="36" t="str">
        <x:f>IF(ISNUMBER(F3602),E3602*F3602,"")</x:f>
      </x:c>
      <x:c r="H3602" s="37"/>
      <x:c r="I3602" s="37"/>
      <x:c r="J3602" s="1" t="n">
        <x:f>IF(ISNUMBER(F3602),E3602,0)</x:f>
        <x:v>0</x:v>
      </x:c>
      <x:c r="K3602" s="1"/>
      <x:c r="L3602" s="1"/>
      <x:c r="M3602" s="1"/>
    </x:row>
    <x:row r="3603" ht="18.75" customHeight="1">
      <x:c r="A3603" s="1" t="str">
        <x:v>https://blog.skyairline.com/sky-plus/</x:v>
      </x:c>
      <x:c r="B3603" s="1" t="str">
        <x:v>sky plus</x:v>
      </x:c>
      <x:c r="C3603" s="1" t="str">
        <x:v>ury</x:v>
      </x:c>
      <x:c r="D3603" s="1" t="str">
        <x:v>Marca</x:v>
      </x:c>
      <x:c r="E3603" s="35" t="n">
        <x:v>1</x:v>
      </x:c>
      <x:c r="F3603" s="36"/>
      <x:c r="G3603" s="36" t="str">
        <x:f>IF(ISNUMBER(F3603),E3603*F3603,"")</x:f>
      </x:c>
      <x:c r="H3603" s="37"/>
      <x:c r="I3603" s="37"/>
      <x:c r="J3603" s="1" t="n">
        <x:f>IF(ISNUMBER(F3603),E3603,0)</x:f>
        <x:v>0</x:v>
      </x:c>
      <x:c r="K3603" s="1"/>
      <x:c r="L3603" s="1"/>
      <x:c r="M3603" s="1"/>
    </x:row>
    <x:row r="3604" ht="18.75" customHeight="1">
      <x:c r="A3604" s="1" t="str">
        <x:v>https://blog.skyairline.com/sky-plus/</x:v>
      </x:c>
      <x:c r="B3604" s="1" t="str">
        <x:v>sky plus banco de chile</x:v>
      </x:c>
      <x:c r="C3604" s="1" t="str">
        <x:v>chl</x:v>
      </x:c>
      <x:c r="D3604" s="1" t="str">
        <x:v>Marca</x:v>
      </x:c>
      <x:c r="E3604" s="35" t="n">
        <x:v>1</x:v>
      </x:c>
      <x:c r="F3604" s="36"/>
      <x:c r="G3604" s="36" t="str">
        <x:f>IF(ISNUMBER(F3604),E3604*F3604,"")</x:f>
      </x:c>
      <x:c r="H3604" s="37" t="d">
        <x:v>2026-10-15T00:00:00.000Z</x:v>
      </x:c>
      <x:c r="I3604" s="37" t="d">
        <x:v>2026-09-15T07:50:28.000Z</x:v>
      </x:c>
      <x:c r="J3604" s="1" t="n">
        <x:f>IF(ISNUMBER(F3604),E3604,0)</x:f>
        <x:v>0</x:v>
      </x:c>
      <x:c r="K3604" s="1"/>
      <x:c r="L3604" s="1"/>
      <x:c r="M3604" s="1"/>
    </x:row>
    <x:row r="3605" ht="18.75" customHeight="1">
      <x:c r="A3605" s="1" t="str">
        <x:v>https://blog.skyairline.com/sky-plus/</x:v>
      </x:c>
      <x:c r="B3605" s="1" t="str">
        <x:v>sky plus beneficios</x:v>
      </x:c>
      <x:c r="C3605" s="1" t="str">
        <x:v>chl</x:v>
      </x:c>
      <x:c r="D3605" s="1" t="str">
        <x:v>Marca</x:v>
      </x:c>
      <x:c r="E3605" s="35" t="n">
        <x:v>1</x:v>
      </x:c>
      <x:c r="F3605" s="36" t="n">
        <x:v>0.79</x:v>
      </x:c>
      <x:c r="G3605" s="36" t="n">
        <x:f>IF(ISNUMBER(F3605),E3605*F3605,"")</x:f>
        <x:v>0.79</x:v>
      </x:c>
      <x:c r="H3605" s="37" t="d">
        <x:v>2026-10-15T00:00:00.000Z</x:v>
      </x:c>
      <x:c r="I3605" s="37" t="d">
        <x:v>2026-09-14T20:57:03.000Z</x:v>
      </x:c>
      <x:c r="J3605" s="1" t="n">
        <x:f>IF(ISNUMBER(F3605),E3605,0)</x:f>
        <x:v>1</x:v>
      </x:c>
      <x:c r="K3605" s="1"/>
      <x:c r="L3605" s="1"/>
      <x:c r="M3605" s="1"/>
    </x:row>
    <x:row r="3606" ht="18.75" customHeight="1">
      <x:c r="A3606" s="1" t="str">
        <x:v>https://blog.skyairline.com/sky-plus/</x:v>
      </x:c>
      <x:c r="B3606" s="1" t="str">
        <x:v>sky plus chile</x:v>
      </x:c>
      <x:c r="C3606" s="1" t="str">
        <x:v>arg</x:v>
      </x:c>
      <x:c r="D3606" s="1" t="str">
        <x:v>Marca</x:v>
      </x:c>
      <x:c r="E3606" s="35" t="n">
        <x:v>1</x:v>
      </x:c>
      <x:c r="F3606" s="36"/>
      <x:c r="G3606" s="36" t="str">
        <x:f>IF(ISNUMBER(F3606),E3606*F3606,"")</x:f>
      </x:c>
      <x:c r="H3606" s="37"/>
      <x:c r="I3606" s="37"/>
      <x:c r="J3606" s="1" t="n">
        <x:f>IF(ISNUMBER(F3606),E3606,0)</x:f>
        <x:v>0</x:v>
      </x:c>
      <x:c r="K3606" s="1"/>
      <x:c r="L3606" s="1"/>
      <x:c r="M3606" s="1"/>
    </x:row>
    <x:row r="3607" ht="18.75" customHeight="1">
      <x:c r="A3607" s="1" t="str">
        <x:v>https://blog.skyairline.com/sky-plus/</x:v>
      </x:c>
      <x:c r="B3607" s="1" t="str">
        <x:v>sky plus cobre</x:v>
      </x:c>
      <x:c r="C3607" s="1" t="str">
        <x:v>chl</x:v>
      </x:c>
      <x:c r="D3607" s="1" t="str">
        <x:v>Marca</x:v>
      </x:c>
      <x:c r="E3607" s="35" t="n">
        <x:v>1</x:v>
      </x:c>
      <x:c r="F3607" s="36" t="n">
        <x:v>1.57</x:v>
      </x:c>
      <x:c r="G3607" s="36" t="n">
        <x:f>IF(ISNUMBER(F3607),E3607*F3607,"")</x:f>
        <x:v>1.57</x:v>
      </x:c>
      <x:c r="H3607" s="37" t="d">
        <x:v>2026-10-15T00:00:00.000Z</x:v>
      </x:c>
      <x:c r="I3607" s="37" t="d">
        <x:v>2026-09-16T11:01:49.000Z</x:v>
      </x:c>
      <x:c r="J3607" s="1" t="n">
        <x:f>IF(ISNUMBER(F3607),E3607,0)</x:f>
        <x:v>1</x:v>
      </x:c>
      <x:c r="K3607" s="1"/>
      <x:c r="L3607" s="1"/>
      <x:c r="M3607" s="1"/>
    </x:row>
    <x:row r="3608" ht="18.75" customHeight="1">
      <x:c r="A3608" s="1" t="str">
        <x:v>https://blog.skyairline.com/sky-plus/</x:v>
      </x:c>
      <x:c r="B3608" s="1" t="str">
        <x:v>sky plus cobre beneficios</x:v>
      </x:c>
      <x:c r="C3608" s="1" t="str">
        <x:v>per</x:v>
      </x:c>
      <x:c r="D3608" s="1" t="str">
        <x:v>Marca</x:v>
      </x:c>
      <x:c r="E3608" s="35" t="n">
        <x:v>1</x:v>
      </x:c>
      <x:c r="F3608" s="36"/>
      <x:c r="G3608" s="36" t="str">
        <x:f>IF(ISNUMBER(F3608),E3608*F3608,"")</x:f>
      </x:c>
      <x:c r="H3608" s="37"/>
      <x:c r="I3608" s="37"/>
      <x:c r="J3608" s="1" t="n">
        <x:f>IF(ISNUMBER(F3608),E3608,0)</x:f>
        <x:v>0</x:v>
      </x:c>
      <x:c r="K3608" s="1"/>
      <x:c r="L3608" s="1"/>
      <x:c r="M3608" s="1"/>
    </x:row>
    <x:row r="3609" ht="18.75" customHeight="1">
      <x:c r="A3609" s="1" t="str">
        <x:v>https://blog.skyairline.com/sky-plus/</x:v>
      </x:c>
      <x:c r="B3609" s="1" t="str">
        <x:v>sky plus niveles</x:v>
      </x:c>
      <x:c r="C3609" s="1" t="str">
        <x:v>per</x:v>
      </x:c>
      <x:c r="D3609" s="1" t="str">
        <x:v>Marca</x:v>
      </x:c>
      <x:c r="E3609" s="35" t="n">
        <x:v>1</x:v>
      </x:c>
      <x:c r="F3609" s="36"/>
      <x:c r="G3609" s="36" t="str">
        <x:f>IF(ISNUMBER(F3609),E3609*F3609,"")</x:f>
      </x:c>
      <x:c r="H3609" s="37"/>
      <x:c r="I3609" s="37"/>
      <x:c r="J3609" s="1" t="n">
        <x:f>IF(ISNUMBER(F3609),E3609,0)</x:f>
        <x:v>0</x:v>
      </x:c>
      <x:c r="K3609" s="1"/>
      <x:c r="L3609" s="1"/>
      <x:c r="M3609" s="1"/>
    </x:row>
    <x:row r="3610" ht="18.75" customHeight="1">
      <x:c r="A3610" s="1" t="str">
        <x:v>https://blog.skyairline.com/sky-plus/</x:v>
      </x:c>
      <x:c r="B3610" s="1" t="str">
        <x:v>sky plus platino</x:v>
      </x:c>
      <x:c r="C3610" s="1" t="str">
        <x:v>per</x:v>
      </x:c>
      <x:c r="D3610" s="1" t="str">
        <x:v>Marca</x:v>
      </x:c>
      <x:c r="E3610" s="35" t="n">
        <x:v>1</x:v>
      </x:c>
      <x:c r="F3610" s="36"/>
      <x:c r="G3610" s="36" t="str">
        <x:f>IF(ISNUMBER(F3610),E3610*F3610,"")</x:f>
      </x:c>
      <x:c r="H3610" s="37" t="d">
        <x:v>2026-10-15T00:00:00.000Z</x:v>
      </x:c>
      <x:c r="I3610" s="37" t="d">
        <x:v>2026-09-17T11:45:56.000Z</x:v>
      </x:c>
      <x:c r="J3610" s="1" t="n">
        <x:f>IF(ISNUMBER(F3610),E3610,0)</x:f>
        <x:v>0</x:v>
      </x:c>
      <x:c r="K3610" s="1"/>
      <x:c r="L3610" s="1"/>
      <x:c r="M3610" s="1"/>
    </x:row>
    <x:row r="3611" ht="18.75" customHeight="1">
      <x:c r="A3611" s="1" t="str">
        <x:v>https://blog.skyairline.com/sky-plus/</x:v>
      </x:c>
      <x:c r="B3611" s="1" t="str">
        <x:v>sky plus que es</x:v>
      </x:c>
      <x:c r="C3611" s="1" t="str">
        <x:v>per</x:v>
      </x:c>
      <x:c r="D3611" s="1" t="str">
        <x:v>Marca</x:v>
      </x:c>
      <x:c r="E3611" s="35" t="n">
        <x:v>1</x:v>
      </x:c>
      <x:c r="F3611" s="36"/>
      <x:c r="G3611" s="36" t="str">
        <x:f>IF(ISNUMBER(F3611),E3611*F3611,"")</x:f>
      </x:c>
      <x:c r="H3611" s="37"/>
      <x:c r="I3611" s="37"/>
      <x:c r="J3611" s="1" t="n">
        <x:f>IF(ISNUMBER(F3611),E3611,0)</x:f>
        <x:v>0</x:v>
      </x:c>
      <x:c r="K3611" s="1"/>
      <x:c r="L3611" s="1"/>
      <x:c r="M3611" s="1"/>
    </x:row>
    <x:row r="3612" ht="18.75" customHeight="1">
      <x:c r="A3612" s="1" t="str">
        <x:v>https://blog.skyairline.com/sky-plus/</x:v>
      </x:c>
      <x:c r="B3612" s="1" t="str">
        <x:v>sky plus.</x:v>
      </x:c>
      <x:c r="C3612" s="1" t="str">
        <x:v>chl</x:v>
      </x:c>
      <x:c r="D3612" s="1" t="str">
        <x:v>Marca</x:v>
      </x:c>
      <x:c r="E3612" s="35" t="n">
        <x:v>1</x:v>
      </x:c>
      <x:c r="F3612" s="36"/>
      <x:c r="G3612" s="36" t="str">
        <x:f>IF(ISNUMBER(F3612),E3612*F3612,"")</x:f>
      </x:c>
      <x:c r="H3612" s="37"/>
      <x:c r="I3612" s="37"/>
      <x:c r="J3612" s="1" t="n">
        <x:f>IF(ISNUMBER(F3612),E3612,0)</x:f>
        <x:v>0</x:v>
      </x:c>
      <x:c r="K3612" s="1"/>
      <x:c r="L3612" s="1"/>
      <x:c r="M3612" s="1"/>
    </x:row>
    <x:row r="3613" ht="18.75" customHeight="1">
      <x:c r="A3613" s="1" t="str">
        <x:v>https://blog.skyairline.com/sky-plus/</x:v>
      </x:c>
      <x:c r="B3613" s="1" t="str">
        <x:v>sky premium</x:v>
      </x:c>
      <x:c r="C3613" s="1" t="str">
        <x:v>per</x:v>
      </x:c>
      <x:c r="D3613" s="1" t="str">
        <x:v>Marca</x:v>
      </x:c>
      <x:c r="E3613" s="35" t="n">
        <x:v>1</x:v>
      </x:c>
      <x:c r="F3613" s="36"/>
      <x:c r="G3613" s="36" t="str">
        <x:f>IF(ISNUMBER(F3613),E3613*F3613,"")</x:f>
      </x:c>
      <x:c r="H3613" s="37"/>
      <x:c r="I3613" s="37"/>
      <x:c r="J3613" s="1" t="n">
        <x:f>IF(ISNUMBER(F3613),E3613,0)</x:f>
        <x:v>0</x:v>
      </x:c>
      <x:c r="K3613" s="1"/>
      <x:c r="L3613" s="1"/>
      <x:c r="M3613" s="1"/>
    </x:row>
    <x:row r="3614" ht="18.75" customHeight="1">
      <x:c r="A3614" s="1" t="str">
        <x:v>https://blog.skyairline.com/sky-plus/</x:v>
      </x:c>
      <x:c r="B3614" s="1" t="str">
        <x:v>skyplus platino</x:v>
      </x:c>
      <x:c r="C3614" s="1" t="str">
        <x:v>chl</x:v>
      </x:c>
      <x:c r="D3614" s="1" t="str">
        <x:v>Sin marca</x:v>
      </x:c>
      <x:c r="E3614" s="35" t="n">
        <x:v>1</x:v>
      </x:c>
      <x:c r="F3614" s="36" t="n">
        <x:v>0.75</x:v>
      </x:c>
      <x:c r="G3614" s="36" t="n">
        <x:f>IF(ISNUMBER(F3614),E3614*F3614,"")</x:f>
        <x:v>0.75</x:v>
      </x:c>
      <x:c r="H3614" s="37" t="d">
        <x:v>2026-10-15T00:00:00.000Z</x:v>
      </x:c>
      <x:c r="I3614" s="37" t="d">
        <x:v>2026-09-13T00:15:11.000Z</x:v>
      </x:c>
      <x:c r="J3614" s="1" t="n">
        <x:f>IF(ISNUMBER(F3614),E3614,0)</x:f>
        <x:v>1</x:v>
      </x:c>
      <x:c r="K3614" s="1"/>
      <x:c r="L3614" s="1"/>
      <x:c r="M3614" s="1"/>
    </x:row>
    <x:row r="3615" ht="18.75" customHeight="1">
      <x:c r="A3615" s="1" t="str">
        <x:v>https://blog.skyairline.com/sky-plus/</x:v>
      </x:c>
      <x:c r="B3615" s="1" t="str">
        <x:v>skypluss</x:v>
      </x:c>
      <x:c r="C3615" s="1" t="str">
        <x:v>chl</x:v>
      </x:c>
      <x:c r="D3615" s="1" t="str">
        <x:v>Sin marca</x:v>
      </x:c>
      <x:c r="E3615" s="35" t="n">
        <x:v>1</x:v>
      </x:c>
      <x:c r="F3615" s="36"/>
      <x:c r="G3615" s="36" t="str">
        <x:f>IF(ISNUMBER(F3615),E3615*F3615,"")</x:f>
      </x:c>
      <x:c r="H3615" s="37"/>
      <x:c r="I3615" s="37"/>
      <x:c r="J3615" s="1" t="n">
        <x:f>IF(ISNUMBER(F3615),E3615,0)</x:f>
        <x:v>0</x:v>
      </x:c>
      <x:c r="K3615" s="1"/>
      <x:c r="L3615" s="1"/>
      <x:c r="M3615" s="1"/>
    </x:row>
    <x:row r="3616" ht="18.75" customHeight="1">
      <x:c r="A3616" s="1" t="str">
        <x:v>https://blog.skyairline.com/sky-plus/</x:v>
      </x:c>
      <x:c r="B3616" s="1" t="str">
        <x:v>skypuntos</x:v>
      </x:c>
      <x:c r="C3616" s="1" t="str">
        <x:v>chl</x:v>
      </x:c>
      <x:c r="D3616" s="1" t="str">
        <x:v>Sin marca</x:v>
      </x:c>
      <x:c r="E3616" s="35" t="n">
        <x:v>1</x:v>
      </x:c>
      <x:c r="F3616" s="36"/>
      <x:c r="G3616" s="36" t="str">
        <x:f>IF(ISNUMBER(F3616),E3616*F3616,"")</x:f>
      </x:c>
      <x:c r="H3616" s="37"/>
      <x:c r="I3616" s="37"/>
      <x:c r="J3616" s="1" t="n">
        <x:f>IF(ISNUMBER(F3616),E3616,0)</x:f>
        <x:v>0</x:v>
      </x:c>
      <x:c r="K3616" s="1"/>
      <x:c r="L3616" s="1"/>
      <x:c r="M3616" s="1"/>
    </x:row>
    <x:row r="3617" ht="18.75" customHeight="1">
      <x:c r="A3617" s="1" t="str">
        <x:v>https://blog.skyairline.com/sky-plus/</x:v>
      </x:c>
      <x:c r="B3617" s="1" t="str">
        <x:v>tengo una visa signature</x:v>
      </x:c>
      <x:c r="C3617" s="1" t="str">
        <x:v>chl</x:v>
      </x:c>
      <x:c r="D3617" s="1" t="str">
        <x:v>Sin marca</x:v>
      </x:c>
      <x:c r="E3617" s="35" t="n">
        <x:v>1</x:v>
      </x:c>
      <x:c r="F3617" s="36"/>
      <x:c r="G3617" s="36" t="str">
        <x:f>IF(ISNUMBER(F3617),E3617*F3617,"")</x:f>
      </x:c>
      <x:c r="H3617" s="37"/>
      <x:c r="I3617" s="37"/>
      <x:c r="J3617" s="1" t="n">
        <x:f>IF(ISNUMBER(F3617),E3617,0)</x:f>
        <x:v>0</x:v>
      </x:c>
      <x:c r="K3617" s="1"/>
      <x:c r="L3617" s="1"/>
      <x:c r="M3617" s="1"/>
    </x:row>
    <x:row r="3618" ht="18.75" customHeight="1">
      <x:c r="A3618" s="1" t="str">
        <x:v>https://blog.skyairline.com/sky-plus/</x:v>
      </x:c>
      <x:c r="B3618" s="1" t="str">
        <x:v>y sky?</x:v>
      </x:c>
      <x:c r="C3618" s="1" t="str">
        <x:v>per</x:v>
      </x:c>
      <x:c r="D3618" s="1" t="str">
        <x:v>Marca</x:v>
      </x:c>
      <x:c r="E3618" s="35" t="n">
        <x:v>1</x:v>
      </x:c>
      <x:c r="F3618" s="36"/>
      <x:c r="G3618" s="36" t="str">
        <x:f>IF(ISNUMBER(F3618),E3618*F3618,"")</x:f>
      </x:c>
      <x:c r="H3618" s="37"/>
      <x:c r="I3618" s="37"/>
      <x:c r="J3618" s="1" t="n">
        <x:f>IF(ISNUMBER(F3618),E3618,0)</x:f>
        <x:v>0</x:v>
      </x:c>
      <x:c r="K3618" s="1"/>
      <x:c r="L3618" s="1"/>
      <x:c r="M3618" s="1"/>
    </x:row>
    <x:row r="3619" ht="18.75" customHeight="1">
      <x:c r="A3619" s="1" t="str">
        <x:v>https://blog.skyairline.com/sky-recibe-el-avion-mas-eficiente-ecologico-y-con-mayor-capacidad-para-trasladar-pasajeros/</x:v>
      </x:c>
      <x:c r="B3619" s="1" t="str">
        <x:v>a321 sky</x:v>
      </x:c>
      <x:c r="C3619" s="1" t="str">
        <x:v>chl</x:v>
      </x:c>
      <x:c r="D3619" s="1" t="str">
        <x:v>Marca</x:v>
      </x:c>
      <x:c r="E3619" s="35" t="n">
        <x:v>1</x:v>
      </x:c>
      <x:c r="F3619" s="36"/>
      <x:c r="G3619" s="36" t="str">
        <x:f>IF(ISNUMBER(F3619),E3619*F3619,"")</x:f>
      </x:c>
      <x:c r="H3619" s="37"/>
      <x:c r="I3619" s="37"/>
      <x:c r="J3619" s="1" t="n">
        <x:f>IF(ISNUMBER(F3619),E3619,0)</x:f>
        <x:v>0</x:v>
      </x:c>
      <x:c r="K3619" s="1"/>
      <x:c r="L3619" s="1"/>
      <x:c r="M3619" s="1"/>
    </x:row>
    <x:row r="3620" ht="18.75" customHeight="1">
      <x:c r="A3620" s="1" t="str">
        <x:v>https://blog.skyairline.com/sky-recibe-el-avion-mas-eficiente-ecologico-y-con-mayor-capacidad-para-trasladar-pasajeros/</x:v>
      </x:c>
      <x:c r="B3620" s="1" t="str">
        <x:v>sky airline airbus a321neo</x:v>
      </x:c>
      <x:c r="C3620" s="1" t="str">
        <x:v>chl</x:v>
      </x:c>
      <x:c r="D3620" s="1" t="str">
        <x:v>Marca</x:v>
      </x:c>
      <x:c r="E3620" s="35" t="n">
        <x:v>1</x:v>
      </x:c>
      <x:c r="F3620" s="36"/>
      <x:c r="G3620" s="36" t="str">
        <x:f>IF(ISNUMBER(F3620),E3620*F3620,"")</x:f>
      </x:c>
      <x:c r="H3620" s="37"/>
      <x:c r="I3620" s="37"/>
      <x:c r="J3620" s="1" t="n">
        <x:f>IF(ISNUMBER(F3620),E3620,0)</x:f>
        <x:v>0</x:v>
      </x:c>
      <x:c r="K3620" s="1"/>
      <x:c r="L3620" s="1"/>
      <x:c r="M3620" s="1"/>
    </x:row>
    <x:row r="3621" ht="18.75" customHeight="1">
      <x:c r="A3621" s="1" t="str">
        <x:v>https://blog.skyairline.com/sky-revela-el-lado-menos-visible-de-sus-tripulantes-de-cabina/</x:v>
      </x:c>
      <x:c r="B3621" s="1" t="str">
        <x:v>sky tripulante de cabina</x:v>
      </x:c>
      <x:c r="C3621" s="1" t="str">
        <x:v>per</x:v>
      </x:c>
      <x:c r="D3621" s="1" t="str">
        <x:v>Marca</x:v>
      </x:c>
      <x:c r="E3621" s="35" t="n">
        <x:v>1</x:v>
      </x:c>
      <x:c r="F3621" s="36" t="n">
        <x:v>0.58</x:v>
      </x:c>
      <x:c r="G3621" s="36" t="n">
        <x:f>IF(ISNUMBER(F3621),E3621*F3621,"")</x:f>
        <x:v>0.58</x:v>
      </x:c>
      <x:c r="H3621" s="37" t="d">
        <x:v>2026-10-15T00:00:00.000Z</x:v>
      </x:c>
      <x:c r="I3621" s="37" t="d">
        <x:v>2026-09-17T09:37:17.000Z</x:v>
      </x:c>
      <x:c r="J3621" s="1" t="n">
        <x:f>IF(ISNUMBER(F3621),E3621,0)</x:f>
        <x:v>1</x:v>
      </x:c>
      <x:c r="K3621" s="1"/>
      <x:c r="L3621" s="1"/>
      <x:c r="M3621" s="1"/>
    </x:row>
    <x:row r="3622" ht="18.75" customHeight="1">
      <x:c r="A3622" s="1" t="str">
        <x:v>https://blog.skyairline.com/sky-suma-nueva-conexion-de-buenos-aires-a-miami-2/</x:v>
      </x:c>
      <x:c r="B3622" s="1" t="str">
        <x:v>sky</x:v>
      </x:c>
      <x:c r="C3622" s="1" t="str">
        <x:v>arg</x:v>
      </x:c>
      <x:c r="D3622" s="1" t="str">
        <x:v>Marca</x:v>
      </x:c>
      <x:c r="E3622" s="35" t="n">
        <x:v>1</x:v>
      </x:c>
      <x:c r="F3622" s="36"/>
      <x:c r="G3622" s="36" t="str">
        <x:f>IF(ISNUMBER(F3622),E3622*F3622,"")</x:f>
      </x:c>
      <x:c r="H3622" s="37"/>
      <x:c r="I3622" s="37"/>
      <x:c r="J3622" s="1" t="n">
        <x:f>IF(ISNUMBER(F3622),E3622,0)</x:f>
        <x:v>0</x:v>
      </x:c>
      <x:c r="K3622" s="1"/>
      <x:c r="L3622" s="1"/>
      <x:c r="M3622" s="1"/>
    </x:row>
    <x:row r="3623" ht="18.75" customHeight="1">
      <x:c r="A3623" s="1" t="str">
        <x:v>https://blog.skyairline.com/sky-y-air-europa-lanzan-acuerdo-de-codigo-compartido/</x:v>
      </x:c>
      <x:c r="B3623" s="1" t="str">
        <x:v>alianza de air europa</x:v>
      </x:c>
      <x:c r="C3623" s="1" t="str">
        <x:v>arg</x:v>
      </x:c>
      <x:c r="D3623" s="1" t="str">
        <x:v>Sin marca</x:v>
      </x:c>
      <x:c r="E3623" s="35" t="n">
        <x:v>1</x:v>
      </x:c>
      <x:c r="F3623" s="36"/>
      <x:c r="G3623" s="36" t="str">
        <x:f>IF(ISNUMBER(F3623),E3623*F3623,"")</x:f>
      </x:c>
      <x:c r="H3623" s="37"/>
      <x:c r="I3623" s="37"/>
      <x:c r="J3623" s="1" t="n">
        <x:f>IF(ISNUMBER(F3623),E3623,0)</x:f>
        <x:v>0</x:v>
      </x:c>
      <x:c r="K3623" s="1"/>
      <x:c r="L3623" s="1"/>
      <x:c r="M3623" s="1"/>
    </x:row>
    <x:row r="3624" ht="18.75" customHeight="1">
      <x:c r="A3624" s="1" t="str">
        <x:v>https://blog.skyairline.com/sky-y-coopeuch-firman-alianza-para-que-clientes-accedan-a-los-beneficios-de-sky-plus/</x:v>
      </x:c>
      <x:c r="B3624" s="1" t="str">
        <x:v>si</x:v>
      </x:c>
      <x:c r="C3624" s="1" t="str">
        <x:v>chl</x:v>
      </x:c>
      <x:c r="D3624" s="1" t="str">
        <x:v>Sin marca</x:v>
      </x:c>
      <x:c r="E3624" s="35" t="n">
        <x:v>1</x:v>
      </x:c>
      <x:c r="F3624" s="36"/>
      <x:c r="G3624" s="36" t="str">
        <x:f>IF(ISNUMBER(F3624),E3624*F3624,"")</x:f>
      </x:c>
      <x:c r="H3624" s="37"/>
      <x:c r="I3624" s="37"/>
      <x:c r="J3624" s="1" t="n">
        <x:f>IF(ISNUMBER(F3624),E3624,0)</x:f>
        <x:v>0</x:v>
      </x:c>
      <x:c r="K3624" s="1"/>
      <x:c r="L3624" s="1"/>
      <x:c r="M3624" s="1"/>
    </x:row>
    <x:row r="3625" ht="18.75" customHeight="1">
      <x:c r="A3625" s="1" t="str">
        <x:v>https://blog.skyairline.com/sur-argentino/</x:v>
      </x:c>
      <x:c r="B3625" s="1" t="str">
        <x:v>ciudades del sur</x:v>
      </x:c>
      <x:c r="C3625" s="1" t="str">
        <x:v>arg</x:v>
      </x:c>
      <x:c r="D3625" s="1" t="str">
        <x:v>Sin marca</x:v>
      </x:c>
      <x:c r="E3625" s="35" t="n">
        <x:v>1</x:v>
      </x:c>
      <x:c r="F3625" s="36"/>
      <x:c r="G3625" s="36" t="str">
        <x:f>IF(ISNUMBER(F3625),E3625*F3625,"")</x:f>
      </x:c>
      <x:c r="H3625" s="37"/>
      <x:c r="I3625" s="37"/>
      <x:c r="J3625" s="1" t="n">
        <x:f>IF(ISNUMBER(F3625),E3625,0)</x:f>
        <x:v>0</x:v>
      </x:c>
      <x:c r="K3625" s="1"/>
      <x:c r="L3625" s="1"/>
      <x:c r="M3625" s="1"/>
    </x:row>
    <x:row r="3626" ht="18.75" customHeight="1">
      <x:c r="A3626" s="1" t="str">
        <x:v>https://blog.skyairline.com/sur-argentino/</x:v>
      </x:c>
      <x:c r="B3626" s="1" t="str">
        <x:v>ciudades del sur de argentina</x:v>
      </x:c>
      <x:c r="C3626" s="1" t="str">
        <x:v>arg</x:v>
      </x:c>
      <x:c r="D3626" s="1" t="str">
        <x:v>Sin marca</x:v>
      </x:c>
      <x:c r="E3626" s="35" t="n">
        <x:v>1</x:v>
      </x:c>
      <x:c r="F3626" s="36"/>
      <x:c r="G3626" s="36" t="str">
        <x:f>IF(ISNUMBER(F3626),E3626*F3626,"")</x:f>
      </x:c>
      <x:c r="H3626" s="37"/>
      <x:c r="I3626" s="37"/>
      <x:c r="J3626" s="1" t="n">
        <x:f>IF(ISNUMBER(F3626),E3626,0)</x:f>
        <x:v>0</x:v>
      </x:c>
      <x:c r="K3626" s="1"/>
      <x:c r="L3626" s="1"/>
      <x:c r="M3626" s="1"/>
    </x:row>
    <x:row r="3627" ht="18.75" customHeight="1">
      <x:c r="A3627" s="1" t="str">
        <x:v>https://blog.skyairline.com/sur-argentino/</x:v>
      </x:c>
      <x:c r="B3627" s="1" t="str">
        <x:v>ciudades del sur de argentina</x:v>
      </x:c>
      <x:c r="C3627" s="1" t="str">
        <x:v>esp</x:v>
      </x:c>
      <x:c r="D3627" s="1" t="str">
        <x:v>Sin marca</x:v>
      </x:c>
      <x:c r="E3627" s="35" t="n">
        <x:v>1</x:v>
      </x:c>
      <x:c r="F3627" s="36"/>
      <x:c r="G3627" s="36" t="str">
        <x:f>IF(ISNUMBER(F3627),E3627*F3627,"")</x:f>
      </x:c>
      <x:c r="H3627" s="37"/>
      <x:c r="I3627" s="37"/>
      <x:c r="J3627" s="1" t="n">
        <x:f>IF(ISNUMBER(F3627),E3627,0)</x:f>
        <x:v>0</x:v>
      </x:c>
      <x:c r="K3627" s="1"/>
      <x:c r="L3627" s="1"/>
      <x:c r="M3627" s="1"/>
    </x:row>
    <x:row r="3628" ht="18.75" customHeight="1">
      <x:c r="A3628" s="1" t="str">
        <x:v>https://blog.skyairline.com/sur-argentino/</x:v>
      </x:c>
      <x:c r="B3628" s="1" t="str">
        <x:v>ciudades turisticas del sur de argentina</x:v>
      </x:c>
      <x:c r="C3628" s="1" t="str">
        <x:v>arg</x:v>
      </x:c>
      <x:c r="D3628" s="1" t="str">
        <x:v>Sin marca</x:v>
      </x:c>
      <x:c r="E3628" s="35" t="n">
        <x:v>1</x:v>
      </x:c>
      <x:c r="F3628" s="36"/>
      <x:c r="G3628" s="36" t="str">
        <x:f>IF(ISNUMBER(F3628),E3628*F3628,"")</x:f>
      </x:c>
      <x:c r="H3628" s="37"/>
      <x:c r="I3628" s="37"/>
      <x:c r="J3628" s="1" t="n">
        <x:f>IF(ISNUMBER(F3628),E3628,0)</x:f>
        <x:v>0</x:v>
      </x:c>
      <x:c r="K3628" s="1"/>
      <x:c r="L3628" s="1"/>
      <x:c r="M3628" s="1"/>
    </x:row>
    <x:row r="3629" ht="18.75" customHeight="1">
      <x:c r="A3629" s="1" t="str">
        <x:v>https://blog.skyairline.com/sur-argentino/</x:v>
      </x:c>
      <x:c r="B3629" s="1" t="str">
        <x:v>destinos en el sur de argentina</x:v>
      </x:c>
      <x:c r="C3629" s="1" t="str">
        <x:v>arg</x:v>
      </x:c>
      <x:c r="D3629" s="1" t="str">
        <x:v>Sin marca</x:v>
      </x:c>
      <x:c r="E3629" s="35" t="n">
        <x:v>1</x:v>
      </x:c>
      <x:c r="F3629" s="36"/>
      <x:c r="G3629" s="36" t="str">
        <x:f>IF(ISNUMBER(F3629),E3629*F3629,"")</x:f>
      </x:c>
      <x:c r="H3629" s="37"/>
      <x:c r="I3629" s="37"/>
      <x:c r="J3629" s="1" t="n">
        <x:f>IF(ISNUMBER(F3629),E3629,0)</x:f>
        <x:v>0</x:v>
      </x:c>
      <x:c r="K3629" s="1"/>
      <x:c r="L3629" s="1"/>
      <x:c r="M3629" s="1"/>
    </x:row>
    <x:row r="3630" ht="18.75" customHeight="1">
      <x:c r="A3630" s="1" t="str">
        <x:v>https://blog.skyairline.com/sur-argentino/</x:v>
      </x:c>
      <x:c r="B3630" s="1" t="str">
        <x:v>lugares del sur de argentina para visitar</x:v>
      </x:c>
      <x:c r="C3630" s="1" t="str">
        <x:v>arg</x:v>
      </x:c>
      <x:c r="D3630" s="1" t="str">
        <x:v>Sin marca</x:v>
      </x:c>
      <x:c r="E3630" s="35" t="n">
        <x:v>1</x:v>
      </x:c>
      <x:c r="F3630" s="36"/>
      <x:c r="G3630" s="36" t="str">
        <x:f>IF(ISNUMBER(F3630),E3630*F3630,"")</x:f>
      </x:c>
      <x:c r="H3630" s="37"/>
      <x:c r="I3630" s="37"/>
      <x:c r="J3630" s="1" t="n">
        <x:f>IF(ISNUMBER(F3630),E3630,0)</x:f>
        <x:v>0</x:v>
      </x:c>
      <x:c r="K3630" s="1"/>
      <x:c r="L3630" s="1"/>
      <x:c r="M3630" s="1"/>
    </x:row>
    <x:row r="3631" ht="18.75" customHeight="1">
      <x:c r="A3631" s="1" t="str">
        <x:v>https://blog.skyairline.com/sur-argentino/</x:v>
      </x:c>
      <x:c r="B3631" s="1" t="str">
        <x:v>lugares del sur de argentina para visitar</x:v>
      </x:c>
      <x:c r="C3631" s="1" t="str">
        <x:v>chl</x:v>
      </x:c>
      <x:c r="D3631" s="1" t="str">
        <x:v>Sin marca</x:v>
      </x:c>
      <x:c r="E3631" s="35" t="n">
        <x:v>1</x:v>
      </x:c>
      <x:c r="F3631" s="36" t="n">
        <x:v>0.37</x:v>
      </x:c>
      <x:c r="G3631" s="36" t="n">
        <x:f>IF(ISNUMBER(F3631),E3631*F3631,"")</x:f>
        <x:v>0.37</x:v>
      </x:c>
      <x:c r="H3631" s="37" t="d">
        <x:v>2026-10-15T00:00:00.000Z</x:v>
      </x:c>
      <x:c r="I3631" s="37" t="d">
        <x:v>2026-09-16T22:44:12.000Z</x:v>
      </x:c>
      <x:c r="J3631" s="1" t="n">
        <x:f>IF(ISNUMBER(F3631),E3631,0)</x:f>
        <x:v>1</x:v>
      </x:c>
      <x:c r="K3631" s="1"/>
      <x:c r="L3631" s="1"/>
      <x:c r="M3631" s="1"/>
    </x:row>
    <x:row r="3632" ht="18.75" customHeight="1">
      <x:c r="A3632" s="1" t="str">
        <x:v>https://blog.skyairline.com/sur-argentino/</x:v>
      </x:c>
      <x:c r="B3632" s="1" t="str">
        <x:v>lugares del sur de argentina para visitar</x:v>
      </x:c>
      <x:c r="C3632" s="1" t="str">
        <x:v>pol</x:v>
      </x:c>
      <x:c r="D3632" s="1" t="str">
        <x:v>Sin marca</x:v>
      </x:c>
      <x:c r="E3632" s="35" t="n">
        <x:v>1</x:v>
      </x:c>
      <x:c r="F3632" s="36"/>
      <x:c r="G3632" s="36" t="str">
        <x:f>IF(ISNUMBER(F3632),E3632*F3632,"")</x:f>
      </x:c>
      <x:c r="H3632" s="37"/>
      <x:c r="I3632" s="37"/>
      <x:c r="J3632" s="1" t="n">
        <x:f>IF(ISNUMBER(F3632),E3632,0)</x:f>
        <x:v>0</x:v>
      </x:c>
      <x:c r="K3632" s="1"/>
      <x:c r="L3632" s="1"/>
      <x:c r="M3632" s="1"/>
    </x:row>
    <x:row r="3633" ht="18.75" customHeight="1">
      <x:c r="A3633" s="1" t="str">
        <x:v>https://blog.skyairline.com/sur-argentino/</x:v>
      </x:c>
      <x:c r="B3633" s="1" t="str">
        <x:v>lugares en el sur</x:v>
      </x:c>
      <x:c r="C3633" s="1" t="str">
        <x:v>arg</x:v>
      </x:c>
      <x:c r="D3633" s="1" t="str">
        <x:v>Sin marca</x:v>
      </x:c>
      <x:c r="E3633" s="35" t="n">
        <x:v>1</x:v>
      </x:c>
      <x:c r="F3633" s="36"/>
      <x:c r="G3633" s="36" t="str">
        <x:f>IF(ISNUMBER(F3633),E3633*F3633,"")</x:f>
      </x:c>
      <x:c r="H3633" s="37"/>
      <x:c r="I3633" s="37"/>
      <x:c r="J3633" s="1" t="n">
        <x:f>IF(ISNUMBER(F3633),E3633,0)</x:f>
        <x:v>0</x:v>
      </x:c>
      <x:c r="K3633" s="1"/>
      <x:c r="L3633" s="1"/>
      <x:c r="M3633" s="1"/>
    </x:row>
    <x:row r="3634" ht="18.75" customHeight="1">
      <x:c r="A3634" s="1" t="str">
        <x:v>https://blog.skyairline.com/sur-argentino/</x:v>
      </x:c>
      <x:c r="B3634" s="1" t="str">
        <x:v>lugares lindos del sur</x:v>
      </x:c>
      <x:c r="C3634" s="1" t="str">
        <x:v>arg</x:v>
      </x:c>
      <x:c r="D3634" s="1" t="str">
        <x:v>Sin marca</x:v>
      </x:c>
      <x:c r="E3634" s="35" t="n">
        <x:v>1</x:v>
      </x:c>
      <x:c r="F3634" s="36"/>
      <x:c r="G3634" s="36" t="str">
        <x:f>IF(ISNUMBER(F3634),E3634*F3634,"")</x:f>
      </x:c>
      <x:c r="H3634" s="37"/>
      <x:c r="I3634" s="37"/>
      <x:c r="J3634" s="1" t="n">
        <x:f>IF(ISNUMBER(F3634),E3634,0)</x:f>
        <x:v>0</x:v>
      </x:c>
      <x:c r="K3634" s="1"/>
      <x:c r="L3634" s="1"/>
      <x:c r="M3634" s="1"/>
    </x:row>
    <x:row r="3635" ht="18.75" customHeight="1">
      <x:c r="A3635" s="1" t="str">
        <x:v>https://blog.skyairline.com/sur-argentino/</x:v>
      </x:c>
      <x:c r="B3635" s="1" t="str">
        <x:v>lugares para conocer en el sur de argentina</x:v>
      </x:c>
      <x:c r="C3635" s="1" t="str">
        <x:v>arg</x:v>
      </x:c>
      <x:c r="D3635" s="1" t="str">
        <x:v>Sin marca</x:v>
      </x:c>
      <x:c r="E3635" s="35" t="n">
        <x:v>1</x:v>
      </x:c>
      <x:c r="F3635" s="36"/>
      <x:c r="G3635" s="36" t="str">
        <x:f>IF(ISNUMBER(F3635),E3635*F3635,"")</x:f>
      </x:c>
      <x:c r="H3635" s="37"/>
      <x:c r="I3635" s="37"/>
      <x:c r="J3635" s="1" t="n">
        <x:f>IF(ISNUMBER(F3635),E3635,0)</x:f>
        <x:v>0</x:v>
      </x:c>
      <x:c r="K3635" s="1"/>
      <x:c r="L3635" s="1"/>
      <x:c r="M3635" s="1"/>
    </x:row>
    <x:row r="3636" ht="18.75" customHeight="1">
      <x:c r="A3636" s="1" t="str">
        <x:v>https://blog.skyairline.com/sur-argentino/</x:v>
      </x:c>
      <x:c r="B3636" s="1" t="str">
        <x:v>lugares para vacacionar en el sur</x:v>
      </x:c>
      <x:c r="C3636" s="1" t="str">
        <x:v>arg</x:v>
      </x:c>
      <x:c r="D3636" s="1" t="str">
        <x:v>Sin marca</x:v>
      </x:c>
      <x:c r="E3636" s="35" t="n">
        <x:v>1</x:v>
      </x:c>
      <x:c r="F3636" s="36"/>
      <x:c r="G3636" s="36" t="str">
        <x:f>IF(ISNUMBER(F3636),E3636*F3636,"")</x:f>
      </x:c>
      <x:c r="H3636" s="37"/>
      <x:c r="I3636" s="37"/>
      <x:c r="J3636" s="1" t="n">
        <x:f>IF(ISNUMBER(F3636),E3636,0)</x:f>
        <x:v>0</x:v>
      </x:c>
      <x:c r="K3636" s="1"/>
      <x:c r="L3636" s="1"/>
      <x:c r="M3636" s="1"/>
    </x:row>
    <x:row r="3637" ht="18.75" customHeight="1">
      <x:c r="A3637" s="1" t="str">
        <x:v>https://blog.skyairline.com/sur-argentino/</x:v>
      </x:c>
      <x:c r="B3637" s="1" t="str">
        <x:v>lugares para visitar en el sur</x:v>
      </x:c>
      <x:c r="C3637" s="1" t="str">
        <x:v>arg</x:v>
      </x:c>
      <x:c r="D3637" s="1" t="str">
        <x:v>Sin marca</x:v>
      </x:c>
      <x:c r="E3637" s="35" t="n">
        <x:v>1</x:v>
      </x:c>
      <x:c r="F3637" s="36"/>
      <x:c r="G3637" s="36" t="str">
        <x:f>IF(ISNUMBER(F3637),E3637*F3637,"")</x:f>
      </x:c>
      <x:c r="H3637" s="37"/>
      <x:c r="I3637" s="37"/>
      <x:c r="J3637" s="1" t="n">
        <x:f>IF(ISNUMBER(F3637),E3637,0)</x:f>
        <x:v>0</x:v>
      </x:c>
      <x:c r="K3637" s="1"/>
      <x:c r="L3637" s="1"/>
      <x:c r="M3637" s="1"/>
    </x:row>
    <x:row r="3638" ht="18.75" customHeight="1">
      <x:c r="A3638" s="1" t="str">
        <x:v>https://blog.skyairline.com/sur-argentino/</x:v>
      </x:c>
      <x:c r="B3638" s="1" t="str">
        <x:v>lugares para visitar en el sur argentino en verano</x:v>
      </x:c>
      <x:c r="C3638" s="1" t="str">
        <x:v>pry</x:v>
      </x:c>
      <x:c r="D3638" s="1" t="str">
        <x:v>Sin marca</x:v>
      </x:c>
      <x:c r="E3638" s="35" t="n">
        <x:v>1</x:v>
      </x:c>
      <x:c r="F3638" s="36"/>
      <x:c r="G3638" s="36" t="str">
        <x:f>IF(ISNUMBER(F3638),E3638*F3638,"")</x:f>
      </x:c>
      <x:c r="H3638" s="37"/>
      <x:c r="I3638" s="37"/>
      <x:c r="J3638" s="1" t="n">
        <x:f>IF(ISNUMBER(F3638),E3638,0)</x:f>
        <x:v>0</x:v>
      </x:c>
      <x:c r="K3638" s="1"/>
      <x:c r="L3638" s="1"/>
      <x:c r="M3638" s="1"/>
    </x:row>
    <x:row r="3639" ht="18.75" customHeight="1">
      <x:c r="A3639" s="1" t="str">
        <x:v>https://blog.skyairline.com/sur-argentino/</x:v>
      </x:c>
      <x:c r="B3639" s="1" t="str">
        <x:v>lugares turisticos del sur de argentina</x:v>
      </x:c>
      <x:c r="C3639" s="1" t="str">
        <x:v>esp</x:v>
      </x:c>
      <x:c r="D3639" s="1" t="str">
        <x:v>Sin marca</x:v>
      </x:c>
      <x:c r="E3639" s="35" t="n">
        <x:v>1</x:v>
      </x:c>
      <x:c r="F3639" s="36"/>
      <x:c r="G3639" s="36" t="str">
        <x:f>IF(ISNUMBER(F3639),E3639*F3639,"")</x:f>
      </x:c>
      <x:c r="H3639" s="37"/>
      <x:c r="I3639" s="37"/>
      <x:c r="J3639" s="1" t="n">
        <x:f>IF(ISNUMBER(F3639),E3639,0)</x:f>
        <x:v>0</x:v>
      </x:c>
      <x:c r="K3639" s="1"/>
      <x:c r="L3639" s="1"/>
      <x:c r="M3639" s="1"/>
    </x:row>
    <x:row r="3640" ht="18.75" customHeight="1">
      <x:c r="A3640" s="1" t="str">
        <x:v>https://blog.skyairline.com/sur-argentino/</x:v>
      </x:c>
      <x:c r="B3640" s="1" t="str">
        <x:v>lugares turísticos del sur de argentina</x:v>
      </x:c>
      <x:c r="C3640" s="1" t="str">
        <x:v>arg</x:v>
      </x:c>
      <x:c r="D3640" s="1" t="str">
        <x:v>Sin marca</x:v>
      </x:c>
      <x:c r="E3640" s="35" t="n">
        <x:v>1</x:v>
      </x:c>
      <x:c r="F3640" s="36"/>
      <x:c r="G3640" s="36" t="str">
        <x:f>IF(ISNUMBER(F3640),E3640*F3640,"")</x:f>
      </x:c>
      <x:c r="H3640" s="37"/>
      <x:c r="I3640" s="37"/>
      <x:c r="J3640" s="1" t="n">
        <x:f>IF(ISNUMBER(F3640),E3640,0)</x:f>
        <x:v>0</x:v>
      </x:c>
      <x:c r="K3640" s="1"/>
      <x:c r="L3640" s="1"/>
      <x:c r="M3640" s="1"/>
    </x:row>
    <x:row r="3641" ht="18.75" customHeight="1">
      <x:c r="A3641" s="1" t="str">
        <x:v>https://blog.skyairline.com/sur-argentino/</x:v>
      </x:c>
      <x:c r="B3641" s="1" t="str">
        <x:v>mejores lugares del sur argentino</x:v>
      </x:c>
      <x:c r="C3641" s="1" t="str">
        <x:v>arg</x:v>
      </x:c>
      <x:c r="D3641" s="1" t="str">
        <x:v>Sin marca</x:v>
      </x:c>
      <x:c r="E3641" s="35" t="n">
        <x:v>1</x:v>
      </x:c>
      <x:c r="F3641" s="36"/>
      <x:c r="G3641" s="36" t="str">
        <x:f>IF(ISNUMBER(F3641),E3641*F3641,"")</x:f>
      </x:c>
      <x:c r="H3641" s="37"/>
      <x:c r="I3641" s="37"/>
      <x:c r="J3641" s="1" t="n">
        <x:f>IF(ISNUMBER(F3641),E3641,0)</x:f>
        <x:v>0</x:v>
      </x:c>
      <x:c r="K3641" s="1"/>
      <x:c r="L3641" s="1"/>
      <x:c r="M3641" s="1"/>
    </x:row>
    <x:row r="3642" ht="18.75" customHeight="1">
      <x:c r="A3642" s="1" t="str">
        <x:v>https://blog.skyairline.com/sur-argentino/</x:v>
      </x:c>
      <x:c r="B3642" s="1" t="str">
        <x:v>paisajes del sur de argentina</x:v>
      </x:c>
      <x:c r="C3642" s="1" t="str">
        <x:v>arg</x:v>
      </x:c>
      <x:c r="D3642" s="1" t="str">
        <x:v>Sin marca</x:v>
      </x:c>
      <x:c r="E3642" s="35" t="n">
        <x:v>1</x:v>
      </x:c>
      <x:c r="F3642" s="36"/>
      <x:c r="G3642" s="36" t="str">
        <x:f>IF(ISNUMBER(F3642),E3642*F3642,"")</x:f>
      </x:c>
      <x:c r="H3642" s="37"/>
      <x:c r="I3642" s="37"/>
      <x:c r="J3642" s="1" t="n">
        <x:f>IF(ISNUMBER(F3642),E3642,0)</x:f>
        <x:v>0</x:v>
      </x:c>
      <x:c r="K3642" s="1"/>
      <x:c r="L3642" s="1"/>
      <x:c r="M3642" s="1"/>
    </x:row>
    <x:row r="3643" ht="18.75" customHeight="1">
      <x:c r="A3643" s="1" t="str">
        <x:v>https://blog.skyairline.com/sur-argentino/</x:v>
      </x:c>
      <x:c r="B3643" s="1" t="str">
        <x:v>partes del sur de argentina</x:v>
      </x:c>
      <x:c r="C3643" s="1" t="str">
        <x:v>arg</x:v>
      </x:c>
      <x:c r="D3643" s="1" t="str">
        <x:v>Sin marca</x:v>
      </x:c>
      <x:c r="E3643" s="35" t="n">
        <x:v>1</x:v>
      </x:c>
      <x:c r="F3643" s="36"/>
      <x:c r="G3643" s="36" t="str">
        <x:f>IF(ISNUMBER(F3643),E3643*F3643,"")</x:f>
      </x:c>
      <x:c r="H3643" s="37"/>
      <x:c r="I3643" s="37"/>
      <x:c r="J3643" s="1" t="n">
        <x:f>IF(ISNUMBER(F3643),E3643,0)</x:f>
        <x:v>0</x:v>
      </x:c>
      <x:c r="K3643" s="1"/>
      <x:c r="L3643" s="1"/>
      <x:c r="M3643" s="1"/>
    </x:row>
    <x:row r="3644" ht="18.75" customHeight="1">
      <x:c r="A3644" s="1" t="str">
        <x:v>https://blog.skyairline.com/sur-argentino/</x:v>
      </x:c>
      <x:c r="B3644" s="1" t="str">
        <x:v>que conocer en el sur de argentina</x:v>
      </x:c>
      <x:c r="C3644" s="1" t="str">
        <x:v>arg</x:v>
      </x:c>
      <x:c r="D3644" s="1" t="str">
        <x:v>Sin marca</x:v>
      </x:c>
      <x:c r="E3644" s="35" t="n">
        <x:v>1</x:v>
      </x:c>
      <x:c r="F3644" s="36"/>
      <x:c r="G3644" s="36" t="str">
        <x:f>IF(ISNUMBER(F3644),E3644*F3644,"")</x:f>
      </x:c>
      <x:c r="H3644" s="37"/>
      <x:c r="I3644" s="37"/>
      <x:c r="J3644" s="1" t="n">
        <x:f>IF(ISNUMBER(F3644),E3644,0)</x:f>
        <x:v>0</x:v>
      </x:c>
      <x:c r="K3644" s="1"/>
      <x:c r="L3644" s="1"/>
      <x:c r="M3644" s="1"/>
    </x:row>
    <x:row r="3645" ht="18.75" customHeight="1">
      <x:c r="A3645" s="1" t="str">
        <x:v>https://blog.skyairline.com/sur-argentino/</x:v>
      </x:c>
      <x:c r="B3645" s="1" t="str">
        <x:v>sur argentina turismo</x:v>
      </x:c>
      <x:c r="C3645" s="1" t="str">
        <x:v>ury</x:v>
      </x:c>
      <x:c r="D3645" s="1" t="str">
        <x:v>Sin marca</x:v>
      </x:c>
      <x:c r="E3645" s="35" t="n">
        <x:v>1</x:v>
      </x:c>
      <x:c r="F3645" s="36"/>
      <x:c r="G3645" s="36" t="str">
        <x:f>IF(ISNUMBER(F3645),E3645*F3645,"")</x:f>
      </x:c>
      <x:c r="H3645" s="37"/>
      <x:c r="I3645" s="37"/>
      <x:c r="J3645" s="1" t="n">
        <x:f>IF(ISNUMBER(F3645),E3645,0)</x:f>
        <x:v>0</x:v>
      </x:c>
      <x:c r="K3645" s="1"/>
      <x:c r="L3645" s="1"/>
      <x:c r="M3645" s="1"/>
    </x:row>
    <x:row r="3646" ht="18.75" customHeight="1">
      <x:c r="A3646" s="1" t="str">
        <x:v>https://blog.skyairline.com/sur-argentino/</x:v>
      </x:c>
      <x:c r="B3646" s="1" t="str">
        <x:v>sur argentino</x:v>
      </x:c>
      <x:c r="C3646" s="1" t="str">
        <x:v>arg</x:v>
      </x:c>
      <x:c r="D3646" s="1" t="str">
        <x:v>Sin marca</x:v>
      </x:c>
      <x:c r="E3646" s="35" t="n">
        <x:v>1</x:v>
      </x:c>
      <x:c r="F3646" s="36"/>
      <x:c r="G3646" s="36" t="str">
        <x:f>IF(ISNUMBER(F3646),E3646*F3646,"")</x:f>
      </x:c>
      <x:c r="H3646" s="37"/>
      <x:c r="I3646" s="37"/>
      <x:c r="J3646" s="1" t="n">
        <x:f>IF(ISNUMBER(F3646),E3646,0)</x:f>
        <x:v>0</x:v>
      </x:c>
      <x:c r="K3646" s="1"/>
      <x:c r="L3646" s="1"/>
      <x:c r="M3646" s="1"/>
    </x:row>
    <x:row r="3647" ht="18.75" customHeight="1">
      <x:c r="A3647" s="1" t="str">
        <x:v>https://blog.skyairline.com/sur-argentino/</x:v>
      </x:c>
      <x:c r="B3647" s="1" t="str">
        <x:v>sur argentino</x:v>
      </x:c>
      <x:c r="C3647" s="1" t="str">
        <x:v>ury</x:v>
      </x:c>
      <x:c r="D3647" s="1" t="str">
        <x:v>Sin marca</x:v>
      </x:c>
      <x:c r="E3647" s="35" t="n">
        <x:v>1</x:v>
      </x:c>
      <x:c r="F3647" s="36"/>
      <x:c r="G3647" s="36" t="str">
        <x:f>IF(ISNUMBER(F3647),E3647*F3647,"")</x:f>
      </x:c>
      <x:c r="H3647" s="37"/>
      <x:c r="I3647" s="37"/>
      <x:c r="J3647" s="1" t="n">
        <x:f>IF(ISNUMBER(F3647),E3647,0)</x:f>
        <x:v>0</x:v>
      </x:c>
      <x:c r="K3647" s="1"/>
      <x:c r="L3647" s="1"/>
      <x:c r="M3647" s="1"/>
    </x:row>
    <x:row r="3648" ht="18.75" customHeight="1">
      <x:c r="A3648" s="1" t="str">
        <x:v>https://blog.skyairline.com/sur-argentino/</x:v>
      </x:c>
      <x:c r="B3648" s="1" t="str">
        <x:v>sur de argentina</x:v>
      </x:c>
      <x:c r="C3648" s="1" t="str">
        <x:v>che</x:v>
      </x:c>
      <x:c r="D3648" s="1" t="str">
        <x:v>Sin marca</x:v>
      </x:c>
      <x:c r="E3648" s="35" t="n">
        <x:v>1</x:v>
      </x:c>
      <x:c r="F3648" s="36"/>
      <x:c r="G3648" s="36" t="str">
        <x:f>IF(ISNUMBER(F3648),E3648*F3648,"")</x:f>
      </x:c>
      <x:c r="H3648" s="37"/>
      <x:c r="I3648" s="37"/>
      <x:c r="J3648" s="1" t="n">
        <x:f>IF(ISNUMBER(F3648),E3648,0)</x:f>
        <x:v>0</x:v>
      </x:c>
      <x:c r="K3648" s="1"/>
      <x:c r="L3648" s="1"/>
      <x:c r="M3648" s="1"/>
    </x:row>
    <x:row r="3649" ht="18.75" customHeight="1">
      <x:c r="A3649" s="1" t="str">
        <x:v>https://blog.skyairline.com/sur-argentino/</x:v>
      </x:c>
      <x:c r="B3649" s="1" t="str">
        <x:v>sur de argentina lugares</x:v>
      </x:c>
      <x:c r="C3649" s="1" t="str">
        <x:v>bol</x:v>
      </x:c>
      <x:c r="D3649" s="1" t="str">
        <x:v>Sin marca</x:v>
      </x:c>
      <x:c r="E3649" s="35" t="n">
        <x:v>1</x:v>
      </x:c>
      <x:c r="F3649" s="36"/>
      <x:c r="G3649" s="36" t="str">
        <x:f>IF(ISNUMBER(F3649),E3649*F3649,"")</x:f>
      </x:c>
      <x:c r="H3649" s="37"/>
      <x:c r="I3649" s="37"/>
      <x:c r="J3649" s="1" t="n">
        <x:f>IF(ISNUMBER(F3649),E3649,0)</x:f>
        <x:v>0</x:v>
      </x:c>
      <x:c r="K3649" s="1"/>
      <x:c r="L3649" s="1"/>
      <x:c r="M3649" s="1"/>
    </x:row>
    <x:row r="3650" ht="18.75" customHeight="1">
      <x:c r="A3650" s="1" t="str">
        <x:v>https://blog.skyairline.com/sur-argentino/</x:v>
      </x:c>
      <x:c r="B3650" s="1" t="str">
        <x:v>turismo en el sur de argentina</x:v>
      </x:c>
      <x:c r="C3650" s="1" t="str">
        <x:v>arg</x:v>
      </x:c>
      <x:c r="D3650" s="1" t="str">
        <x:v>Sin marca</x:v>
      </x:c>
      <x:c r="E3650" s="35" t="n">
        <x:v>1</x:v>
      </x:c>
      <x:c r="F3650" s="36"/>
      <x:c r="G3650" s="36" t="str">
        <x:f>IF(ISNUMBER(F3650),E3650*F3650,"")</x:f>
      </x:c>
      <x:c r="H3650" s="37"/>
      <x:c r="I3650" s="37"/>
      <x:c r="J3650" s="1" t="n">
        <x:f>IF(ISNUMBER(F3650),E3650,0)</x:f>
        <x:v>0</x:v>
      </x:c>
      <x:c r="K3650" s="1"/>
      <x:c r="L3650" s="1"/>
      <x:c r="M3650" s="1"/>
    </x:row>
    <x:row r="3651" ht="18.75" customHeight="1">
      <x:c r="A3651" s="1" t="str">
        <x:v>https://blog.skyairline.com/temporada-de-huracanes-en-punta-cana-meses-y-precauciones/</x:v>
      </x:c>
      <x:c r="B3651" s="1" t="str">
        <x:v>como esta el clima en punta cana hoy</x:v>
      </x:c>
      <x:c r="C3651" s="1" t="str">
        <x:v>per</x:v>
      </x:c>
      <x:c r="D3651" s="1" t="str">
        <x:v>Sin marca</x:v>
      </x:c>
      <x:c r="E3651" s="35" t="n">
        <x:v>1</x:v>
      </x:c>
      <x:c r="F3651" s="36"/>
      <x:c r="G3651" s="36" t="str">
        <x:f>IF(ISNUMBER(F3651),E3651*F3651,"")</x:f>
      </x:c>
      <x:c r="H3651" s="37"/>
      <x:c r="I3651" s="37"/>
      <x:c r="J3651" s="1" t="n">
        <x:f>IF(ISNUMBER(F3651),E3651,0)</x:f>
        <x:v>0</x:v>
      </x:c>
      <x:c r="K3651" s="1"/>
      <x:c r="L3651" s="1"/>
      <x:c r="M3651" s="1"/>
    </x:row>
    <x:row r="3652" ht="18.75" customHeight="1">
      <x:c r="A3652" s="1" t="str">
        <x:v>https://blog.skyairline.com/temporada-de-huracanes-en-punta-cana-meses-y-precauciones/</x:v>
      </x:c>
      <x:c r="B3652" s="1" t="str">
        <x:v>temporada de huracanes en punta cana</x:v>
      </x:c>
      <x:c r="C3652" s="1" t="str">
        <x:v>chl</x:v>
      </x:c>
      <x:c r="D3652" s="1" t="str">
        <x:v>Sin marca</x:v>
      </x:c>
      <x:c r="E3652" s="35" t="n">
        <x:v>1</x:v>
      </x:c>
      <x:c r="F3652" s="36" t="n">
        <x:v>0.08</x:v>
      </x:c>
      <x:c r="G3652" s="36" t="n">
        <x:f>IF(ISNUMBER(F3652),E3652*F3652,"")</x:f>
        <x:v>0.08</x:v>
      </x:c>
      <x:c r="H3652" s="37" t="d">
        <x:v>2026-10-15T00:00:00.000Z</x:v>
      </x:c>
      <x:c r="I3652" s="37" t="d">
        <x:v>2026-09-17T15:09:50.000Z</x:v>
      </x:c>
      <x:c r="J3652" s="1" t="n">
        <x:f>IF(ISNUMBER(F3652),E3652,0)</x:f>
        <x:v>1</x:v>
      </x:c>
      <x:c r="K3652" s="1"/>
      <x:c r="L3652" s="1"/>
      <x:c r="M3652" s="1"/>
    </x:row>
    <x:row r="3653" ht="18.75" customHeight="1">
      <x:c r="A3653" s="1" t="str">
        <x:v>https://blog.skyairline.com/termas-de-chillan/</x:v>
      </x:c>
      <x:c r="B3653" s="1" t="str">
        <x:v>termas de chillan</x:v>
      </x:c>
      <x:c r="C3653" s="1" t="str">
        <x:v>chl</x:v>
      </x:c>
      <x:c r="D3653" s="1" t="str">
        <x:v>Sin marca</x:v>
      </x:c>
      <x:c r="E3653" s="35" t="n">
        <x:v>1</x:v>
      </x:c>
      <x:c r="F3653" s="36" t="n">
        <x:v>0.53</x:v>
      </x:c>
      <x:c r="G3653" s="36" t="n">
        <x:f>IF(ISNUMBER(F3653),E3653*F3653,"")</x:f>
        <x:v>0.53</x:v>
      </x:c>
      <x:c r="H3653" s="37" t="d">
        <x:v>2026-10-15T00:00:00.000Z</x:v>
      </x:c>
      <x:c r="I3653" s="37" t="d">
        <x:v>2026-09-13T04:03:35.000Z</x:v>
      </x:c>
      <x:c r="J3653" s="1" t="n">
        <x:f>IF(ISNUMBER(F3653),E3653,0)</x:f>
        <x:v>1</x:v>
      </x:c>
      <x:c r="K3653" s="1"/>
      <x:c r="L3653" s="1"/>
      <x:c r="M3653" s="1"/>
    </x:row>
    <x:row r="3654" ht="18.75" customHeight="1">
      <x:c r="A3654" s="1" t="str">
        <x:v>https://blog.skyairline.com/termas-del-cajon-del-maipo/</x:v>
      </x:c>
      <x:c r="B3654" s="1" t="str">
        <x:v>termas en el cajon del maipo</x:v>
      </x:c>
      <x:c r="C3654" s="1" t="str">
        <x:v>chl</x:v>
      </x:c>
      <x:c r="D3654" s="1" t="str">
        <x:v>Sin marca</x:v>
      </x:c>
      <x:c r="E3654" s="35" t="n">
        <x:v>1</x:v>
      </x:c>
      <x:c r="F3654" s="36" t="n">
        <x:v>0.34</x:v>
      </x:c>
      <x:c r="G3654" s="36" t="n">
        <x:f>IF(ISNUMBER(F3654),E3654*F3654,"")</x:f>
        <x:v>0.34</x:v>
      </x:c>
      <x:c r="H3654" s="37" t="d">
        <x:v>2026-10-15T00:00:00.000Z</x:v>
      </x:c>
      <x:c r="I3654" s="37" t="d">
        <x:v>2026-10-15T01:36:50.000Z</x:v>
      </x:c>
      <x:c r="J3654" s="1" t="n">
        <x:f>IF(ISNUMBER(F3654),E3654,0)</x:f>
        <x:v>1</x:v>
      </x:c>
      <x:c r="K3654" s="1"/>
      <x:c r="L3654" s="1"/>
      <x:c r="M3654" s="1"/>
    </x:row>
    <x:row r="3655" ht="18.75" customHeight="1">
      <x:c r="A3655" s="1" t="str">
        <x:v>https://blog.skyairline.com/termas-del-flaco/</x:v>
      </x:c>
      <x:c r="B3655" s="1" t="str">
        <x:v>termas del flaco</x:v>
      </x:c>
      <x:c r="C3655" s="1" t="str">
        <x:v>chl</x:v>
      </x:c>
      <x:c r="D3655" s="1" t="str">
        <x:v>Sin marca</x:v>
      </x:c>
      <x:c r="E3655" s="35" t="n">
        <x:v>1</x:v>
      </x:c>
      <x:c r="F3655" s="36" t="n">
        <x:v>0.48</x:v>
      </x:c>
      <x:c r="G3655" s="36" t="n">
        <x:f>IF(ISNUMBER(F3655),E3655*F3655,"")</x:f>
        <x:v>0.48</x:v>
      </x:c>
      <x:c r="H3655" s="37" t="d">
        <x:v>2026-10-15T00:00:00.000Z</x:v>
      </x:c>
      <x:c r="I3655" s="37" t="d">
        <x:v>2026-09-15T08:13:36.000Z</x:v>
      </x:c>
      <x:c r="J3655" s="1" t="n">
        <x:f>IF(ISNUMBER(F3655),E3655,0)</x:f>
        <x:v>1</x:v>
      </x:c>
      <x:c r="K3655" s="1"/>
      <x:c r="L3655" s="1"/>
      <x:c r="M3655" s="1"/>
    </x:row>
    <x:row r="3656" ht="18.75" customHeight="1">
      <x:c r="A3656" s="1" t="str">
        <x:v>https://blog.skyairline.com/termas-del-flaco/</x:v>
      </x:c>
      <x:c r="B3656" s="1" t="str">
        <x:v>termas del flaco precios 2026</x:v>
      </x:c>
      <x:c r="C3656" s="1" t="str">
        <x:v>chl</x:v>
      </x:c>
      <x:c r="D3656" s="1" t="str">
        <x:v>Sin marca</x:v>
      </x:c>
      <x:c r="E3656" s="35" t="n">
        <x:v>1</x:v>
      </x:c>
      <x:c r="F3656" s="36" t="n">
        <x:v>0.7</x:v>
      </x:c>
      <x:c r="G3656" s="36" t="n">
        <x:f>IF(ISNUMBER(F3656),E3656*F3656,"")</x:f>
        <x:v>0.7</x:v>
      </x:c>
      <x:c r="H3656" s="37" t="d">
        <x:v>2026-10-15T00:00:00.000Z</x:v>
      </x:c>
      <x:c r="I3656" s="37" t="d">
        <x:v>2026-09-15T16:19:17.000Z</x:v>
      </x:c>
      <x:c r="J3656" s="1" t="n">
        <x:f>IF(ISNUMBER(F3656),E3656,0)</x:f>
        <x:v>1</x:v>
      </x:c>
      <x:c r="K3656" s="1"/>
      <x:c r="L3656" s="1"/>
      <x:c r="M3656" s="1"/>
    </x:row>
    <x:row r="3657" ht="18.75" customHeight="1">
      <x:c r="A3657" s="1" t="str">
        <x:v>https://blog.skyairline.com/termas-del-flaco/</x:v>
      </x:c>
      <x:c r="B3657" s="1" t="str">
        <x:v>termas en rancagua</x:v>
      </x:c>
      <x:c r="C3657" s="1" t="str">
        <x:v>chl</x:v>
      </x:c>
      <x:c r="D3657" s="1" t="str">
        <x:v>Sin marca</x:v>
      </x:c>
      <x:c r="E3657" s="35" t="n">
        <x:v>1</x:v>
      </x:c>
      <x:c r="F3657" s="36" t="n">
        <x:v>0.62</x:v>
      </x:c>
      <x:c r="G3657" s="36" t="n">
        <x:f>IF(ISNUMBER(F3657),E3657*F3657,"")</x:f>
        <x:v>0.62</x:v>
      </x:c>
      <x:c r="H3657" s="37" t="d">
        <x:v>2026-10-15T00:00:00.000Z</x:v>
      </x:c>
      <x:c r="I3657" s="37" t="d">
        <x:v>2026-09-14T05:02:52.000Z</x:v>
      </x:c>
      <x:c r="J3657" s="1" t="n">
        <x:f>IF(ISNUMBER(F3657),E3657,0)</x:f>
        <x:v>1</x:v>
      </x:c>
      <x:c r="K3657" s="1"/>
      <x:c r="L3657" s="1"/>
      <x:c r="M3657" s="1"/>
    </x:row>
    <x:row r="3658" ht="18.75" customHeight="1">
      <x:c r="A3658" s="1" t="str">
        <x:v>https://blog.skyairline.com/termas-en-la-region-de-la-araucania/</x:v>
      </x:c>
      <x:c r="B3658" s="1" t="str">
        <x:v>termas de lonquimay</x:v>
      </x:c>
      <x:c r="C3658" s="1" t="str">
        <x:v>chl</x:v>
      </x:c>
      <x:c r="D3658" s="1" t="str">
        <x:v>Sin marca</x:v>
      </x:c>
      <x:c r="E3658" s="35" t="n">
        <x:v>1</x:v>
      </x:c>
      <x:c r="F3658" s="36"/>
      <x:c r="G3658" s="36" t="str">
        <x:f>IF(ISNUMBER(F3658),E3658*F3658,"")</x:f>
      </x:c>
      <x:c r="H3658" s="37"/>
      <x:c r="I3658" s="37"/>
      <x:c r="J3658" s="1" t="n">
        <x:f>IF(ISNUMBER(F3658),E3658,0)</x:f>
        <x:v>0</x:v>
      </x:c>
      <x:c r="K3658" s="1"/>
      <x:c r="L3658" s="1"/>
      <x:c r="M3658" s="1"/>
    </x:row>
    <x:row r="3659" ht="18.75" customHeight="1">
      <x:c r="A3659" s="1" t="str">
        <x:v>https://blog.skyairline.com/termas-en-la-region-de-los-lagos-aguas-termales-en-la-patagonia/</x:v>
      </x:c>
      <x:c r="B3659" s="1" t="str">
        <x:v>termas en la region de los lagos</x:v>
      </x:c>
      <x:c r="C3659" s="1" t="str">
        <x:v>chl</x:v>
      </x:c>
      <x:c r="D3659" s="1" t="str">
        <x:v>Sin marca</x:v>
      </x:c>
      <x:c r="E3659" s="35" t="n">
        <x:v>1</x:v>
      </x:c>
      <x:c r="F3659" s="36" t="n">
        <x:v>0.46</x:v>
      </x:c>
      <x:c r="G3659" s="36" t="n">
        <x:f>IF(ISNUMBER(F3659),E3659*F3659,"")</x:f>
        <x:v>0.46</x:v>
      </x:c>
      <x:c r="H3659" s="37" t="d">
        <x:v>2026-10-15T00:00:00.000Z</x:v>
      </x:c>
      <x:c r="I3659" s="37" t="d">
        <x:v>2026-10-15T16:51:34.000Z</x:v>
      </x:c>
      <x:c r="J3659" s="1" t="n">
        <x:f>IF(ISNUMBER(F3659),E3659,0)</x:f>
        <x:v>1</x:v>
      </x:c>
      <x:c r="K3659" s="1"/>
      <x:c r="L3659" s="1"/>
      <x:c r="M3659" s="1"/>
    </x:row>
    <x:row r="3660" ht="18.75" customHeight="1">
      <x:c r="A3660" s="1" t="str">
        <x:v>https://blog.skyairline.com/termas-en-puerto-montt-las-mejores-opciones-para-relajarte/</x:v>
      </x:c>
      <x:c r="B3660" s="1" t="str">
        <x:v>termas</x:v>
      </x:c>
      <x:c r="C3660" s="1" t="str">
        <x:v>chl</x:v>
      </x:c>
      <x:c r="D3660" s="1" t="str">
        <x:v>Sin marca</x:v>
      </x:c>
      <x:c r="E3660" s="35" t="n">
        <x:v>1</x:v>
      </x:c>
      <x:c r="F3660" s="36" t="n">
        <x:v>0.33</x:v>
      </x:c>
      <x:c r="G3660" s="36" t="n">
        <x:f>IF(ISNUMBER(F3660),E3660*F3660,"")</x:f>
        <x:v>0.33</x:v>
      </x:c>
      <x:c r="H3660" s="37" t="d">
        <x:v>2026-10-15T00:00:00.000Z</x:v>
      </x:c>
      <x:c r="I3660" s="37" t="d">
        <x:v>2026-09-16T10:27:22.000Z</x:v>
      </x:c>
      <x:c r="J3660" s="1" t="n">
        <x:f>IF(ISNUMBER(F3660),E3660,0)</x:f>
        <x:v>1</x:v>
      </x:c>
      <x:c r="K3660" s="1"/>
      <x:c r="L3660" s="1"/>
      <x:c r="M3660" s="1"/>
    </x:row>
    <x:row r="3661" ht="18.75" customHeight="1">
      <x:c r="A3661" s="1" t="str">
        <x:v>https://blog.skyairline.com/termas-en-puerto-montt-las-mejores-opciones-para-relajarte/</x:v>
      </x:c>
      <x:c r="B3661" s="1" t="str">
        <x:v>termas cerca de puerto montt</x:v>
      </x:c>
      <x:c r="C3661" s="1" t="str">
        <x:v>chl</x:v>
      </x:c>
      <x:c r="D3661" s="1" t="str">
        <x:v>Sin marca</x:v>
      </x:c>
      <x:c r="E3661" s="35" t="n">
        <x:v>1</x:v>
      </x:c>
      <x:c r="F3661" s="36" t="n">
        <x:v>0.3</x:v>
      </x:c>
      <x:c r="G3661" s="36" t="n">
        <x:f>IF(ISNUMBER(F3661),E3661*F3661,"")</x:f>
        <x:v>0.3</x:v>
      </x:c>
      <x:c r="H3661" s="37" t="d">
        <x:v>2026-10-15T00:00:00.000Z</x:v>
      </x:c>
      <x:c r="I3661" s="37" t="d">
        <x:v>2026-09-16T19:56:37.000Z</x:v>
      </x:c>
      <x:c r="J3661" s="1" t="n">
        <x:f>IF(ISNUMBER(F3661),E3661,0)</x:f>
        <x:v>1</x:v>
      </x:c>
      <x:c r="K3661" s="1"/>
      <x:c r="L3661" s="1"/>
      <x:c r="M3661" s="1"/>
    </x:row>
    <x:row r="3662" ht="18.75" customHeight="1">
      <x:c r="A3662" s="1" t="str">
        <x:v>https://blog.skyairline.com/termas-en-puerto-montt-las-mejores-opciones-para-relajarte/</x:v>
      </x:c>
      <x:c r="B3662" s="1" t="str">
        <x:v>termas en los lagos</x:v>
      </x:c>
      <x:c r="C3662" s="1" t="str">
        <x:v>chl</x:v>
      </x:c>
      <x:c r="D3662" s="1" t="str">
        <x:v>Sin marca</x:v>
      </x:c>
      <x:c r="E3662" s="35" t="n">
        <x:v>1</x:v>
      </x:c>
      <x:c r="F3662" s="36" t="n">
        <x:v>0.39</x:v>
      </x:c>
      <x:c r="G3662" s="36" t="n">
        <x:f>IF(ISNUMBER(F3662),E3662*F3662,"")</x:f>
        <x:v>0.39</x:v>
      </x:c>
      <x:c r="H3662" s="37" t="d">
        <x:v>2026-10-15T00:00:00.000Z</x:v>
      </x:c>
      <x:c r="I3662" s="37" t="d">
        <x:v>2026-10-15T09:32:51.000Z</x:v>
      </x:c>
      <x:c r="J3662" s="1" t="n">
        <x:f>IF(ISNUMBER(F3662),E3662,0)</x:f>
        <x:v>1</x:v>
      </x:c>
      <x:c r="K3662" s="1"/>
      <x:c r="L3662" s="1"/>
      <x:c r="M3662" s="1"/>
    </x:row>
    <x:row r="3663" ht="18.75" customHeight="1">
      <x:c r="A3663" s="1" t="str">
        <x:v>https://blog.skyairline.com/termas-sol/</x:v>
      </x:c>
      <x:c r="B3663" s="1" t="str">
        <x:v>termas del sol donde queda</x:v>
      </x:c>
      <x:c r="C3663" s="1" t="str">
        <x:v>chl</x:v>
      </x:c>
      <x:c r="D3663" s="1" t="str">
        <x:v>Sin marca</x:v>
      </x:c>
      <x:c r="E3663" s="35" t="n">
        <x:v>1</x:v>
      </x:c>
      <x:c r="F3663" s="36"/>
      <x:c r="G3663" s="36" t="str">
        <x:f>IF(ISNUMBER(F3663),E3663*F3663,"")</x:f>
      </x:c>
      <x:c r="H3663" s="37"/>
      <x:c r="I3663" s="37"/>
      <x:c r="J3663" s="1" t="n">
        <x:f>IF(ISNUMBER(F3663),E3663,0)</x:f>
        <x:v>0</x:v>
      </x:c>
      <x:c r="K3663" s="1"/>
      <x:c r="L3663" s="1"/>
      <x:c r="M3663" s="1"/>
    </x:row>
    <x:row r="3664" ht="18.75" customHeight="1">
      <x:c r="A3664" s="1" t="str">
        <x:v>https://blog.skyairline.com/terminal-sur-santiago/</x:v>
      </x:c>
      <x:c r="B3664" s="1" t="str">
        <x:v>como llegar a terminal sur santiago</x:v>
      </x:c>
      <x:c r="C3664" s="1" t="str">
        <x:v>chl</x:v>
      </x:c>
      <x:c r="D3664" s="1" t="str">
        <x:v>Sin marca</x:v>
      </x:c>
      <x:c r="E3664" s="35" t="n">
        <x:v>1</x:v>
      </x:c>
      <x:c r="F3664" s="36"/>
      <x:c r="G3664" s="36" t="str">
        <x:f>IF(ISNUMBER(F3664),E3664*F3664,"")</x:f>
      </x:c>
      <x:c r="H3664" s="37" t="d">
        <x:v>2026-10-15T00:00:00.000Z</x:v>
      </x:c>
      <x:c r="I3664" s="37" t="d">
        <x:v>2026-09-14T02:16:37.000Z</x:v>
      </x:c>
      <x:c r="J3664" s="1" t="n">
        <x:f>IF(ISNUMBER(F3664),E3664,0)</x:f>
        <x:v>0</x:v>
      </x:c>
      <x:c r="K3664" s="1"/>
      <x:c r="L3664" s="1"/>
      <x:c r="M3664" s="1"/>
    </x:row>
    <x:row r="3665" ht="18.75" customHeight="1">
      <x:c r="A3665" s="1" t="str">
        <x:v>https://blog.skyairline.com/terminal-sur-santiago/</x:v>
      </x:c>
      <x:c r="B3665" s="1" t="str">
        <x:v>cual es el terminal sur de santiago</x:v>
      </x:c>
      <x:c r="C3665" s="1" t="str">
        <x:v>chl</x:v>
      </x:c>
      <x:c r="D3665" s="1" t="str">
        <x:v>Sin marca</x:v>
      </x:c>
      <x:c r="E3665" s="35" t="n">
        <x:v>1</x:v>
      </x:c>
      <x:c r="F3665" s="36"/>
      <x:c r="G3665" s="36" t="str">
        <x:f>IF(ISNUMBER(F3665),E3665*F3665,"")</x:f>
      </x:c>
      <x:c r="H3665" s="37" t="d">
        <x:v>2026-10-15T00:00:00.000Z</x:v>
      </x:c>
      <x:c r="I3665" s="37" t="d">
        <x:v>2026-09-17T08:09:45.000Z</x:v>
      </x:c>
      <x:c r="J3665" s="1" t="n">
        <x:f>IF(ISNUMBER(F3665),E3665,0)</x:f>
        <x:v>0</x:v>
      </x:c>
      <x:c r="K3665" s="1"/>
      <x:c r="L3665" s="1"/>
      <x:c r="M3665" s="1"/>
    </x:row>
    <x:row r="3666" ht="18.75" customHeight="1">
      <x:c r="A3666" s="1" t="str">
        <x:v>https://blog.skyairline.com/terminal-sur-santiago/</x:v>
      </x:c>
      <x:c r="B3666" s="1" t="str">
        <x:v>terminal sur</x:v>
      </x:c>
      <x:c r="C3666" s="1" t="str">
        <x:v>chl</x:v>
      </x:c>
      <x:c r="D3666" s="1" t="str">
        <x:v>Sin marca</x:v>
      </x:c>
      <x:c r="E3666" s="35" t="n">
        <x:v>1</x:v>
      </x:c>
      <x:c r="F3666" s="36" t="n">
        <x:v>0.3</x:v>
      </x:c>
      <x:c r="G3666" s="36" t="n">
        <x:f>IF(ISNUMBER(F3666),E3666*F3666,"")</x:f>
        <x:v>0.3</x:v>
      </x:c>
      <x:c r="H3666" s="37" t="d">
        <x:v>2026-10-15T00:00:00.000Z</x:v>
      </x:c>
      <x:c r="I3666" s="37" t="d">
        <x:v>2026-09-13T07:52:03.000Z</x:v>
      </x:c>
      <x:c r="J3666" s="1" t="n">
        <x:f>IF(ISNUMBER(F3666),E3666,0)</x:f>
        <x:v>1</x:v>
      </x:c>
      <x:c r="K3666" s="1"/>
      <x:c r="L3666" s="1"/>
      <x:c r="M3666" s="1"/>
    </x:row>
    <x:row r="3667" ht="18.75" customHeight="1">
      <x:c r="A3667" s="1" t="str">
        <x:v>https://blog.skyairline.com/terminal-sur-santiago/</x:v>
      </x:c>
      <x:c r="B3667" s="1" t="str">
        <x:v>terminal sur que metro es</x:v>
      </x:c>
      <x:c r="C3667" s="1" t="str">
        <x:v>chl</x:v>
      </x:c>
      <x:c r="D3667" s="1" t="str">
        <x:v>Sin marca</x:v>
      </x:c>
      <x:c r="E3667" s="35" t="n">
        <x:v>1</x:v>
      </x:c>
      <x:c r="F3667" s="36"/>
      <x:c r="G3667" s="36" t="str">
        <x:f>IF(ISNUMBER(F3667),E3667*F3667,"")</x:f>
      </x:c>
      <x:c r="H3667" s="37"/>
      <x:c r="I3667" s="37"/>
      <x:c r="J3667" s="1" t="n">
        <x:f>IF(ISNUMBER(F3667),E3667,0)</x:f>
        <x:v>0</x:v>
      </x:c>
      <x:c r="K3667" s="1"/>
      <x:c r="L3667" s="1"/>
      <x:c r="M3667" s="1"/>
    </x:row>
    <x:row r="3668" ht="18.75" customHeight="1">
      <x:c r="A3668" s="1" t="str">
        <x:v>https://blog.skyairline.com/terminal-sur-santiago/</x:v>
      </x:c>
      <x:c r="B3668" s="1" t="str">
        <x:v>terminal sur santiago como llegar</x:v>
      </x:c>
      <x:c r="C3668" s="1" t="str">
        <x:v>chl</x:v>
      </x:c>
      <x:c r="D3668" s="1" t="str">
        <x:v>Sin marca</x:v>
      </x:c>
      <x:c r="E3668" s="35" t="n">
        <x:v>1</x:v>
      </x:c>
      <x:c r="F3668" s="36" t="n">
        <x:v>1.22</x:v>
      </x:c>
      <x:c r="G3668" s="36" t="n">
        <x:f>IF(ISNUMBER(F3668),E3668*F3668,"")</x:f>
        <x:v>1.22</x:v>
      </x:c>
      <x:c r="H3668" s="37" t="d">
        <x:v>2026-10-15T00:00:00.000Z</x:v>
      </x:c>
      <x:c r="I3668" s="37" t="d">
        <x:v>2026-10-15T13:21:45.000Z</x:v>
      </x:c>
      <x:c r="J3668" s="1" t="n">
        <x:f>IF(ISNUMBER(F3668),E3668,0)</x:f>
        <x:v>1</x:v>
      </x:c>
      <x:c r="K3668" s="1"/>
      <x:c r="L3668" s="1"/>
      <x:c r="M3668" s="1"/>
    </x:row>
    <x:row r="3669" ht="18.75" customHeight="1">
      <x:c r="A3669" s="1" t="str">
        <x:v>https://blog.skyairline.com/terminal-sur-santiago/</x:v>
      </x:c>
      <x:c r="B3669" s="1" t="str">
        <x:v>terminal sur santiago como llegar en metro</x:v>
      </x:c>
      <x:c r="C3669" s="1" t="str">
        <x:v>chl</x:v>
      </x:c>
      <x:c r="D3669" s="1" t="str">
        <x:v>Sin marca</x:v>
      </x:c>
      <x:c r="E3669" s="35" t="n">
        <x:v>1</x:v>
      </x:c>
      <x:c r="F3669" s="36"/>
      <x:c r="G3669" s="36" t="str">
        <x:f>IF(ISNUMBER(F3669),E3669*F3669,"")</x:f>
      </x:c>
      <x:c r="H3669" s="37" t="d">
        <x:v>2026-10-15T00:00:00.000Z</x:v>
      </x:c>
      <x:c r="I3669" s="37" t="d">
        <x:v>2026-09-13T17:06:35.999Z</x:v>
      </x:c>
      <x:c r="J3669" s="1" t="n">
        <x:f>IF(ISNUMBER(F3669),E3669,0)</x:f>
        <x:v>0</x:v>
      </x:c>
      <x:c r="K3669" s="1"/>
      <x:c r="L3669" s="1"/>
      <x:c r="M3669" s="1"/>
    </x:row>
    <x:row r="3670" ht="18.75" customHeight="1">
      <x:c r="A3670" s="1" t="str">
        <x:v>https://blog.skyairline.com/terminal-sur-santiago/</x:v>
      </x:c>
      <x:c r="B3670" s="1" t="str">
        <x:v>terminal sur ubicacion</x:v>
      </x:c>
      <x:c r="C3670" s="1" t="str">
        <x:v>chl</x:v>
      </x:c>
      <x:c r="D3670" s="1" t="str">
        <x:v>Sin marca</x:v>
      </x:c>
      <x:c r="E3670" s="35" t="n">
        <x:v>1</x:v>
      </x:c>
      <x:c r="F3670" s="36"/>
      <x:c r="G3670" s="36" t="str">
        <x:f>IF(ISNUMBER(F3670),E3670*F3670,"")</x:f>
      </x:c>
      <x:c r="H3670" s="37" t="d">
        <x:v>2026-10-15T00:00:00.000Z</x:v>
      </x:c>
      <x:c r="I3670" s="37" t="d">
        <x:v>2026-09-17T06:43:47.000Z</x:v>
      </x:c>
      <x:c r="J3670" s="1" t="n">
        <x:f>IF(ISNUMBER(F3670),E3670,0)</x:f>
        <x:v>0</x:v>
      </x:c>
      <x:c r="K3670" s="1"/>
      <x:c r="L3670" s="1"/>
      <x:c r="M3670" s="1"/>
    </x:row>
    <x:row r="3671" ht="18.75" customHeight="1">
      <x:c r="A3671" s="1" t="str">
        <x:v>https://blog.skyairline.com/tesoro-escondido-orillas-del-lago-ranco/</x:v>
      </x:c>
      <x:c r="B3671" s="1" t="str">
        <x:v>donde queda futrono</x:v>
      </x:c>
      <x:c r="C3671" s="1" t="str">
        <x:v>chl</x:v>
      </x:c>
      <x:c r="D3671" s="1" t="str">
        <x:v>Sin marca</x:v>
      </x:c>
      <x:c r="E3671" s="35" t="n">
        <x:v>1</x:v>
      </x:c>
      <x:c r="F3671" s="36"/>
      <x:c r="G3671" s="36" t="str">
        <x:f>IF(ISNUMBER(F3671),E3671*F3671,"")</x:f>
      </x:c>
      <x:c r="H3671" s="37" t="d">
        <x:v>2026-10-15T00:00:00.000Z</x:v>
      </x:c>
      <x:c r="I3671" s="37" t="d">
        <x:v>2026-10-15T02:25:31.000Z</x:v>
      </x:c>
      <x:c r="J3671" s="1" t="n">
        <x:f>IF(ISNUMBER(F3671),E3671,0)</x:f>
        <x:v>0</x:v>
      </x:c>
      <x:c r="K3671" s="1"/>
      <x:c r="L3671" s="1"/>
      <x:c r="M3671" s="1"/>
    </x:row>
    <x:row r="3672" ht="18.75" customHeight="1">
      <x:c r="A3672" s="1" t="str">
        <x:v>https://blog.skyairline.com/tiempo-de-chile-a-brasil/</x:v>
      </x:c>
      <x:c r="B3672" s="1" t="str">
        <x:v>cuantas horas de chile a brasil</x:v>
      </x:c>
      <x:c r="C3672" s="1" t="str">
        <x:v>chl</x:v>
      </x:c>
      <x:c r="D3672" s="1" t="str">
        <x:v>Sin marca</x:v>
      </x:c>
      <x:c r="E3672" s="35" t="n">
        <x:v>1</x:v>
      </x:c>
      <x:c r="F3672" s="36"/>
      <x:c r="G3672" s="36" t="str">
        <x:f>IF(ISNUMBER(F3672),E3672*F3672,"")</x:f>
      </x:c>
      <x:c r="H3672" s="37"/>
      <x:c r="I3672" s="37"/>
      <x:c r="J3672" s="1" t="n">
        <x:f>IF(ISNUMBER(F3672),E3672,0)</x:f>
        <x:v>0</x:v>
      </x:c>
      <x:c r="K3672" s="1"/>
      <x:c r="L3672" s="1"/>
      <x:c r="M3672" s="1"/>
    </x:row>
    <x:row r="3673" ht="18.75" customHeight="1">
      <x:c r="A3673" s="1" t="str">
        <x:v>https://blog.skyairline.com/tiempo-de-chile-a-brasil/</x:v>
      </x:c>
      <x:c r="B3673" s="1" t="str">
        <x:v>cuantas horas de viaje son de chile a brasil</x:v>
      </x:c>
      <x:c r="C3673" s="1" t="str">
        <x:v>chl</x:v>
      </x:c>
      <x:c r="D3673" s="1" t="str">
        <x:v>Sin marca</x:v>
      </x:c>
      <x:c r="E3673" s="35" t="n">
        <x:v>1</x:v>
      </x:c>
      <x:c r="F3673" s="36"/>
      <x:c r="G3673" s="36" t="str">
        <x:f>IF(ISNUMBER(F3673),E3673*F3673,"")</x:f>
      </x:c>
      <x:c r="H3673" s="37"/>
      <x:c r="I3673" s="37"/>
      <x:c r="J3673" s="1" t="n">
        <x:f>IF(ISNUMBER(F3673),E3673,0)</x:f>
        <x:v>0</x:v>
      </x:c>
      <x:c r="K3673" s="1"/>
      <x:c r="L3673" s="1"/>
      <x:c r="M3673" s="1"/>
    </x:row>
    <x:row r="3674" ht="18.75" customHeight="1">
      <x:c r="A3674" s="1" t="str">
        <x:v>https://blog.skyairline.com/tiempo-de-chile-a-brasil/</x:v>
      </x:c>
      <x:c r="B3674" s="1" t="str">
        <x:v>cuantas horas son de chile a brasil en avion</x:v>
      </x:c>
      <x:c r="C3674" s="1" t="str">
        <x:v>chl</x:v>
      </x:c>
      <x:c r="D3674" s="1" t="str">
        <x:v>Sin marca</x:v>
      </x:c>
      <x:c r="E3674" s="35" t="n">
        <x:v>1</x:v>
      </x:c>
      <x:c r="F3674" s="36" t="n">
        <x:v>0.41</x:v>
      </x:c>
      <x:c r="G3674" s="36" t="n">
        <x:f>IF(ISNUMBER(F3674),E3674*F3674,"")</x:f>
        <x:v>0.41</x:v>
      </x:c>
      <x:c r="H3674" s="37" t="d">
        <x:v>2026-10-15T00:00:00.000Z</x:v>
      </x:c>
      <x:c r="I3674" s="37" t="d">
        <x:v>2026-09-17T18:00:04.000Z</x:v>
      </x:c>
      <x:c r="J3674" s="1" t="n">
        <x:f>IF(ISNUMBER(F3674),E3674,0)</x:f>
        <x:v>1</x:v>
      </x:c>
      <x:c r="K3674" s="1"/>
      <x:c r="L3674" s="1"/>
      <x:c r="M3674" s="1"/>
    </x:row>
    <x:row r="3675" ht="18.75" customHeight="1">
      <x:c r="A3675" s="1" t="str">
        <x:v>https://blog.skyairline.com/tiempo-de-chile-a-brasil/</x:v>
      </x:c>
      <x:c r="B3675" s="1" t="str">
        <x:v>cuantas horas son de santiago a brasil</x:v>
      </x:c>
      <x:c r="C3675" s="1" t="str">
        <x:v>chl</x:v>
      </x:c>
      <x:c r="D3675" s="1" t="str">
        <x:v>Sin marca</x:v>
      </x:c>
      <x:c r="E3675" s="35" t="n">
        <x:v>1</x:v>
      </x:c>
      <x:c r="F3675" s="36"/>
      <x:c r="G3675" s="36" t="str">
        <x:f>IF(ISNUMBER(F3675),E3675*F3675,"")</x:f>
      </x:c>
      <x:c r="H3675" s="37"/>
      <x:c r="I3675" s="37"/>
      <x:c r="J3675" s="1" t="n">
        <x:f>IF(ISNUMBER(F3675),E3675,0)</x:f>
        <x:v>0</x:v>
      </x:c>
      <x:c r="K3675" s="1"/>
      <x:c r="L3675" s="1"/>
      <x:c r="M3675" s="1"/>
    </x:row>
    <x:row r="3676" ht="18.75" customHeight="1">
      <x:c r="A3676" s="1" t="str">
        <x:v>https://blog.skyairline.com/tiempo-de-chile-a-brasil/</x:v>
      </x:c>
      <x:c r="B3676" s="1" t="str">
        <x:v>cuantas horas son en avion a brasil</x:v>
      </x:c>
      <x:c r="C3676" s="1" t="str">
        <x:v>chl</x:v>
      </x:c>
      <x:c r="D3676" s="1" t="str">
        <x:v>Sin marca</x:v>
      </x:c>
      <x:c r="E3676" s="35" t="n">
        <x:v>1</x:v>
      </x:c>
      <x:c r="F3676" s="36"/>
      <x:c r="G3676" s="36" t="str">
        <x:f>IF(ISNUMBER(F3676),E3676*F3676,"")</x:f>
      </x:c>
      <x:c r="H3676" s="37"/>
      <x:c r="I3676" s="37"/>
      <x:c r="J3676" s="1" t="n">
        <x:f>IF(ISNUMBER(F3676),E3676,0)</x:f>
        <x:v>0</x:v>
      </x:c>
      <x:c r="K3676" s="1"/>
      <x:c r="L3676" s="1"/>
      <x:c r="M3676" s="1"/>
    </x:row>
    <x:row r="3677" ht="18.75" customHeight="1">
      <x:c r="A3677" s="1" t="str">
        <x:v>https://blog.skyairline.com/tiempo-de-chile-a-brasil/</x:v>
      </x:c>
      <x:c r="B3677" s="1" t="str">
        <x:v>cuantas horas son en avion de chile a brasil</x:v>
      </x:c>
      <x:c r="C3677" s="1" t="str">
        <x:v>chl</x:v>
      </x:c>
      <x:c r="D3677" s="1" t="str">
        <x:v>Sin marca</x:v>
      </x:c>
      <x:c r="E3677" s="35" t="n">
        <x:v>1</x:v>
      </x:c>
      <x:c r="F3677" s="36"/>
      <x:c r="G3677" s="36" t="str">
        <x:f>IF(ISNUMBER(F3677),E3677*F3677,"")</x:f>
      </x:c>
      <x:c r="H3677" s="37"/>
      <x:c r="I3677" s="37"/>
      <x:c r="J3677" s="1" t="n">
        <x:f>IF(ISNUMBER(F3677),E3677,0)</x:f>
        <x:v>0</x:v>
      </x:c>
      <x:c r="K3677" s="1"/>
      <x:c r="L3677" s="1"/>
      <x:c r="M3677" s="1"/>
    </x:row>
    <x:row r="3678" ht="18.75" customHeight="1">
      <x:c r="A3678" s="1" t="str">
        <x:v>https://blog.skyairline.com/tiempo-de-chile-a-brasil/</x:v>
      </x:c>
      <x:c r="B3678" s="1" t="str">
        <x:v>cuantas horas son para brasil</x:v>
      </x:c>
      <x:c r="C3678" s="1" t="str">
        <x:v>chl</x:v>
      </x:c>
      <x:c r="D3678" s="1" t="str">
        <x:v>Sin marca</x:v>
      </x:c>
      <x:c r="E3678" s="35" t="n">
        <x:v>1</x:v>
      </x:c>
      <x:c r="F3678" s="36"/>
      <x:c r="G3678" s="36" t="str">
        <x:f>IF(ISNUMBER(F3678),E3678*F3678,"")</x:f>
      </x:c>
      <x:c r="H3678" s="37" t="d">
        <x:v>2026-10-15T00:00:00.000Z</x:v>
      </x:c>
      <x:c r="I3678" s="37" t="d">
        <x:v>2026-09-17T22:21:16.000Z</x:v>
      </x:c>
      <x:c r="J3678" s="1" t="n">
        <x:f>IF(ISNUMBER(F3678),E3678,0)</x:f>
        <x:v>0</x:v>
      </x:c>
      <x:c r="K3678" s="1"/>
      <x:c r="L3678" s="1"/>
      <x:c r="M3678" s="1"/>
    </x:row>
    <x:row r="3679" ht="18.75" customHeight="1">
      <x:c r="A3679" s="1" t="str">
        <x:v>https://blog.skyairline.com/tiempo-de-chile-a-brasil/</x:v>
      </x:c>
      <x:c r="B3679" s="1" t="str">
        <x:v>cuantas horas son para brasil en avion</x:v>
      </x:c>
      <x:c r="C3679" s="1" t="str">
        <x:v>chl</x:v>
      </x:c>
      <x:c r="D3679" s="1" t="str">
        <x:v>Sin marca</x:v>
      </x:c>
      <x:c r="E3679" s="35" t="n">
        <x:v>1</x:v>
      </x:c>
      <x:c r="F3679" s="36"/>
      <x:c r="G3679" s="36" t="str">
        <x:f>IF(ISNUMBER(F3679),E3679*F3679,"")</x:f>
      </x:c>
      <x:c r="H3679" s="37"/>
      <x:c r="I3679" s="37"/>
      <x:c r="J3679" s="1" t="n">
        <x:f>IF(ISNUMBER(F3679),E3679,0)</x:f>
        <x:v>0</x:v>
      </x:c>
      <x:c r="K3679" s="1"/>
      <x:c r="L3679" s="1"/>
      <x:c r="M3679" s="1"/>
    </x:row>
    <x:row r="3680" ht="18.75" customHeight="1">
      <x:c r="A3680" s="1" t="str">
        <x:v>https://blog.skyairline.com/tiempo-de-chile-a-brasil/</x:v>
      </x:c>
      <x:c r="B3680" s="1" t="str">
        <x:v>cuanto dura un viaje de chile a brasil</x:v>
      </x:c>
      <x:c r="C3680" s="1" t="str">
        <x:v>arg</x:v>
      </x:c>
      <x:c r="D3680" s="1" t="str">
        <x:v>Sin marca</x:v>
      </x:c>
      <x:c r="E3680" s="35" t="n">
        <x:v>1</x:v>
      </x:c>
      <x:c r="F3680" s="36"/>
      <x:c r="G3680" s="36" t="str">
        <x:f>IF(ISNUMBER(F3680),E3680*F3680,"")</x:f>
      </x:c>
      <x:c r="H3680" s="37"/>
      <x:c r="I3680" s="37"/>
      <x:c r="J3680" s="1" t="n">
        <x:f>IF(ISNUMBER(F3680),E3680,0)</x:f>
        <x:v>0</x:v>
      </x:c>
      <x:c r="K3680" s="1"/>
      <x:c r="L3680" s="1"/>
      <x:c r="M3680" s="1"/>
    </x:row>
    <x:row r="3681" ht="18.75" customHeight="1">
      <x:c r="A3681" s="1" t="str">
        <x:v>https://blog.skyairline.com/tiempo-de-chile-a-brasil/</x:v>
      </x:c>
      <x:c r="B3681" s="1" t="str">
        <x:v>cuanto dura un viaje de chile a brasil</x:v>
      </x:c>
      <x:c r="C3681" s="1" t="str">
        <x:v>chl</x:v>
      </x:c>
      <x:c r="D3681" s="1" t="str">
        <x:v>Sin marca</x:v>
      </x:c>
      <x:c r="E3681" s="35" t="n">
        <x:v>1</x:v>
      </x:c>
      <x:c r="F3681" s="36"/>
      <x:c r="G3681" s="36" t="str">
        <x:f>IF(ISNUMBER(F3681),E3681*F3681,"")</x:f>
      </x:c>
      <x:c r="H3681" s="37" t="d">
        <x:v>2026-10-15T00:00:00.000Z</x:v>
      </x:c>
      <x:c r="I3681" s="37" t="d">
        <x:v>2026-09-14T17:46:34.000Z</x:v>
      </x:c>
      <x:c r="J3681" s="1" t="n">
        <x:f>IF(ISNUMBER(F3681),E3681,0)</x:f>
        <x:v>0</x:v>
      </x:c>
      <x:c r="K3681" s="1"/>
      <x:c r="L3681" s="1"/>
      <x:c r="M3681" s="1"/>
    </x:row>
    <x:row r="3682" ht="18.75" customHeight="1">
      <x:c r="A3682" s="1" t="str">
        <x:v>https://blog.skyairline.com/tiempo-de-chile-a-brasil/</x:v>
      </x:c>
      <x:c r="B3682" s="1" t="str">
        <x:v>cuanto se demora de chile a brasil en avion</x:v>
      </x:c>
      <x:c r="C3682" s="1" t="str">
        <x:v>chl</x:v>
      </x:c>
      <x:c r="D3682" s="1" t="str">
        <x:v>Sin marca</x:v>
      </x:c>
      <x:c r="E3682" s="35" t="n">
        <x:v>1</x:v>
      </x:c>
      <x:c r="F3682" s="36" t="n">
        <x:v>0.62</x:v>
      </x:c>
      <x:c r="G3682" s="36" t="n">
        <x:f>IF(ISNUMBER(F3682),E3682*F3682,"")</x:f>
        <x:v>0.62</x:v>
      </x:c>
      <x:c r="H3682" s="37" t="d">
        <x:v>2026-10-15T00:00:00.000Z</x:v>
      </x:c>
      <x:c r="I3682" s="37" t="d">
        <x:v>2026-09-17T06:01:27.000Z</x:v>
      </x:c>
      <x:c r="J3682" s="1" t="n">
        <x:f>IF(ISNUMBER(F3682),E3682,0)</x:f>
        <x:v>1</x:v>
      </x:c>
      <x:c r="K3682" s="1"/>
      <x:c r="L3682" s="1"/>
      <x:c r="M3682" s="1"/>
    </x:row>
    <x:row r="3683" ht="18.75" customHeight="1">
      <x:c r="A3683" s="1" t="str">
        <x:v>https://blog.skyairline.com/tiempo-de-chile-a-brasil/</x:v>
      </x:c>
      <x:c r="B3683" s="1" t="str">
        <x:v>cuanto se demora un vuelo de chile a brasil</x:v>
      </x:c>
      <x:c r="C3683" s="1" t="str">
        <x:v>chl</x:v>
      </x:c>
      <x:c r="D3683" s="1" t="str">
        <x:v>Sin marca</x:v>
      </x:c>
      <x:c r="E3683" s="35" t="n">
        <x:v>1</x:v>
      </x:c>
      <x:c r="F3683" s="36"/>
      <x:c r="G3683" s="36" t="str">
        <x:f>IF(ISNUMBER(F3683),E3683*F3683,"")</x:f>
      </x:c>
      <x:c r="H3683" s="37"/>
      <x:c r="I3683" s="37"/>
      <x:c r="J3683" s="1" t="n">
        <x:f>IF(ISNUMBER(F3683),E3683,0)</x:f>
        <x:v>0</x:v>
      </x:c>
      <x:c r="K3683" s="1"/>
      <x:c r="L3683" s="1"/>
      <x:c r="M3683" s="1"/>
    </x:row>
    <x:row r="3684" ht="18.75" customHeight="1">
      <x:c r="A3684" s="1" t="str">
        <x:v>https://blog.skyairline.com/tiempo-de-chile-a-brasil/</x:v>
      </x:c>
      <x:c r="B3684" s="1" t="str">
        <x:v>cuánto se demora de chile a brasil</x:v>
      </x:c>
      <x:c r="C3684" s="1" t="str">
        <x:v>chl</x:v>
      </x:c>
      <x:c r="D3684" s="1" t="str">
        <x:v>Sin marca</x:v>
      </x:c>
      <x:c r="E3684" s="35" t="n">
        <x:v>1</x:v>
      </x:c>
      <x:c r="F3684" s="36"/>
      <x:c r="G3684" s="36" t="str">
        <x:f>IF(ISNUMBER(F3684),E3684*F3684,"")</x:f>
      </x:c>
      <x:c r="H3684" s="37"/>
      <x:c r="I3684" s="37"/>
      <x:c r="J3684" s="1" t="n">
        <x:f>IF(ISNUMBER(F3684),E3684,0)</x:f>
        <x:v>0</x:v>
      </x:c>
      <x:c r="K3684" s="1"/>
      <x:c r="L3684" s="1"/>
      <x:c r="M3684" s="1"/>
    </x:row>
    <x:row r="3685" ht="18.75" customHeight="1">
      <x:c r="A3685" s="1" t="str">
        <x:v>https://blog.skyairline.com/tiempo-de-chile-a-brasil/</x:v>
      </x:c>
      <x:c r="B3685" s="1" t="str">
        <x:v>santiago brasil horas de vuelo</x:v>
      </x:c>
      <x:c r="C3685" s="1" t="str">
        <x:v>chl</x:v>
      </x:c>
      <x:c r="D3685" s="1" t="str">
        <x:v>Sin marca</x:v>
      </x:c>
      <x:c r="E3685" s="35" t="n">
        <x:v>1</x:v>
      </x:c>
      <x:c r="F3685" s="36"/>
      <x:c r="G3685" s="36" t="str">
        <x:f>IF(ISNUMBER(F3685),E3685*F3685,"")</x:f>
      </x:c>
      <x:c r="H3685" s="37" t="d">
        <x:v>2026-10-15T00:00:00.000Z</x:v>
      </x:c>
      <x:c r="I3685" s="37" t="d">
        <x:v>2026-09-13T21:33:09.000Z</x:v>
      </x:c>
      <x:c r="J3685" s="1" t="n">
        <x:f>IF(ISNUMBER(F3685),E3685,0)</x:f>
        <x:v>0</x:v>
      </x:c>
      <x:c r="K3685" s="1"/>
      <x:c r="L3685" s="1"/>
      <x:c r="M3685" s="1"/>
    </x:row>
    <x:row r="3686" ht="18.75" customHeight="1">
      <x:c r="A3686" s="1" t="str">
        <x:v>https://blog.skyairline.com/tiempo-de-chile-a-brasil/</x:v>
      </x:c>
      <x:c r="B3686" s="1" t="str">
        <x:v>santiago florianópolis horas de vuelo</x:v>
      </x:c>
      <x:c r="C3686" s="1" t="str">
        <x:v>chl</x:v>
      </x:c>
      <x:c r="D3686" s="1" t="str">
        <x:v>Sin marca</x:v>
      </x:c>
      <x:c r="E3686" s="35" t="n">
        <x:v>1</x:v>
      </x:c>
      <x:c r="F3686" s="36" t="n">
        <x:v>0.29</x:v>
      </x:c>
      <x:c r="G3686" s="36" t="n">
        <x:f>IF(ISNUMBER(F3686),E3686*F3686,"")</x:f>
        <x:v>0.29</x:v>
      </x:c>
      <x:c r="H3686" s="37" t="d">
        <x:v>2026-10-15T00:00:00.000Z</x:v>
      </x:c>
      <x:c r="I3686" s="37" t="d">
        <x:v>2026-09-17T11:01:55.000Z</x:v>
      </x:c>
      <x:c r="J3686" s="1" t="n">
        <x:f>IF(ISNUMBER(F3686),E3686,0)</x:f>
        <x:v>1</x:v>
      </x:c>
      <x:c r="K3686" s="1"/>
      <x:c r="L3686" s="1"/>
      <x:c r="M3686" s="1"/>
    </x:row>
    <x:row r="3687" ht="18.75" customHeight="1">
      <x:c r="A3687" s="1" t="str">
        <x:v>https://blog.skyairline.com/tipos-de-equipaje/</x:v>
      </x:c>
      <x:c r="B3687" s="1" t="str">
        <x:v>1ra maleta mmb</x:v>
      </x:c>
      <x:c r="C3687" s="1" t="str">
        <x:v>chl</x:v>
      </x:c>
      <x:c r="D3687" s="1" t="str">
        <x:v>Sin marca</x:v>
      </x:c>
      <x:c r="E3687" s="35" t="n">
        <x:v>1</x:v>
      </x:c>
      <x:c r="F3687" s="36"/>
      <x:c r="G3687" s="36" t="str">
        <x:f>IF(ISNUMBER(F3687),E3687*F3687,"")</x:f>
      </x:c>
      <x:c r="H3687" s="37"/>
      <x:c r="I3687" s="37"/>
      <x:c r="J3687" s="1" t="n">
        <x:f>IF(ISNUMBER(F3687),E3687,0)</x:f>
        <x:v>0</x:v>
      </x:c>
      <x:c r="K3687" s="1"/>
      <x:c r="L3687" s="1"/>
      <x:c r="M3687" s="1"/>
    </x:row>
    <x:row r="3688" ht="18.75" customHeight="1">
      <x:c r="A3688" s="1" t="str">
        <x:v>https://blog.skyairline.com/tipos-de-equipaje/</x:v>
      </x:c>
      <x:c r="B3688" s="1" t="str">
        <x:v>articulo personal sky</x:v>
      </x:c>
      <x:c r="C3688" s="1" t="str">
        <x:v>chl</x:v>
      </x:c>
      <x:c r="D3688" s="1" t="str">
        <x:v>Marca</x:v>
      </x:c>
      <x:c r="E3688" s="35" t="n">
        <x:v>1</x:v>
      </x:c>
      <x:c r="F3688" s="36"/>
      <x:c r="G3688" s="36" t="str">
        <x:f>IF(ISNUMBER(F3688),E3688*F3688,"")</x:f>
      </x:c>
      <x:c r="H3688" s="37"/>
      <x:c r="I3688" s="37"/>
      <x:c r="J3688" s="1" t="n">
        <x:f>IF(ISNUMBER(F3688),E3688,0)</x:f>
        <x:v>0</x:v>
      </x:c>
      <x:c r="K3688" s="1"/>
      <x:c r="L3688" s="1"/>
      <x:c r="M3688" s="1"/>
    </x:row>
    <x:row r="3689" ht="18.75" customHeight="1">
      <x:c r="A3689" s="1" t="str">
        <x:v>https://blog.skyairline.com/tipos-de-equipaje/</x:v>
      </x:c>
      <x:c r="B3689" s="1" t="str">
        <x:v>articulo personal sky medidas</x:v>
      </x:c>
      <x:c r="C3689" s="1" t="str">
        <x:v>chl</x:v>
      </x:c>
      <x:c r="D3689" s="1" t="str">
        <x:v>Marca</x:v>
      </x:c>
      <x:c r="E3689" s="35" t="n">
        <x:v>1</x:v>
      </x:c>
      <x:c r="F3689" s="36"/>
      <x:c r="G3689" s="36" t="str">
        <x:f>IF(ISNUMBER(F3689),E3689*F3689,"")</x:f>
      </x:c>
      <x:c r="H3689" s="37"/>
      <x:c r="I3689" s="37"/>
      <x:c r="J3689" s="1" t="n">
        <x:f>IF(ISNUMBER(F3689),E3689,0)</x:f>
        <x:v>0</x:v>
      </x:c>
      <x:c r="K3689" s="1"/>
      <x:c r="L3689" s="1"/>
      <x:c r="M3689" s="1"/>
    </x:row>
    <x:row r="3690" ht="18.75" customHeight="1">
      <x:c r="A3690" s="1" t="str">
        <x:v>https://blog.skyairline.com/tipos-de-equipaje/</x:v>
      </x:c>
      <x:c r="B3690" s="1" t="str">
        <x:v>articulo personal sky medidas</x:v>
      </x:c>
      <x:c r="C3690" s="1" t="str">
        <x:v>per</x:v>
      </x:c>
      <x:c r="D3690" s="1" t="str">
        <x:v>Marca</x:v>
      </x:c>
      <x:c r="E3690" s="35" t="n">
        <x:v>1</x:v>
      </x:c>
      <x:c r="F3690" s="36"/>
      <x:c r="G3690" s="36" t="str">
        <x:f>IF(ISNUMBER(F3690),E3690*F3690,"")</x:f>
      </x:c>
      <x:c r="H3690" s="37"/>
      <x:c r="I3690" s="37"/>
      <x:c r="J3690" s="1" t="n">
        <x:f>IF(ISNUMBER(F3690),E3690,0)</x:f>
        <x:v>0</x:v>
      </x:c>
      <x:c r="K3690" s="1"/>
      <x:c r="L3690" s="1"/>
      <x:c r="M3690" s="1"/>
    </x:row>
    <x:row r="3691" ht="18.75" customHeight="1">
      <x:c r="A3691" s="1" t="str">
        <x:v>https://blog.skyairline.com/tipos-de-equipaje/</x:v>
      </x:c>
      <x:c r="B3691" s="1" t="str">
        <x:v>artículo personal sky</x:v>
      </x:c>
      <x:c r="C3691" s="1" t="str">
        <x:v>chl</x:v>
      </x:c>
      <x:c r="D3691" s="1" t="str">
        <x:v>Marca</x:v>
      </x:c>
      <x:c r="E3691" s="35" t="n">
        <x:v>1</x:v>
      </x:c>
      <x:c r="F3691" s="36" t="n">
        <x:v>0.09</x:v>
      </x:c>
      <x:c r="G3691" s="36" t="n">
        <x:f>IF(ISNUMBER(F3691),E3691*F3691,"")</x:f>
        <x:v>0.09</x:v>
      </x:c>
      <x:c r="H3691" s="37" t="d">
        <x:v>2026-10-15T00:00:00.000Z</x:v>
      </x:c>
      <x:c r="I3691" s="37" t="d">
        <x:v>2026-10-15T12:19:51.000Z</x:v>
      </x:c>
      <x:c r="J3691" s="1" t="n">
        <x:f>IF(ISNUMBER(F3691),E3691,0)</x:f>
        <x:v>1</x:v>
      </x:c>
      <x:c r="K3691" s="1"/>
      <x:c r="L3691" s="1"/>
      <x:c r="M3691" s="1"/>
    </x:row>
    <x:row r="3692" ht="18.75" customHeight="1">
      <x:c r="A3692" s="1" t="str">
        <x:v>https://blog.skyairline.com/tipos-de-equipaje/</x:v>
      </x:c>
      <x:c r="B3692" s="1" t="str">
        <x:v>artículo personal sky</x:v>
      </x:c>
      <x:c r="C3692" s="1" t="str">
        <x:v>ury</x:v>
      </x:c>
      <x:c r="D3692" s="1" t="str">
        <x:v>Marca</x:v>
      </x:c>
      <x:c r="E3692" s="35" t="n">
        <x:v>1</x:v>
      </x:c>
      <x:c r="F3692" s="36"/>
      <x:c r="G3692" s="36" t="str">
        <x:f>IF(ISNUMBER(F3692),E3692*F3692,"")</x:f>
      </x:c>
      <x:c r="H3692" s="37"/>
      <x:c r="I3692" s="37"/>
      <x:c r="J3692" s="1" t="n">
        <x:f>IF(ISNUMBER(F3692),E3692,0)</x:f>
        <x:v>0</x:v>
      </x:c>
      <x:c r="K3692" s="1"/>
      <x:c r="L3692" s="1"/>
      <x:c r="M3692" s="1"/>
    </x:row>
    <x:row r="3693" ht="18.75" customHeight="1">
      <x:c r="A3693" s="1" t="str">
        <x:v>https://blog.skyairline.com/tipos-de-equipaje/</x:v>
      </x:c>
      <x:c r="B3693" s="1" t="str">
        <x:v>bodega</x:v>
      </x:c>
      <x:c r="C3693" s="1" t="str">
        <x:v>chl</x:v>
      </x:c>
      <x:c r="D3693" s="1" t="str">
        <x:v>Sin marca</x:v>
      </x:c>
      <x:c r="E3693" s="35" t="n">
        <x:v>1</x:v>
      </x:c>
      <x:c r="F3693" s="36" t="n">
        <x:v>0.68</x:v>
      </x:c>
      <x:c r="G3693" s="36" t="n">
        <x:f>IF(ISNUMBER(F3693),E3693*F3693,"")</x:f>
        <x:v>0.68</x:v>
      </x:c>
      <x:c r="H3693" s="37" t="d">
        <x:v>2026-10-15T00:00:00.000Z</x:v>
      </x:c>
      <x:c r="I3693" s="37" t="d">
        <x:v>2026-09-13T13:40:59.000Z</x:v>
      </x:c>
      <x:c r="J3693" s="1" t="n">
        <x:f>IF(ISNUMBER(F3693),E3693,0)</x:f>
        <x:v>1</x:v>
      </x:c>
      <x:c r="K3693" s="1"/>
      <x:c r="L3693" s="1"/>
      <x:c r="M3693" s="1"/>
    </x:row>
    <x:row r="3694" ht="18.75" customHeight="1">
      <x:c r="A3694" s="1" t="str">
        <x:v>https://blog.skyairline.com/tipos-de-equipaje/</x:v>
      </x:c>
      <x:c r="B3694" s="1" t="str">
        <x:v>bolsa de mano sky</x:v>
      </x:c>
      <x:c r="C3694" s="1" t="str">
        <x:v>per</x:v>
      </x:c>
      <x:c r="D3694" s="1" t="str">
        <x:v>Marca</x:v>
      </x:c>
      <x:c r="E3694" s="35" t="n">
        <x:v>1</x:v>
      </x:c>
      <x:c r="F3694" s="36"/>
      <x:c r="G3694" s="36" t="str">
        <x:f>IF(ISNUMBER(F3694),E3694*F3694,"")</x:f>
      </x:c>
      <x:c r="H3694" s="37" t="d">
        <x:v>2026-10-15T00:00:00.000Z</x:v>
      </x:c>
      <x:c r="I3694" s="37" t="d">
        <x:v>2026-09-16T03:30:25.000Z</x:v>
      </x:c>
      <x:c r="J3694" s="1" t="n">
        <x:f>IF(ISNUMBER(F3694),E3694,0)</x:f>
        <x:v>0</x:v>
      </x:c>
      <x:c r="K3694" s="1"/>
      <x:c r="L3694" s="1"/>
      <x:c r="M3694" s="1"/>
    </x:row>
    <x:row r="3695" ht="18.75" customHeight="1">
      <x:c r="A3695" s="1" t="str">
        <x:v>https://blog.skyairline.com/tipos-de-equipaje/</x:v>
      </x:c>
      <x:c r="B3695" s="1" t="str">
        <x:v>bolso de mano sky airlines</x:v>
      </x:c>
      <x:c r="C3695" s="1" t="str">
        <x:v>per</x:v>
      </x:c>
      <x:c r="D3695" s="1" t="str">
        <x:v>Marca</x:v>
      </x:c>
      <x:c r="E3695" s="35" t="n">
        <x:v>1</x:v>
      </x:c>
      <x:c r="F3695" s="36"/>
      <x:c r="G3695" s="36" t="str">
        <x:f>IF(ISNUMBER(F3695),E3695*F3695,"")</x:f>
      </x:c>
      <x:c r="H3695" s="37" t="d">
        <x:v>2026-10-15T00:00:00.000Z</x:v>
      </x:c>
      <x:c r="I3695" s="37" t="d">
        <x:v>2026-09-16T14:11:06.000Z</x:v>
      </x:c>
      <x:c r="J3695" s="1" t="n">
        <x:f>IF(ISNUMBER(F3695),E3695,0)</x:f>
        <x:v>0</x:v>
      </x:c>
      <x:c r="K3695" s="1"/>
      <x:c r="L3695" s="1"/>
      <x:c r="M3695" s="1"/>
    </x:row>
    <x:row r="3696" ht="18.75" customHeight="1">
      <x:c r="A3696" s="1" t="str">
        <x:v>https://blog.skyairline.com/tipos-de-equipaje/</x:v>
      </x:c>
      <x:c r="B3696" s="1" t="str">
        <x:v>bolso de mano sky medidas</x:v>
      </x:c>
      <x:c r="C3696" s="1" t="str">
        <x:v>per</x:v>
      </x:c>
      <x:c r="D3696" s="1" t="str">
        <x:v>Marca</x:v>
      </x:c>
      <x:c r="E3696" s="35" t="n">
        <x:v>1</x:v>
      </x:c>
      <x:c r="F3696" s="36" t="n">
        <x:v>0.56</x:v>
      </x:c>
      <x:c r="G3696" s="36" t="n">
        <x:f>IF(ISNUMBER(F3696),E3696*F3696,"")</x:f>
        <x:v>0.56</x:v>
      </x:c>
      <x:c r="H3696" s="37" t="d">
        <x:v>2026-10-15T00:00:00.000Z</x:v>
      </x:c>
      <x:c r="I3696" s="37" t="d">
        <x:v>2026-09-13T10:39:34.000Z</x:v>
      </x:c>
      <x:c r="J3696" s="1" t="n">
        <x:f>IF(ISNUMBER(F3696),E3696,0)</x:f>
        <x:v>1</x:v>
      </x:c>
      <x:c r="K3696" s="1"/>
      <x:c r="L3696" s="1"/>
      <x:c r="M3696" s="1"/>
    </x:row>
    <x:row r="3697" ht="18.75" customHeight="1">
      <x:c r="A3697" s="1" t="str">
        <x:v>https://blog.skyairline.com/tipos-de-equipaje/</x:v>
      </x:c>
      <x:c r="B3697" s="1" t="str">
        <x:v>bolso de mano sky medidas y peso</x:v>
      </x:c>
      <x:c r="C3697" s="1" t="str">
        <x:v>arg</x:v>
      </x:c>
      <x:c r="D3697" s="1" t="str">
        <x:v>Marca</x:v>
      </x:c>
      <x:c r="E3697" s="35" t="n">
        <x:v>1</x:v>
      </x:c>
      <x:c r="F3697" s="36"/>
      <x:c r="G3697" s="36" t="str">
        <x:f>IF(ISNUMBER(F3697),E3697*F3697,"")</x:f>
      </x:c>
      <x:c r="H3697" s="37"/>
      <x:c r="I3697" s="37"/>
      <x:c r="J3697" s="1" t="n">
        <x:f>IF(ISNUMBER(F3697),E3697,0)</x:f>
        <x:v>0</x:v>
      </x:c>
      <x:c r="K3697" s="1"/>
      <x:c r="L3697" s="1"/>
      <x:c r="M3697" s="1"/>
    </x:row>
    <x:row r="3698" ht="18.75" customHeight="1">
      <x:c r="A3698" s="1" t="str">
        <x:v>https://blog.skyairline.com/tipos-de-equipaje/</x:v>
      </x:c>
      <x:c r="B3698" s="1" t="str">
        <x:v>carry on</x:v>
      </x:c>
      <x:c r="C3698" s="1" t="str">
        <x:v>per</x:v>
      </x:c>
      <x:c r="D3698" s="1" t="str">
        <x:v>Sin marca</x:v>
      </x:c>
      <x:c r="E3698" s="35" t="n">
        <x:v>1</x:v>
      </x:c>
      <x:c r="F3698" s="36" t="n">
        <x:v>0.22</x:v>
      </x:c>
      <x:c r="G3698" s="36" t="n">
        <x:f>IF(ISNUMBER(F3698),E3698*F3698,"")</x:f>
        <x:v>0.22</x:v>
      </x:c>
      <x:c r="H3698" s="37" t="d">
        <x:v>2026-10-15T00:00:00.000Z</x:v>
      </x:c>
      <x:c r="I3698" s="37" t="d">
        <x:v>2026-10-15T05:17:35.000Z</x:v>
      </x:c>
      <x:c r="J3698" s="1" t="n">
        <x:f>IF(ISNUMBER(F3698),E3698,0)</x:f>
        <x:v>1</x:v>
      </x:c>
      <x:c r="K3698" s="1"/>
      <x:c r="L3698" s="1"/>
      <x:c r="M3698" s="1"/>
    </x:row>
    <x:row r="3699" ht="18.75" customHeight="1">
      <x:c r="A3699" s="1" t="str">
        <x:v>https://blog.skyairline.com/tipos-de-equipaje/</x:v>
      </x:c>
      <x:c r="B3699" s="1" t="str">
        <x:v>carry on sky airlines</x:v>
      </x:c>
      <x:c r="C3699" s="1" t="str">
        <x:v>arg</x:v>
      </x:c>
      <x:c r="D3699" s="1" t="str">
        <x:v>Marca</x:v>
      </x:c>
      <x:c r="E3699" s="35" t="n">
        <x:v>1</x:v>
      </x:c>
      <x:c r="F3699" s="36"/>
      <x:c r="G3699" s="36" t="str">
        <x:f>IF(ISNUMBER(F3699),E3699*F3699,"")</x:f>
      </x:c>
      <x:c r="H3699" s="37"/>
      <x:c r="I3699" s="37"/>
      <x:c r="J3699" s="1" t="n">
        <x:f>IF(ISNUMBER(F3699),E3699,0)</x:f>
        <x:v>0</x:v>
      </x:c>
      <x:c r="K3699" s="1"/>
      <x:c r="L3699" s="1"/>
      <x:c r="M3699" s="1"/>
    </x:row>
    <x:row r="3700" ht="18.75" customHeight="1">
      <x:c r="A3700" s="1" t="str">
        <x:v>https://blog.skyairline.com/tipos-de-equipaje/</x:v>
      </x:c>
      <x:c r="B3700" s="1" t="str">
        <x:v>como comprar equipaje en sky chile</x:v>
      </x:c>
      <x:c r="C3700" s="1" t="str">
        <x:v>chl</x:v>
      </x:c>
      <x:c r="D3700" s="1" t="str">
        <x:v>Marca</x:v>
      </x:c>
      <x:c r="E3700" s="35" t="n">
        <x:v>1</x:v>
      </x:c>
      <x:c r="F3700" s="36" t="n">
        <x:v>0.16</x:v>
      </x:c>
      <x:c r="G3700" s="36" t="n">
        <x:f>IF(ISNUMBER(F3700),E3700*F3700,"")</x:f>
        <x:v>0.16</x:v>
      </x:c>
      <x:c r="H3700" s="37" t="d">
        <x:v>2026-10-15T00:00:00.000Z</x:v>
      </x:c>
      <x:c r="I3700" s="37" t="d">
        <x:v>2026-09-16T03:41:10.000Z</x:v>
      </x:c>
      <x:c r="J3700" s="1" t="n">
        <x:f>IF(ISNUMBER(F3700),E3700,0)</x:f>
        <x:v>1</x:v>
      </x:c>
      <x:c r="K3700" s="1"/>
      <x:c r="L3700" s="1"/>
      <x:c r="M3700" s="1"/>
    </x:row>
    <x:row r="3701" ht="18.75" customHeight="1">
      <x:c r="A3701" s="1" t="str">
        <x:v>https://blog.skyairline.com/tipos-de-equipaje/</x:v>
      </x:c>
      <x:c r="B3701" s="1" t="str">
        <x:v>comprar equipaje sky</x:v>
      </x:c>
      <x:c r="C3701" s="1" t="str">
        <x:v>chl</x:v>
      </x:c>
      <x:c r="D3701" s="1" t="str">
        <x:v>Marca</x:v>
      </x:c>
      <x:c r="E3701" s="35" t="n">
        <x:v>1</x:v>
      </x:c>
      <x:c r="F3701" s="36" t="n">
        <x:v>0.96</x:v>
      </x:c>
      <x:c r="G3701" s="36" t="n">
        <x:f>IF(ISNUMBER(F3701),E3701*F3701,"")</x:f>
        <x:v>0.96</x:v>
      </x:c>
      <x:c r="H3701" s="37" t="d">
        <x:v>2026-10-15T00:00:00.000Z</x:v>
      </x:c>
      <x:c r="I3701" s="37" t="d">
        <x:v>2026-09-14T15:47:21.000Z</x:v>
      </x:c>
      <x:c r="J3701" s="1" t="n">
        <x:f>IF(ISNUMBER(F3701),E3701,0)</x:f>
        <x:v>1</x:v>
      </x:c>
      <x:c r="K3701" s="1"/>
      <x:c r="L3701" s="1"/>
      <x:c r="M3701" s="1"/>
    </x:row>
    <x:row r="3702" ht="18.75" customHeight="1">
      <x:c r="A3702" s="1" t="str">
        <x:v>https://blog.skyairline.com/tipos-de-equipaje/</x:v>
      </x:c>
      <x:c r="B3702" s="1" t="str">
        <x:v>comprar maleta en sky</x:v>
      </x:c>
      <x:c r="C3702" s="1" t="str">
        <x:v>chl</x:v>
      </x:c>
      <x:c r="D3702" s="1" t="str">
        <x:v>Marca</x:v>
      </x:c>
      <x:c r="E3702" s="35" t="n">
        <x:v>1</x:v>
      </x:c>
      <x:c r="F3702" s="36"/>
      <x:c r="G3702" s="36" t="str">
        <x:f>IF(ISNUMBER(F3702),E3702*F3702,"")</x:f>
      </x:c>
      <x:c r="H3702" s="37"/>
      <x:c r="I3702" s="37"/>
      <x:c r="J3702" s="1" t="n">
        <x:f>IF(ISNUMBER(F3702),E3702,0)</x:f>
        <x:v>0</x:v>
      </x:c>
      <x:c r="K3702" s="1"/>
      <x:c r="L3702" s="1"/>
      <x:c r="M3702" s="1"/>
    </x:row>
    <x:row r="3703" ht="18.75" customHeight="1">
      <x:c r="A3703" s="1" t="str">
        <x:v>https://blog.skyairline.com/tipos-de-equipaje/</x:v>
      </x:c>
      <x:c r="B3703" s="1" t="str">
        <x:v>comprar maleta sky</x:v>
      </x:c>
      <x:c r="C3703" s="1" t="str">
        <x:v>bra</x:v>
      </x:c>
      <x:c r="D3703" s="1" t="str">
        <x:v>Marca</x:v>
      </x:c>
      <x:c r="E3703" s="35" t="n">
        <x:v>1</x:v>
      </x:c>
      <x:c r="F3703" s="36"/>
      <x:c r="G3703" s="36" t="str">
        <x:f>IF(ISNUMBER(F3703),E3703*F3703,"")</x:f>
      </x:c>
      <x:c r="H3703" s="37"/>
      <x:c r="I3703" s="37"/>
      <x:c r="J3703" s="1" t="n">
        <x:f>IF(ISNUMBER(F3703),E3703,0)</x:f>
        <x:v>0</x:v>
      </x:c>
      <x:c r="K3703" s="1"/>
      <x:c r="L3703" s="1"/>
      <x:c r="M3703" s="1"/>
    </x:row>
    <x:row r="3704" ht="18.75" customHeight="1">
      <x:c r="A3704" s="1" t="str">
        <x:v>https://blog.skyairline.com/tipos-de-equipaje/</x:v>
      </x:c>
      <x:c r="B3704" s="1" t="str">
        <x:v>comprar maleta sky airlines</x:v>
      </x:c>
      <x:c r="C3704" s="1" t="str">
        <x:v>chl</x:v>
      </x:c>
      <x:c r="D3704" s="1" t="str">
        <x:v>Marca</x:v>
      </x:c>
      <x:c r="E3704" s="35" t="n">
        <x:v>1</x:v>
      </x:c>
      <x:c r="F3704" s="36"/>
      <x:c r="G3704" s="36" t="str">
        <x:f>IF(ISNUMBER(F3704),E3704*F3704,"")</x:f>
      </x:c>
      <x:c r="H3704" s="37"/>
      <x:c r="I3704" s="37"/>
      <x:c r="J3704" s="1" t="n">
        <x:f>IF(ISNUMBER(F3704),E3704,0)</x:f>
        <x:v>0</x:v>
      </x:c>
      <x:c r="K3704" s="1"/>
      <x:c r="L3704" s="1"/>
      <x:c r="M3704" s="1"/>
    </x:row>
    <x:row r="3705" ht="18.75" customHeight="1">
      <x:c r="A3705" s="1" t="str">
        <x:v>https://blog.skyairline.com/tipos-de-equipaje/</x:v>
      </x:c>
      <x:c r="B3705" s="1" t="str">
        <x:v>cual es el equipaje de cabina en sky</x:v>
      </x:c>
      <x:c r="C3705" s="1" t="str">
        <x:v>per</x:v>
      </x:c>
      <x:c r="D3705" s="1" t="str">
        <x:v>Marca</x:v>
      </x:c>
      <x:c r="E3705" s="35" t="n">
        <x:v>1</x:v>
      </x:c>
      <x:c r="F3705" s="36"/>
      <x:c r="G3705" s="36" t="str">
        <x:f>IF(ISNUMBER(F3705),E3705*F3705,"")</x:f>
      </x:c>
      <x:c r="H3705" s="37"/>
      <x:c r="I3705" s="37"/>
      <x:c r="J3705" s="1" t="n">
        <x:f>IF(ISNUMBER(F3705),E3705,0)</x:f>
        <x:v>0</x:v>
      </x:c>
      <x:c r="K3705" s="1"/>
      <x:c r="L3705" s="1"/>
      <x:c r="M3705" s="1"/>
    </x:row>
    <x:row r="3706" ht="18.75" customHeight="1">
      <x:c r="A3706" s="1" t="str">
        <x:v>https://blog.skyairline.com/tipos-de-equipaje/</x:v>
      </x:c>
      <x:c r="B3706" s="1" t="str">
        <x:v>dame un enlace</x:v>
      </x:c>
      <x:c r="C3706" s="1" t="str">
        <x:v>esp</x:v>
      </x:c>
      <x:c r="D3706" s="1" t="str">
        <x:v>Sin marca</x:v>
      </x:c>
      <x:c r="E3706" s="35" t="n">
        <x:v>1</x:v>
      </x:c>
      <x:c r="F3706" s="36"/>
      <x:c r="G3706" s="36" t="str">
        <x:f>IF(ISNUMBER(F3706),E3706*F3706,"")</x:f>
      </x:c>
      <x:c r="H3706" s="37"/>
      <x:c r="I3706" s="37"/>
      <x:c r="J3706" s="1" t="n">
        <x:f>IF(ISNUMBER(F3706),E3706,0)</x:f>
        <x:v>0</x:v>
      </x:c>
      <x:c r="K3706" s="1"/>
      <x:c r="L3706" s="1"/>
      <x:c r="M3706" s="1"/>
    </x:row>
    <x:row r="3707" ht="18.75" customHeight="1">
      <x:c r="A3707" s="1" t="str">
        <x:v>https://blog.skyairline.com/tipos-de-equipaje/</x:v>
      </x:c>
      <x:c r="B3707" s="1" t="str">
        <x:v>en sky</x:v>
      </x:c>
      <x:c r="C3707" s="1" t="str">
        <x:v>per</x:v>
      </x:c>
      <x:c r="D3707" s="1" t="str">
        <x:v>Marca</x:v>
      </x:c>
      <x:c r="E3707" s="35" t="n">
        <x:v>1</x:v>
      </x:c>
      <x:c r="F3707" s="36"/>
      <x:c r="G3707" s="36" t="str">
        <x:f>IF(ISNUMBER(F3707),E3707*F3707,"")</x:f>
      </x:c>
      <x:c r="H3707" s="37"/>
      <x:c r="I3707" s="37"/>
      <x:c r="J3707" s="1" t="n">
        <x:f>IF(ISNUMBER(F3707),E3707,0)</x:f>
        <x:v>0</x:v>
      </x:c>
      <x:c r="K3707" s="1"/>
      <x:c r="L3707" s="1"/>
      <x:c r="M3707" s="1"/>
    </x:row>
    <x:row r="3708" ht="18.75" customHeight="1">
      <x:c r="A3708" s="1" t="str">
        <x:v>https://blog.skyairline.com/tipos-de-equipaje/</x:v>
      </x:c>
      <x:c r="B3708" s="1" t="str">
        <x:v>equipaje bodega sky</x:v>
      </x:c>
      <x:c r="C3708" s="1" t="str">
        <x:v>chl</x:v>
      </x:c>
      <x:c r="D3708" s="1" t="str">
        <x:v>Marca</x:v>
      </x:c>
      <x:c r="E3708" s="35" t="n">
        <x:v>1</x:v>
      </x:c>
      <x:c r="F3708" s="36"/>
      <x:c r="G3708" s="36" t="str">
        <x:f>IF(ISNUMBER(F3708),E3708*F3708,"")</x:f>
      </x:c>
      <x:c r="H3708" s="37" t="d">
        <x:v>2026-10-15T00:00:00.000Z</x:v>
      </x:c>
      <x:c r="I3708" s="37" t="d">
        <x:v>2026-09-12T22:53:34.000Z</x:v>
      </x:c>
      <x:c r="J3708" s="1" t="n">
        <x:f>IF(ISNUMBER(F3708),E3708,0)</x:f>
        <x:v>0</x:v>
      </x:c>
      <x:c r="K3708" s="1"/>
      <x:c r="L3708" s="1"/>
      <x:c r="M3708" s="1"/>
    </x:row>
    <x:row r="3709" ht="18.75" customHeight="1">
      <x:c r="A3709" s="1" t="str">
        <x:v>https://blog.skyairline.com/tipos-de-equipaje/</x:v>
      </x:c>
      <x:c r="B3709" s="1" t="str">
        <x:v>equipaje bodega sky</x:v>
      </x:c>
      <x:c r="C3709" s="1" t="str">
        <x:v>per</x:v>
      </x:c>
      <x:c r="D3709" s="1" t="str">
        <x:v>Marca</x:v>
      </x:c>
      <x:c r="E3709" s="35" t="n">
        <x:v>1</x:v>
      </x:c>
      <x:c r="F3709" s="36"/>
      <x:c r="G3709" s="36" t="str">
        <x:f>IF(ISNUMBER(F3709),E3709*F3709,"")</x:f>
      </x:c>
      <x:c r="H3709" s="37"/>
      <x:c r="I3709" s="37"/>
      <x:c r="J3709" s="1" t="n">
        <x:f>IF(ISNUMBER(F3709),E3709,0)</x:f>
        <x:v>0</x:v>
      </x:c>
      <x:c r="K3709" s="1"/>
      <x:c r="L3709" s="1"/>
      <x:c r="M3709" s="1"/>
    </x:row>
    <x:row r="3710" ht="18.75" customHeight="1">
      <x:c r="A3710" s="1" t="str">
        <x:v>https://blog.skyairline.com/tipos-de-equipaje/</x:v>
      </x:c>
      <x:c r="B3710" s="1" t="str">
        <x:v>equipaje cabina sky</x:v>
      </x:c>
      <x:c r="C3710" s="1" t="str">
        <x:v>chl</x:v>
      </x:c>
      <x:c r="D3710" s="1" t="str">
        <x:v>Marca</x:v>
      </x:c>
      <x:c r="E3710" s="35" t="n">
        <x:v>1</x:v>
      </x:c>
      <x:c r="F3710" s="36"/>
      <x:c r="G3710" s="36" t="str">
        <x:f>IF(ISNUMBER(F3710),E3710*F3710,"")</x:f>
      </x:c>
      <x:c r="H3710" s="37" t="d">
        <x:v>2026-10-15T00:00:00.000Z</x:v>
      </x:c>
      <x:c r="I3710" s="37" t="d">
        <x:v>2026-09-13T22:19:28.000Z</x:v>
      </x:c>
      <x:c r="J3710" s="1" t="n">
        <x:f>IF(ISNUMBER(F3710),E3710,0)</x:f>
        <x:v>0</x:v>
      </x:c>
      <x:c r="K3710" s="1"/>
      <x:c r="L3710" s="1"/>
      <x:c r="M3710" s="1"/>
    </x:row>
    <x:row r="3711" ht="18.75" customHeight="1">
      <x:c r="A3711" s="1" t="str">
        <x:v>https://blog.skyairline.com/tipos-de-equipaje/</x:v>
      </x:c>
      <x:c r="B3711" s="1" t="str">
        <x:v>equipaje cabina sky</x:v>
      </x:c>
      <x:c r="C3711" s="1" t="str">
        <x:v>per</x:v>
      </x:c>
      <x:c r="D3711" s="1" t="str">
        <x:v>Marca</x:v>
      </x:c>
      <x:c r="E3711" s="35" t="n">
        <x:v>1</x:v>
      </x:c>
      <x:c r="F3711" s="36"/>
      <x:c r="G3711" s="36" t="str">
        <x:f>IF(ISNUMBER(F3711),E3711*F3711,"")</x:f>
      </x:c>
      <x:c r="H3711" s="37"/>
      <x:c r="I3711" s="37"/>
      <x:c r="J3711" s="1" t="n">
        <x:f>IF(ISNUMBER(F3711),E3711,0)</x:f>
        <x:v>0</x:v>
      </x:c>
      <x:c r="K3711" s="1"/>
      <x:c r="L3711" s="1"/>
      <x:c r="M3711" s="1"/>
    </x:row>
    <x:row r="3712" ht="18.75" customHeight="1">
      <x:c r="A3712" s="1" t="str">
        <x:v>https://blog.skyairline.com/tipos-de-equipaje/</x:v>
      </x:c>
      <x:c r="B3712" s="1" t="str">
        <x:v>equipaje de cabina sky</x:v>
      </x:c>
      <x:c r="C3712" s="1" t="str">
        <x:v>ecu</x:v>
      </x:c>
      <x:c r="D3712" s="1" t="str">
        <x:v>Marca</x:v>
      </x:c>
      <x:c r="E3712" s="35" t="n">
        <x:v>1</x:v>
      </x:c>
      <x:c r="F3712" s="36"/>
      <x:c r="G3712" s="36" t="str">
        <x:f>IF(ISNUMBER(F3712),E3712*F3712,"")</x:f>
      </x:c>
      <x:c r="H3712" s="37"/>
      <x:c r="I3712" s="37"/>
      <x:c r="J3712" s="1" t="n">
        <x:f>IF(ISNUMBER(F3712),E3712,0)</x:f>
        <x:v>0</x:v>
      </x:c>
      <x:c r="K3712" s="1"/>
      <x:c r="L3712" s="1"/>
      <x:c r="M3712" s="1"/>
    </x:row>
    <x:row r="3713" ht="18.75" customHeight="1">
      <x:c r="A3713" s="1" t="str">
        <x:v>https://blog.skyairline.com/tipos-de-equipaje/</x:v>
      </x:c>
      <x:c r="B3713" s="1" t="str">
        <x:v>equipaje de cabina sky</x:v>
      </x:c>
      <x:c r="C3713" s="1" t="str">
        <x:v>per</x:v>
      </x:c>
      <x:c r="D3713" s="1" t="str">
        <x:v>Marca</x:v>
      </x:c>
      <x:c r="E3713" s="35" t="n">
        <x:v>1</x:v>
      </x:c>
      <x:c r="F3713" s="36" t="n">
        <x:v>0.02</x:v>
      </x:c>
      <x:c r="G3713" s="36" t="n">
        <x:f>IF(ISNUMBER(F3713),E3713*F3713,"")</x:f>
        <x:v>0.02</x:v>
      </x:c>
      <x:c r="H3713" s="37" t="d">
        <x:v>2026-10-15T00:00:00.000Z</x:v>
      </x:c>
      <x:c r="I3713" s="37" t="d">
        <x:v>2026-09-13T19:00:49.000Z</x:v>
      </x:c>
      <x:c r="J3713" s="1" t="n">
        <x:f>IF(ISNUMBER(F3713),E3713,0)</x:f>
        <x:v>1</x:v>
      </x:c>
      <x:c r="K3713" s="1"/>
      <x:c r="L3713" s="1"/>
      <x:c r="M3713" s="1"/>
    </x:row>
    <x:row r="3714" ht="18.75" customHeight="1">
      <x:c r="A3714" s="1" t="str">
        <x:v>https://blog.skyairline.com/tipos-de-equipaje/</x:v>
      </x:c>
      <x:c r="B3714" s="1" t="str">
        <x:v>equipaje de mano de sky airlines</x:v>
      </x:c>
      <x:c r="C3714" s="1" t="str">
        <x:v>ury</x:v>
      </x:c>
      <x:c r="D3714" s="1" t="str">
        <x:v>Marca</x:v>
      </x:c>
      <x:c r="E3714" s="35" t="n">
        <x:v>1</x:v>
      </x:c>
      <x:c r="F3714" s="36"/>
      <x:c r="G3714" s="36" t="str">
        <x:f>IF(ISNUMBER(F3714),E3714*F3714,"")</x:f>
      </x:c>
      <x:c r="H3714" s="37"/>
      <x:c r="I3714" s="37"/>
      <x:c r="J3714" s="1" t="n">
        <x:f>IF(ISNUMBER(F3714),E3714,0)</x:f>
        <x:v>0</x:v>
      </x:c>
      <x:c r="K3714" s="1"/>
      <x:c r="L3714" s="1"/>
      <x:c r="M3714" s="1"/>
    </x:row>
    <x:row r="3715" ht="18.75" customHeight="1">
      <x:c r="A3715" s="1" t="str">
        <x:v>https://blog.skyairline.com/tipos-de-equipaje/</x:v>
      </x:c>
      <x:c r="B3715" s="1" t="str">
        <x:v>equipaje de mano medidas sky</x:v>
      </x:c>
      <x:c r="C3715" s="1" t="str">
        <x:v>chl</x:v>
      </x:c>
      <x:c r="D3715" s="1" t="str">
        <x:v>Marca</x:v>
      </x:c>
      <x:c r="E3715" s="35" t="n">
        <x:v>1</x:v>
      </x:c>
      <x:c r="F3715" s="36"/>
      <x:c r="G3715" s="36" t="str">
        <x:f>IF(ISNUMBER(F3715),E3715*F3715,"")</x:f>
      </x:c>
      <x:c r="H3715" s="37" t="d">
        <x:v>2026-10-15T00:00:00.000Z</x:v>
      </x:c>
      <x:c r="I3715" s="37" t="d">
        <x:v>2026-09-15T17:14:03.000Z</x:v>
      </x:c>
      <x:c r="J3715" s="1" t="n">
        <x:f>IF(ISNUMBER(F3715),E3715,0)</x:f>
        <x:v>0</x:v>
      </x:c>
      <x:c r="K3715" s="1"/>
      <x:c r="L3715" s="1"/>
      <x:c r="M3715" s="1"/>
    </x:row>
    <x:row r="3716" ht="18.75" customHeight="1">
      <x:c r="A3716" s="1" t="str">
        <x:v>https://blog.skyairline.com/tipos-de-equipaje/</x:v>
      </x:c>
      <x:c r="B3716" s="1" t="str">
        <x:v>equipaje de mano sky</x:v>
      </x:c>
      <x:c r="C3716" s="1" t="str">
        <x:v>ury</x:v>
      </x:c>
      <x:c r="D3716" s="1" t="str">
        <x:v>Marca</x:v>
      </x:c>
      <x:c r="E3716" s="35" t="n">
        <x:v>1</x:v>
      </x:c>
      <x:c r="F3716" s="36"/>
      <x:c r="G3716" s="36" t="str">
        <x:f>IF(ISNUMBER(F3716),E3716*F3716,"")</x:f>
      </x:c>
      <x:c r="H3716" s="37"/>
      <x:c r="I3716" s="37"/>
      <x:c r="J3716" s="1" t="n">
        <x:f>IF(ISNUMBER(F3716),E3716,0)</x:f>
        <x:v>0</x:v>
      </x:c>
      <x:c r="K3716" s="1"/>
      <x:c r="L3716" s="1"/>
      <x:c r="M3716" s="1"/>
    </x:row>
    <x:row r="3717" ht="18.75" customHeight="1">
      <x:c r="A3717" s="1" t="str">
        <x:v>https://blog.skyairline.com/tipos-de-equipaje/</x:v>
      </x:c>
      <x:c r="B3717" s="1" t="str">
        <x:v>equipaje de mano sky airlines</x:v>
      </x:c>
      <x:c r="C3717" s="1" t="str">
        <x:v>chl</x:v>
      </x:c>
      <x:c r="D3717" s="1" t="str">
        <x:v>Marca</x:v>
      </x:c>
      <x:c r="E3717" s="35" t="n">
        <x:v>1</x:v>
      </x:c>
      <x:c r="F3717" s="36" t="n">
        <x:v>1.82</x:v>
      </x:c>
      <x:c r="G3717" s="36" t="n">
        <x:f>IF(ISNUMBER(F3717),E3717*F3717,"")</x:f>
        <x:v>1.82</x:v>
      </x:c>
      <x:c r="H3717" s="37" t="d">
        <x:v>2026-10-15T00:00:00.000Z</x:v>
      </x:c>
      <x:c r="I3717" s="37" t="d">
        <x:v>2026-09-15T16:31:58.000Z</x:v>
      </x:c>
      <x:c r="J3717" s="1" t="n">
        <x:f>IF(ISNUMBER(F3717),E3717,0)</x:f>
        <x:v>1</x:v>
      </x:c>
      <x:c r="K3717" s="1"/>
      <x:c r="L3717" s="1"/>
      <x:c r="M3717" s="1"/>
    </x:row>
    <x:row r="3718" ht="18.75" customHeight="1">
      <x:c r="A3718" s="1" t="str">
        <x:v>https://blog.skyairline.com/tipos-de-equipaje/</x:v>
      </x:c>
      <x:c r="B3718" s="1" t="str">
        <x:v>equipaje de mano sky airlines</x:v>
      </x:c>
      <x:c r="C3718" s="1" t="str">
        <x:v>per</x:v>
      </x:c>
      <x:c r="D3718" s="1" t="str">
        <x:v>Marca</x:v>
      </x:c>
      <x:c r="E3718" s="35" t="n">
        <x:v>1</x:v>
      </x:c>
      <x:c r="F3718" s="36"/>
      <x:c r="G3718" s="36" t="str">
        <x:f>IF(ISNUMBER(F3718),E3718*F3718,"")</x:f>
      </x:c>
      <x:c r="H3718" s="37"/>
      <x:c r="I3718" s="37"/>
      <x:c r="J3718" s="1" t="n">
        <x:f>IF(ISNUMBER(F3718),E3718,0)</x:f>
        <x:v>0</x:v>
      </x:c>
      <x:c r="K3718" s="1"/>
      <x:c r="L3718" s="1"/>
      <x:c r="M3718" s="1"/>
    </x:row>
    <x:row r="3719" ht="18.75" customHeight="1">
      <x:c r="A3719" s="1" t="str">
        <x:v>https://blog.skyairline.com/tipos-de-equipaje/</x:v>
      </x:c>
      <x:c r="B3719" s="1" t="str">
        <x:v>equipaje de mano sky medidas</x:v>
      </x:c>
      <x:c r="C3719" s="1" t="str">
        <x:v>per</x:v>
      </x:c>
      <x:c r="D3719" s="1" t="str">
        <x:v>Marca</x:v>
      </x:c>
      <x:c r="E3719" s="35" t="n">
        <x:v>1</x:v>
      </x:c>
      <x:c r="F3719" s="36"/>
      <x:c r="G3719" s="36" t="str">
        <x:f>IF(ISNUMBER(F3719),E3719*F3719,"")</x:f>
      </x:c>
      <x:c r="H3719" s="37" t="d">
        <x:v>2026-10-15T00:00:00.000Z</x:v>
      </x:c>
      <x:c r="I3719" s="37" t="d">
        <x:v>2026-10-15T15:02:04.000Z</x:v>
      </x:c>
      <x:c r="J3719" s="1" t="n">
        <x:f>IF(ISNUMBER(F3719),E3719,0)</x:f>
        <x:v>0</x:v>
      </x:c>
      <x:c r="K3719" s="1"/>
      <x:c r="L3719" s="1"/>
      <x:c r="M3719" s="1"/>
    </x:row>
    <x:row r="3720" ht="18.75" customHeight="1">
      <x:c r="A3720" s="1" t="str">
        <x:v>https://blog.skyairline.com/tipos-de-equipaje/</x:v>
      </x:c>
      <x:c r="B3720" s="1" t="str">
        <x:v>equipaje de mano sky precio</x:v>
      </x:c>
      <x:c r="C3720" s="1" t="str">
        <x:v>chl</x:v>
      </x:c>
      <x:c r="D3720" s="1" t="str">
        <x:v>Marca</x:v>
      </x:c>
      <x:c r="E3720" s="35" t="n">
        <x:v>1</x:v>
      </x:c>
      <x:c r="F3720" s="36"/>
      <x:c r="G3720" s="36" t="str">
        <x:f>IF(ISNUMBER(F3720),E3720*F3720,"")</x:f>
      </x:c>
      <x:c r="H3720" s="37" t="d">
        <x:v>2026-10-15T00:00:00.000Z</x:v>
      </x:c>
      <x:c r="I3720" s="37" t="d">
        <x:v>2026-09-17T04:12:33.000Z</x:v>
      </x:c>
      <x:c r="J3720" s="1" t="n">
        <x:f>IF(ISNUMBER(F3720),E3720,0)</x:f>
        <x:v>0</x:v>
      </x:c>
      <x:c r="K3720" s="1"/>
      <x:c r="L3720" s="1"/>
      <x:c r="M3720" s="1"/>
    </x:row>
    <x:row r="3721" ht="18.75" customHeight="1">
      <x:c r="A3721" s="1" t="str">
        <x:v>https://blog.skyairline.com/tipos-de-equipaje/</x:v>
      </x:c>
      <x:c r="B3721" s="1" t="str">
        <x:v>equipaje de mano sky precio</x:v>
      </x:c>
      <x:c r="C3721" s="1" t="str">
        <x:v>per</x:v>
      </x:c>
      <x:c r="D3721" s="1" t="str">
        <x:v>Marca</x:v>
      </x:c>
      <x:c r="E3721" s="35" t="n">
        <x:v>1</x:v>
      </x:c>
      <x:c r="F3721" s="36"/>
      <x:c r="G3721" s="36" t="str">
        <x:f>IF(ISNUMBER(F3721),E3721*F3721,"")</x:f>
      </x:c>
      <x:c r="H3721" s="37" t="d">
        <x:v>2026-10-15T00:00:00.000Z</x:v>
      </x:c>
      <x:c r="I3721" s="37" t="d">
        <x:v>2026-09-14T18:20:50.000Z</x:v>
      </x:c>
      <x:c r="J3721" s="1" t="n">
        <x:f>IF(ISNUMBER(F3721),E3721,0)</x:f>
        <x:v>0</x:v>
      </x:c>
      <x:c r="K3721" s="1"/>
      <x:c r="L3721" s="1"/>
      <x:c r="M3721" s="1"/>
    </x:row>
    <x:row r="3722" ht="18.75" customHeight="1">
      <x:c r="A3722" s="1" t="str">
        <x:v>https://blog.skyairline.com/tipos-de-equipaje/</x:v>
      </x:c>
      <x:c r="B3722" s="1" t="str">
        <x:v>equipaje de sky</x:v>
      </x:c>
      <x:c r="C3722" s="1" t="str">
        <x:v>ury</x:v>
      </x:c>
      <x:c r="D3722" s="1" t="str">
        <x:v>Marca</x:v>
      </x:c>
      <x:c r="E3722" s="35" t="n">
        <x:v>1</x:v>
      </x:c>
      <x:c r="F3722" s="36"/>
      <x:c r="G3722" s="36" t="str">
        <x:f>IF(ISNUMBER(F3722),E3722*F3722,"")</x:f>
      </x:c>
      <x:c r="H3722" s="37"/>
      <x:c r="I3722" s="37"/>
      <x:c r="J3722" s="1" t="n">
        <x:f>IF(ISNUMBER(F3722),E3722,0)</x:f>
        <x:v>0</x:v>
      </x:c>
      <x:c r="K3722" s="1"/>
      <x:c r="L3722" s="1"/>
      <x:c r="M3722" s="1"/>
    </x:row>
    <x:row r="3723" ht="18.75" customHeight="1">
      <x:c r="A3723" s="1" t="str">
        <x:v>https://blog.skyairline.com/tipos-de-equipaje/</x:v>
      </x:c>
      <x:c r="B3723" s="1" t="str">
        <x:v>equipaje de sky airlines</x:v>
      </x:c>
      <x:c r="C3723" s="1" t="str">
        <x:v>col</x:v>
      </x:c>
      <x:c r="D3723" s="1" t="str">
        <x:v>Marca</x:v>
      </x:c>
      <x:c r="E3723" s="35" t="n">
        <x:v>1</x:v>
      </x:c>
      <x:c r="F3723" s="36"/>
      <x:c r="G3723" s="36" t="str">
        <x:f>IF(ISNUMBER(F3723),E3723*F3723,"")</x:f>
      </x:c>
      <x:c r="H3723" s="37"/>
      <x:c r="I3723" s="37"/>
      <x:c r="J3723" s="1" t="n">
        <x:f>IF(ISNUMBER(F3723),E3723,0)</x:f>
        <x:v>0</x:v>
      </x:c>
      <x:c r="K3723" s="1"/>
      <x:c r="L3723" s="1"/>
      <x:c r="M3723" s="1"/>
    </x:row>
    <x:row r="3724" ht="18.75" customHeight="1">
      <x:c r="A3724" s="1" t="str">
        <x:v>https://blog.skyairline.com/tipos-de-equipaje/</x:v>
      </x:c>
      <x:c r="B3724" s="1" t="str">
        <x:v>equipaje de sky airlines</x:v>
      </x:c>
      <x:c r="C3724" s="1" t="str">
        <x:v>per</x:v>
      </x:c>
      <x:c r="D3724" s="1" t="str">
        <x:v>Marca</x:v>
      </x:c>
      <x:c r="E3724" s="35" t="n">
        <x:v>1</x:v>
      </x:c>
      <x:c r="F3724" s="36"/>
      <x:c r="G3724" s="36" t="str">
        <x:f>IF(ISNUMBER(F3724),E3724*F3724,"")</x:f>
      </x:c>
      <x:c r="H3724" s="37"/>
      <x:c r="I3724" s="37"/>
      <x:c r="J3724" s="1" t="n">
        <x:f>IF(ISNUMBER(F3724),E3724,0)</x:f>
        <x:v>0</x:v>
      </x:c>
      <x:c r="K3724" s="1"/>
      <x:c r="L3724" s="1"/>
      <x:c r="M3724" s="1"/>
    </x:row>
    <x:row r="3725" ht="18.75" customHeight="1">
      <x:c r="A3725" s="1" t="str">
        <x:v>https://blog.skyairline.com/tipos-de-equipaje/</x:v>
      </x:c>
      <x:c r="B3725" s="1" t="str">
        <x:v>equipaje en cabina sky</x:v>
      </x:c>
      <x:c r="C3725" s="1" t="str">
        <x:v>esp</x:v>
      </x:c>
      <x:c r="D3725" s="1" t="str">
        <x:v>Marca</x:v>
      </x:c>
      <x:c r="E3725" s="35" t="n">
        <x:v>1</x:v>
      </x:c>
      <x:c r="F3725" s="36"/>
      <x:c r="G3725" s="36" t="str">
        <x:f>IF(ISNUMBER(F3725),E3725*F3725,"")</x:f>
      </x:c>
      <x:c r="H3725" s="37"/>
      <x:c r="I3725" s="37"/>
      <x:c r="J3725" s="1" t="n">
        <x:f>IF(ISNUMBER(F3725),E3725,0)</x:f>
        <x:v>0</x:v>
      </x:c>
      <x:c r="K3725" s="1"/>
      <x:c r="L3725" s="1"/>
      <x:c r="M3725" s="1"/>
    </x:row>
    <x:row r="3726" ht="18.75" customHeight="1">
      <x:c r="A3726" s="1" t="str">
        <x:v>https://blog.skyairline.com/tipos-de-equipaje/</x:v>
      </x:c>
      <x:c r="B3726" s="1" t="str">
        <x:v>equipaje en cabina sky</x:v>
      </x:c>
      <x:c r="C3726" s="1" t="str">
        <x:v>ury</x:v>
      </x:c>
      <x:c r="D3726" s="1" t="str">
        <x:v>Marca</x:v>
      </x:c>
      <x:c r="E3726" s="35" t="n">
        <x:v>1</x:v>
      </x:c>
      <x:c r="F3726" s="36"/>
      <x:c r="G3726" s="36" t="str">
        <x:f>IF(ISNUMBER(F3726),E3726*F3726,"")</x:f>
      </x:c>
      <x:c r="H3726" s="37"/>
      <x:c r="I3726" s="37"/>
      <x:c r="J3726" s="1" t="n">
        <x:f>IF(ISNUMBER(F3726),E3726,0)</x:f>
        <x:v>0</x:v>
      </x:c>
      <x:c r="K3726" s="1"/>
      <x:c r="L3726" s="1"/>
      <x:c r="M3726" s="1"/>
    </x:row>
    <x:row r="3727" ht="18.75" customHeight="1">
      <x:c r="A3727" s="1" t="str">
        <x:v>https://blog.skyairline.com/tipos-de-equipaje/</x:v>
      </x:c>
      <x:c r="B3727" s="1" t="str">
        <x:v>equipaje en cabina sky medidas</x:v>
      </x:c>
      <x:c r="C3727" s="1" t="str">
        <x:v>arg</x:v>
      </x:c>
      <x:c r="D3727" s="1" t="str">
        <x:v>Marca</x:v>
      </x:c>
      <x:c r="E3727" s="35" t="n">
        <x:v>1</x:v>
      </x:c>
      <x:c r="F3727" s="36"/>
      <x:c r="G3727" s="36" t="str">
        <x:f>IF(ISNUMBER(F3727),E3727*F3727,"")</x:f>
      </x:c>
      <x:c r="H3727" s="37"/>
      <x:c r="I3727" s="37"/>
      <x:c r="J3727" s="1" t="n">
        <x:f>IF(ISNUMBER(F3727),E3727,0)</x:f>
        <x:v>0</x:v>
      </x:c>
      <x:c r="K3727" s="1"/>
      <x:c r="L3727" s="1"/>
      <x:c r="M3727" s="1"/>
    </x:row>
    <x:row r="3728" ht="18.75" customHeight="1">
      <x:c r="A3728" s="1" t="str">
        <x:v>https://blog.skyairline.com/tipos-de-equipaje/</x:v>
      </x:c>
      <x:c r="B3728" s="1" t="str">
        <x:v>equipaje en sky</x:v>
      </x:c>
      <x:c r="C3728" s="1" t="str">
        <x:v>chl</x:v>
      </x:c>
      <x:c r="D3728" s="1" t="str">
        <x:v>Marca</x:v>
      </x:c>
      <x:c r="E3728" s="35" t="n">
        <x:v>1</x:v>
      </x:c>
      <x:c r="F3728" s="36"/>
      <x:c r="G3728" s="36" t="str">
        <x:f>IF(ISNUMBER(F3728),E3728*F3728,"")</x:f>
      </x:c>
      <x:c r="H3728" s="37" t="d">
        <x:v>2026-10-15T00:00:00.000Z</x:v>
      </x:c>
      <x:c r="I3728" s="37" t="d">
        <x:v>2026-09-16T18:10:59.000Z</x:v>
      </x:c>
      <x:c r="J3728" s="1" t="n">
        <x:f>IF(ISNUMBER(F3728),E3728,0)</x:f>
        <x:v>0</x:v>
      </x:c>
      <x:c r="K3728" s="1"/>
      <x:c r="L3728" s="1"/>
      <x:c r="M3728" s="1"/>
    </x:row>
    <x:row r="3729" ht="18.75" customHeight="1">
      <x:c r="A3729" s="1" t="str">
        <x:v>https://blog.skyairline.com/tipos-de-equipaje/</x:v>
      </x:c>
      <x:c r="B3729" s="1" t="str">
        <x:v>equipaje en sky</x:v>
      </x:c>
      <x:c r="C3729" s="1" t="str">
        <x:v>ury</x:v>
      </x:c>
      <x:c r="D3729" s="1" t="str">
        <x:v>Marca</x:v>
      </x:c>
      <x:c r="E3729" s="35" t="n">
        <x:v>1</x:v>
      </x:c>
      <x:c r="F3729" s="36"/>
      <x:c r="G3729" s="36" t="str">
        <x:f>IF(ISNUMBER(F3729),E3729*F3729,"")</x:f>
      </x:c>
      <x:c r="H3729" s="37"/>
      <x:c r="I3729" s="37"/>
      <x:c r="J3729" s="1" t="n">
        <x:f>IF(ISNUMBER(F3729),E3729,0)</x:f>
        <x:v>0</x:v>
      </x:c>
      <x:c r="K3729" s="1"/>
      <x:c r="L3729" s="1"/>
      <x:c r="M3729" s="1"/>
    </x:row>
    <x:row r="3730" ht="18.75" customHeight="1">
      <x:c r="A3730" s="1" t="str">
        <x:v>https://blog.skyairline.com/tipos-de-equipaje/</x:v>
      </x:c>
      <x:c r="B3730" s="1" t="str">
        <x:v>equipaje en sky airlines</x:v>
      </x:c>
      <x:c r="C3730" s="1" t="str">
        <x:v>esp</x:v>
      </x:c>
      <x:c r="D3730" s="1" t="str">
        <x:v>Marca</x:v>
      </x:c>
      <x:c r="E3730" s="35" t="n">
        <x:v>1</x:v>
      </x:c>
      <x:c r="F3730" s="36"/>
      <x:c r="G3730" s="36" t="str">
        <x:f>IF(ISNUMBER(F3730),E3730*F3730,"")</x:f>
      </x:c>
      <x:c r="H3730" s="37"/>
      <x:c r="I3730" s="37"/>
      <x:c r="J3730" s="1" t="n">
        <x:f>IF(ISNUMBER(F3730),E3730,0)</x:f>
        <x:v>0</x:v>
      </x:c>
      <x:c r="K3730" s="1"/>
      <x:c r="L3730" s="1"/>
      <x:c r="M3730" s="1"/>
    </x:row>
    <x:row r="3731" ht="18.75" customHeight="1">
      <x:c r="A3731" s="1" t="str">
        <x:v>https://blog.skyairline.com/tipos-de-equipaje/</x:v>
      </x:c>
      <x:c r="B3731" s="1" t="str">
        <x:v>equipaje en sky airlines</x:v>
      </x:c>
      <x:c r="C3731" s="1" t="str">
        <x:v>per</x:v>
      </x:c>
      <x:c r="D3731" s="1" t="str">
        <x:v>Marca</x:v>
      </x:c>
      <x:c r="E3731" s="35" t="n">
        <x:v>1</x:v>
      </x:c>
      <x:c r="F3731" s="36"/>
      <x:c r="G3731" s="36" t="str">
        <x:f>IF(ISNUMBER(F3731),E3731*F3731,"")</x:f>
      </x:c>
      <x:c r="H3731" s="37"/>
      <x:c r="I3731" s="37"/>
      <x:c r="J3731" s="1" t="n">
        <x:f>IF(ISNUMBER(F3731),E3731,0)</x:f>
        <x:v>0</x:v>
      </x:c>
      <x:c r="K3731" s="1"/>
      <x:c r="L3731" s="1"/>
      <x:c r="M3731" s="1"/>
    </x:row>
    <x:row r="3732" ht="18.75" customHeight="1">
      <x:c r="A3732" s="1" t="str">
        <x:v>https://blog.skyairline.com/tipos-de-equipaje/</x:v>
      </x:c>
      <x:c r="B3732" s="1" t="str">
        <x:v>equipaje sky</x:v>
      </x:c>
      <x:c r="C3732" s="1" t="str">
        <x:v>bra</x:v>
      </x:c>
      <x:c r="D3732" s="1" t="str">
        <x:v>Marca</x:v>
      </x:c>
      <x:c r="E3732" s="35" t="n">
        <x:v>1</x:v>
      </x:c>
      <x:c r="F3732" s="36"/>
      <x:c r="G3732" s="36" t="str">
        <x:f>IF(ISNUMBER(F3732),E3732*F3732,"")</x:f>
      </x:c>
      <x:c r="H3732" s="37"/>
      <x:c r="I3732" s="37"/>
      <x:c r="J3732" s="1" t="n">
        <x:f>IF(ISNUMBER(F3732),E3732,0)</x:f>
        <x:v>0</x:v>
      </x:c>
      <x:c r="K3732" s="1"/>
      <x:c r="L3732" s="1"/>
      <x:c r="M3732" s="1"/>
    </x:row>
    <x:row r="3733" ht="18.75" customHeight="1">
      <x:c r="A3733" s="1" t="str">
        <x:v>https://blog.skyairline.com/tipos-de-equipaje/</x:v>
      </x:c>
      <x:c r="B3733" s="1" t="str">
        <x:v>equipaje sky</x:v>
      </x:c>
      <x:c r="C3733" s="1" t="str">
        <x:v>usa</x:v>
      </x:c>
      <x:c r="D3733" s="1" t="str">
        <x:v>Marca</x:v>
      </x:c>
      <x:c r="E3733" s="35" t="n">
        <x:v>1</x:v>
      </x:c>
      <x:c r="F3733" s="36"/>
      <x:c r="G3733" s="36" t="str">
        <x:f>IF(ISNUMBER(F3733),E3733*F3733,"")</x:f>
      </x:c>
      <x:c r="H3733" s="37"/>
      <x:c r="I3733" s="37"/>
      <x:c r="J3733" s="1" t="n">
        <x:f>IF(ISNUMBER(F3733),E3733,0)</x:f>
        <x:v>0</x:v>
      </x:c>
      <x:c r="K3733" s="1"/>
      <x:c r="L3733" s="1"/>
      <x:c r="M3733" s="1"/>
    </x:row>
    <x:row r="3734" ht="18.75" customHeight="1">
      <x:c r="A3734" s="1" t="str">
        <x:v>https://blog.skyairline.com/tipos-de-equipaje/</x:v>
      </x:c>
      <x:c r="B3734" s="1" t="str">
        <x:v>equipaje sky airline</x:v>
      </x:c>
      <x:c r="C3734" s="1" t="str">
        <x:v>chl</x:v>
      </x:c>
      <x:c r="D3734" s="1" t="str">
        <x:v>Marca</x:v>
      </x:c>
      <x:c r="E3734" s="35" t="n">
        <x:v>1</x:v>
      </x:c>
      <x:c r="F3734" s="36" t="n">
        <x:v>1.22</x:v>
      </x:c>
      <x:c r="G3734" s="36" t="n">
        <x:f>IF(ISNUMBER(F3734),E3734*F3734,"")</x:f>
        <x:v>1.22</x:v>
      </x:c>
      <x:c r="H3734" s="37" t="d">
        <x:v>2026-10-15T00:00:00.000Z</x:v>
      </x:c>
      <x:c r="I3734" s="37" t="d">
        <x:v>2026-09-15T21:04:11.000Z</x:v>
      </x:c>
      <x:c r="J3734" s="1" t="n">
        <x:f>IF(ISNUMBER(F3734),E3734,0)</x:f>
        <x:v>1</x:v>
      </x:c>
      <x:c r="K3734" s="1"/>
      <x:c r="L3734" s="1"/>
      <x:c r="M3734" s="1"/>
    </x:row>
    <x:row r="3735" ht="18.75" customHeight="1">
      <x:c r="A3735" s="1" t="str">
        <x:v>https://blog.skyairline.com/tipos-de-equipaje/</x:v>
      </x:c>
      <x:c r="B3735" s="1" t="str">
        <x:v>equipaje sky airlines</x:v>
      </x:c>
      <x:c r="C3735" s="1" t="str">
        <x:v>esp</x:v>
      </x:c>
      <x:c r="D3735" s="1" t="str">
        <x:v>Marca</x:v>
      </x:c>
      <x:c r="E3735" s="35" t="n">
        <x:v>1</x:v>
      </x:c>
      <x:c r="F3735" s="36"/>
      <x:c r="G3735" s="36" t="str">
        <x:f>IF(ISNUMBER(F3735),E3735*F3735,"")</x:f>
      </x:c>
      <x:c r="H3735" s="37"/>
      <x:c r="I3735" s="37"/>
      <x:c r="J3735" s="1" t="n">
        <x:f>IF(ISNUMBER(F3735),E3735,0)</x:f>
        <x:v>0</x:v>
      </x:c>
      <x:c r="K3735" s="1"/>
      <x:c r="L3735" s="1"/>
      <x:c r="M3735" s="1"/>
    </x:row>
    <x:row r="3736" ht="18.75" customHeight="1">
      <x:c r="A3736" s="1" t="str">
        <x:v>https://blog.skyairline.com/tipos-de-equipaje/</x:v>
      </x:c>
      <x:c r="B3736" s="1" t="str">
        <x:v>maleta cabina sky</x:v>
      </x:c>
      <x:c r="C3736" s="1" t="str">
        <x:v>chl</x:v>
      </x:c>
      <x:c r="D3736" s="1" t="str">
        <x:v>Marca</x:v>
      </x:c>
      <x:c r="E3736" s="35" t="n">
        <x:v>1</x:v>
      </x:c>
      <x:c r="F3736" s="36" t="n">
        <x:v>0.04</x:v>
      </x:c>
      <x:c r="G3736" s="36" t="n">
        <x:f>IF(ISNUMBER(F3736),E3736*F3736,"")</x:f>
        <x:v>0.04</x:v>
      </x:c>
      <x:c r="H3736" s="37" t="d">
        <x:v>2026-10-15T00:00:00.000Z</x:v>
      </x:c>
      <x:c r="I3736" s="37" t="d">
        <x:v>2026-09-17T04:11:22.000Z</x:v>
      </x:c>
      <x:c r="J3736" s="1" t="n">
        <x:f>IF(ISNUMBER(F3736),E3736,0)</x:f>
        <x:v>1</x:v>
      </x:c>
      <x:c r="K3736" s="1"/>
      <x:c r="L3736" s="1"/>
      <x:c r="M3736" s="1"/>
    </x:row>
    <x:row r="3737" ht="18.75" customHeight="1">
      <x:c r="A3737" s="1" t="str">
        <x:v>https://blog.skyairline.com/tipos-de-equipaje/</x:v>
      </x:c>
      <x:c r="B3737" s="1" t="str">
        <x:v>maleta cabina sky</x:v>
      </x:c>
      <x:c r="C3737" s="1" t="str">
        <x:v>per</x:v>
      </x:c>
      <x:c r="D3737" s="1" t="str">
        <x:v>Marca</x:v>
      </x:c>
      <x:c r="E3737" s="35" t="n">
        <x:v>1</x:v>
      </x:c>
      <x:c r="F3737" s="36"/>
      <x:c r="G3737" s="36" t="str">
        <x:f>IF(ISNUMBER(F3737),E3737*F3737,"")</x:f>
      </x:c>
      <x:c r="H3737" s="37"/>
      <x:c r="I3737" s="37"/>
      <x:c r="J3737" s="1" t="n">
        <x:f>IF(ISNUMBER(F3737),E3737,0)</x:f>
        <x:v>0</x:v>
      </x:c>
      <x:c r="K3737" s="1"/>
      <x:c r="L3737" s="1"/>
      <x:c r="M3737" s="1"/>
    </x:row>
    <x:row r="3738" ht="18.75" customHeight="1">
      <x:c r="A3738" s="1" t="str">
        <x:v>https://blog.skyairline.com/tipos-de-equipaje/</x:v>
      </x:c>
      <x:c r="B3738" s="1" t="str">
        <x:v>maleta cabina sky medidas</x:v>
      </x:c>
      <x:c r="C3738" s="1" t="str">
        <x:v>chl</x:v>
      </x:c>
      <x:c r="D3738" s="1" t="str">
        <x:v>Marca</x:v>
      </x:c>
      <x:c r="E3738" s="35" t="n">
        <x:v>1</x:v>
      </x:c>
      <x:c r="F3738" s="36"/>
      <x:c r="G3738" s="36" t="str">
        <x:f>IF(ISNUMBER(F3738),E3738*F3738,"")</x:f>
      </x:c>
      <x:c r="H3738" s="37"/>
      <x:c r="I3738" s="37"/>
      <x:c r="J3738" s="1" t="n">
        <x:f>IF(ISNUMBER(F3738),E3738,0)</x:f>
        <x:v>0</x:v>
      </x:c>
      <x:c r="K3738" s="1"/>
      <x:c r="L3738" s="1"/>
      <x:c r="M3738" s="1"/>
    </x:row>
    <x:row r="3739" ht="18.75" customHeight="1">
      <x:c r="A3739" s="1" t="str">
        <x:v>https://blog.skyairline.com/tipos-de-equipaje/</x:v>
      </x:c>
      <x:c r="B3739" s="1" t="str">
        <x:v>maleta sky medidas</x:v>
      </x:c>
      <x:c r="C3739" s="1" t="str">
        <x:v>chl</x:v>
      </x:c>
      <x:c r="D3739" s="1" t="str">
        <x:v>Marca</x:v>
      </x:c>
      <x:c r="E3739" s="35" t="n">
        <x:v>1</x:v>
      </x:c>
      <x:c r="F3739" s="36"/>
      <x:c r="G3739" s="36" t="str">
        <x:f>IF(ISNUMBER(F3739),E3739*F3739,"")</x:f>
      </x:c>
      <x:c r="H3739" s="37" t="d">
        <x:v>2026-10-15T00:00:00.000Z</x:v>
      </x:c>
      <x:c r="I3739" s="37" t="d">
        <x:v>2026-09-13T03:43:37.999Z</x:v>
      </x:c>
      <x:c r="J3739" s="1" t="n">
        <x:f>IF(ISNUMBER(F3739),E3739,0)</x:f>
        <x:v>0</x:v>
      </x:c>
      <x:c r="K3739" s="1"/>
      <x:c r="L3739" s="1"/>
      <x:c r="M3739" s="1"/>
    </x:row>
    <x:row r="3740" ht="18.75" customHeight="1">
      <x:c r="A3740" s="1" t="str">
        <x:v>https://blog.skyairline.com/tipos-de-equipaje/</x:v>
      </x:c>
      <x:c r="B3740" s="1" t="str">
        <x:v>maleta sky medidas</x:v>
      </x:c>
      <x:c r="C3740" s="1" t="str">
        <x:v>per</x:v>
      </x:c>
      <x:c r="D3740" s="1" t="str">
        <x:v>Marca</x:v>
      </x:c>
      <x:c r="E3740" s="35" t="n">
        <x:v>1</x:v>
      </x:c>
      <x:c r="F3740" s="36"/>
      <x:c r="G3740" s="36" t="str">
        <x:f>IF(ISNUMBER(F3740),E3740*F3740,"")</x:f>
      </x:c>
      <x:c r="H3740" s="37" t="d">
        <x:v>2026-10-15T00:00:00.000Z</x:v>
      </x:c>
      <x:c r="I3740" s="37" t="d">
        <x:v>2026-09-14T19:23:06.000Z</x:v>
      </x:c>
      <x:c r="J3740" s="1" t="n">
        <x:f>IF(ISNUMBER(F3740),E3740,0)</x:f>
        <x:v>0</x:v>
      </x:c>
      <x:c r="K3740" s="1"/>
      <x:c r="L3740" s="1"/>
      <x:c r="M3740" s="1"/>
    </x:row>
    <x:row r="3741" ht="18.75" customHeight="1">
      <x:c r="A3741" s="1" t="str">
        <x:v>https://blog.skyairline.com/tipos-de-equipaje/</x:v>
      </x:c>
      <x:c r="B3741" s="1" t="str">
        <x:v>maletas sky airline</x:v>
      </x:c>
      <x:c r="C3741" s="1" t="str">
        <x:v>pan</x:v>
      </x:c>
      <x:c r="D3741" s="1" t="str">
        <x:v>Marca</x:v>
      </x:c>
      <x:c r="E3741" s="35" t="n">
        <x:v>1</x:v>
      </x:c>
      <x:c r="F3741" s="36"/>
      <x:c r="G3741" s="36" t="str">
        <x:f>IF(ISNUMBER(F3741),E3741*F3741,"")</x:f>
      </x:c>
      <x:c r="H3741" s="37"/>
      <x:c r="I3741" s="37"/>
      <x:c r="J3741" s="1" t="n">
        <x:f>IF(ISNUMBER(F3741),E3741,0)</x:f>
        <x:v>0</x:v>
      </x:c>
      <x:c r="K3741" s="1"/>
      <x:c r="L3741" s="1"/>
      <x:c r="M3741" s="1"/>
    </x:row>
    <x:row r="3742" ht="18.75" customHeight="1">
      <x:c r="A3742" s="1" t="str">
        <x:v>https://blog.skyairline.com/tipos-de-equipaje/</x:v>
      </x:c>
      <x:c r="B3742" s="1" t="str">
        <x:v>maletas sky airline</x:v>
      </x:c>
      <x:c r="C3742" s="1" t="str">
        <x:v>per</x:v>
      </x:c>
      <x:c r="D3742" s="1" t="str">
        <x:v>Marca</x:v>
      </x:c>
      <x:c r="E3742" s="35" t="n">
        <x:v>1</x:v>
      </x:c>
      <x:c r="F3742" s="36"/>
      <x:c r="G3742" s="36" t="str">
        <x:f>IF(ISNUMBER(F3742),E3742*F3742,"")</x:f>
      </x:c>
      <x:c r="H3742" s="37"/>
      <x:c r="I3742" s="37"/>
      <x:c r="J3742" s="1" t="n">
        <x:f>IF(ISNUMBER(F3742),E3742,0)</x:f>
        <x:v>0</x:v>
      </x:c>
      <x:c r="K3742" s="1"/>
      <x:c r="L3742" s="1"/>
      <x:c r="M3742" s="1"/>
    </x:row>
    <x:row r="3743" ht="18.75" customHeight="1">
      <x:c r="A3743" s="1" t="str">
        <x:v>https://blog.skyairline.com/tipos-de-equipaje/</x:v>
      </x:c>
      <x:c r="B3743" s="1" t="str">
        <x:v>medida articulo personal sky</x:v>
      </x:c>
      <x:c r="C3743" s="1" t="str">
        <x:v>chl</x:v>
      </x:c>
      <x:c r="D3743" s="1" t="str">
        <x:v>Marca</x:v>
      </x:c>
      <x:c r="E3743" s="35" t="n">
        <x:v>1</x:v>
      </x:c>
      <x:c r="F3743" s="36"/>
      <x:c r="G3743" s="36" t="str">
        <x:f>IF(ISNUMBER(F3743),E3743*F3743,"")</x:f>
      </x:c>
      <x:c r="H3743" s="37"/>
      <x:c r="I3743" s="37"/>
      <x:c r="J3743" s="1" t="n">
        <x:f>IF(ISNUMBER(F3743),E3743,0)</x:f>
        <x:v>0</x:v>
      </x:c>
      <x:c r="K3743" s="1"/>
      <x:c r="L3743" s="1"/>
      <x:c r="M3743" s="1"/>
    </x:row>
    <x:row r="3744" ht="18.75" customHeight="1">
      <x:c r="A3744" s="1" t="str">
        <x:v>https://blog.skyairline.com/tipos-de-equipaje/</x:v>
      </x:c>
      <x:c r="B3744" s="1" t="str">
        <x:v>medida de equipaje de mano sky</x:v>
      </x:c>
      <x:c r="C3744" s="1" t="str">
        <x:v>per</x:v>
      </x:c>
      <x:c r="D3744" s="1" t="str">
        <x:v>Marca</x:v>
      </x:c>
      <x:c r="E3744" s="35" t="n">
        <x:v>1</x:v>
      </x:c>
      <x:c r="F3744" s="36"/>
      <x:c r="G3744" s="36" t="str">
        <x:f>IF(ISNUMBER(F3744),E3744*F3744,"")</x:f>
      </x:c>
      <x:c r="H3744" s="37" t="d">
        <x:v>2026-10-15T00:00:00.000Z</x:v>
      </x:c>
      <x:c r="I3744" s="37" t="d">
        <x:v>2026-09-15T03:26:19.000Z</x:v>
      </x:c>
      <x:c r="J3744" s="1" t="n">
        <x:f>IF(ISNUMBER(F3744),E3744,0)</x:f>
        <x:v>0</x:v>
      </x:c>
      <x:c r="K3744" s="1"/>
      <x:c r="L3744" s="1"/>
      <x:c r="M3744" s="1"/>
    </x:row>
    <x:row r="3745" ht="18.75" customHeight="1">
      <x:c r="A3745" s="1" t="str">
        <x:v>https://blog.skyairline.com/tipos-de-equipaje/</x:v>
      </x:c>
      <x:c r="B3745" s="1" t="str">
        <x:v>medida maleta de cabina sky</x:v>
      </x:c>
      <x:c r="C3745" s="1" t="str">
        <x:v>chl</x:v>
      </x:c>
      <x:c r="D3745" s="1" t="str">
        <x:v>Marca</x:v>
      </x:c>
      <x:c r="E3745" s="35" t="n">
        <x:v>1</x:v>
      </x:c>
      <x:c r="F3745" s="36"/>
      <x:c r="G3745" s="36" t="str">
        <x:f>IF(ISNUMBER(F3745),E3745*F3745,"")</x:f>
      </x:c>
      <x:c r="H3745" s="37"/>
      <x:c r="I3745" s="37"/>
      <x:c r="J3745" s="1" t="n">
        <x:f>IF(ISNUMBER(F3745),E3745,0)</x:f>
        <x:v>0</x:v>
      </x:c>
      <x:c r="K3745" s="1"/>
      <x:c r="L3745" s="1"/>
      <x:c r="M3745" s="1"/>
    </x:row>
    <x:row r="3746" ht="18.75" customHeight="1">
      <x:c r="A3746" s="1" t="str">
        <x:v>https://blog.skyairline.com/tipos-de-equipaje/</x:v>
      </x:c>
      <x:c r="B3746" s="1" t="str">
        <x:v>medida maleta sky</x:v>
      </x:c>
      <x:c r="C3746" s="1" t="str">
        <x:v>chl</x:v>
      </x:c>
      <x:c r="D3746" s="1" t="str">
        <x:v>Marca</x:v>
      </x:c>
      <x:c r="E3746" s="35" t="n">
        <x:v>1</x:v>
      </x:c>
      <x:c r="F3746" s="36"/>
      <x:c r="G3746" s="36" t="str">
        <x:f>IF(ISNUMBER(F3746),E3746*F3746,"")</x:f>
      </x:c>
      <x:c r="H3746" s="37"/>
      <x:c r="I3746" s="37"/>
      <x:c r="J3746" s="1" t="n">
        <x:f>IF(ISNUMBER(F3746),E3746,0)</x:f>
        <x:v>0</x:v>
      </x:c>
      <x:c r="K3746" s="1"/>
      <x:c r="L3746" s="1"/>
      <x:c r="M3746" s="1"/>
    </x:row>
    <x:row r="3747" ht="18.75" customHeight="1">
      <x:c r="A3747" s="1" t="str">
        <x:v>https://blog.skyairline.com/tipos-de-equipaje/</x:v>
      </x:c>
      <x:c r="B3747" s="1" t="str">
        <x:v>medida maleta sky</x:v>
      </x:c>
      <x:c r="C3747" s="1" t="str">
        <x:v>per</x:v>
      </x:c>
      <x:c r="D3747" s="1" t="str">
        <x:v>Marca</x:v>
      </x:c>
      <x:c r="E3747" s="35" t="n">
        <x:v>1</x:v>
      </x:c>
      <x:c r="F3747" s="36"/>
      <x:c r="G3747" s="36" t="str">
        <x:f>IF(ISNUMBER(F3747),E3747*F3747,"")</x:f>
      </x:c>
      <x:c r="H3747" s="37"/>
      <x:c r="I3747" s="37"/>
      <x:c r="J3747" s="1" t="n">
        <x:f>IF(ISNUMBER(F3747),E3747,0)</x:f>
        <x:v>0</x:v>
      </x:c>
      <x:c r="K3747" s="1"/>
      <x:c r="L3747" s="1"/>
      <x:c r="M3747" s="1"/>
    </x:row>
    <x:row r="3748" ht="18.75" customHeight="1">
      <x:c r="A3748" s="1" t="str">
        <x:v>https://blog.skyairline.com/tipos-de-equipaje/</x:v>
      </x:c>
      <x:c r="B3748" s="1" t="str">
        <x:v>medidas articulo personal</x:v>
      </x:c>
      <x:c r="C3748" s="1" t="str">
        <x:v>chl</x:v>
      </x:c>
      <x:c r="D3748" s="1" t="str">
        <x:v>Sin marca</x:v>
      </x:c>
      <x:c r="E3748" s="35" t="n">
        <x:v>1</x:v>
      </x:c>
      <x:c r="F3748" s="36"/>
      <x:c r="G3748" s="36" t="str">
        <x:f>IF(ISNUMBER(F3748),E3748*F3748,"")</x:f>
      </x:c>
      <x:c r="H3748" s="37"/>
      <x:c r="I3748" s="37"/>
      <x:c r="J3748" s="1" t="n">
        <x:f>IF(ISNUMBER(F3748),E3748,0)</x:f>
        <x:v>0</x:v>
      </x:c>
      <x:c r="K3748" s="1"/>
      <x:c r="L3748" s="1"/>
      <x:c r="M3748" s="1"/>
    </x:row>
    <x:row r="3749" ht="18.75" customHeight="1">
      <x:c r="A3749" s="1" t="str">
        <x:v>https://blog.skyairline.com/tipos-de-equipaje/</x:v>
      </x:c>
      <x:c r="B3749" s="1" t="str">
        <x:v>medidas bolso de mano sky</x:v>
      </x:c>
      <x:c r="C3749" s="1" t="str">
        <x:v>chl</x:v>
      </x:c>
      <x:c r="D3749" s="1" t="str">
        <x:v>Marca</x:v>
      </x:c>
      <x:c r="E3749" s="35" t="n">
        <x:v>1</x:v>
      </x:c>
      <x:c r="F3749" s="36" t="n">
        <x:v>0.16</x:v>
      </x:c>
      <x:c r="G3749" s="36" t="n">
        <x:f>IF(ISNUMBER(F3749),E3749*F3749,"")</x:f>
        <x:v>0.16</x:v>
      </x:c>
      <x:c r="H3749" s="37" t="d">
        <x:v>2026-10-15T00:00:00.000Z</x:v>
      </x:c>
      <x:c r="I3749" s="37" t="d">
        <x:v>2026-09-16T07:08:31.000Z</x:v>
      </x:c>
      <x:c r="J3749" s="1" t="n">
        <x:f>IF(ISNUMBER(F3749),E3749,0)</x:f>
        <x:v>1</x:v>
      </x:c>
      <x:c r="K3749" s="1"/>
      <x:c r="L3749" s="1"/>
      <x:c r="M3749" s="1"/>
    </x:row>
    <x:row r="3750" ht="18.75" customHeight="1">
      <x:c r="A3750" s="1" t="str">
        <x:v>https://blog.skyairline.com/tipos-de-equipaje/</x:v>
      </x:c>
      <x:c r="B3750" s="1" t="str">
        <x:v>medidas bolso de mano sky 2026</x:v>
      </x:c>
      <x:c r="C3750" s="1" t="str">
        <x:v>chl</x:v>
      </x:c>
      <x:c r="D3750" s="1" t="str">
        <x:v>Marca</x:v>
      </x:c>
      <x:c r="E3750" s="35" t="n">
        <x:v>1</x:v>
      </x:c>
      <x:c r="F3750" s="36"/>
      <x:c r="G3750" s="36" t="str">
        <x:f>IF(ISNUMBER(F3750),E3750*F3750,"")</x:f>
      </x:c>
      <x:c r="H3750" s="37" t="d">
        <x:v>2026-10-15T00:00:00.000Z</x:v>
      </x:c>
      <x:c r="I3750" s="37" t="d">
        <x:v>2026-09-16T22:05:21.000Z</x:v>
      </x:c>
      <x:c r="J3750" s="1" t="n">
        <x:f>IF(ISNUMBER(F3750),E3750,0)</x:f>
        <x:v>0</x:v>
      </x:c>
      <x:c r="K3750" s="1"/>
      <x:c r="L3750" s="1"/>
      <x:c r="M3750" s="1"/>
    </x:row>
    <x:row r="3751" ht="18.75" customHeight="1">
      <x:c r="A3751" s="1" t="str">
        <x:v>https://blog.skyairline.com/tipos-de-equipaje/</x:v>
      </x:c>
      <x:c r="B3751" s="1" t="str">
        <x:v>medidas carry on sky</x:v>
      </x:c>
      <x:c r="C3751" s="1" t="str">
        <x:v>ury</x:v>
      </x:c>
      <x:c r="D3751" s="1" t="str">
        <x:v>Marca</x:v>
      </x:c>
      <x:c r="E3751" s="35" t="n">
        <x:v>1</x:v>
      </x:c>
      <x:c r="F3751" s="36"/>
      <x:c r="G3751" s="36" t="str">
        <x:f>IF(ISNUMBER(F3751),E3751*F3751,"")</x:f>
      </x:c>
      <x:c r="H3751" s="37"/>
      <x:c r="I3751" s="37"/>
      <x:c r="J3751" s="1" t="n">
        <x:f>IF(ISNUMBER(F3751),E3751,0)</x:f>
        <x:v>0</x:v>
      </x:c>
      <x:c r="K3751" s="1"/>
      <x:c r="L3751" s="1"/>
      <x:c r="M3751" s="1"/>
    </x:row>
    <x:row r="3752" ht="18.75" customHeight="1">
      <x:c r="A3752" s="1" t="str">
        <x:v>https://blog.skyairline.com/tipos-de-equipaje/</x:v>
      </x:c>
      <x:c r="B3752" s="1" t="str">
        <x:v>medidas de equipaje sky</x:v>
      </x:c>
      <x:c r="C3752" s="1" t="str">
        <x:v>chl</x:v>
      </x:c>
      <x:c r="D3752" s="1" t="str">
        <x:v>Marca</x:v>
      </x:c>
      <x:c r="E3752" s="35" t="n">
        <x:v>1</x:v>
      </x:c>
      <x:c r="F3752" s="36"/>
      <x:c r="G3752" s="36" t="str">
        <x:f>IF(ISNUMBER(F3752),E3752*F3752,"")</x:f>
      </x:c>
      <x:c r="H3752" s="37"/>
      <x:c r="I3752" s="37"/>
      <x:c r="J3752" s="1" t="n">
        <x:f>IF(ISNUMBER(F3752),E3752,0)</x:f>
        <x:v>0</x:v>
      </x:c>
      <x:c r="K3752" s="1"/>
      <x:c r="L3752" s="1"/>
      <x:c r="M3752" s="1"/>
    </x:row>
    <x:row r="3753" ht="18.75" customHeight="1">
      <x:c r="A3753" s="1" t="str">
        <x:v>https://blog.skyairline.com/tipos-de-equipaje/</x:v>
      </x:c>
      <x:c r="B3753" s="1" t="str">
        <x:v>medidas de equipaje sky</x:v>
      </x:c>
      <x:c r="C3753" s="1" t="str">
        <x:v>ury</x:v>
      </x:c>
      <x:c r="D3753" s="1" t="str">
        <x:v>Marca</x:v>
      </x:c>
      <x:c r="E3753" s="35" t="n">
        <x:v>1</x:v>
      </x:c>
      <x:c r="F3753" s="36"/>
      <x:c r="G3753" s="36" t="str">
        <x:f>IF(ISNUMBER(F3753),E3753*F3753,"")</x:f>
      </x:c>
      <x:c r="H3753" s="37"/>
      <x:c r="I3753" s="37"/>
      <x:c r="J3753" s="1" t="n">
        <x:f>IF(ISNUMBER(F3753),E3753,0)</x:f>
        <x:v>0</x:v>
      </x:c>
      <x:c r="K3753" s="1"/>
      <x:c r="L3753" s="1"/>
      <x:c r="M3753" s="1"/>
    </x:row>
    <x:row r="3754" ht="18.75" customHeight="1">
      <x:c r="A3754" s="1" t="str">
        <x:v>https://blog.skyairline.com/tipos-de-equipaje/</x:v>
      </x:c>
      <x:c r="B3754" s="1" t="str">
        <x:v>medidas de maleta sky airlines</x:v>
      </x:c>
      <x:c r="C3754" s="1" t="str">
        <x:v>per</x:v>
      </x:c>
      <x:c r="D3754" s="1" t="str">
        <x:v>Marca</x:v>
      </x:c>
      <x:c r="E3754" s="35" t="n">
        <x:v>1</x:v>
      </x:c>
      <x:c r="F3754" s="36"/>
      <x:c r="G3754" s="36" t="str">
        <x:f>IF(ISNUMBER(F3754),E3754*F3754,"")</x:f>
      </x:c>
      <x:c r="H3754" s="37"/>
      <x:c r="I3754" s="37"/>
      <x:c r="J3754" s="1" t="n">
        <x:f>IF(ISNUMBER(F3754),E3754,0)</x:f>
        <x:v>0</x:v>
      </x:c>
      <x:c r="K3754" s="1"/>
      <x:c r="L3754" s="1"/>
      <x:c r="M3754" s="1"/>
    </x:row>
    <x:row r="3755" ht="18.75" customHeight="1">
      <x:c r="A3755" s="1" t="str">
        <x:v>https://blog.skyairline.com/tipos-de-equipaje/</x:v>
      </x:c>
      <x:c r="B3755" s="1" t="str">
        <x:v>medidas de sky</x:v>
      </x:c>
      <x:c r="C3755" s="1" t="str">
        <x:v>usa</x:v>
      </x:c>
      <x:c r="D3755" s="1" t="str">
        <x:v>Marca</x:v>
      </x:c>
      <x:c r="E3755" s="35" t="n">
        <x:v>1</x:v>
      </x:c>
      <x:c r="F3755" s="36"/>
      <x:c r="G3755" s="36" t="str">
        <x:f>IF(ISNUMBER(F3755),E3755*F3755,"")</x:f>
      </x:c>
      <x:c r="H3755" s="37"/>
      <x:c r="I3755" s="37"/>
      <x:c r="J3755" s="1" t="n">
        <x:f>IF(ISNUMBER(F3755),E3755,0)</x:f>
        <x:v>0</x:v>
      </x:c>
      <x:c r="K3755" s="1"/>
      <x:c r="L3755" s="1"/>
      <x:c r="M3755" s="1"/>
    </x:row>
    <x:row r="3756" ht="18.75" customHeight="1">
      <x:c r="A3756" s="1" t="str">
        <x:v>https://blog.skyairline.com/tipos-de-equipaje/</x:v>
      </x:c>
      <x:c r="B3756" s="1" t="str">
        <x:v>medidas equipaje cabina sky</x:v>
      </x:c>
      <x:c r="C3756" s="1" t="str">
        <x:v>chl</x:v>
      </x:c>
      <x:c r="D3756" s="1" t="str">
        <x:v>Marca</x:v>
      </x:c>
      <x:c r="E3756" s="35" t="n">
        <x:v>1</x:v>
      </x:c>
      <x:c r="F3756" s="36"/>
      <x:c r="G3756" s="36" t="str">
        <x:f>IF(ISNUMBER(F3756),E3756*F3756,"")</x:f>
      </x:c>
      <x:c r="H3756" s="37"/>
      <x:c r="I3756" s="37"/>
      <x:c r="J3756" s="1" t="n">
        <x:f>IF(ISNUMBER(F3756),E3756,0)</x:f>
        <x:v>0</x:v>
      </x:c>
      <x:c r="K3756" s="1"/>
      <x:c r="L3756" s="1"/>
      <x:c r="M3756" s="1"/>
    </x:row>
    <x:row r="3757" ht="18.75" customHeight="1">
      <x:c r="A3757" s="1" t="str">
        <x:v>https://blog.skyairline.com/tipos-de-equipaje/</x:v>
      </x:c>
      <x:c r="B3757" s="1" t="str">
        <x:v>medidas equipaje de mano sky</x:v>
      </x:c>
      <x:c r="C3757" s="1" t="str">
        <x:v>chl</x:v>
      </x:c>
      <x:c r="D3757" s="1" t="str">
        <x:v>Marca</x:v>
      </x:c>
      <x:c r="E3757" s="35" t="n">
        <x:v>1</x:v>
      </x:c>
      <x:c r="F3757" s="36" t="n">
        <x:v>0.35</x:v>
      </x:c>
      <x:c r="G3757" s="36" t="n">
        <x:f>IF(ISNUMBER(F3757),E3757*F3757,"")</x:f>
        <x:v>0.35</x:v>
      </x:c>
      <x:c r="H3757" s="37" t="d">
        <x:v>2026-10-15T00:00:00.000Z</x:v>
      </x:c>
      <x:c r="I3757" s="37" t="d">
        <x:v>2026-09-15T16:47:03.000Z</x:v>
      </x:c>
      <x:c r="J3757" s="1" t="n">
        <x:f>IF(ISNUMBER(F3757),E3757,0)</x:f>
        <x:v>1</x:v>
      </x:c>
      <x:c r="K3757" s="1"/>
      <x:c r="L3757" s="1"/>
      <x:c r="M3757" s="1"/>
    </x:row>
    <x:row r="3758" ht="18.75" customHeight="1">
      <x:c r="A3758" s="1" t="str">
        <x:v>https://blog.skyairline.com/tipos-de-equipaje/</x:v>
      </x:c>
      <x:c r="B3758" s="1" t="str">
        <x:v>medidas equipaje sky</x:v>
      </x:c>
      <x:c r="C3758" s="1" t="str">
        <x:v>arg</x:v>
      </x:c>
      <x:c r="D3758" s="1" t="str">
        <x:v>Marca</x:v>
      </x:c>
      <x:c r="E3758" s="35" t="n">
        <x:v>1</x:v>
      </x:c>
      <x:c r="F3758" s="36"/>
      <x:c r="G3758" s="36" t="str">
        <x:f>IF(ISNUMBER(F3758),E3758*F3758,"")</x:f>
      </x:c>
      <x:c r="H3758" s="37"/>
      <x:c r="I3758" s="37"/>
      <x:c r="J3758" s="1" t="n">
        <x:f>IF(ISNUMBER(F3758),E3758,0)</x:f>
        <x:v>0</x:v>
      </x:c>
      <x:c r="K3758" s="1"/>
      <x:c r="L3758" s="1"/>
      <x:c r="M3758" s="1"/>
    </x:row>
    <x:row r="3759" ht="18.75" customHeight="1">
      <x:c r="A3759" s="1" t="str">
        <x:v>https://blog.skyairline.com/tipos-de-equipaje/</x:v>
      </x:c>
      <x:c r="B3759" s="1" t="str">
        <x:v>medidas equipaje sky chile</x:v>
      </x:c>
      <x:c r="C3759" s="1" t="str">
        <x:v>chl</x:v>
      </x:c>
      <x:c r="D3759" s="1" t="str">
        <x:v>Marca</x:v>
      </x:c>
      <x:c r="E3759" s="35" t="n">
        <x:v>1</x:v>
      </x:c>
      <x:c r="F3759" s="36"/>
      <x:c r="G3759" s="36" t="str">
        <x:f>IF(ISNUMBER(F3759),E3759*F3759,"")</x:f>
      </x:c>
      <x:c r="H3759" s="37"/>
      <x:c r="I3759" s="37"/>
      <x:c r="J3759" s="1" t="n">
        <x:f>IF(ISNUMBER(F3759),E3759,0)</x:f>
        <x:v>0</x:v>
      </x:c>
      <x:c r="K3759" s="1"/>
      <x:c r="L3759" s="1"/>
      <x:c r="M3759" s="1"/>
    </x:row>
    <x:row r="3760" ht="18.75" customHeight="1">
      <x:c r="A3760" s="1" t="str">
        <x:v>https://blog.skyairline.com/tipos-de-equipaje/</x:v>
      </x:c>
      <x:c r="B3760" s="1" t="str">
        <x:v>medidas maleta sky peru</x:v>
      </x:c>
      <x:c r="C3760" s="1" t="str">
        <x:v>per</x:v>
      </x:c>
      <x:c r="D3760" s="1" t="str">
        <x:v>Marca</x:v>
      </x:c>
      <x:c r="E3760" s="35" t="n">
        <x:v>1</x:v>
      </x:c>
      <x:c r="F3760" s="36"/>
      <x:c r="G3760" s="36" t="str">
        <x:f>IF(ISNUMBER(F3760),E3760*F3760,"")</x:f>
      </x:c>
      <x:c r="H3760" s="37"/>
      <x:c r="I3760" s="37"/>
      <x:c r="J3760" s="1" t="n">
        <x:f>IF(ISNUMBER(F3760),E3760,0)</x:f>
        <x:v>0</x:v>
      </x:c>
      <x:c r="K3760" s="1"/>
      <x:c r="L3760" s="1"/>
      <x:c r="M3760" s="1"/>
    </x:row>
    <x:row r="3761" ht="18.75" customHeight="1">
      <x:c r="A3761" s="1" t="str">
        <x:v>https://blog.skyairline.com/tipos-de-equipaje/</x:v>
      </x:c>
      <x:c r="B3761" s="1" t="str">
        <x:v>medidas maletas sky airline</x:v>
      </x:c>
      <x:c r="C3761" s="1" t="str">
        <x:v>chl</x:v>
      </x:c>
      <x:c r="D3761" s="1" t="str">
        <x:v>Marca</x:v>
      </x:c>
      <x:c r="E3761" s="35" t="n">
        <x:v>1</x:v>
      </x:c>
      <x:c r="F3761" s="36"/>
      <x:c r="G3761" s="36" t="str">
        <x:f>IF(ISNUMBER(F3761),E3761*F3761,"")</x:f>
      </x:c>
      <x:c r="H3761" s="37"/>
      <x:c r="I3761" s="37"/>
      <x:c r="J3761" s="1" t="n">
        <x:f>IF(ISNUMBER(F3761),E3761,0)</x:f>
        <x:v>0</x:v>
      </x:c>
      <x:c r="K3761" s="1"/>
      <x:c r="L3761" s="1"/>
      <x:c r="M3761" s="1"/>
    </x:row>
    <x:row r="3762" ht="18.75" customHeight="1">
      <x:c r="A3762" s="1" t="str">
        <x:v>https://blog.skyairline.com/tipos-de-equipaje/</x:v>
      </x:c>
      <x:c r="B3762" s="1" t="str">
        <x:v>medidas mochila avion sky</x:v>
      </x:c>
      <x:c r="C3762" s="1" t="str">
        <x:v>chl</x:v>
      </x:c>
      <x:c r="D3762" s="1" t="str">
        <x:v>Marca</x:v>
      </x:c>
      <x:c r="E3762" s="35" t="n">
        <x:v>1</x:v>
      </x:c>
      <x:c r="F3762" s="36" t="n">
        <x:v>0.18</x:v>
      </x:c>
      <x:c r="G3762" s="36" t="n">
        <x:f>IF(ISNUMBER(F3762),E3762*F3762,"")</x:f>
        <x:v>0.18</x:v>
      </x:c>
      <x:c r="H3762" s="37" t="d">
        <x:v>2026-10-15T00:00:00.000Z</x:v>
      </x:c>
      <x:c r="I3762" s="37" t="d">
        <x:v>2026-09-15T15:42:54.999Z</x:v>
      </x:c>
      <x:c r="J3762" s="1" t="n">
        <x:f>IF(ISNUMBER(F3762),E3762,0)</x:f>
        <x:v>1</x:v>
      </x:c>
      <x:c r="K3762" s="1"/>
      <x:c r="L3762" s="1"/>
      <x:c r="M3762" s="1"/>
    </x:row>
    <x:row r="3763" ht="18.75" customHeight="1">
      <x:c r="A3763" s="1" t="str">
        <x:v>https://blog.skyairline.com/tipos-de-equipaje/</x:v>
      </x:c>
      <x:c r="B3763" s="1" t="str">
        <x:v>medidas mochila sky</x:v>
      </x:c>
      <x:c r="C3763" s="1" t="str">
        <x:v>per</x:v>
      </x:c>
      <x:c r="D3763" s="1" t="str">
        <x:v>Marca</x:v>
      </x:c>
      <x:c r="E3763" s="35" t="n">
        <x:v>1</x:v>
      </x:c>
      <x:c r="F3763" s="36"/>
      <x:c r="G3763" s="36" t="str">
        <x:f>IF(ISNUMBER(F3763),E3763*F3763,"")</x:f>
      </x:c>
      <x:c r="H3763" s="37" t="d">
        <x:v>2026-10-15T00:00:00.000Z</x:v>
      </x:c>
      <x:c r="I3763" s="37" t="d">
        <x:v>2026-09-17T14:30:31.000Z</x:v>
      </x:c>
      <x:c r="J3763" s="1" t="n">
        <x:f>IF(ISNUMBER(F3763),E3763,0)</x:f>
        <x:v>0</x:v>
      </x:c>
      <x:c r="K3763" s="1"/>
      <x:c r="L3763" s="1"/>
      <x:c r="M3763" s="1"/>
    </x:row>
    <x:row r="3764" ht="18.75" customHeight="1">
      <x:c r="A3764" s="1" t="str">
        <x:v>https://blog.skyairline.com/tipos-de-equipaje/</x:v>
      </x:c>
      <x:c r="B3764" s="1" t="str">
        <x:v>medidas sky</x:v>
      </x:c>
      <x:c r="C3764" s="1" t="str">
        <x:v>ury</x:v>
      </x:c>
      <x:c r="D3764" s="1" t="str">
        <x:v>Marca</x:v>
      </x:c>
      <x:c r="E3764" s="35" t="n">
        <x:v>1</x:v>
      </x:c>
      <x:c r="F3764" s="36"/>
      <x:c r="G3764" s="36" t="str">
        <x:f>IF(ISNUMBER(F3764),E3764*F3764,"")</x:f>
      </x:c>
      <x:c r="H3764" s="37"/>
      <x:c r="I3764" s="37"/>
      <x:c r="J3764" s="1" t="n">
        <x:f>IF(ISNUMBER(F3764),E3764,0)</x:f>
        <x:v>0</x:v>
      </x:c>
      <x:c r="K3764" s="1"/>
      <x:c r="L3764" s="1"/>
      <x:c r="M3764" s="1"/>
    </x:row>
    <x:row r="3765" ht="18.75" customHeight="1">
      <x:c r="A3765" s="1" t="str">
        <x:v>https://blog.skyairline.com/tipos-de-equipaje/</x:v>
      </x:c>
      <x:c r="B3765" s="1" t="str">
        <x:v>mochila sky airlines</x:v>
      </x:c>
      <x:c r="C3765" s="1" t="str">
        <x:v>per</x:v>
      </x:c>
      <x:c r="D3765" s="1" t="str">
        <x:v>Marca</x:v>
      </x:c>
      <x:c r="E3765" s="35" t="n">
        <x:v>1</x:v>
      </x:c>
      <x:c r="F3765" s="36"/>
      <x:c r="G3765" s="36" t="str">
        <x:f>IF(ISNUMBER(F3765),E3765*F3765,"")</x:f>
      </x:c>
      <x:c r="H3765" s="37" t="d">
        <x:v>2026-10-15T00:00:00.000Z</x:v>
      </x:c>
      <x:c r="I3765" s="37" t="d">
        <x:v>2026-09-14T12:01:34.000Z</x:v>
      </x:c>
      <x:c r="J3765" s="1" t="n">
        <x:f>IF(ISNUMBER(F3765),E3765,0)</x:f>
        <x:v>0</x:v>
      </x:c>
      <x:c r="K3765" s="1"/>
      <x:c r="L3765" s="1"/>
      <x:c r="M3765" s="1"/>
    </x:row>
    <x:row r="3766" ht="18.75" customHeight="1">
      <x:c r="A3766" s="1" t="str">
        <x:v>https://blog.skyairline.com/tipos-de-equipaje/</x:v>
      </x:c>
      <x:c r="B3766" s="1" t="str">
        <x:v>que es un bolso de mano en sky</x:v>
      </x:c>
      <x:c r="C3766" s="1" t="str">
        <x:v>chl</x:v>
      </x:c>
      <x:c r="D3766" s="1" t="str">
        <x:v>Marca</x:v>
      </x:c>
      <x:c r="E3766" s="35" t="n">
        <x:v>1</x:v>
      </x:c>
      <x:c r="F3766" s="36"/>
      <x:c r="G3766" s="36" t="str">
        <x:f>IF(ISNUMBER(F3766),E3766*F3766,"")</x:f>
      </x:c>
      <x:c r="H3766" s="37" t="d">
        <x:v>2026-10-15T00:00:00.000Z</x:v>
      </x:c>
      <x:c r="I3766" s="37" t="d">
        <x:v>2026-09-17T16:08:30.000Z</x:v>
      </x:c>
      <x:c r="J3766" s="1" t="n">
        <x:f>IF(ISNUMBER(F3766),E3766,0)</x:f>
        <x:v>0</x:v>
      </x:c>
      <x:c r="K3766" s="1"/>
      <x:c r="L3766" s="1"/>
      <x:c r="M3766" s="1"/>
    </x:row>
    <x:row r="3767" ht="18.75" customHeight="1">
      <x:c r="A3767" s="1" t="str">
        <x:v>https://blog.skyairline.com/tipos-de-equipaje/</x:v>
      </x:c>
      <x:c r="B3767" s="1" t="str">
        <x:v>sky</x:v>
      </x:c>
      <x:c r="C3767" s="1" t="str">
        <x:v>chl</x:v>
      </x:c>
      <x:c r="D3767" s="1" t="str">
        <x:v>Marca</x:v>
      </x:c>
      <x:c r="E3767" s="35" t="n">
        <x:v>1</x:v>
      </x:c>
      <x:c r="F3767" s="36" t="n">
        <x:v>0.27</x:v>
      </x:c>
      <x:c r="G3767" s="36" t="n">
        <x:f>IF(ISNUMBER(F3767),E3767*F3767,"")</x:f>
        <x:v>0.27</x:v>
      </x:c>
      <x:c r="H3767" s="37" t="d">
        <x:v>2026-10-15T00:00:00.000Z</x:v>
      </x:c>
      <x:c r="I3767" s="37" t="d">
        <x:v>2026-09-17T02:52:38.000Z</x:v>
      </x:c>
      <x:c r="J3767" s="1" t="n">
        <x:f>IF(ISNUMBER(F3767),E3767,0)</x:f>
        <x:v>1</x:v>
      </x:c>
      <x:c r="K3767" s="1"/>
      <x:c r="L3767" s="1"/>
      <x:c r="M3767" s="1"/>
    </x:row>
    <x:row r="3768" ht="18.75" customHeight="1">
      <x:c r="A3768" s="1" t="str">
        <x:v>https://blog.skyairline.com/tipos-de-equipaje/</x:v>
      </x:c>
      <x:c r="B3768" s="1" t="str">
        <x:v>sky</x:v>
      </x:c>
      <x:c r="C3768" s="1" t="str">
        <x:v>per</x:v>
      </x:c>
      <x:c r="D3768" s="1" t="str">
        <x:v>Marca</x:v>
      </x:c>
      <x:c r="E3768" s="35" t="n">
        <x:v>1</x:v>
      </x:c>
      <x:c r="F3768" s="36" t="n">
        <x:v>0.16</x:v>
      </x:c>
      <x:c r="G3768" s="36" t="n">
        <x:f>IF(ISNUMBER(F3768),E3768*F3768,"")</x:f>
        <x:v>0.16</x:v>
      </x:c>
      <x:c r="H3768" s="37" t="d">
        <x:v>2026-10-15T00:00:00.000Z</x:v>
      </x:c>
      <x:c r="I3768" s="37" t="d">
        <x:v>2026-09-15T03:38:50.000Z</x:v>
      </x:c>
      <x:c r="J3768" s="1" t="n">
        <x:f>IF(ISNUMBER(F3768),E3768,0)</x:f>
        <x:v>1</x:v>
      </x:c>
      <x:c r="K3768" s="1"/>
      <x:c r="L3768" s="1"/>
      <x:c r="M3768" s="1"/>
    </x:row>
    <x:row r="3769" ht="18.75" customHeight="1">
      <x:c r="A3769" s="1" t="str">
        <x:v>https://blog.skyairline.com/tipos-de-equipaje/</x:v>
      </x:c>
      <x:c r="B3769" s="1" t="str">
        <x:v>sky agregar equipaje</x:v>
      </x:c>
      <x:c r="C3769" s="1" t="str">
        <x:v>chl</x:v>
      </x:c>
      <x:c r="D3769" s="1" t="str">
        <x:v>Marca</x:v>
      </x:c>
      <x:c r="E3769" s="35" t="n">
        <x:v>1</x:v>
      </x:c>
      <x:c r="F3769" s="36" t="n">
        <x:v>0.5</x:v>
      </x:c>
      <x:c r="G3769" s="36" t="n">
        <x:f>IF(ISNUMBER(F3769),E3769*F3769,"")</x:f>
        <x:v>0.5</x:v>
      </x:c>
      <x:c r="H3769" s="37" t="d">
        <x:v>2026-10-15T00:00:00.000Z</x:v>
      </x:c>
      <x:c r="I3769" s="37" t="d">
        <x:v>2026-09-17T22:03:53.000Z</x:v>
      </x:c>
      <x:c r="J3769" s="1" t="n">
        <x:f>IF(ISNUMBER(F3769),E3769,0)</x:f>
        <x:v>1</x:v>
      </x:c>
      <x:c r="K3769" s="1"/>
      <x:c r="L3769" s="1"/>
      <x:c r="M3769" s="1"/>
    </x:row>
    <x:row r="3770" ht="18.75" customHeight="1">
      <x:c r="A3770" s="1" t="str">
        <x:v>https://blog.skyairline.com/tipos-de-equipaje/</x:v>
      </x:c>
      <x:c r="B3770" s="1" t="str">
        <x:v>sky airline</x:v>
      </x:c>
      <x:c r="C3770" s="1" t="str">
        <x:v>arg</x:v>
      </x:c>
      <x:c r="D3770" s="1" t="str">
        <x:v>Marca</x:v>
      </x:c>
      <x:c r="E3770" s="35" t="n">
        <x:v>1</x:v>
      </x:c>
      <x:c r="F3770" s="36"/>
      <x:c r="G3770" s="36" t="str">
        <x:f>IF(ISNUMBER(F3770),E3770*F3770,"")</x:f>
      </x:c>
      <x:c r="H3770" s="37"/>
      <x:c r="I3770" s="37"/>
      <x:c r="J3770" s="1" t="n">
        <x:f>IF(ISNUMBER(F3770),E3770,0)</x:f>
        <x:v>0</x:v>
      </x:c>
      <x:c r="K3770" s="1"/>
      <x:c r="L3770" s="1"/>
      <x:c r="M3770" s="1"/>
    </x:row>
    <x:row r="3771" ht="18.75" customHeight="1">
      <x:c r="A3771" s="1" t="str">
        <x:v>https://blog.skyairline.com/tipos-de-equipaje/</x:v>
      </x:c>
      <x:c r="B3771" s="1" t="str">
        <x:v>sky airline agregar equipaje</x:v>
      </x:c>
      <x:c r="C3771" s="1" t="str">
        <x:v>arg</x:v>
      </x:c>
      <x:c r="D3771" s="1" t="str">
        <x:v>Marca</x:v>
      </x:c>
      <x:c r="E3771" s="35" t="n">
        <x:v>1</x:v>
      </x:c>
      <x:c r="F3771" s="36"/>
      <x:c r="G3771" s="36" t="str">
        <x:f>IF(ISNUMBER(F3771),E3771*F3771,"")</x:f>
      </x:c>
      <x:c r="H3771" s="37"/>
      <x:c r="I3771" s="37"/>
      <x:c r="J3771" s="1" t="n">
        <x:f>IF(ISNUMBER(F3771),E3771,0)</x:f>
        <x:v>0</x:v>
      </x:c>
      <x:c r="K3771" s="1"/>
      <x:c r="L3771" s="1"/>
      <x:c r="M3771" s="1"/>
    </x:row>
    <x:row r="3772" ht="18.75" customHeight="1">
      <x:c r="A3772" s="1" t="str">
        <x:v>https://blog.skyairline.com/tipos-de-equipaje/</x:v>
      </x:c>
      <x:c r="B3772" s="1" t="str">
        <x:v>sky airline baggage policy</x:v>
      </x:c>
      <x:c r="C3772" s="1" t="str">
        <x:v>chl</x:v>
      </x:c>
      <x:c r="D3772" s="1" t="str">
        <x:v>Marca</x:v>
      </x:c>
      <x:c r="E3772" s="35" t="n">
        <x:v>1</x:v>
      </x:c>
      <x:c r="F3772" s="36"/>
      <x:c r="G3772" s="36" t="str">
        <x:f>IF(ISNUMBER(F3772),E3772*F3772,"")</x:f>
      </x:c>
      <x:c r="H3772" s="37"/>
      <x:c r="I3772" s="37"/>
      <x:c r="J3772" s="1" t="n">
        <x:f>IF(ISNUMBER(F3772),E3772,0)</x:f>
        <x:v>0</x:v>
      </x:c>
      <x:c r="K3772" s="1"/>
      <x:c r="L3772" s="1"/>
      <x:c r="M3772" s="1"/>
    </x:row>
    <x:row r="3773" ht="18.75" customHeight="1">
      <x:c r="A3773" s="1" t="str">
        <x:v>https://blog.skyairline.com/tipos-de-equipaje/</x:v>
      </x:c>
      <x:c r="B3773" s="1" t="str">
        <x:v>sky airline bolso de mano</x:v>
      </x:c>
      <x:c r="C3773" s="1" t="str">
        <x:v>per</x:v>
      </x:c>
      <x:c r="D3773" s="1" t="str">
        <x:v>Marca</x:v>
      </x:c>
      <x:c r="E3773" s="35" t="n">
        <x:v>1</x:v>
      </x:c>
      <x:c r="F3773" s="36"/>
      <x:c r="G3773" s="36" t="str">
        <x:f>IF(ISNUMBER(F3773),E3773*F3773,"")</x:f>
      </x:c>
      <x:c r="H3773" s="37" t="d">
        <x:v>2026-10-15T00:00:00.000Z</x:v>
      </x:c>
      <x:c r="I3773" s="37" t="d">
        <x:v>2026-09-12T16:55:15.000Z</x:v>
      </x:c>
      <x:c r="J3773" s="1" t="n">
        <x:f>IF(ISNUMBER(F3773),E3773,0)</x:f>
        <x:v>0</x:v>
      </x:c>
      <x:c r="K3773" s="1"/>
      <x:c r="L3773" s="1"/>
      <x:c r="M3773" s="1"/>
    </x:row>
    <x:row r="3774" ht="18.75" customHeight="1">
      <x:c r="A3774" s="1" t="str">
        <x:v>https://blog.skyairline.com/tipos-de-equipaje/</x:v>
      </x:c>
      <x:c r="B3774" s="1" t="str">
        <x:v>sky airline equipaje</x:v>
      </x:c>
      <x:c r="C3774" s="1" t="str">
        <x:v>col</x:v>
      </x:c>
      <x:c r="D3774" s="1" t="str">
        <x:v>Marca</x:v>
      </x:c>
      <x:c r="E3774" s="35" t="n">
        <x:v>1</x:v>
      </x:c>
      <x:c r="F3774" s="36"/>
      <x:c r="G3774" s="36" t="str">
        <x:f>IF(ISNUMBER(F3774),E3774*F3774,"")</x:f>
      </x:c>
      <x:c r="H3774" s="37"/>
      <x:c r="I3774" s="37"/>
      <x:c r="J3774" s="1" t="n">
        <x:f>IF(ISNUMBER(F3774),E3774,0)</x:f>
        <x:v>0</x:v>
      </x:c>
      <x:c r="K3774" s="1"/>
      <x:c r="L3774" s="1"/>
      <x:c r="M3774" s="1"/>
    </x:row>
    <x:row r="3775" ht="18.75" customHeight="1">
      <x:c r="A3775" s="1" t="str">
        <x:v>https://blog.skyairline.com/tipos-de-equipaje/</x:v>
      </x:c>
      <x:c r="B3775" s="1" t="str">
        <x:v>sky airline equipaje</x:v>
      </x:c>
      <x:c r="C3775" s="1" t="str">
        <x:v>mex</x:v>
      </x:c>
      <x:c r="D3775" s="1" t="str">
        <x:v>Marca</x:v>
      </x:c>
      <x:c r="E3775" s="35" t="n">
        <x:v>1</x:v>
      </x:c>
      <x:c r="F3775" s="36"/>
      <x:c r="G3775" s="36" t="str">
        <x:f>IF(ISNUMBER(F3775),E3775*F3775,"")</x:f>
      </x:c>
      <x:c r="H3775" s="37"/>
      <x:c r="I3775" s="37"/>
      <x:c r="J3775" s="1" t="n">
        <x:f>IF(ISNUMBER(F3775),E3775,0)</x:f>
        <x:v>0</x:v>
      </x:c>
      <x:c r="K3775" s="1"/>
      <x:c r="L3775" s="1"/>
      <x:c r="M3775" s="1"/>
    </x:row>
    <x:row r="3776" ht="18.75" customHeight="1">
      <x:c r="A3776" s="1" t="str">
        <x:v>https://blog.skyairline.com/tipos-de-equipaje/</x:v>
      </x:c>
      <x:c r="B3776" s="1" t="str">
        <x:v>sky airline equipaje de mano</x:v>
      </x:c>
      <x:c r="C3776" s="1" t="str">
        <x:v>chl</x:v>
      </x:c>
      <x:c r="D3776" s="1" t="str">
        <x:v>Marca</x:v>
      </x:c>
      <x:c r="E3776" s="35" t="n">
        <x:v>1</x:v>
      </x:c>
      <x:c r="F3776" s="36" t="n">
        <x:v>1.82</x:v>
      </x:c>
      <x:c r="G3776" s="36" t="n">
        <x:f>IF(ISNUMBER(F3776),E3776*F3776,"")</x:f>
        <x:v>1.82</x:v>
      </x:c>
      <x:c r="H3776" s="37" t="d">
        <x:v>2026-10-15T00:00:00.000Z</x:v>
      </x:c>
      <x:c r="I3776" s="37" t="d">
        <x:v>2026-09-14T08:16:34.000Z</x:v>
      </x:c>
      <x:c r="J3776" s="1" t="n">
        <x:f>IF(ISNUMBER(F3776),E3776,0)</x:f>
        <x:v>1</x:v>
      </x:c>
      <x:c r="K3776" s="1"/>
      <x:c r="L3776" s="1"/>
      <x:c r="M3776" s="1"/>
    </x:row>
    <x:row r="3777" ht="18.75" customHeight="1">
      <x:c r="A3777" s="1" t="str">
        <x:v>https://blog.skyairline.com/tipos-de-equipaje/</x:v>
      </x:c>
      <x:c r="B3777" s="1" t="str">
        <x:v>sky airline medidas equipaje</x:v>
      </x:c>
      <x:c r="C3777" s="1" t="str">
        <x:v>arg</x:v>
      </x:c>
      <x:c r="D3777" s="1" t="str">
        <x:v>Marca</x:v>
      </x:c>
      <x:c r="E3777" s="35" t="n">
        <x:v>1</x:v>
      </x:c>
      <x:c r="F3777" s="36"/>
      <x:c r="G3777" s="36" t="str">
        <x:f>IF(ISNUMBER(F3777),E3777*F3777,"")</x:f>
      </x:c>
      <x:c r="H3777" s="37"/>
      <x:c r="I3777" s="37"/>
      <x:c r="J3777" s="1" t="n">
        <x:f>IF(ISNUMBER(F3777),E3777,0)</x:f>
        <x:v>0</x:v>
      </x:c>
      <x:c r="K3777" s="1"/>
      <x:c r="L3777" s="1"/>
      <x:c r="M3777" s="1"/>
    </x:row>
    <x:row r="3778" ht="18.75" customHeight="1">
      <x:c r="A3778" s="1" t="str">
        <x:v>https://blog.skyairline.com/tipos-de-equipaje/</x:v>
      </x:c>
      <x:c r="B3778" s="1" t="str">
        <x:v>sky airline medidas equipaje</x:v>
      </x:c>
      <x:c r="C3778" s="1" t="str">
        <x:v>chl</x:v>
      </x:c>
      <x:c r="D3778" s="1" t="str">
        <x:v>Marca</x:v>
      </x:c>
      <x:c r="E3778" s="35" t="n">
        <x:v>1</x:v>
      </x:c>
      <x:c r="F3778" s="36"/>
      <x:c r="G3778" s="36" t="str">
        <x:f>IF(ISNUMBER(F3778),E3778*F3778,"")</x:f>
      </x:c>
      <x:c r="H3778" s="37"/>
      <x:c r="I3778" s="37"/>
      <x:c r="J3778" s="1" t="n">
        <x:f>IF(ISNUMBER(F3778),E3778,0)</x:f>
        <x:v>0</x:v>
      </x:c>
      <x:c r="K3778" s="1"/>
      <x:c r="L3778" s="1"/>
      <x:c r="M3778" s="1"/>
    </x:row>
    <x:row r="3779" ht="18.75" customHeight="1">
      <x:c r="A3779" s="1" t="str">
        <x:v>https://blog.skyairline.com/tipos-de-equipaje/</x:v>
      </x:c>
      <x:c r="B3779" s="1" t="str">
        <x:v>sky airline medidas equipaje</x:v>
      </x:c>
      <x:c r="C3779" s="1" t="str">
        <x:v>col</x:v>
      </x:c>
      <x:c r="D3779" s="1" t="str">
        <x:v>Marca</x:v>
      </x:c>
      <x:c r="E3779" s="35" t="n">
        <x:v>1</x:v>
      </x:c>
      <x:c r="F3779" s="36"/>
      <x:c r="G3779" s="36" t="str">
        <x:f>IF(ISNUMBER(F3779),E3779*F3779,"")</x:f>
      </x:c>
      <x:c r="H3779" s="37"/>
      <x:c r="I3779" s="37"/>
      <x:c r="J3779" s="1" t="n">
        <x:f>IF(ISNUMBER(F3779),E3779,0)</x:f>
        <x:v>0</x:v>
      </x:c>
      <x:c r="K3779" s="1"/>
      <x:c r="L3779" s="1"/>
      <x:c r="M3779" s="1"/>
    </x:row>
    <x:row r="3780" ht="18.75" customHeight="1">
      <x:c r="A3780" s="1" t="str">
        <x:v>https://blog.skyairline.com/tipos-de-equipaje/</x:v>
      </x:c>
      <x:c r="B3780" s="1" t="str">
        <x:v>sky airline medidas equipaje</x:v>
      </x:c>
      <x:c r="C3780" s="1" t="str">
        <x:v>per</x:v>
      </x:c>
      <x:c r="D3780" s="1" t="str">
        <x:v>Marca</x:v>
      </x:c>
      <x:c r="E3780" s="35" t="n">
        <x:v>1</x:v>
      </x:c>
      <x:c r="F3780" s="36"/>
      <x:c r="G3780" s="36" t="str">
        <x:f>IF(ISNUMBER(F3780),E3780*F3780,"")</x:f>
      </x:c>
      <x:c r="H3780" s="37"/>
      <x:c r="I3780" s="37"/>
      <x:c r="J3780" s="1" t="n">
        <x:f>IF(ISNUMBER(F3780),E3780,0)</x:f>
        <x:v>0</x:v>
      </x:c>
      <x:c r="K3780" s="1"/>
      <x:c r="L3780" s="1"/>
      <x:c r="M3780" s="1"/>
    </x:row>
    <x:row r="3781" ht="18.75" customHeight="1">
      <x:c r="A3781" s="1" t="str">
        <x:v>https://blog.skyairline.com/tipos-de-equipaje/</x:v>
      </x:c>
      <x:c r="B3781" s="1" t="str">
        <x:v>sky airlines articulo personal</x:v>
      </x:c>
      <x:c r="C3781" s="1" t="str">
        <x:v>ury</x:v>
      </x:c>
      <x:c r="D3781" s="1" t="str">
        <x:v>Marca</x:v>
      </x:c>
      <x:c r="E3781" s="35" t="n">
        <x:v>1</x:v>
      </x:c>
      <x:c r="F3781" s="36"/>
      <x:c r="G3781" s="36" t="str">
        <x:f>IF(ISNUMBER(F3781),E3781*F3781,"")</x:f>
      </x:c>
      <x:c r="H3781" s="37"/>
      <x:c r="I3781" s="37"/>
      <x:c r="J3781" s="1" t="n">
        <x:f>IF(ISNUMBER(F3781),E3781,0)</x:f>
        <x:v>0</x:v>
      </x:c>
      <x:c r="K3781" s="1"/>
      <x:c r="L3781" s="1"/>
      <x:c r="M3781" s="1"/>
    </x:row>
    <x:row r="3782" ht="18.75" customHeight="1">
      <x:c r="A3782" s="1" t="str">
        <x:v>https://blog.skyairline.com/tipos-de-equipaje/</x:v>
      </x:c>
      <x:c r="B3782" s="1" t="str">
        <x:v>sky airlines baggage allowance</x:v>
      </x:c>
      <x:c r="C3782" s="1" t="str">
        <x:v>chl</x:v>
      </x:c>
      <x:c r="D3782" s="1" t="str">
        <x:v>Marca</x:v>
      </x:c>
      <x:c r="E3782" s="35" t="n">
        <x:v>1</x:v>
      </x:c>
      <x:c r="F3782" s="36"/>
      <x:c r="G3782" s="36" t="str">
        <x:f>IF(ISNUMBER(F3782),E3782*F3782,"")</x:f>
      </x:c>
      <x:c r="H3782" s="37"/>
      <x:c r="I3782" s="37"/>
      <x:c r="J3782" s="1" t="n">
        <x:f>IF(ISNUMBER(F3782),E3782,0)</x:f>
        <x:v>0</x:v>
      </x:c>
      <x:c r="K3782" s="1"/>
      <x:c r="L3782" s="1"/>
      <x:c r="M3782" s="1"/>
    </x:row>
    <x:row r="3783" ht="18.75" customHeight="1">
      <x:c r="A3783" s="1" t="str">
        <x:v>https://blog.skyairline.com/tipos-de-equipaje/</x:v>
      </x:c>
      <x:c r="B3783" s="1" t="str">
        <x:v>sky airlines baggage policy</x:v>
      </x:c>
      <x:c r="C3783" s="1" t="str">
        <x:v>per</x:v>
      </x:c>
      <x:c r="D3783" s="1" t="str">
        <x:v>Marca</x:v>
      </x:c>
      <x:c r="E3783" s="35" t="n">
        <x:v>1</x:v>
      </x:c>
      <x:c r="F3783" s="36"/>
      <x:c r="G3783" s="36" t="str">
        <x:f>IF(ISNUMBER(F3783),E3783*F3783,"")</x:f>
      </x:c>
      <x:c r="H3783" s="37"/>
      <x:c r="I3783" s="37"/>
      <x:c r="J3783" s="1" t="n">
        <x:f>IF(ISNUMBER(F3783),E3783,0)</x:f>
        <x:v>0</x:v>
      </x:c>
      <x:c r="K3783" s="1"/>
      <x:c r="L3783" s="1"/>
      <x:c r="M3783" s="1"/>
    </x:row>
    <x:row r="3784" ht="18.75" customHeight="1">
      <x:c r="A3784" s="1" t="str">
        <x:v>https://blog.skyairline.com/tipos-de-equipaje/</x:v>
      </x:c>
      <x:c r="B3784" s="1" t="str">
        <x:v>sky airlines bolso de mano</x:v>
      </x:c>
      <x:c r="C3784" s="1" t="str">
        <x:v>cze</x:v>
      </x:c>
      <x:c r="D3784" s="1" t="str">
        <x:v>Marca</x:v>
      </x:c>
      <x:c r="E3784" s="35" t="n">
        <x:v>1</x:v>
      </x:c>
      <x:c r="F3784" s="36"/>
      <x:c r="G3784" s="36" t="str">
        <x:f>IF(ISNUMBER(F3784),E3784*F3784,"")</x:f>
      </x:c>
      <x:c r="H3784" s="37"/>
      <x:c r="I3784" s="37"/>
      <x:c r="J3784" s="1" t="n">
        <x:f>IF(ISNUMBER(F3784),E3784,0)</x:f>
        <x:v>0</x:v>
      </x:c>
      <x:c r="K3784" s="1"/>
      <x:c r="L3784" s="1"/>
      <x:c r="M3784" s="1"/>
    </x:row>
    <x:row r="3785" ht="18.75" customHeight="1">
      <x:c r="A3785" s="1" t="str">
        <x:v>https://blog.skyairline.com/tipos-de-equipaje/</x:v>
      </x:c>
      <x:c r="B3785" s="1" t="str">
        <x:v>sky airlines equipaje</x:v>
      </x:c>
      <x:c r="C3785" s="1" t="str">
        <x:v>bra</x:v>
      </x:c>
      <x:c r="D3785" s="1" t="str">
        <x:v>Marca</x:v>
      </x:c>
      <x:c r="E3785" s="35" t="n">
        <x:v>1</x:v>
      </x:c>
      <x:c r="F3785" s="36"/>
      <x:c r="G3785" s="36" t="str">
        <x:f>IF(ISNUMBER(F3785),E3785*F3785,"")</x:f>
      </x:c>
      <x:c r="H3785" s="37"/>
      <x:c r="I3785" s="37"/>
      <x:c r="J3785" s="1" t="n">
        <x:f>IF(ISNUMBER(F3785),E3785,0)</x:f>
        <x:v>0</x:v>
      </x:c>
      <x:c r="K3785" s="1"/>
      <x:c r="L3785" s="1"/>
      <x:c r="M3785" s="1"/>
    </x:row>
    <x:row r="3786" ht="18.75" customHeight="1">
      <x:c r="A3786" s="1" t="str">
        <x:v>https://blog.skyairline.com/tipos-de-equipaje/</x:v>
      </x:c>
      <x:c r="B3786" s="1" t="str">
        <x:v>sky airlines equipaje</x:v>
      </x:c>
      <x:c r="C3786" s="1" t="str">
        <x:v>can</x:v>
      </x:c>
      <x:c r="D3786" s="1" t="str">
        <x:v>Marca</x:v>
      </x:c>
      <x:c r="E3786" s="35" t="n">
        <x:v>1</x:v>
      </x:c>
      <x:c r="F3786" s="36"/>
      <x:c r="G3786" s="36" t="str">
        <x:f>IF(ISNUMBER(F3786),E3786*F3786,"")</x:f>
      </x:c>
      <x:c r="H3786" s="37"/>
      <x:c r="I3786" s="37"/>
      <x:c r="J3786" s="1" t="n">
        <x:f>IF(ISNUMBER(F3786),E3786,0)</x:f>
        <x:v>0</x:v>
      </x:c>
      <x:c r="K3786" s="1"/>
      <x:c r="L3786" s="1"/>
      <x:c r="M3786" s="1"/>
    </x:row>
    <x:row r="3787" ht="18.75" customHeight="1">
      <x:c r="A3787" s="1" t="str">
        <x:v>https://blog.skyairline.com/tipos-de-equipaje/</x:v>
      </x:c>
      <x:c r="B3787" s="1" t="str">
        <x:v>sky airlines equipaje</x:v>
      </x:c>
      <x:c r="C3787" s="1" t="str">
        <x:v>col</x:v>
      </x:c>
      <x:c r="D3787" s="1" t="str">
        <x:v>Marca</x:v>
      </x:c>
      <x:c r="E3787" s="35" t="n">
        <x:v>1</x:v>
      </x:c>
      <x:c r="F3787" s="36"/>
      <x:c r="G3787" s="36" t="str">
        <x:f>IF(ISNUMBER(F3787),E3787*F3787,"")</x:f>
      </x:c>
      <x:c r="H3787" s="37"/>
      <x:c r="I3787" s="37"/>
      <x:c r="J3787" s="1" t="n">
        <x:f>IF(ISNUMBER(F3787),E3787,0)</x:f>
        <x:v>0</x:v>
      </x:c>
      <x:c r="K3787" s="1"/>
      <x:c r="L3787" s="1"/>
      <x:c r="M3787" s="1"/>
    </x:row>
    <x:row r="3788" ht="18.75" customHeight="1">
      <x:c r="A3788" s="1" t="str">
        <x:v>https://blog.skyairline.com/tipos-de-equipaje/</x:v>
      </x:c>
      <x:c r="B3788" s="1" t="str">
        <x:v>sky airlines equipaje</x:v>
      </x:c>
      <x:c r="C3788" s="1" t="str">
        <x:v>deu</x:v>
      </x:c>
      <x:c r="D3788" s="1" t="str">
        <x:v>Marca</x:v>
      </x:c>
      <x:c r="E3788" s="35" t="n">
        <x:v>1</x:v>
      </x:c>
      <x:c r="F3788" s="36"/>
      <x:c r="G3788" s="36" t="str">
        <x:f>IF(ISNUMBER(F3788),E3788*F3788,"")</x:f>
      </x:c>
      <x:c r="H3788" s="37"/>
      <x:c r="I3788" s="37"/>
      <x:c r="J3788" s="1" t="n">
        <x:f>IF(ISNUMBER(F3788),E3788,0)</x:f>
        <x:v>0</x:v>
      </x:c>
      <x:c r="K3788" s="1"/>
      <x:c r="L3788" s="1"/>
      <x:c r="M3788" s="1"/>
    </x:row>
    <x:row r="3789" ht="18.75" customHeight="1">
      <x:c r="A3789" s="1" t="str">
        <x:v>https://blog.skyairline.com/tipos-de-equipaje/</x:v>
      </x:c>
      <x:c r="B3789" s="1" t="str">
        <x:v>sky airlines equipaje</x:v>
      </x:c>
      <x:c r="C3789" s="1" t="str">
        <x:v>gtm</x:v>
      </x:c>
      <x:c r="D3789" s="1" t="str">
        <x:v>Marca</x:v>
      </x:c>
      <x:c r="E3789" s="35" t="n">
        <x:v>1</x:v>
      </x:c>
      <x:c r="F3789" s="36"/>
      <x:c r="G3789" s="36" t="str">
        <x:f>IF(ISNUMBER(F3789),E3789*F3789,"")</x:f>
      </x:c>
      <x:c r="H3789" s="37"/>
      <x:c r="I3789" s="37"/>
      <x:c r="J3789" s="1" t="n">
        <x:f>IF(ISNUMBER(F3789),E3789,0)</x:f>
        <x:v>0</x:v>
      </x:c>
      <x:c r="K3789" s="1"/>
      <x:c r="L3789" s="1"/>
      <x:c r="M3789" s="1"/>
    </x:row>
    <x:row r="3790" ht="18.75" customHeight="1">
      <x:c r="A3790" s="1" t="str">
        <x:v>https://blog.skyairline.com/tipos-de-equipaje/</x:v>
      </x:c>
      <x:c r="B3790" s="1" t="str">
        <x:v>sky airlines equipaje</x:v>
      </x:c>
      <x:c r="C3790" s="1" t="str">
        <x:v>mex</x:v>
      </x:c>
      <x:c r="D3790" s="1" t="str">
        <x:v>Marca</x:v>
      </x:c>
      <x:c r="E3790" s="35" t="n">
        <x:v>1</x:v>
      </x:c>
      <x:c r="F3790" s="36"/>
      <x:c r="G3790" s="36" t="str">
        <x:f>IF(ISNUMBER(F3790),E3790*F3790,"")</x:f>
      </x:c>
      <x:c r="H3790" s="37"/>
      <x:c r="I3790" s="37"/>
      <x:c r="J3790" s="1" t="n">
        <x:f>IF(ISNUMBER(F3790),E3790,0)</x:f>
        <x:v>0</x:v>
      </x:c>
      <x:c r="K3790" s="1"/>
      <x:c r="L3790" s="1"/>
      <x:c r="M3790" s="1"/>
    </x:row>
    <x:row r="3791" ht="18.75" customHeight="1">
      <x:c r="A3791" s="1" t="str">
        <x:v>https://blog.skyairline.com/tipos-de-equipaje/</x:v>
      </x:c>
      <x:c r="B3791" s="1" t="str">
        <x:v>sky airlines equipaje de mano</x:v>
      </x:c>
      <x:c r="C3791" s="1" t="str">
        <x:v>dom</x:v>
      </x:c>
      <x:c r="D3791" s="1" t="str">
        <x:v>Marca</x:v>
      </x:c>
      <x:c r="E3791" s="35" t="n">
        <x:v>1</x:v>
      </x:c>
      <x:c r="F3791" s="36"/>
      <x:c r="G3791" s="36" t="str">
        <x:f>IF(ISNUMBER(F3791),E3791*F3791,"")</x:f>
      </x:c>
      <x:c r="H3791" s="37"/>
      <x:c r="I3791" s="37"/>
      <x:c r="J3791" s="1" t="n">
        <x:f>IF(ISNUMBER(F3791),E3791,0)</x:f>
        <x:v>0</x:v>
      </x:c>
      <x:c r="K3791" s="1"/>
      <x:c r="L3791" s="1"/>
      <x:c r="M3791" s="1"/>
    </x:row>
    <x:row r="3792" ht="18.75" customHeight="1">
      <x:c r="A3792" s="1" t="str">
        <x:v>https://blog.skyairline.com/tipos-de-equipaje/</x:v>
      </x:c>
      <x:c r="B3792" s="1" t="str">
        <x:v>sky airlines equipaje permitido</x:v>
      </x:c>
      <x:c r="C3792" s="1" t="str">
        <x:v>chl</x:v>
      </x:c>
      <x:c r="D3792" s="1" t="str">
        <x:v>Marca</x:v>
      </x:c>
      <x:c r="E3792" s="35" t="n">
        <x:v>1</x:v>
      </x:c>
      <x:c r="F3792" s="36"/>
      <x:c r="G3792" s="36" t="str">
        <x:f>IF(ISNUMBER(F3792),E3792*F3792,"")</x:f>
      </x:c>
      <x:c r="H3792" s="37"/>
      <x:c r="I3792" s="37"/>
      <x:c r="J3792" s="1" t="n">
        <x:f>IF(ISNUMBER(F3792),E3792,0)</x:f>
        <x:v>0</x:v>
      </x:c>
      <x:c r="K3792" s="1"/>
      <x:c r="L3792" s="1"/>
      <x:c r="M3792" s="1"/>
    </x:row>
    <x:row r="3793" ht="18.75" customHeight="1">
      <x:c r="A3793" s="1" t="str">
        <x:v>https://blog.skyairline.com/tipos-de-equipaje/</x:v>
      </x:c>
      <x:c r="B3793" s="1" t="str">
        <x:v>sky airlines equipaje precio</x:v>
      </x:c>
      <x:c r="C3793" s="1" t="str">
        <x:v>ury</x:v>
      </x:c>
      <x:c r="D3793" s="1" t="str">
        <x:v>Marca</x:v>
      </x:c>
      <x:c r="E3793" s="35" t="n">
        <x:v>1</x:v>
      </x:c>
      <x:c r="F3793" s="36"/>
      <x:c r="G3793" s="36" t="str">
        <x:f>IF(ISNUMBER(F3793),E3793*F3793,"")</x:f>
      </x:c>
      <x:c r="H3793" s="37"/>
      <x:c r="I3793" s="37"/>
      <x:c r="J3793" s="1" t="n">
        <x:f>IF(ISNUMBER(F3793),E3793,0)</x:f>
        <x:v>0</x:v>
      </x:c>
      <x:c r="K3793" s="1"/>
      <x:c r="L3793" s="1"/>
      <x:c r="M3793" s="1"/>
    </x:row>
    <x:row r="3794" ht="18.75" customHeight="1">
      <x:c r="A3794" s="1" t="str">
        <x:v>https://blog.skyairline.com/tipos-de-equipaje/</x:v>
      </x:c>
      <x:c r="B3794" s="1" t="str">
        <x:v>sky airlines medidas equipaje</x:v>
      </x:c>
      <x:c r="C3794" s="1" t="str">
        <x:v>bol</x:v>
      </x:c>
      <x:c r="D3794" s="1" t="str">
        <x:v>Marca</x:v>
      </x:c>
      <x:c r="E3794" s="35" t="n">
        <x:v>1</x:v>
      </x:c>
      <x:c r="F3794" s="36"/>
      <x:c r="G3794" s="36" t="str">
        <x:f>IF(ISNUMBER(F3794),E3794*F3794,"")</x:f>
      </x:c>
      <x:c r="H3794" s="37"/>
      <x:c r="I3794" s="37"/>
      <x:c r="J3794" s="1" t="n">
        <x:f>IF(ISNUMBER(F3794),E3794,0)</x:f>
        <x:v>0</x:v>
      </x:c>
      <x:c r="K3794" s="1"/>
      <x:c r="L3794" s="1"/>
      <x:c r="M3794" s="1"/>
    </x:row>
    <x:row r="3795" ht="18.75" customHeight="1">
      <x:c r="A3795" s="1" t="str">
        <x:v>https://blog.skyairline.com/tipos-de-equipaje/</x:v>
      </x:c>
      <x:c r="B3795" s="1" t="str">
        <x:v>sky airlines medidas equipaje</x:v>
      </x:c>
      <x:c r="C3795" s="1" t="str">
        <x:v>per</x:v>
      </x:c>
      <x:c r="D3795" s="1" t="str">
        <x:v>Marca</x:v>
      </x:c>
      <x:c r="E3795" s="35" t="n">
        <x:v>1</x:v>
      </x:c>
      <x:c r="F3795" s="36"/>
      <x:c r="G3795" s="36" t="str">
        <x:f>IF(ISNUMBER(F3795),E3795*F3795,"")</x:f>
      </x:c>
      <x:c r="H3795" s="37"/>
      <x:c r="I3795" s="37"/>
      <x:c r="J3795" s="1" t="n">
        <x:f>IF(ISNUMBER(F3795),E3795,0)</x:f>
        <x:v>0</x:v>
      </x:c>
      <x:c r="K3795" s="1"/>
      <x:c r="L3795" s="1"/>
      <x:c r="M3795" s="1"/>
    </x:row>
    <x:row r="3796" ht="18.75" customHeight="1">
      <x:c r="A3796" s="1" t="str">
        <x:v>https://blog.skyairline.com/tipos-de-equipaje/</x:v>
      </x:c>
      <x:c r="B3796" s="1" t="str">
        <x:v>sky airlines medidas equipaje</x:v>
      </x:c>
      <x:c r="C3796" s="1" t="str">
        <x:v>ury</x:v>
      </x:c>
      <x:c r="D3796" s="1" t="str">
        <x:v>Marca</x:v>
      </x:c>
      <x:c r="E3796" s="35" t="n">
        <x:v>1</x:v>
      </x:c>
      <x:c r="F3796" s="36"/>
      <x:c r="G3796" s="36" t="str">
        <x:f>IF(ISNUMBER(F3796),E3796*F3796,"")</x:f>
      </x:c>
      <x:c r="H3796" s="37"/>
      <x:c r="I3796" s="37"/>
      <x:c r="J3796" s="1" t="n">
        <x:f>IF(ISNUMBER(F3796),E3796,0)</x:f>
        <x:v>0</x:v>
      </x:c>
      <x:c r="K3796" s="1"/>
      <x:c r="L3796" s="1"/>
      <x:c r="M3796" s="1"/>
    </x:row>
    <x:row r="3797" ht="18.75" customHeight="1">
      <x:c r="A3797" s="1" t="str">
        <x:v>https://blog.skyairline.com/tipos-de-equipaje/</x:v>
      </x:c>
      <x:c r="B3797" s="1" t="str">
        <x:v>sky articulo personal medidas</x:v>
      </x:c>
      <x:c r="C3797" s="1" t="str">
        <x:v>per</x:v>
      </x:c>
      <x:c r="D3797" s="1" t="str">
        <x:v>Marca</x:v>
      </x:c>
      <x:c r="E3797" s="35" t="n">
        <x:v>1</x:v>
      </x:c>
      <x:c r="F3797" s="36"/>
      <x:c r="G3797" s="36" t="str">
        <x:f>IF(ISNUMBER(F3797),E3797*F3797,"")</x:f>
      </x:c>
      <x:c r="H3797" s="37"/>
      <x:c r="I3797" s="37"/>
      <x:c r="J3797" s="1" t="n">
        <x:f>IF(ISNUMBER(F3797),E3797,0)</x:f>
        <x:v>0</x:v>
      </x:c>
      <x:c r="K3797" s="1"/>
      <x:c r="L3797" s="1"/>
      <x:c r="M3797" s="1"/>
    </x:row>
    <x:row r="3798" ht="18.75" customHeight="1">
      <x:c r="A3798" s="1" t="str">
        <x:v>https://blog.skyairline.com/tipos-de-equipaje/</x:v>
      </x:c>
      <x:c r="B3798" s="1" t="str">
        <x:v>sky articulo personal medidas</x:v>
      </x:c>
      <x:c r="C3798" s="1" t="str">
        <x:v>ury</x:v>
      </x:c>
      <x:c r="D3798" s="1" t="str">
        <x:v>Marca</x:v>
      </x:c>
      <x:c r="E3798" s="35" t="n">
        <x:v>1</x:v>
      </x:c>
      <x:c r="F3798" s="36"/>
      <x:c r="G3798" s="36" t="str">
        <x:f>IF(ISNUMBER(F3798),E3798*F3798,"")</x:f>
      </x:c>
      <x:c r="H3798" s="37"/>
      <x:c r="I3798" s="37"/>
      <x:c r="J3798" s="1" t="n">
        <x:f>IF(ISNUMBER(F3798),E3798,0)</x:f>
        <x:v>0</x:v>
      </x:c>
      <x:c r="K3798" s="1"/>
      <x:c r="L3798" s="1"/>
      <x:c r="M3798" s="1"/>
    </x:row>
    <x:row r="3799" ht="18.75" customHeight="1">
      <x:c r="A3799" s="1" t="str">
        <x:v>https://blog.skyairline.com/tipos-de-equipaje/</x:v>
      </x:c>
      <x:c r="B3799" s="1" t="str">
        <x:v>sky compra de equipaje</x:v>
      </x:c>
      <x:c r="C3799" s="1" t="str">
        <x:v>chl</x:v>
      </x:c>
      <x:c r="D3799" s="1" t="str">
        <x:v>Marca</x:v>
      </x:c>
      <x:c r="E3799" s="35" t="n">
        <x:v>1</x:v>
      </x:c>
      <x:c r="F3799" s="36" t="n">
        <x:v>0.04</x:v>
      </x:c>
      <x:c r="G3799" s="36" t="n">
        <x:f>IF(ISNUMBER(F3799),E3799*F3799,"")</x:f>
        <x:v>0.04</x:v>
      </x:c>
      <x:c r="H3799" s="37" t="d">
        <x:v>2026-10-15T00:00:00.000Z</x:v>
      </x:c>
      <x:c r="I3799" s="37" t="d">
        <x:v>2026-09-16T10:02:11.000Z</x:v>
      </x:c>
      <x:c r="J3799" s="1" t="n">
        <x:f>IF(ISNUMBER(F3799),E3799,0)</x:f>
        <x:v>1</x:v>
      </x:c>
      <x:c r="K3799" s="1"/>
      <x:c r="L3799" s="1"/>
      <x:c r="M3799" s="1"/>
    </x:row>
    <x:row r="3800" ht="18.75" customHeight="1">
      <x:c r="A3800" s="1" t="str">
        <x:v>https://blog.skyairline.com/tipos-de-equipaje/</x:v>
      </x:c>
      <x:c r="B3800" s="1" t="str">
        <x:v>sky comprar equipaje</x:v>
      </x:c>
      <x:c r="C3800" s="1" t="str">
        <x:v>chl</x:v>
      </x:c>
      <x:c r="D3800" s="1" t="str">
        <x:v>Marca</x:v>
      </x:c>
      <x:c r="E3800" s="35" t="n">
        <x:v>1</x:v>
      </x:c>
      <x:c r="F3800" s="36"/>
      <x:c r="G3800" s="36" t="str">
        <x:f>IF(ISNUMBER(F3800),E3800*F3800,"")</x:f>
      </x:c>
      <x:c r="H3800" s="37" t="d">
        <x:v>2026-10-15T00:00:00.000Z</x:v>
      </x:c>
      <x:c r="I3800" s="37" t="d">
        <x:v>2026-09-14T15:53:57.000Z</x:v>
      </x:c>
      <x:c r="J3800" s="1" t="n">
        <x:f>IF(ISNUMBER(F3800),E3800,0)</x:f>
        <x:v>0</x:v>
      </x:c>
      <x:c r="K3800" s="1"/>
      <x:c r="L3800" s="1"/>
      <x:c r="M3800" s="1"/>
    </x:row>
    <x:row r="3801" ht="18.75" customHeight="1">
      <x:c r="A3801" s="1" t="str">
        <x:v>https://blog.skyairline.com/tipos-de-equipaje/</x:v>
      </x:c>
      <x:c r="B3801" s="1" t="str">
        <x:v>sky comprar maleta</x:v>
      </x:c>
      <x:c r="C3801" s="1" t="str">
        <x:v>per</x:v>
      </x:c>
      <x:c r="D3801" s="1" t="str">
        <x:v>Marca</x:v>
      </x:c>
      <x:c r="E3801" s="35" t="n">
        <x:v>1</x:v>
      </x:c>
      <x:c r="F3801" s="36" t="n">
        <x:v>0.25</x:v>
      </x:c>
      <x:c r="G3801" s="36" t="n">
        <x:f>IF(ISNUMBER(F3801),E3801*F3801,"")</x:f>
        <x:v>0.25</x:v>
      </x:c>
      <x:c r="H3801" s="37" t="d">
        <x:v>2026-10-15T00:00:00.000Z</x:v>
      </x:c>
      <x:c r="I3801" s="37" t="d">
        <x:v>2026-09-13T21:25:36.000Z</x:v>
      </x:c>
      <x:c r="J3801" s="1" t="n">
        <x:f>IF(ISNUMBER(F3801),E3801,0)</x:f>
        <x:v>1</x:v>
      </x:c>
      <x:c r="K3801" s="1"/>
      <x:c r="L3801" s="1"/>
      <x:c r="M3801" s="1"/>
    </x:row>
    <x:row r="3802" ht="18.75" customHeight="1">
      <x:c r="A3802" s="1" t="str">
        <x:v>https://blog.skyairline.com/tipos-de-equipaje/</x:v>
      </x:c>
      <x:c r="B3802" s="1" t="str">
        <x:v>sky dimensiones equipaje</x:v>
      </x:c>
      <x:c r="C3802" s="1" t="str">
        <x:v>chl</x:v>
      </x:c>
      <x:c r="D3802" s="1" t="str">
        <x:v>Marca</x:v>
      </x:c>
      <x:c r="E3802" s="35" t="n">
        <x:v>1</x:v>
      </x:c>
      <x:c r="F3802" s="36" t="n">
        <x:v>2.37</x:v>
      </x:c>
      <x:c r="G3802" s="36" t="n">
        <x:f>IF(ISNUMBER(F3802),E3802*F3802,"")</x:f>
        <x:v>2.37</x:v>
      </x:c>
      <x:c r="H3802" s="37" t="d">
        <x:v>2026-10-15T00:00:00.000Z</x:v>
      </x:c>
      <x:c r="I3802" s="37" t="d">
        <x:v>2026-09-17T09:44:07.000Z</x:v>
      </x:c>
      <x:c r="J3802" s="1" t="n">
        <x:f>IF(ISNUMBER(F3802),E3802,0)</x:f>
        <x:v>1</x:v>
      </x:c>
      <x:c r="K3802" s="1"/>
      <x:c r="L3802" s="1"/>
      <x:c r="M3802" s="1"/>
    </x:row>
    <x:row r="3803" ht="18.75" customHeight="1">
      <x:c r="A3803" s="1" t="str">
        <x:v>https://blog.skyairline.com/tipos-de-equipaje/</x:v>
      </x:c>
      <x:c r="B3803" s="1" t="str">
        <x:v>sky equipaje</x:v>
      </x:c>
      <x:c r="C3803" s="1" t="str">
        <x:v>esp</x:v>
      </x:c>
      <x:c r="D3803" s="1" t="str">
        <x:v>Marca</x:v>
      </x:c>
      <x:c r="E3803" s="35" t="n">
        <x:v>1</x:v>
      </x:c>
      <x:c r="F3803" s="36"/>
      <x:c r="G3803" s="36" t="str">
        <x:f>IF(ISNUMBER(F3803),E3803*F3803,"")</x:f>
      </x:c>
      <x:c r="H3803" s="37"/>
      <x:c r="I3803" s="37"/>
      <x:c r="J3803" s="1" t="n">
        <x:f>IF(ISNUMBER(F3803),E3803,0)</x:f>
        <x:v>0</x:v>
      </x:c>
      <x:c r="K3803" s="1"/>
      <x:c r="L3803" s="1"/>
      <x:c r="M3803" s="1"/>
    </x:row>
    <x:row r="3804" ht="18.75" customHeight="1">
      <x:c r="A3804" s="1" t="str">
        <x:v>https://blog.skyairline.com/tipos-de-equipaje/</x:v>
      </x:c>
      <x:c r="B3804" s="1" t="str">
        <x:v>sky equipaje de bodega</x:v>
      </x:c>
      <x:c r="C3804" s="1" t="str">
        <x:v>arg</x:v>
      </x:c>
      <x:c r="D3804" s="1" t="str">
        <x:v>Marca</x:v>
      </x:c>
      <x:c r="E3804" s="35" t="n">
        <x:v>1</x:v>
      </x:c>
      <x:c r="F3804" s="36"/>
      <x:c r="G3804" s="36" t="str">
        <x:f>IF(ISNUMBER(F3804),E3804*F3804,"")</x:f>
      </x:c>
      <x:c r="H3804" s="37"/>
      <x:c r="I3804" s="37"/>
      <x:c r="J3804" s="1" t="n">
        <x:f>IF(ISNUMBER(F3804),E3804,0)</x:f>
        <x:v>0</x:v>
      </x:c>
      <x:c r="K3804" s="1"/>
      <x:c r="L3804" s="1"/>
      <x:c r="M3804" s="1"/>
    </x:row>
    <x:row r="3805" ht="18.75" customHeight="1">
      <x:c r="A3805" s="1" t="str">
        <x:v>https://blog.skyairline.com/tipos-de-equipaje/</x:v>
      </x:c>
      <x:c r="B3805" s="1" t="str">
        <x:v>sky equipaje de bodega</x:v>
      </x:c>
      <x:c r="C3805" s="1" t="str">
        <x:v>per</x:v>
      </x:c>
      <x:c r="D3805" s="1" t="str">
        <x:v>Marca</x:v>
      </x:c>
      <x:c r="E3805" s="35" t="n">
        <x:v>1</x:v>
      </x:c>
      <x:c r="F3805" s="36" t="n">
        <x:v>0.89</x:v>
      </x:c>
      <x:c r="G3805" s="36" t="n">
        <x:f>IF(ISNUMBER(F3805),E3805*F3805,"")</x:f>
        <x:v>0.89</x:v>
      </x:c>
      <x:c r="H3805" s="37" t="d">
        <x:v>2026-10-15T00:00:00.000Z</x:v>
      </x:c>
      <x:c r="I3805" s="37" t="d">
        <x:v>2026-09-17T13:40:51.000Z</x:v>
      </x:c>
      <x:c r="J3805" s="1" t="n">
        <x:f>IF(ISNUMBER(F3805),E3805,0)</x:f>
        <x:v>1</x:v>
      </x:c>
      <x:c r="K3805" s="1"/>
      <x:c r="L3805" s="1"/>
      <x:c r="M3805" s="1"/>
    </x:row>
    <x:row r="3806" ht="18.75" customHeight="1">
      <x:c r="A3806" s="1" t="str">
        <x:v>https://blog.skyairline.com/tipos-de-equipaje/</x:v>
      </x:c>
      <x:c r="B3806" s="1" t="str">
        <x:v>sky equipaje de cabina</x:v>
      </x:c>
      <x:c r="C3806" s="1" t="str">
        <x:v>chl</x:v>
      </x:c>
      <x:c r="D3806" s="1" t="str">
        <x:v>Marca</x:v>
      </x:c>
      <x:c r="E3806" s="35" t="n">
        <x:v>1</x:v>
      </x:c>
      <x:c r="F3806" s="36"/>
      <x:c r="G3806" s="36" t="str">
        <x:f>IF(ISNUMBER(F3806),E3806*F3806,"")</x:f>
      </x:c>
      <x:c r="H3806" s="37"/>
      <x:c r="I3806" s="37"/>
      <x:c r="J3806" s="1" t="n">
        <x:f>IF(ISNUMBER(F3806),E3806,0)</x:f>
        <x:v>0</x:v>
      </x:c>
      <x:c r="K3806" s="1"/>
      <x:c r="L3806" s="1"/>
      <x:c r="M3806" s="1"/>
    </x:row>
    <x:row r="3807" ht="18.75" customHeight="1">
      <x:c r="A3807" s="1" t="str">
        <x:v>https://blog.skyairline.com/tipos-de-equipaje/</x:v>
      </x:c>
      <x:c r="B3807" s="1" t="str">
        <x:v>sky equipaje de mano</x:v>
      </x:c>
      <x:c r="C3807" s="1" t="str">
        <x:v>arg</x:v>
      </x:c>
      <x:c r="D3807" s="1" t="str">
        <x:v>Marca</x:v>
      </x:c>
      <x:c r="E3807" s="35" t="n">
        <x:v>1</x:v>
      </x:c>
      <x:c r="F3807" s="36"/>
      <x:c r="G3807" s="36" t="str">
        <x:f>IF(ISNUMBER(F3807),E3807*F3807,"")</x:f>
      </x:c>
      <x:c r="H3807" s="37"/>
      <x:c r="I3807" s="37"/>
      <x:c r="J3807" s="1" t="n">
        <x:f>IF(ISNUMBER(F3807),E3807,0)</x:f>
        <x:v>0</x:v>
      </x:c>
      <x:c r="K3807" s="1"/>
      <x:c r="L3807" s="1"/>
      <x:c r="M3807" s="1"/>
    </x:row>
    <x:row r="3808" ht="18.75" customHeight="1">
      <x:c r="A3808" s="1" t="str">
        <x:v>https://blog.skyairline.com/tipos-de-equipaje/</x:v>
      </x:c>
      <x:c r="B3808" s="1" t="str">
        <x:v>sky equipaje de mano medidas</x:v>
      </x:c>
      <x:c r="C3808" s="1" t="str">
        <x:v>per</x:v>
      </x:c>
      <x:c r="D3808" s="1" t="str">
        <x:v>Marca</x:v>
      </x:c>
      <x:c r="E3808" s="35" t="n">
        <x:v>1</x:v>
      </x:c>
      <x:c r="F3808" s="36" t="n">
        <x:v>1.68</x:v>
      </x:c>
      <x:c r="G3808" s="36" t="n">
        <x:f>IF(ISNUMBER(F3808),E3808*F3808,"")</x:f>
        <x:v>1.68</x:v>
      </x:c>
      <x:c r="H3808" s="37" t="d">
        <x:v>2026-10-15T00:00:00.000Z</x:v>
      </x:c>
      <x:c r="I3808" s="37" t="d">
        <x:v>2026-09-16T07:45:18.000Z</x:v>
      </x:c>
      <x:c r="J3808" s="1" t="n">
        <x:f>IF(ISNUMBER(F3808),E3808,0)</x:f>
        <x:v>1</x:v>
      </x:c>
      <x:c r="K3808" s="1"/>
      <x:c r="L3808" s="1"/>
      <x:c r="M3808" s="1"/>
    </x:row>
    <x:row r="3809" ht="18.75" customHeight="1">
      <x:c r="A3809" s="1" t="str">
        <x:v>https://blog.skyairline.com/tipos-de-equipaje/</x:v>
      </x:c>
      <x:c r="B3809" s="1" t="str">
        <x:v>sky equipaje especial</x:v>
      </x:c>
      <x:c r="C3809" s="1" t="str">
        <x:v>per</x:v>
      </x:c>
      <x:c r="D3809" s="1" t="str">
        <x:v>Marca</x:v>
      </x:c>
      <x:c r="E3809" s="35" t="n">
        <x:v>1</x:v>
      </x:c>
      <x:c r="F3809" s="36"/>
      <x:c r="G3809" s="36" t="str">
        <x:f>IF(ISNUMBER(F3809),E3809*F3809,"")</x:f>
      </x:c>
      <x:c r="H3809" s="37"/>
      <x:c r="I3809" s="37"/>
      <x:c r="J3809" s="1" t="n">
        <x:f>IF(ISNUMBER(F3809),E3809,0)</x:f>
        <x:v>0</x:v>
      </x:c>
      <x:c r="K3809" s="1"/>
      <x:c r="L3809" s="1"/>
      <x:c r="M3809" s="1"/>
    </x:row>
    <x:row r="3810" ht="18.75" customHeight="1">
      <x:c r="A3810" s="1" t="str">
        <x:v>https://blog.skyairline.com/tipos-de-equipaje/</x:v>
      </x:c>
      <x:c r="B3810" s="1" t="str">
        <x:v>sky equipaje medidas</x:v>
      </x:c>
      <x:c r="C3810" s="1" t="str">
        <x:v>per</x:v>
      </x:c>
      <x:c r="D3810" s="1" t="str">
        <x:v>Marca</x:v>
      </x:c>
      <x:c r="E3810" s="35" t="n">
        <x:v>1</x:v>
      </x:c>
      <x:c r="F3810" s="36"/>
      <x:c r="G3810" s="36" t="str">
        <x:f>IF(ISNUMBER(F3810),E3810*F3810,"")</x:f>
      </x:c>
      <x:c r="H3810" s="37" t="d">
        <x:v>2026-10-15T00:00:00.000Z</x:v>
      </x:c>
      <x:c r="I3810" s="37" t="d">
        <x:v>2026-09-16T17:24:00.000Z</x:v>
      </x:c>
      <x:c r="J3810" s="1" t="n">
        <x:f>IF(ISNUMBER(F3810),E3810,0)</x:f>
        <x:v>0</x:v>
      </x:c>
      <x:c r="K3810" s="1"/>
      <x:c r="L3810" s="1"/>
      <x:c r="M3810" s="1"/>
    </x:row>
    <x:row r="3811" ht="18.75" customHeight="1">
      <x:c r="A3811" s="1" t="str">
        <x:v>https://blog.skyairline.com/tipos-de-equipaje/</x:v>
      </x:c>
      <x:c r="B3811" s="1" t="str">
        <x:v>sky equipaje medidas</x:v>
      </x:c>
      <x:c r="C3811" s="1" t="str">
        <x:v>ury</x:v>
      </x:c>
      <x:c r="D3811" s="1" t="str">
        <x:v>Marca</x:v>
      </x:c>
      <x:c r="E3811" s="35" t="n">
        <x:v>1</x:v>
      </x:c>
      <x:c r="F3811" s="36"/>
      <x:c r="G3811" s="36" t="str">
        <x:f>IF(ISNUMBER(F3811),E3811*F3811,"")</x:f>
      </x:c>
      <x:c r="H3811" s="37"/>
      <x:c r="I3811" s="37"/>
      <x:c r="J3811" s="1" t="n">
        <x:f>IF(ISNUMBER(F3811),E3811,0)</x:f>
        <x:v>0</x:v>
      </x:c>
      <x:c r="K3811" s="1"/>
      <x:c r="L3811" s="1"/>
      <x:c r="M3811" s="1"/>
    </x:row>
    <x:row r="3812" ht="18.75" customHeight="1">
      <x:c r="A3812" s="1" t="str">
        <x:v>https://blog.skyairline.com/tipos-de-equipaje/</x:v>
      </x:c>
      <x:c r="B3812" s="1" t="str">
        <x:v>sky equipajes</x:v>
      </x:c>
      <x:c r="C3812" s="1" t="str">
        <x:v>arg</x:v>
      </x:c>
      <x:c r="D3812" s="1" t="str">
        <x:v>Marca</x:v>
      </x:c>
      <x:c r="E3812" s="35" t="n">
        <x:v>1</x:v>
      </x:c>
      <x:c r="F3812" s="36"/>
      <x:c r="G3812" s="36" t="str">
        <x:f>IF(ISNUMBER(F3812),E3812*F3812,"")</x:f>
      </x:c>
      <x:c r="H3812" s="37"/>
      <x:c r="I3812" s="37"/>
      <x:c r="J3812" s="1" t="n">
        <x:f>IF(ISNUMBER(F3812),E3812,0)</x:f>
        <x:v>0</x:v>
      </x:c>
      <x:c r="K3812" s="1"/>
      <x:c r="L3812" s="1"/>
      <x:c r="M3812" s="1"/>
    </x:row>
    <x:row r="3813" ht="18.75" customHeight="1">
      <x:c r="A3813" s="1" t="str">
        <x:v>https://blog.skyairline.com/tipos-de-equipaje/</x:v>
      </x:c>
      <x:c r="B3813" s="1" t="str">
        <x:v>sky equipajes</x:v>
      </x:c>
      <x:c r="C3813" s="1" t="str">
        <x:v>per</x:v>
      </x:c>
      <x:c r="D3813" s="1" t="str">
        <x:v>Marca</x:v>
      </x:c>
      <x:c r="E3813" s="35" t="n">
        <x:v>1</x:v>
      </x:c>
      <x:c r="F3813" s="36"/>
      <x:c r="G3813" s="36" t="str">
        <x:f>IF(ISNUMBER(F3813),E3813*F3813,"")</x:f>
      </x:c>
      <x:c r="H3813" s="37"/>
      <x:c r="I3813" s="37"/>
      <x:c r="J3813" s="1" t="n">
        <x:f>IF(ISNUMBER(F3813),E3813,0)</x:f>
        <x:v>0</x:v>
      </x:c>
      <x:c r="K3813" s="1"/>
      <x:c r="L3813" s="1"/>
      <x:c r="M3813" s="1"/>
    </x:row>
    <x:row r="3814" ht="18.75" customHeight="1">
      <x:c r="A3814" s="1" t="str">
        <x:v>https://blog.skyairline.com/tipos-de-equipaje/</x:v>
      </x:c>
      <x:c r="B3814" s="1" t="str">
        <x:v>sky maleta</x:v>
      </x:c>
      <x:c r="C3814" s="1" t="str">
        <x:v>bra</x:v>
      </x:c>
      <x:c r="D3814" s="1" t="str">
        <x:v>Marca</x:v>
      </x:c>
      <x:c r="E3814" s="35" t="n">
        <x:v>1</x:v>
      </x:c>
      <x:c r="F3814" s="36"/>
      <x:c r="G3814" s="36" t="str">
        <x:f>IF(ISNUMBER(F3814),E3814*F3814,"")</x:f>
      </x:c>
      <x:c r="H3814" s="37"/>
      <x:c r="I3814" s="37"/>
      <x:c r="J3814" s="1" t="n">
        <x:f>IF(ISNUMBER(F3814),E3814,0)</x:f>
        <x:v>0</x:v>
      </x:c>
      <x:c r="K3814" s="1"/>
      <x:c r="L3814" s="1"/>
      <x:c r="M3814" s="1"/>
    </x:row>
    <x:row r="3815" ht="18.75" customHeight="1">
      <x:c r="A3815" s="1" t="str">
        <x:v>https://blog.skyairline.com/tipos-de-equipaje/</x:v>
      </x:c>
      <x:c r="B3815" s="1" t="str">
        <x:v>sky maleta de cabina</x:v>
      </x:c>
      <x:c r="C3815" s="1" t="str">
        <x:v>chl</x:v>
      </x:c>
      <x:c r="D3815" s="1" t="str">
        <x:v>Marca</x:v>
      </x:c>
      <x:c r="E3815" s="35" t="n">
        <x:v>1</x:v>
      </x:c>
      <x:c r="F3815" s="36"/>
      <x:c r="G3815" s="36" t="str">
        <x:f>IF(ISNUMBER(F3815),E3815*F3815,"")</x:f>
      </x:c>
      <x:c r="H3815" s="37"/>
      <x:c r="I3815" s="37"/>
      <x:c r="J3815" s="1" t="n">
        <x:f>IF(ISNUMBER(F3815),E3815,0)</x:f>
        <x:v>0</x:v>
      </x:c>
      <x:c r="K3815" s="1"/>
      <x:c r="L3815" s="1"/>
      <x:c r="M3815" s="1"/>
    </x:row>
    <x:row r="3816" ht="18.75" customHeight="1">
      <x:c r="A3816" s="1" t="str">
        <x:v>https://blog.skyairline.com/tipos-de-equipaje/</x:v>
      </x:c>
      <x:c r="B3816" s="1" t="str">
        <x:v>sky maleta de cabina</x:v>
      </x:c>
      <x:c r="C3816" s="1" t="str">
        <x:v>per</x:v>
      </x:c>
      <x:c r="D3816" s="1" t="str">
        <x:v>Marca</x:v>
      </x:c>
      <x:c r="E3816" s="35" t="n">
        <x:v>1</x:v>
      </x:c>
      <x:c r="F3816" s="36"/>
      <x:c r="G3816" s="36" t="str">
        <x:f>IF(ISNUMBER(F3816),E3816*F3816,"")</x:f>
      </x:c>
      <x:c r="H3816" s="37"/>
      <x:c r="I3816" s="37"/>
      <x:c r="J3816" s="1" t="n">
        <x:f>IF(ISNUMBER(F3816),E3816,0)</x:f>
        <x:v>0</x:v>
      </x:c>
      <x:c r="K3816" s="1"/>
      <x:c r="L3816" s="1"/>
      <x:c r="M3816" s="1"/>
    </x:row>
    <x:row r="3817" ht="18.75" customHeight="1">
      <x:c r="A3817" s="1" t="str">
        <x:v>https://blog.skyairline.com/tipos-de-equipaje/</x:v>
      </x:c>
      <x:c r="B3817" s="1" t="str">
        <x:v>sky maleta de mano</x:v>
      </x:c>
      <x:c r="C3817" s="1" t="str">
        <x:v>chl</x:v>
      </x:c>
      <x:c r="D3817" s="1" t="str">
        <x:v>Marca</x:v>
      </x:c>
      <x:c r="E3817" s="35" t="n">
        <x:v>1</x:v>
      </x:c>
      <x:c r="F3817" s="36" t="n">
        <x:v>0.09</x:v>
      </x:c>
      <x:c r="G3817" s="36" t="n">
        <x:f>IF(ISNUMBER(F3817),E3817*F3817,"")</x:f>
        <x:v>0.09</x:v>
      </x:c>
      <x:c r="H3817" s="37" t="d">
        <x:v>2026-10-15T00:00:00.000Z</x:v>
      </x:c>
      <x:c r="I3817" s="37" t="d">
        <x:v>2026-09-12T23:04:58.999Z</x:v>
      </x:c>
      <x:c r="J3817" s="1" t="n">
        <x:f>IF(ISNUMBER(F3817),E3817,0)</x:f>
        <x:v>1</x:v>
      </x:c>
      <x:c r="K3817" s="1"/>
      <x:c r="L3817" s="1"/>
      <x:c r="M3817" s="1"/>
    </x:row>
    <x:row r="3818" ht="18.75" customHeight="1">
      <x:c r="A3818" s="1" t="str">
        <x:v>https://blog.skyairline.com/tipos-de-equipaje/</x:v>
      </x:c>
      <x:c r="B3818" s="1" t="str">
        <x:v>sky maletas</x:v>
      </x:c>
      <x:c r="C3818" s="1" t="str">
        <x:v>bra</x:v>
      </x:c>
      <x:c r="D3818" s="1" t="str">
        <x:v>Marca</x:v>
      </x:c>
      <x:c r="E3818" s="35" t="n">
        <x:v>1</x:v>
      </x:c>
      <x:c r="F3818" s="36"/>
      <x:c r="G3818" s="36" t="str">
        <x:f>IF(ISNUMBER(F3818),E3818*F3818,"")</x:f>
      </x:c>
      <x:c r="H3818" s="37"/>
      <x:c r="I3818" s="37"/>
      <x:c r="J3818" s="1" t="n">
        <x:f>IF(ISNUMBER(F3818),E3818,0)</x:f>
        <x:v>0</x:v>
      </x:c>
      <x:c r="K3818" s="1"/>
      <x:c r="L3818" s="1"/>
      <x:c r="M3818" s="1"/>
    </x:row>
    <x:row r="3819" ht="18.75" customHeight="1">
      <x:c r="A3819" s="1" t="str">
        <x:v>https://blog.skyairline.com/tipos-de-equipaje/</x:v>
      </x:c>
      <x:c r="B3819" s="1" t="str">
        <x:v>sky medidas</x:v>
      </x:c>
      <x:c r="C3819" s="1" t="str">
        <x:v>ury</x:v>
      </x:c>
      <x:c r="D3819" s="1" t="str">
        <x:v>Marca</x:v>
      </x:c>
      <x:c r="E3819" s="35" t="n">
        <x:v>1</x:v>
      </x:c>
      <x:c r="F3819" s="36"/>
      <x:c r="G3819" s="36" t="str">
        <x:f>IF(ISNUMBER(F3819),E3819*F3819,"")</x:f>
      </x:c>
      <x:c r="H3819" s="37"/>
      <x:c r="I3819" s="37"/>
      <x:c r="J3819" s="1" t="n">
        <x:f>IF(ISNUMBER(F3819),E3819,0)</x:f>
        <x:v>0</x:v>
      </x:c>
      <x:c r="K3819" s="1"/>
      <x:c r="L3819" s="1"/>
      <x:c r="M3819" s="1"/>
    </x:row>
    <x:row r="3820" ht="18.75" customHeight="1">
      <x:c r="A3820" s="1" t="str">
        <x:v>https://blog.skyairline.com/tipos-de-equipaje/</x:v>
      </x:c>
      <x:c r="B3820" s="1" t="str">
        <x:v>sky medidas bolso de mano</x:v>
      </x:c>
      <x:c r="C3820" s="1" t="str">
        <x:v>chl</x:v>
      </x:c>
      <x:c r="D3820" s="1" t="str">
        <x:v>Marca</x:v>
      </x:c>
      <x:c r="E3820" s="35" t="n">
        <x:v>1</x:v>
      </x:c>
      <x:c r="F3820" s="36" t="n">
        <x:v>0.05</x:v>
      </x:c>
      <x:c r="G3820" s="36" t="n">
        <x:f>IF(ISNUMBER(F3820),E3820*F3820,"")</x:f>
        <x:v>0.05</x:v>
      </x:c>
      <x:c r="H3820" s="37" t="d">
        <x:v>2026-10-15T00:00:00.000Z</x:v>
      </x:c>
      <x:c r="I3820" s="37" t="d">
        <x:v>2026-09-13T08:17:28.000Z</x:v>
      </x:c>
      <x:c r="J3820" s="1" t="n">
        <x:f>IF(ISNUMBER(F3820),E3820,0)</x:f>
        <x:v>1</x:v>
      </x:c>
      <x:c r="K3820" s="1"/>
      <x:c r="L3820" s="1"/>
      <x:c r="M3820" s="1"/>
    </x:row>
    <x:row r="3821" ht="18.75" customHeight="1">
      <x:c r="A3821" s="1" t="str">
        <x:v>https://blog.skyairline.com/tipos-de-equipaje/</x:v>
      </x:c>
      <x:c r="B3821" s="1" t="str">
        <x:v>sky medidas equipaje</x:v>
      </x:c>
      <x:c r="C3821" s="1" t="str">
        <x:v>ury</x:v>
      </x:c>
      <x:c r="D3821" s="1" t="str">
        <x:v>Marca</x:v>
      </x:c>
      <x:c r="E3821" s="35" t="n">
        <x:v>1</x:v>
      </x:c>
      <x:c r="F3821" s="36"/>
      <x:c r="G3821" s="36" t="str">
        <x:f>IF(ISNUMBER(F3821),E3821*F3821,"")</x:f>
      </x:c>
      <x:c r="H3821" s="37"/>
      <x:c r="I3821" s="37"/>
      <x:c r="J3821" s="1" t="n">
        <x:f>IF(ISNUMBER(F3821),E3821,0)</x:f>
        <x:v>0</x:v>
      </x:c>
      <x:c r="K3821" s="1"/>
      <x:c r="L3821" s="1"/>
      <x:c r="M3821" s="1"/>
    </x:row>
    <x:row r="3822" ht="18.75" customHeight="1">
      <x:c r="A3822" s="1" t="str">
        <x:v>https://blog.skyairline.com/tipos-de-equipaje/</x:v>
      </x:c>
      <x:c r="B3822" s="1" t="str">
        <x:v>sky que puedo llevar en equipaje de mano</x:v>
      </x:c>
      <x:c r="C3822" s="1" t="str">
        <x:v>per</x:v>
      </x:c>
      <x:c r="D3822" s="1" t="str">
        <x:v>Marca</x:v>
      </x:c>
      <x:c r="E3822" s="35" t="n">
        <x:v>1</x:v>
      </x:c>
      <x:c r="F3822" s="36"/>
      <x:c r="G3822" s="36" t="str">
        <x:f>IF(ISNUMBER(F3822),E3822*F3822,"")</x:f>
      </x:c>
      <x:c r="H3822" s="37" t="d">
        <x:v>2026-10-15T00:00:00.000Z</x:v>
      </x:c>
      <x:c r="I3822" s="37" t="d">
        <x:v>2026-09-16T05:49:58.000Z</x:v>
      </x:c>
      <x:c r="J3822" s="1" t="n">
        <x:f>IF(ISNUMBER(F3822),E3822,0)</x:f>
        <x:v>0</x:v>
      </x:c>
      <x:c r="K3822" s="1"/>
      <x:c r="L3822" s="1"/>
      <x:c r="M3822" s="1"/>
    </x:row>
    <x:row r="3823" ht="18.75" customHeight="1">
      <x:c r="A3823" s="1" t="str">
        <x:v>https://blog.skyairline.com/tipos-de-equipaje/</x:v>
      </x:c>
      <x:c r="B3823" s="1" t="str">
        <x:v>sky tamaño equipaje</x:v>
      </x:c>
      <x:c r="C3823" s="1" t="str">
        <x:v>arg</x:v>
      </x:c>
      <x:c r="D3823" s="1" t="str">
        <x:v>Marca</x:v>
      </x:c>
      <x:c r="E3823" s="35" t="n">
        <x:v>1</x:v>
      </x:c>
      <x:c r="F3823" s="36"/>
      <x:c r="G3823" s="36" t="str">
        <x:f>IF(ISNUMBER(F3823),E3823*F3823,"")</x:f>
      </x:c>
      <x:c r="H3823" s="37"/>
      <x:c r="I3823" s="37"/>
      <x:c r="J3823" s="1" t="n">
        <x:f>IF(ISNUMBER(F3823),E3823,0)</x:f>
        <x:v>0</x:v>
      </x:c>
      <x:c r="K3823" s="1"/>
      <x:c r="L3823" s="1"/>
      <x:c r="M3823" s="1"/>
    </x:row>
    <x:row r="3824" ht="18.75" customHeight="1">
      <x:c r="A3824" s="1" t="str">
        <x:v>https://blog.skyairline.com/tipos-de-equipaje/</x:v>
      </x:c>
      <x:c r="B3824" s="1" t="str">
        <x:v>sky tamaño equipaje</x:v>
      </x:c>
      <x:c r="C3824" s="1" t="str">
        <x:v>ury</x:v>
      </x:c>
      <x:c r="D3824" s="1" t="str">
        <x:v>Marca</x:v>
      </x:c>
      <x:c r="E3824" s="35" t="n">
        <x:v>1</x:v>
      </x:c>
      <x:c r="F3824" s="36"/>
      <x:c r="G3824" s="36" t="str">
        <x:f>IF(ISNUMBER(F3824),E3824*F3824,"")</x:f>
      </x:c>
      <x:c r="H3824" s="37"/>
      <x:c r="I3824" s="37"/>
      <x:c r="J3824" s="1" t="n">
        <x:f>IF(ISNUMBER(F3824),E3824,0)</x:f>
        <x:v>0</x:v>
      </x:c>
      <x:c r="K3824" s="1"/>
      <x:c r="L3824" s="1"/>
      <x:c r="M3824" s="1"/>
    </x:row>
    <x:row r="3825" ht="18.75" customHeight="1">
      <x:c r="A3825" s="1" t="str">
        <x:v>https://blog.skyairline.com/tipos-de-equipaje/</x:v>
      </x:c>
      <x:c r="B3825" s="1" t="str">
        <x:v>sky tamaño equipaje de mano</x:v>
      </x:c>
      <x:c r="C3825" s="1" t="str">
        <x:v>per</x:v>
      </x:c>
      <x:c r="D3825" s="1" t="str">
        <x:v>Marca</x:v>
      </x:c>
      <x:c r="E3825" s="35" t="n">
        <x:v>1</x:v>
      </x:c>
      <x:c r="F3825" s="36"/>
      <x:c r="G3825" s="36" t="str">
        <x:f>IF(ISNUMBER(F3825),E3825*F3825,"")</x:f>
      </x:c>
      <x:c r="H3825" s="37"/>
      <x:c r="I3825" s="37"/>
      <x:c r="J3825" s="1" t="n">
        <x:f>IF(ISNUMBER(F3825),E3825,0)</x:f>
        <x:v>0</x:v>
      </x:c>
      <x:c r="K3825" s="1"/>
      <x:c r="L3825" s="1"/>
      <x:c r="M3825" s="1"/>
    </x:row>
    <x:row r="3826" ht="18.75" customHeight="1">
      <x:c r="A3826" s="1" t="str">
        <x:v>https://blog.skyairline.com/tipos-de-equipaje/</x:v>
      </x:c>
      <x:c r="B3826" s="1" t="str">
        <x:v>skyairlines</x:v>
      </x:c>
      <x:c r="C3826" s="1" t="str">
        <x:v>chl</x:v>
      </x:c>
      <x:c r="D3826" s="1" t="str">
        <x:v>Marca</x:v>
      </x:c>
      <x:c r="E3826" s="35" t="n">
        <x:v>1</x:v>
      </x:c>
      <x:c r="F3826" s="36"/>
      <x:c r="G3826" s="36" t="str">
        <x:f>IF(ISNUMBER(F3826),E3826*F3826,"")</x:f>
      </x:c>
      <x:c r="H3826" s="37"/>
      <x:c r="I3826" s="37"/>
      <x:c r="J3826" s="1" t="n">
        <x:f>IF(ISNUMBER(F3826),E3826,0)</x:f>
        <x:v>0</x:v>
      </x:c>
      <x:c r="K3826" s="1"/>
      <x:c r="L3826" s="1"/>
      <x:c r="M3826" s="1"/>
    </x:row>
    <x:row r="3827" ht="18.75" customHeight="1">
      <x:c r="A3827" s="1" t="str">
        <x:v>https://blog.skyairline.com/tipos-de-equipaje/</x:v>
      </x:c>
      <x:c r="B3827" s="1" t="str">
        <x:v>tamaño maleta sky</x:v>
      </x:c>
      <x:c r="C3827" s="1" t="str">
        <x:v>chl</x:v>
      </x:c>
      <x:c r="D3827" s="1" t="str">
        <x:v>Marca</x:v>
      </x:c>
      <x:c r="E3827" s="35" t="n">
        <x:v>1</x:v>
      </x:c>
      <x:c r="F3827" s="36"/>
      <x:c r="G3827" s="36" t="str">
        <x:f>IF(ISNUMBER(F3827),E3827*F3827,"")</x:f>
      </x:c>
      <x:c r="H3827" s="37"/>
      <x:c r="I3827" s="37"/>
      <x:c r="J3827" s="1" t="n">
        <x:f>IF(ISNUMBER(F3827),E3827,0)</x:f>
        <x:v>0</x:v>
      </x:c>
      <x:c r="K3827" s="1"/>
      <x:c r="L3827" s="1"/>
      <x:c r="M3827" s="1"/>
    </x:row>
    <x:row r="3828" ht="18.75" customHeight="1">
      <x:c r="A3828" s="1" t="str">
        <x:v>https://blog.skyairline.com/tipos-de-equipaje/</x:v>
      </x:c>
      <x:c r="B3828" s="1" t="str">
        <x:v>tarifa basic sky que incluye</x:v>
      </x:c>
      <x:c r="C3828" s="1" t="str">
        <x:v>chl</x:v>
      </x:c>
      <x:c r="D3828" s="1" t="str">
        <x:v>Marca</x:v>
      </x:c>
      <x:c r="E3828" s="35" t="n">
        <x:v>1</x:v>
      </x:c>
      <x:c r="F3828" s="36"/>
      <x:c r="G3828" s="36" t="str">
        <x:f>IF(ISNUMBER(F3828),E3828*F3828,"")</x:f>
      </x:c>
      <x:c r="H3828" s="37"/>
      <x:c r="I3828" s="37"/>
      <x:c r="J3828" s="1" t="n">
        <x:f>IF(ISNUMBER(F3828),E3828,0)</x:f>
        <x:v>0</x:v>
      </x:c>
      <x:c r="K3828" s="1"/>
      <x:c r="L3828" s="1"/>
      <x:c r="M3828" s="1"/>
    </x:row>
    <x:row r="3829" ht="18.75" customHeight="1">
      <x:c r="A3829" s="1" t="str">
        <x:v>https://blog.skyairline.com/tipos-de-equipaje/</x:v>
      </x:c>
      <x:c r="B3829" s="1" t="str">
        <x:v>tarifa max sky</x:v>
      </x:c>
      <x:c r="C3829" s="1" t="str">
        <x:v>ury</x:v>
      </x:c>
      <x:c r="D3829" s="1" t="str">
        <x:v>Marca</x:v>
      </x:c>
      <x:c r="E3829" s="35" t="n">
        <x:v>1</x:v>
      </x:c>
      <x:c r="F3829" s="36"/>
      <x:c r="G3829" s="36" t="str">
        <x:f>IF(ISNUMBER(F3829),E3829*F3829,"")</x:f>
      </x:c>
      <x:c r="H3829" s="37"/>
      <x:c r="I3829" s="37"/>
      <x:c r="J3829" s="1" t="n">
        <x:f>IF(ISNUMBER(F3829),E3829,0)</x:f>
        <x:v>0</x:v>
      </x:c>
      <x:c r="K3829" s="1"/>
      <x:c r="L3829" s="1"/>
      <x:c r="M3829" s="1"/>
    </x:row>
    <x:row r="3830" ht="18.75" customHeight="1">
      <x:c r="A3830" s="1" t="str">
        <x:v>https://blog.skyairline.com/tipos-de-equipaje/</x:v>
      </x:c>
      <x:c r="B3830" s="1" t="str">
        <x:v>tarifas sky</x:v>
      </x:c>
      <x:c r="C3830" s="1" t="str">
        <x:v>arg</x:v>
      </x:c>
      <x:c r="D3830" s="1" t="str">
        <x:v>Marca</x:v>
      </x:c>
      <x:c r="E3830" s="35" t="n">
        <x:v>1</x:v>
      </x:c>
      <x:c r="F3830" s="36"/>
      <x:c r="G3830" s="36" t="str">
        <x:f>IF(ISNUMBER(F3830),E3830*F3830,"")</x:f>
      </x:c>
      <x:c r="H3830" s="37"/>
      <x:c r="I3830" s="37"/>
      <x:c r="J3830" s="1" t="n">
        <x:f>IF(ISNUMBER(F3830),E3830,0)</x:f>
        <x:v>0</x:v>
      </x:c>
      <x:c r="K3830" s="1"/>
      <x:c r="L3830" s="1"/>
      <x:c r="M3830" s="1"/>
    </x:row>
    <x:row r="3831" ht="18.75" customHeight="1">
      <x:c r="A3831" s="1" t="str">
        <x:v>https://blog.skyairline.com/tipos-de-equipaje/</x:v>
      </x:c>
      <x:c r="B3831" s="1" t="str">
        <x:v>tipo de equipaje avion</x:v>
      </x:c>
      <x:c r="C3831" s="1" t="str">
        <x:v>chl</x:v>
      </x:c>
      <x:c r="D3831" s="1" t="str">
        <x:v>Sin marca</x:v>
      </x:c>
      <x:c r="E3831" s="35" t="n">
        <x:v>1</x:v>
      </x:c>
      <x:c r="F3831" s="36"/>
      <x:c r="G3831" s="36" t="str">
        <x:f>IF(ISNUMBER(F3831),E3831*F3831,"")</x:f>
      </x:c>
      <x:c r="H3831" s="37"/>
      <x:c r="I3831" s="37"/>
      <x:c r="J3831" s="1" t="n">
        <x:f>IF(ISNUMBER(F3831),E3831,0)</x:f>
        <x:v>0</x:v>
      </x:c>
      <x:c r="K3831" s="1"/>
      <x:c r="L3831" s="1"/>
      <x:c r="M3831" s="1"/>
    </x:row>
    <x:row r="3832" ht="18.75" customHeight="1">
      <x:c r="A3832" s="1" t="str">
        <x:v>https://blog.skyairline.com/tipos-de-equipaje/</x:v>
      </x:c>
      <x:c r="B3832" s="1" t="str">
        <x:v>tipo de equipaje en avion</x:v>
      </x:c>
      <x:c r="C3832" s="1" t="str">
        <x:v>chl</x:v>
      </x:c>
      <x:c r="D3832" s="1" t="str">
        <x:v>Sin marca</x:v>
      </x:c>
      <x:c r="E3832" s="35" t="n">
        <x:v>1</x:v>
      </x:c>
      <x:c r="F3832" s="36"/>
      <x:c r="G3832" s="36" t="str">
        <x:f>IF(ISNUMBER(F3832),E3832*F3832,"")</x:f>
      </x:c>
      <x:c r="H3832" s="37"/>
      <x:c r="I3832" s="37"/>
      <x:c r="J3832" s="1" t="n">
        <x:f>IF(ISNUMBER(F3832),E3832,0)</x:f>
        <x:v>0</x:v>
      </x:c>
      <x:c r="K3832" s="1"/>
      <x:c r="L3832" s="1"/>
      <x:c r="M3832" s="1"/>
    </x:row>
    <x:row r="3833" ht="18.75" customHeight="1">
      <x:c r="A3833" s="1" t="str">
        <x:v>https://blog.skyairline.com/tipos-de-equipaje/</x:v>
      </x:c>
      <x:c r="B3833" s="1" t="str">
        <x:v>tipos de equipaje en avión</x:v>
      </x:c>
      <x:c r="C3833" s="1" t="str">
        <x:v>chl</x:v>
      </x:c>
      <x:c r="D3833" s="1" t="str">
        <x:v>Sin marca</x:v>
      </x:c>
      <x:c r="E3833" s="35" t="n">
        <x:v>1</x:v>
      </x:c>
      <x:c r="F3833" s="36" t="n">
        <x:v>0.95</x:v>
      </x:c>
      <x:c r="G3833" s="36" t="n">
        <x:f>IF(ISNUMBER(F3833),E3833*F3833,"")</x:f>
        <x:v>0.95</x:v>
      </x:c>
      <x:c r="H3833" s="37" t="d">
        <x:v>2026-10-15T00:00:00.000Z</x:v>
      </x:c>
      <x:c r="I3833" s="37" t="d">
        <x:v>2026-09-15T15:51:52.000Z</x:v>
      </x:c>
      <x:c r="J3833" s="1" t="n">
        <x:f>IF(ISNUMBER(F3833),E3833,0)</x:f>
        <x:v>1</x:v>
      </x:c>
      <x:c r="K3833" s="1"/>
      <x:c r="L3833" s="1"/>
      <x:c r="M3833" s="1"/>
    </x:row>
    <x:row r="3834" ht="18.75" customHeight="1">
      <x:c r="A3834" s="1" t="str">
        <x:v>https://blog.skyairline.com/tipos-de-equipaje/</x:v>
      </x:c>
      <x:c r="B3834" s="1" t="str">
        <x:v>valor maleta sky chile</x:v>
      </x:c>
      <x:c r="C3834" s="1" t="str">
        <x:v>bra</x:v>
      </x:c>
      <x:c r="D3834" s="1" t="str">
        <x:v>Marca</x:v>
      </x:c>
      <x:c r="E3834" s="35" t="n">
        <x:v>1</x:v>
      </x:c>
      <x:c r="F3834" s="36"/>
      <x:c r="G3834" s="36" t="str">
        <x:f>IF(ISNUMBER(F3834),E3834*F3834,"")</x:f>
      </x:c>
      <x:c r="H3834" s="37"/>
      <x:c r="I3834" s="37"/>
      <x:c r="J3834" s="1" t="n">
        <x:f>IF(ISNUMBER(F3834),E3834,0)</x:f>
        <x:v>0</x:v>
      </x:c>
      <x:c r="K3834" s="1"/>
      <x:c r="L3834" s="1"/>
      <x:c r="M3834" s="1"/>
    </x:row>
    <x:row r="3835" ht="18.75" customHeight="1">
      <x:c r="A3835" s="1" t="str">
        <x:v>https://blog.skyairline.com/tipos-de-equipaje/</x:v>
      </x:c>
      <x:c r="B3835" s="1" t="str">
        <x:v>y sky</x:v>
      </x:c>
      <x:c r="C3835" s="1" t="str">
        <x:v>chl</x:v>
      </x:c>
      <x:c r="D3835" s="1" t="str">
        <x:v>Marca</x:v>
      </x:c>
      <x:c r="E3835" s="35" t="n">
        <x:v>1</x:v>
      </x:c>
      <x:c r="F3835" s="36"/>
      <x:c r="G3835" s="36" t="str">
        <x:f>IF(ISNUMBER(F3835),E3835*F3835,"")</x:f>
      </x:c>
      <x:c r="H3835" s="37"/>
      <x:c r="I3835" s="37"/>
      <x:c r="J3835" s="1" t="n">
        <x:f>IF(ISNUMBER(F3835),E3835,0)</x:f>
        <x:v>0</x:v>
      </x:c>
      <x:c r="K3835" s="1"/>
      <x:c r="L3835" s="1"/>
      <x:c r="M3835" s="1"/>
    </x:row>
    <x:row r="3836" ht="18.75" customHeight="1">
      <x:c r="A3836" s="1" t="str">
        <x:v>https://blog.skyairline.com/tipos-de-equipaje/</x:v>
      </x:c>
      <x:c r="B3836" s="1" t="str">
        <x:v>zero</x:v>
      </x:c>
      <x:c r="C3836" s="1" t="str">
        <x:v>arg</x:v>
      </x:c>
      <x:c r="D3836" s="1" t="str">
        <x:v>Sin marca</x:v>
      </x:c>
      <x:c r="E3836" s="35" t="n">
        <x:v>1</x:v>
      </x:c>
      <x:c r="F3836" s="36"/>
      <x:c r="G3836" s="36" t="str">
        <x:f>IF(ISNUMBER(F3836),E3836*F3836,"")</x:f>
      </x:c>
      <x:c r="H3836" s="37"/>
      <x:c r="I3836" s="37"/>
      <x:c r="J3836" s="1" t="n">
        <x:f>IF(ISNUMBER(F3836),E3836,0)</x:f>
        <x:v>0</x:v>
      </x:c>
      <x:c r="K3836" s="1"/>
      <x:c r="L3836" s="1"/>
      <x:c r="M3836" s="1"/>
    </x:row>
    <x:row r="3837" ht="18.75" customHeight="1">
      <x:c r="A3837" s="1" t="str">
        <x:v>https://blog.skyairline.com/tours-turisticos/</x:v>
      </x:c>
      <x:c r="B3837" s="1" t="str">
        <x:v>sky tours es confiable</x:v>
      </x:c>
      <x:c r="C3837" s="1" t="str">
        <x:v>usa</x:v>
      </x:c>
      <x:c r="D3837" s="1" t="str">
        <x:v>Marca</x:v>
      </x:c>
      <x:c r="E3837" s="35" t="n">
        <x:v>1</x:v>
      </x:c>
      <x:c r="F3837" s="36"/>
      <x:c r="G3837" s="36" t="str">
        <x:f>IF(ISNUMBER(F3837),E3837*F3837,"")</x:f>
      </x:c>
      <x:c r="H3837" s="37"/>
      <x:c r="I3837" s="37"/>
      <x:c r="J3837" s="1" t="n">
        <x:f>IF(ISNUMBER(F3837),E3837,0)</x:f>
        <x:v>0</x:v>
      </x:c>
      <x:c r="K3837" s="1"/>
      <x:c r="L3837" s="1"/>
      <x:c r="M3837" s="1"/>
    </x:row>
    <x:row r="3838" ht="18.75" customHeight="1">
      <x:c r="A3838" s="1" t="str">
        <x:v>https://blog.skyairline.com/tripulante-de-cabina/</x:v>
      </x:c>
      <x:c r="B3838" s="1" t="str">
        <x:v>funciones de un tripulante de cabina</x:v>
      </x:c>
      <x:c r="C3838" s="1" t="str">
        <x:v>ven</x:v>
      </x:c>
      <x:c r="D3838" s="1" t="str">
        <x:v>Sin marca</x:v>
      </x:c>
      <x:c r="E3838" s="35" t="n">
        <x:v>1</x:v>
      </x:c>
      <x:c r="F3838" s="36"/>
      <x:c r="G3838" s="36" t="str">
        <x:f>IF(ISNUMBER(F3838),E3838*F3838,"")</x:f>
      </x:c>
      <x:c r="H3838" s="37"/>
      <x:c r="I3838" s="37"/>
      <x:c r="J3838" s="1" t="n">
        <x:f>IF(ISNUMBER(F3838),E3838,0)</x:f>
        <x:v>0</x:v>
      </x:c>
      <x:c r="K3838" s="1"/>
      <x:c r="L3838" s="1"/>
      <x:c r="M3838" s="1"/>
    </x:row>
    <x:row r="3839" ht="18.75" customHeight="1">
      <x:c r="A3839" s="1" t="str">
        <x:v>https://blog.skyairline.com/tripulante-de-cabina/</x:v>
      </x:c>
      <x:c r="B3839" s="1" t="str">
        <x:v>que hace una tripulante de cabina</x:v>
      </x:c>
      <x:c r="C3839" s="1" t="str">
        <x:v>chl</x:v>
      </x:c>
      <x:c r="D3839" s="1" t="str">
        <x:v>Sin marca</x:v>
      </x:c>
      <x:c r="E3839" s="35" t="n">
        <x:v>1</x:v>
      </x:c>
      <x:c r="F3839" s="36"/>
      <x:c r="G3839" s="36" t="str">
        <x:f>IF(ISNUMBER(F3839),E3839*F3839,"")</x:f>
      </x:c>
      <x:c r="H3839" s="37"/>
      <x:c r="I3839" s="37"/>
      <x:c r="J3839" s="1" t="n">
        <x:f>IF(ISNUMBER(F3839),E3839,0)</x:f>
        <x:v>0</x:v>
      </x:c>
      <x:c r="K3839" s="1"/>
      <x:c r="L3839" s="1"/>
      <x:c r="M3839" s="1"/>
    </x:row>
    <x:row r="3840" ht="18.75" customHeight="1">
      <x:c r="A3840" s="1" t="str">
        <x:v>https://blog.skyairline.com/tripulante-de-cabina/</x:v>
      </x:c>
      <x:c r="B3840" s="1" t="str">
        <x:v>tripulante de cabina sky</x:v>
      </x:c>
      <x:c r="C3840" s="1" t="str">
        <x:v>chl</x:v>
      </x:c>
      <x:c r="D3840" s="1" t="str">
        <x:v>Marca</x:v>
      </x:c>
      <x:c r="E3840" s="35" t="n">
        <x:v>1</x:v>
      </x:c>
      <x:c r="F3840" s="36" t="n">
        <x:v>0.25</x:v>
      </x:c>
      <x:c r="G3840" s="36" t="n">
        <x:f>IF(ISNUMBER(F3840),E3840*F3840,"")</x:f>
        <x:v>0.25</x:v>
      </x:c>
      <x:c r="H3840" s="37" t="d">
        <x:v>2026-10-15T00:00:00.000Z</x:v>
      </x:c>
      <x:c r="I3840" s="37" t="d">
        <x:v>2026-09-17T04:43:56.000Z</x:v>
      </x:c>
      <x:c r="J3840" s="1" t="n">
        <x:f>IF(ISNUMBER(F3840),E3840,0)</x:f>
        <x:v>1</x:v>
      </x:c>
      <x:c r="K3840" s="1"/>
      <x:c r="L3840" s="1"/>
      <x:c r="M3840" s="1"/>
    </x:row>
    <x:row r="3841" ht="18.75" customHeight="1">
      <x:c r="A3841" s="1" t="str">
        <x:v>https://blog.skyairline.com/tripulante-de-cabina/</x:v>
      </x:c>
      <x:c r="B3841" s="1" t="str">
        <x:v>tripulante de cabina sky</x:v>
      </x:c>
      <x:c r="C3841" s="1" t="str">
        <x:v>per</x:v>
      </x:c>
      <x:c r="D3841" s="1" t="str">
        <x:v>Marca</x:v>
      </x:c>
      <x:c r="E3841" s="35" t="n">
        <x:v>1</x:v>
      </x:c>
      <x:c r="F3841" s="36"/>
      <x:c r="G3841" s="36" t="str">
        <x:f>IF(ISNUMBER(F3841),E3841*F3841,"")</x:f>
      </x:c>
      <x:c r="H3841" s="37" t="d">
        <x:v>2026-10-15T00:00:00.000Z</x:v>
      </x:c>
      <x:c r="I3841" s="37" t="d">
        <x:v>2026-09-17T21:06:16.000Z</x:v>
      </x:c>
      <x:c r="J3841" s="1" t="n">
        <x:f>IF(ISNUMBER(F3841),E3841,0)</x:f>
        <x:v>0</x:v>
      </x:c>
      <x:c r="K3841" s="1"/>
      <x:c r="L3841" s="1"/>
      <x:c r="M3841" s="1"/>
    </x:row>
    <x:row r="3842" ht="18.75" customHeight="1">
      <x:c r="A3842" s="1" t="str">
        <x:v>https://blog.skyairline.com/trujillo-peru/</x:v>
      </x:c>
      <x:c r="B3842" s="1" t="str">
        <x:v>trujillo es costa?</x:v>
      </x:c>
      <x:c r="C3842" s="1" t="str">
        <x:v>per</x:v>
      </x:c>
      <x:c r="D3842" s="1" t="str">
        <x:v>Sin marca</x:v>
      </x:c>
      <x:c r="E3842" s="35" t="n">
        <x:v>1</x:v>
      </x:c>
      <x:c r="F3842" s="36"/>
      <x:c r="G3842" s="36" t="str">
        <x:f>IF(ISNUMBER(F3842),E3842*F3842,"")</x:f>
      </x:c>
      <x:c r="H3842" s="37"/>
      <x:c r="I3842" s="37"/>
      <x:c r="J3842" s="1" t="n">
        <x:f>IF(ISNUMBER(F3842),E3842,0)</x:f>
        <x:v>0</x:v>
      </x:c>
      <x:c r="K3842" s="1"/>
      <x:c r="L3842" s="1"/>
      <x:c r="M3842" s="1"/>
    </x:row>
    <x:row r="3843" ht="18.75" customHeight="1">
      <x:c r="A3843" s="1" t="str">
        <x:v>https://blog.skyairline.com/tunanmarca/</x:v>
      </x:c>
      <x:c r="B3843" s="1" t="str">
        <x:v>ruinas de tunanmarca</x:v>
      </x:c>
      <x:c r="C3843" s="1" t="str">
        <x:v>per</x:v>
      </x:c>
      <x:c r="D3843" s="1" t="str">
        <x:v>Sin marca</x:v>
      </x:c>
      <x:c r="E3843" s="35" t="n">
        <x:v>1</x:v>
      </x:c>
      <x:c r="F3843" s="36"/>
      <x:c r="G3843" s="36" t="str">
        <x:f>IF(ISNUMBER(F3843),E3843*F3843,"")</x:f>
      </x:c>
      <x:c r="H3843" s="37" t="d">
        <x:v>2026-10-15T00:00:00.000Z</x:v>
      </x:c>
      <x:c r="I3843" s="37" t="d">
        <x:v>2026-09-14T18:31:41.000Z</x:v>
      </x:c>
      <x:c r="J3843" s="1" t="n">
        <x:f>IF(ISNUMBER(F3843),E3843,0)</x:f>
        <x:v>0</x:v>
      </x:c>
      <x:c r="K3843" s="1"/>
      <x:c r="L3843" s="1"/>
      <x:c r="M3843" s="1"/>
    </x:row>
    <x:row r="3844" ht="18.75" customHeight="1">
      <x:c r="A3844" s="1" t="str">
        <x:v>https://blog.skyairline.com/turismo-brasil/</x:v>
      </x:c>
      <x:c r="B3844" s="1" t="str">
        <x:v>lugar mas barato de brasil</x:v>
      </x:c>
      <x:c r="C3844" s="1" t="str">
        <x:v>chl</x:v>
      </x:c>
      <x:c r="D3844" s="1" t="str">
        <x:v>Sin marca</x:v>
      </x:c>
      <x:c r="E3844" s="35" t="n">
        <x:v>1</x:v>
      </x:c>
      <x:c r="F3844" s="36"/>
      <x:c r="G3844" s="36" t="str">
        <x:f>IF(ISNUMBER(F3844),E3844*F3844,"")</x:f>
      </x:c>
      <x:c r="H3844" s="37"/>
      <x:c r="I3844" s="37"/>
      <x:c r="J3844" s="1" t="n">
        <x:f>IF(ISNUMBER(F3844),E3844,0)</x:f>
        <x:v>0</x:v>
      </x:c>
      <x:c r="K3844" s="1"/>
      <x:c r="L3844" s="1"/>
      <x:c r="M3844" s="1"/>
    </x:row>
    <x:row r="3845" ht="18.75" customHeight="1">
      <x:c r="A3845" s="1" t="str">
        <x:v>https://blog.skyairline.com/turismo-deportivo/</x:v>
      </x:c>
      <x:c r="B3845" s="1" t="str">
        <x:v>turismo deportivo ejemplos</x:v>
      </x:c>
      <x:c r="C3845" s="1" t="str">
        <x:v>chl</x:v>
      </x:c>
      <x:c r="D3845" s="1" t="str">
        <x:v>Sin marca</x:v>
      </x:c>
      <x:c r="E3845" s="35" t="n">
        <x:v>1</x:v>
      </x:c>
      <x:c r="F3845" s="36"/>
      <x:c r="G3845" s="36" t="str">
        <x:f>IF(ISNUMBER(F3845),E3845*F3845,"")</x:f>
      </x:c>
      <x:c r="H3845" s="37" t="d">
        <x:v>2026-10-15T00:00:00.000Z</x:v>
      </x:c>
      <x:c r="I3845" s="37" t="d">
        <x:v>2026-09-12T20:20:26.999Z</x:v>
      </x:c>
      <x:c r="J3845" s="1" t="n">
        <x:f>IF(ISNUMBER(F3845),E3845,0)</x:f>
        <x:v>0</x:v>
      </x:c>
      <x:c r="K3845" s="1"/>
      <x:c r="L3845" s="1"/>
      <x:c r="M3845" s="1"/>
    </x:row>
    <x:row r="3846" ht="18.75" customHeight="1">
      <x:c r="A3846" s="1" t="str">
        <x:v>https://blog.skyairline.com/una-semana-en-punta-cana/</x:v>
      </x:c>
      <x:c r="B3846" s="1" t="str">
        <x:v>itinerario punta cana</x:v>
      </x:c>
      <x:c r="C3846" s="1" t="str">
        <x:v>per</x:v>
      </x:c>
      <x:c r="D3846" s="1" t="str">
        <x:v>Sin marca</x:v>
      </x:c>
      <x:c r="E3846" s="35" t="n">
        <x:v>1</x:v>
      </x:c>
      <x:c r="F3846" s="36" t="n">
        <x:v>1.5</x:v>
      </x:c>
      <x:c r="G3846" s="36" t="n">
        <x:f>IF(ISNUMBER(F3846),E3846*F3846,"")</x:f>
        <x:v>1.5</x:v>
      </x:c>
      <x:c r="H3846" s="37" t="d">
        <x:v>2026-10-15T00:00:00.000Z</x:v>
      </x:c>
      <x:c r="I3846" s="37" t="d">
        <x:v>2026-09-15T23:30:55.000Z</x:v>
      </x:c>
      <x:c r="J3846" s="1" t="n">
        <x:f>IF(ISNUMBER(F3846),E3846,0)</x:f>
        <x:v>1</x:v>
      </x:c>
      <x:c r="K3846" s="1"/>
      <x:c r="L3846" s="1"/>
      <x:c r="M3846" s="1"/>
    </x:row>
    <x:row r="3847" ht="18.75" customHeight="1">
      <x:c r="A3847" s="1" t="str">
        <x:v>https://blog.skyairline.com/vacuna-fiebre-amarilla/</x:v>
      </x:c>
      <x:c r="B3847" s="1" t="str">
        <x:v>rio de janeiro</x:v>
      </x:c>
      <x:c r="C3847" s="1" t="str">
        <x:v>chl</x:v>
      </x:c>
      <x:c r="D3847" s="1" t="str">
        <x:v>Sin marca</x:v>
      </x:c>
      <x:c r="E3847" s="35" t="n">
        <x:v>1</x:v>
      </x:c>
      <x:c r="F3847" s="36" t="n">
        <x:v>0.42</x:v>
      </x:c>
      <x:c r="G3847" s="36" t="n">
        <x:f>IF(ISNUMBER(F3847),E3847*F3847,"")</x:f>
        <x:v>0.42</x:v>
      </x:c>
      <x:c r="H3847" s="37" t="d">
        <x:v>2026-10-15T00:00:00.000Z</x:v>
      </x:c>
      <x:c r="I3847" s="37" t="d">
        <x:v>2026-09-16T12:10:21.000Z</x:v>
      </x:c>
      <x:c r="J3847" s="1" t="n">
        <x:f>IF(ISNUMBER(F3847),E3847,0)</x:f>
        <x:v>1</x:v>
      </x:c>
      <x:c r="K3847" s="1"/>
      <x:c r="L3847" s="1"/>
      <x:c r="M3847" s="1"/>
    </x:row>
    <x:row r="3848" ht="18.75" customHeight="1">
      <x:c r="A3848" s="1" t="str">
        <x:v>https://blog.skyairline.com/vacunas-brasil/</x:v>
      </x:c>
      <x:c r="B3848" s="1" t="str">
        <x:v>clima en rio de janeiro en enero 2027</x:v>
      </x:c>
      <x:c r="C3848" s="1" t="str">
        <x:v>per</x:v>
      </x:c>
      <x:c r="D3848" s="1" t="str">
        <x:v>Sin marca</x:v>
      </x:c>
      <x:c r="E3848" s="35" t="n">
        <x:v>1</x:v>
      </x:c>
      <x:c r="F3848" s="36"/>
      <x:c r="G3848" s="36" t="str">
        <x:f>IF(ISNUMBER(F3848),E3848*F3848,"")</x:f>
      </x:c>
      <x:c r="H3848" s="37"/>
      <x:c r="I3848" s="37"/>
      <x:c r="J3848" s="1" t="n">
        <x:f>IF(ISNUMBER(F3848),E3848,0)</x:f>
        <x:v>0</x:v>
      </x:c>
      <x:c r="K3848" s="1"/>
      <x:c r="L3848" s="1"/>
      <x:c r="M3848" s="1"/>
    </x:row>
    <x:row r="3849" ht="18.75" customHeight="1">
      <x:c r="A3849" s="1" t="str">
        <x:v>https://blog.skyairline.com/vacunas-brasil/</x:v>
      </x:c>
      <x:c r="B3849" s="1" t="str">
        <x:v>es obligatoria la vacuna de fiebre amarilla para viajar a brasil</x:v>
      </x:c>
      <x:c r="C3849" s="1" t="str">
        <x:v>per</x:v>
      </x:c>
      <x:c r="D3849" s="1" t="str">
        <x:v>Sin marca</x:v>
      </x:c>
      <x:c r="E3849" s="35" t="n">
        <x:v>1</x:v>
      </x:c>
      <x:c r="F3849" s="36"/>
      <x:c r="G3849" s="36" t="str">
        <x:f>IF(ISNUMBER(F3849),E3849*F3849,"")</x:f>
      </x:c>
      <x:c r="H3849" s="37"/>
      <x:c r="I3849" s="37"/>
      <x:c r="J3849" s="1" t="n">
        <x:f>IF(ISNUMBER(F3849),E3849,0)</x:f>
        <x:v>0</x:v>
      </x:c>
      <x:c r="K3849" s="1"/>
      <x:c r="L3849" s="1"/>
      <x:c r="M3849" s="1"/>
    </x:row>
    <x:row r="3850" ht="18.75" customHeight="1">
      <x:c r="A3850" s="1" t="str">
        <x:v>https://blog.skyairline.com/vacunas-brasil/</x:v>
      </x:c>
      <x:c r="B3850" s="1" t="str">
        <x:v>es obligatoria la vacuna de la fiebre amarilla para ir a brasil</x:v>
      </x:c>
      <x:c r="C3850" s="1" t="str">
        <x:v>per</x:v>
      </x:c>
      <x:c r="D3850" s="1" t="str">
        <x:v>Sin marca</x:v>
      </x:c>
      <x:c r="E3850" s="35" t="n">
        <x:v>1</x:v>
      </x:c>
      <x:c r="F3850" s="36"/>
      <x:c r="G3850" s="36" t="str">
        <x:f>IF(ISNUMBER(F3850),E3850*F3850,"")</x:f>
      </x:c>
      <x:c r="H3850" s="37"/>
      <x:c r="I3850" s="37"/>
      <x:c r="J3850" s="1" t="n">
        <x:f>IF(ISNUMBER(F3850),E3850,0)</x:f>
        <x:v>0</x:v>
      </x:c>
      <x:c r="K3850" s="1"/>
      <x:c r="L3850" s="1"/>
      <x:c r="M3850" s="1"/>
    </x:row>
    <x:row r="3851" ht="18.75" customHeight="1">
      <x:c r="A3851" s="1" t="str">
        <x:v>https://blog.skyairline.com/vacunas-brasil/</x:v>
      </x:c>
      <x:c r="B3851" s="1" t="str">
        <x:v>fiebre amarilla rio de janeiro</x:v>
      </x:c>
      <x:c r="C3851" s="1" t="str">
        <x:v>ury</x:v>
      </x:c>
      <x:c r="D3851" s="1" t="str">
        <x:v>Sin marca</x:v>
      </x:c>
      <x:c r="E3851" s="35" t="n">
        <x:v>1</x:v>
      </x:c>
      <x:c r="F3851" s="36"/>
      <x:c r="G3851" s="36" t="str">
        <x:f>IF(ISNUMBER(F3851),E3851*F3851,"")</x:f>
      </x:c>
      <x:c r="H3851" s="37"/>
      <x:c r="I3851" s="37"/>
      <x:c r="J3851" s="1" t="n">
        <x:f>IF(ISNUMBER(F3851),E3851,0)</x:f>
        <x:v>0</x:v>
      </x:c>
      <x:c r="K3851" s="1"/>
      <x:c r="L3851" s="1"/>
      <x:c r="M3851" s="1"/>
    </x:row>
    <x:row r="3852" ht="18.75" customHeight="1">
      <x:c r="A3852" s="1" t="str">
        <x:v>https://blog.skyairline.com/vacunas-brasil/</x:v>
      </x:c>
      <x:c r="B3852" s="1" t="str">
        <x:v>hay q vacunarse para ir a brasil</x:v>
      </x:c>
      <x:c r="C3852" s="1" t="str">
        <x:v>chl</x:v>
      </x:c>
      <x:c r="D3852" s="1" t="str">
        <x:v>Sin marca</x:v>
      </x:c>
      <x:c r="E3852" s="35" t="n">
        <x:v>1</x:v>
      </x:c>
      <x:c r="F3852" s="36" t="n">
        <x:v>0.33</x:v>
      </x:c>
      <x:c r="G3852" s="36" t="n">
        <x:f>IF(ISNUMBER(F3852),E3852*F3852,"")</x:f>
        <x:v>0.33</x:v>
      </x:c>
      <x:c r="H3852" s="37" t="d">
        <x:v>2026-10-15T00:00:00.000Z</x:v>
      </x:c>
      <x:c r="I3852" s="37" t="d">
        <x:v>2026-09-12T19:46:53.000Z</x:v>
      </x:c>
      <x:c r="J3852" s="1" t="n">
        <x:f>IF(ISNUMBER(F3852),E3852,0)</x:f>
        <x:v>1</x:v>
      </x:c>
      <x:c r="K3852" s="1"/>
      <x:c r="L3852" s="1"/>
      <x:c r="M3852" s="1"/>
    </x:row>
    <x:row r="3853" ht="18.75" customHeight="1">
      <x:c r="A3853" s="1" t="str">
        <x:v>https://blog.skyairline.com/vacunas-brasil/</x:v>
      </x:c>
      <x:c r="B3853" s="1" t="str">
        <x:v>necesito vacuna de fiebre amarilla para viajar a brasil</x:v>
      </x:c>
      <x:c r="C3853" s="1" t="str">
        <x:v>chl</x:v>
      </x:c>
      <x:c r="D3853" s="1" t="str">
        <x:v>Sin marca</x:v>
      </x:c>
      <x:c r="E3853" s="35" t="n">
        <x:v>1</x:v>
      </x:c>
      <x:c r="F3853" s="36"/>
      <x:c r="G3853" s="36" t="str">
        <x:f>IF(ISNUMBER(F3853),E3853*F3853,"")</x:f>
      </x:c>
      <x:c r="H3853" s="37"/>
      <x:c r="I3853" s="37"/>
      <x:c r="J3853" s="1" t="n">
        <x:f>IF(ISNUMBER(F3853),E3853,0)</x:f>
        <x:v>0</x:v>
      </x:c>
      <x:c r="K3853" s="1"/>
      <x:c r="L3853" s="1"/>
      <x:c r="M3853" s="1"/>
    </x:row>
    <x:row r="3854" ht="18.75" customHeight="1">
      <x:c r="A3854" s="1" t="str">
        <x:v>https://blog.skyairline.com/vacunas-brasil/</x:v>
      </x:c>
      <x:c r="B3854" s="1" t="str">
        <x:v>para brasil se necesita vacuna de fiebre amarilla</x:v>
      </x:c>
      <x:c r="C3854" s="1" t="str">
        <x:v>per</x:v>
      </x:c>
      <x:c r="D3854" s="1" t="str">
        <x:v>Sin marca</x:v>
      </x:c>
      <x:c r="E3854" s="35" t="n">
        <x:v>1</x:v>
      </x:c>
      <x:c r="F3854" s="36"/>
      <x:c r="G3854" s="36" t="str">
        <x:f>IF(ISNUMBER(F3854),E3854*F3854,"")</x:f>
      </x:c>
      <x:c r="H3854" s="37"/>
      <x:c r="I3854" s="37"/>
      <x:c r="J3854" s="1" t="n">
        <x:f>IF(ISNUMBER(F3854),E3854,0)</x:f>
        <x:v>0</x:v>
      </x:c>
      <x:c r="K3854" s="1"/>
      <x:c r="L3854" s="1"/>
      <x:c r="M3854" s="1"/>
    </x:row>
    <x:row r="3855" ht="18.75" customHeight="1">
      <x:c r="A3855" s="1" t="str">
        <x:v>https://blog.skyairline.com/vacunas-brasil/</x:v>
      </x:c>
      <x:c r="B3855" s="1" t="str">
        <x:v>para ir a brasil necesito la vacuna de la fiebre amarilla</x:v>
      </x:c>
      <x:c r="C3855" s="1" t="str">
        <x:v>per</x:v>
      </x:c>
      <x:c r="D3855" s="1" t="str">
        <x:v>Sin marca</x:v>
      </x:c>
      <x:c r="E3855" s="35" t="n">
        <x:v>1</x:v>
      </x:c>
      <x:c r="F3855" s="36"/>
      <x:c r="G3855" s="36" t="str">
        <x:f>IF(ISNUMBER(F3855),E3855*F3855,"")</x:f>
      </x:c>
      <x:c r="H3855" s="37"/>
      <x:c r="I3855" s="37"/>
      <x:c r="J3855" s="1" t="n">
        <x:f>IF(ISNUMBER(F3855),E3855,0)</x:f>
        <x:v>0</x:v>
      </x:c>
      <x:c r="K3855" s="1"/>
      <x:c r="L3855" s="1"/>
      <x:c r="M3855" s="1"/>
    </x:row>
    <x:row r="3856" ht="18.75" customHeight="1">
      <x:c r="A3856" s="1" t="str">
        <x:v>https://blog.skyairline.com/vacunas-brasil/</x:v>
      </x:c>
      <x:c r="B3856" s="1" t="str">
        <x:v>para viajar a brasil se necesita vacuna</x:v>
      </x:c>
      <x:c r="C3856" s="1" t="str">
        <x:v>chl</x:v>
      </x:c>
      <x:c r="D3856" s="1" t="str">
        <x:v>Sin marca</x:v>
      </x:c>
      <x:c r="E3856" s="35" t="n">
        <x:v>1</x:v>
      </x:c>
      <x:c r="F3856" s="36" t="n">
        <x:v>0.04</x:v>
      </x:c>
      <x:c r="G3856" s="36" t="n">
        <x:f>IF(ISNUMBER(F3856),E3856*F3856,"")</x:f>
        <x:v>0.04</x:v>
      </x:c>
      <x:c r="H3856" s="37" t="d">
        <x:v>2026-10-15T00:00:00.000Z</x:v>
      </x:c>
      <x:c r="I3856" s="37" t="d">
        <x:v>2026-09-17T16:39:42.000Z</x:v>
      </x:c>
      <x:c r="J3856" s="1" t="n">
        <x:f>IF(ISNUMBER(F3856),E3856,0)</x:f>
        <x:v>1</x:v>
      </x:c>
      <x:c r="K3856" s="1"/>
      <x:c r="L3856" s="1"/>
      <x:c r="M3856" s="1"/>
    </x:row>
    <x:row r="3857" ht="18.75" customHeight="1">
      <x:c r="A3857" s="1" t="str">
        <x:v>https://blog.skyairline.com/vacunas-brasil/</x:v>
      </x:c>
      <x:c r="B3857" s="1" t="str">
        <x:v>para viajar a brasil se necesita vacuna</x:v>
      </x:c>
      <x:c r="C3857" s="1" t="str">
        <x:v>per</x:v>
      </x:c>
      <x:c r="D3857" s="1" t="str">
        <x:v>Sin marca</x:v>
      </x:c>
      <x:c r="E3857" s="35" t="n">
        <x:v>1</x:v>
      </x:c>
      <x:c r="F3857" s="36"/>
      <x:c r="G3857" s="36" t="str">
        <x:f>IF(ISNUMBER(F3857),E3857*F3857,"")</x:f>
      </x:c>
      <x:c r="H3857" s="37"/>
      <x:c r="I3857" s="37"/>
      <x:c r="J3857" s="1" t="n">
        <x:f>IF(ISNUMBER(F3857),E3857,0)</x:f>
        <x:v>0</x:v>
      </x:c>
      <x:c r="K3857" s="1"/>
      <x:c r="L3857" s="1"/>
      <x:c r="M3857" s="1"/>
    </x:row>
    <x:row r="3858" ht="18.75" customHeight="1">
      <x:c r="A3858" s="1" t="str">
        <x:v>https://blog.skyairline.com/vacunas-brasil/</x:v>
      </x:c>
      <x:c r="B3858" s="1" t="str">
        <x:v>que vacuna hay que ponerse para ir a brasil</x:v>
      </x:c>
      <x:c r="C3858" s="1" t="str">
        <x:v>chl</x:v>
      </x:c>
      <x:c r="D3858" s="1" t="str">
        <x:v>Sin marca</x:v>
      </x:c>
      <x:c r="E3858" s="35" t="n">
        <x:v>1</x:v>
      </x:c>
      <x:c r="F3858" s="36"/>
      <x:c r="G3858" s="36" t="str">
        <x:f>IF(ISNUMBER(F3858),E3858*F3858,"")</x:f>
      </x:c>
      <x:c r="H3858" s="37"/>
      <x:c r="I3858" s="37"/>
      <x:c r="J3858" s="1" t="n">
        <x:f>IF(ISNUMBER(F3858),E3858,0)</x:f>
        <x:v>0</x:v>
      </x:c>
      <x:c r="K3858" s="1"/>
      <x:c r="L3858" s="1"/>
      <x:c r="M3858" s="1"/>
    </x:row>
    <x:row r="3859" ht="18.75" customHeight="1">
      <x:c r="A3859" s="1" t="str">
        <x:v>https://blog.skyairline.com/vacunas-brasil/</x:v>
      </x:c>
      <x:c r="B3859" s="1" t="str">
        <x:v>que vacunas necesito para viajar a brasil</x:v>
      </x:c>
      <x:c r="C3859" s="1" t="str">
        <x:v>chl</x:v>
      </x:c>
      <x:c r="D3859" s="1" t="str">
        <x:v>Sin marca</x:v>
      </x:c>
      <x:c r="E3859" s="35" t="n">
        <x:v>1</x:v>
      </x:c>
      <x:c r="F3859" s="36" t="n">
        <x:v>0.17</x:v>
      </x:c>
      <x:c r="G3859" s="36" t="n">
        <x:f>IF(ISNUMBER(F3859),E3859*F3859,"")</x:f>
        <x:v>0.17</x:v>
      </x:c>
      <x:c r="H3859" s="37" t="d">
        <x:v>2026-10-15T00:00:00.000Z</x:v>
      </x:c>
      <x:c r="I3859" s="37" t="d">
        <x:v>2026-09-15T11:41:30.000Z</x:v>
      </x:c>
      <x:c r="J3859" s="1" t="n">
        <x:f>IF(ISNUMBER(F3859),E3859,0)</x:f>
        <x:v>1</x:v>
      </x:c>
      <x:c r="K3859" s="1"/>
      <x:c r="L3859" s="1"/>
      <x:c r="M3859" s="1"/>
    </x:row>
    <x:row r="3860" ht="18.75" customHeight="1">
      <x:c r="A3860" s="1" t="str">
        <x:v>https://blog.skyairline.com/vacunas-brasil/</x:v>
      </x:c>
      <x:c r="B3860" s="1" t="str">
        <x:v>río de janeiro</x:v>
      </x:c>
      <x:c r="C3860" s="1" t="str">
        <x:v>chl</x:v>
      </x:c>
      <x:c r="D3860" s="1" t="str">
        <x:v>Sin marca</x:v>
      </x:c>
      <x:c r="E3860" s="35" t="n">
        <x:v>1</x:v>
      </x:c>
      <x:c r="F3860" s="36" t="n">
        <x:v>0.31</x:v>
      </x:c>
      <x:c r="G3860" s="36" t="n">
        <x:f>IF(ISNUMBER(F3860),E3860*F3860,"")</x:f>
        <x:v>0.31</x:v>
      </x:c>
      <x:c r="H3860" s="37" t="d">
        <x:v>2026-10-15T00:00:00.000Z</x:v>
      </x:c>
      <x:c r="I3860" s="37" t="d">
        <x:v>2026-09-17T03:55:34.000Z</x:v>
      </x:c>
      <x:c r="J3860" s="1" t="n">
        <x:f>IF(ISNUMBER(F3860),E3860,0)</x:f>
        <x:v>1</x:v>
      </x:c>
      <x:c r="K3860" s="1"/>
      <x:c r="L3860" s="1"/>
      <x:c r="M3860" s="1"/>
    </x:row>
    <x:row r="3861" ht="18.75" customHeight="1">
      <x:c r="A3861" s="1" t="str">
        <x:v>https://blog.skyairline.com/vacunas-brasil/</x:v>
      </x:c>
      <x:c r="B3861" s="1" t="str">
        <x:v>san pablo</x:v>
      </x:c>
      <x:c r="C3861" s="1" t="str">
        <x:v>chl</x:v>
      </x:c>
      <x:c r="D3861" s="1" t="str">
        <x:v>Sin marca</x:v>
      </x:c>
      <x:c r="E3861" s="35" t="n">
        <x:v>1</x:v>
      </x:c>
      <x:c r="F3861" s="36" t="n">
        <x:v>0.08</x:v>
      </x:c>
      <x:c r="G3861" s="36" t="n">
        <x:f>IF(ISNUMBER(F3861),E3861*F3861,"")</x:f>
        <x:v>0.08</x:v>
      </x:c>
      <x:c r="H3861" s="37" t="d">
        <x:v>2026-10-15T00:00:00.000Z</x:v>
      </x:c>
      <x:c r="I3861" s="37" t="d">
        <x:v>2026-09-13T03:08:00.000Z</x:v>
      </x:c>
      <x:c r="J3861" s="1" t="n">
        <x:f>IF(ISNUMBER(F3861),E3861,0)</x:f>
        <x:v>1</x:v>
      </x:c>
      <x:c r="K3861" s="1"/>
      <x:c r="L3861" s="1"/>
      <x:c r="M3861" s="1"/>
    </x:row>
    <x:row r="3862" ht="18.75" customHeight="1">
      <x:c r="A3862" s="1" t="str">
        <x:v>https://blog.skyairline.com/vacunas-brasil/</x:v>
      </x:c>
      <x:c r="B3862" s="1" t="str">
        <x:v>se necesita vacuna de fiebre amarilla para brasil</x:v>
      </x:c>
      <x:c r="C3862" s="1" t="str">
        <x:v>per</x:v>
      </x:c>
      <x:c r="D3862" s="1" t="str">
        <x:v>Sin marca</x:v>
      </x:c>
      <x:c r="E3862" s="35" t="n">
        <x:v>1</x:v>
      </x:c>
      <x:c r="F3862" s="36"/>
      <x:c r="G3862" s="36" t="str">
        <x:f>IF(ISNUMBER(F3862),E3862*F3862,"")</x:f>
      </x:c>
      <x:c r="H3862" s="37"/>
      <x:c r="I3862" s="37"/>
      <x:c r="J3862" s="1" t="n">
        <x:f>IF(ISNUMBER(F3862),E3862,0)</x:f>
        <x:v>0</x:v>
      </x:c>
      <x:c r="K3862" s="1"/>
      <x:c r="L3862" s="1"/>
      <x:c r="M3862" s="1"/>
    </x:row>
    <x:row r="3863" ht="18.75" customHeight="1">
      <x:c r="A3863" s="1" t="str">
        <x:v>https://blog.skyairline.com/vacunas-brasil/</x:v>
      </x:c>
      <x:c r="B3863" s="1" t="str">
        <x:v>se necesitan vacunas para viajar a brasil</x:v>
      </x:c>
      <x:c r="C3863" s="1" t="str">
        <x:v>chl</x:v>
      </x:c>
      <x:c r="D3863" s="1" t="str">
        <x:v>Sin marca</x:v>
      </x:c>
      <x:c r="E3863" s="35" t="n">
        <x:v>1</x:v>
      </x:c>
      <x:c r="F3863" s="36" t="n">
        <x:v>0.21</x:v>
      </x:c>
      <x:c r="G3863" s="36" t="n">
        <x:f>IF(ISNUMBER(F3863),E3863*F3863,"")</x:f>
        <x:v>0.21</x:v>
      </x:c>
      <x:c r="H3863" s="37" t="d">
        <x:v>2026-10-15T00:00:00.000Z</x:v>
      </x:c>
      <x:c r="I3863" s="37" t="d">
        <x:v>2026-09-15T17:56:47.999Z</x:v>
      </x:c>
      <x:c r="J3863" s="1" t="n">
        <x:f>IF(ISNUMBER(F3863),E3863,0)</x:f>
        <x:v>1</x:v>
      </x:c>
      <x:c r="K3863" s="1"/>
      <x:c r="L3863" s="1"/>
      <x:c r="M3863" s="1"/>
    </x:row>
    <x:row r="3864" ht="18.75" customHeight="1">
      <x:c r="A3864" s="1" t="str">
        <x:v>https://blog.skyairline.com/vacunas-brasil/</x:v>
      </x:c>
      <x:c r="B3864" s="1" t="str">
        <x:v>vacuna fiebre amarilla brasil</x:v>
      </x:c>
      <x:c r="C3864" s="1" t="str">
        <x:v>chl</x:v>
      </x:c>
      <x:c r="D3864" s="1" t="str">
        <x:v>Sin marca</x:v>
      </x:c>
      <x:c r="E3864" s="35" t="n">
        <x:v>1</x:v>
      </x:c>
      <x:c r="F3864" s="36" t="n">
        <x:v>0.53</x:v>
      </x:c>
      <x:c r="G3864" s="36" t="n">
        <x:f>IF(ISNUMBER(F3864),E3864*F3864,"")</x:f>
        <x:v>0.53</x:v>
      </x:c>
      <x:c r="H3864" s="37" t="d">
        <x:v>2026-10-15T00:00:00.000Z</x:v>
      </x:c>
      <x:c r="I3864" s="37" t="d">
        <x:v>2026-09-14T21:55:49.000Z</x:v>
      </x:c>
      <x:c r="J3864" s="1" t="n">
        <x:f>IF(ISNUMBER(F3864),E3864,0)</x:f>
        <x:v>1</x:v>
      </x:c>
      <x:c r="K3864" s="1"/>
      <x:c r="L3864" s="1"/>
      <x:c r="M3864" s="1"/>
    </x:row>
    <x:row r="3865" ht="18.75" customHeight="1">
      <x:c r="A3865" s="1" t="str">
        <x:v>https://blog.skyairline.com/vacunas-brasil/</x:v>
      </x:c>
      <x:c r="B3865" s="1" t="str">
        <x:v>vacuna fiebre amarilla es obligatoria para brasil</x:v>
      </x:c>
      <x:c r="C3865" s="1" t="str">
        <x:v>chl</x:v>
      </x:c>
      <x:c r="D3865" s="1" t="str">
        <x:v>Sin marca</x:v>
      </x:c>
      <x:c r="E3865" s="35" t="n">
        <x:v>1</x:v>
      </x:c>
      <x:c r="F3865" s="36" t="n">
        <x:v>0.03</x:v>
      </x:c>
      <x:c r="G3865" s="36" t="n">
        <x:f>IF(ISNUMBER(F3865),E3865*F3865,"")</x:f>
        <x:v>0.03</x:v>
      </x:c>
      <x:c r="H3865" s="37" t="d">
        <x:v>2026-10-15T00:00:00.000Z</x:v>
      </x:c>
      <x:c r="I3865" s="37" t="d">
        <x:v>2026-09-14T23:27:49.000Z</x:v>
      </x:c>
      <x:c r="J3865" s="1" t="n">
        <x:f>IF(ISNUMBER(F3865),E3865,0)</x:f>
        <x:v>1</x:v>
      </x:c>
      <x:c r="K3865" s="1"/>
      <x:c r="L3865" s="1"/>
      <x:c r="M3865" s="1"/>
    </x:row>
    <x:row r="3866" ht="18.75" customHeight="1">
      <x:c r="A3866" s="1" t="str">
        <x:v>https://blog.skyairline.com/vacunas-brasil/</x:v>
      </x:c>
      <x:c r="B3866" s="1" t="str">
        <x:v>vacuna fiebre amarilla para viajar a brasil</x:v>
      </x:c>
      <x:c r="C3866" s="1" t="str">
        <x:v>chl</x:v>
      </x:c>
      <x:c r="D3866" s="1" t="str">
        <x:v>Sin marca</x:v>
      </x:c>
      <x:c r="E3866" s="35" t="n">
        <x:v>1</x:v>
      </x:c>
      <x:c r="F3866" s="36"/>
      <x:c r="G3866" s="36" t="str">
        <x:f>IF(ISNUMBER(F3866),E3866*F3866,"")</x:f>
      </x:c>
      <x:c r="H3866" s="37" t="d">
        <x:v>2026-10-15T00:00:00.000Z</x:v>
      </x:c>
      <x:c r="I3866" s="37" t="d">
        <x:v>2026-09-16T13:14:40.000Z</x:v>
      </x:c>
      <x:c r="J3866" s="1" t="n">
        <x:f>IF(ISNUMBER(F3866),E3866,0)</x:f>
        <x:v>0</x:v>
      </x:c>
      <x:c r="K3866" s="1"/>
      <x:c r="L3866" s="1"/>
      <x:c r="M3866" s="1"/>
    </x:row>
    <x:row r="3867" ht="18.75" customHeight="1">
      <x:c r="A3867" s="1" t="str">
        <x:v>https://blog.skyairline.com/vacunas-brasil/</x:v>
      </x:c>
      <x:c r="B3867" s="1" t="str">
        <x:v>vacuna obligatoria para ir a brasil</x:v>
      </x:c>
      <x:c r="C3867" s="1" t="str">
        <x:v>chl</x:v>
      </x:c>
      <x:c r="D3867" s="1" t="str">
        <x:v>Sin marca</x:v>
      </x:c>
      <x:c r="E3867" s="35" t="n">
        <x:v>1</x:v>
      </x:c>
      <x:c r="F3867" s="36"/>
      <x:c r="G3867" s="36" t="str">
        <x:f>IF(ISNUMBER(F3867),E3867*F3867,"")</x:f>
      </x:c>
      <x:c r="H3867" s="37"/>
      <x:c r="I3867" s="37"/>
      <x:c r="J3867" s="1" t="n">
        <x:f>IF(ISNUMBER(F3867),E3867,0)</x:f>
        <x:v>0</x:v>
      </x:c>
      <x:c r="K3867" s="1"/>
      <x:c r="L3867" s="1"/>
      <x:c r="M3867" s="1"/>
    </x:row>
    <x:row r="3868" ht="18.75" customHeight="1">
      <x:c r="A3868" s="1" t="str">
        <x:v>https://blog.skyairline.com/vacunas-brasil/</x:v>
      </x:c>
      <x:c r="B3868" s="1" t="str">
        <x:v>vacuna para viajar a brasil</x:v>
      </x:c>
      <x:c r="C3868" s="1" t="str">
        <x:v>chl</x:v>
      </x:c>
      <x:c r="D3868" s="1" t="str">
        <x:v>Sin marca</x:v>
      </x:c>
      <x:c r="E3868" s="35" t="n">
        <x:v>1</x:v>
      </x:c>
      <x:c r="F3868" s="36" t="n">
        <x:v>0.23</x:v>
      </x:c>
      <x:c r="G3868" s="36" t="n">
        <x:f>IF(ISNUMBER(F3868),E3868*F3868,"")</x:f>
        <x:v>0.23</x:v>
      </x:c>
      <x:c r="H3868" s="37" t="d">
        <x:v>2026-10-15T00:00:00.000Z</x:v>
      </x:c>
      <x:c r="I3868" s="37" t="d">
        <x:v>2026-10-15T16:38:36.000Z</x:v>
      </x:c>
      <x:c r="J3868" s="1" t="n">
        <x:f>IF(ISNUMBER(F3868),E3868,0)</x:f>
        <x:v>1</x:v>
      </x:c>
      <x:c r="K3868" s="1"/>
      <x:c r="L3868" s="1"/>
      <x:c r="M3868" s="1"/>
    </x:row>
    <x:row r="3869" ht="18.75" customHeight="1">
      <x:c r="A3869" s="1" t="str">
        <x:v>https://blog.skyairline.com/vacunas-brasil/</x:v>
      </x:c>
      <x:c r="B3869" s="1" t="str">
        <x:v>vacunas para ir a brasil desde chile</x:v>
      </x:c>
      <x:c r="C3869" s="1" t="str">
        <x:v>chl</x:v>
      </x:c>
      <x:c r="D3869" s="1" t="str">
        <x:v>Sin marca</x:v>
      </x:c>
      <x:c r="E3869" s="35" t="n">
        <x:v>1</x:v>
      </x:c>
      <x:c r="F3869" s="36" t="n">
        <x:v>0.11</x:v>
      </x:c>
      <x:c r="G3869" s="36" t="n">
        <x:f>IF(ISNUMBER(F3869),E3869*F3869,"")</x:f>
        <x:v>0.11</x:v>
      </x:c>
      <x:c r="H3869" s="37" t="d">
        <x:v>2026-10-15T00:00:00.000Z</x:v>
      </x:c>
      <x:c r="I3869" s="37" t="d">
        <x:v>2026-09-16T08:30:37.000Z</x:v>
      </x:c>
      <x:c r="J3869" s="1" t="n">
        <x:f>IF(ISNUMBER(F3869),E3869,0)</x:f>
        <x:v>1</x:v>
      </x:c>
      <x:c r="K3869" s="1"/>
      <x:c r="L3869" s="1"/>
      <x:c r="M3869" s="1"/>
    </x:row>
    <x:row r="3870" ht="18.75" customHeight="1">
      <x:c r="A3870" s="1" t="str">
        <x:v>https://blog.skyairline.com/vacunas-brasil/</x:v>
      </x:c>
      <x:c r="B3870" s="1" t="str">
        <x:v>vacunas para viajar a brasil</x:v>
      </x:c>
      <x:c r="C3870" s="1" t="str">
        <x:v>chl</x:v>
      </x:c>
      <x:c r="D3870" s="1" t="str">
        <x:v>Sin marca</x:v>
      </x:c>
      <x:c r="E3870" s="35" t="n">
        <x:v>1</x:v>
      </x:c>
      <x:c r="F3870" s="36" t="n">
        <x:v>0.63</x:v>
      </x:c>
      <x:c r="G3870" s="36" t="n">
        <x:f>IF(ISNUMBER(F3870),E3870*F3870,"")</x:f>
        <x:v>0.63</x:v>
      </x:c>
      <x:c r="H3870" s="37" t="d">
        <x:v>2026-10-15T00:00:00.000Z</x:v>
      </x:c>
      <x:c r="I3870" s="37" t="d">
        <x:v>2026-09-14T11:27:32.000Z</x:v>
      </x:c>
      <x:c r="J3870" s="1" t="n">
        <x:f>IF(ISNUMBER(F3870),E3870,0)</x:f>
        <x:v>1</x:v>
      </x:c>
      <x:c r="K3870" s="1"/>
      <x:c r="L3870" s="1"/>
      <x:c r="M3870" s="1"/>
    </x:row>
    <x:row r="3871" ht="18.75" customHeight="1">
      <x:c r="A3871" s="1" t="str">
        <x:v>https://blog.skyairline.com/valle-colchagua/</x:v>
      </x:c>
      <x:c r="B3871" s="1" t="str">
        <x:v>colchagua</x:v>
      </x:c>
      <x:c r="C3871" s="1" t="str">
        <x:v>chl</x:v>
      </x:c>
      <x:c r="D3871" s="1" t="str">
        <x:v>Sin marca</x:v>
      </x:c>
      <x:c r="E3871" s="35" t="n">
        <x:v>1</x:v>
      </x:c>
      <x:c r="F3871" s="36" t="n">
        <x:v>1.07</x:v>
      </x:c>
      <x:c r="G3871" s="36" t="n">
        <x:f>IF(ISNUMBER(F3871),E3871*F3871,"")</x:f>
        <x:v>1.07</x:v>
      </x:c>
      <x:c r="H3871" s="37" t="d">
        <x:v>2026-10-15T00:00:00.000Z</x:v>
      </x:c>
      <x:c r="I3871" s="37" t="d">
        <x:v>2026-09-14T20:07:25.000Z</x:v>
      </x:c>
      <x:c r="J3871" s="1" t="n">
        <x:f>IF(ISNUMBER(F3871),E3871,0)</x:f>
        <x:v>1</x:v>
      </x:c>
      <x:c r="K3871" s="1"/>
      <x:c r="L3871" s="1"/>
      <x:c r="M3871" s="1"/>
    </x:row>
    <x:row r="3872" ht="18.75" customHeight="1">
      <x:c r="A3872" s="1" t="str">
        <x:v>https://blog.skyairline.com/valle-de-la-luna/</x:v>
      </x:c>
      <x:c r="B3872" s="1" t="str">
        <x:v>como llegar al valle de la luna</x:v>
      </x:c>
      <x:c r="C3872" s="1" t="str">
        <x:v>chl</x:v>
      </x:c>
      <x:c r="D3872" s="1" t="str">
        <x:v>Sin marca</x:v>
      </x:c>
      <x:c r="E3872" s="35" t="n">
        <x:v>1</x:v>
      </x:c>
      <x:c r="F3872" s="36" t="n">
        <x:v>0.3</x:v>
      </x:c>
      <x:c r="G3872" s="36" t="n">
        <x:f>IF(ISNUMBER(F3872),E3872*F3872,"")</x:f>
        <x:v>0.3</x:v>
      </x:c>
      <x:c r="H3872" s="37" t="d">
        <x:v>2026-10-15T00:00:00.000Z</x:v>
      </x:c>
      <x:c r="I3872" s="37" t="d">
        <x:v>2026-09-16T08:54:54.000Z</x:v>
      </x:c>
      <x:c r="J3872" s="1" t="n">
        <x:f>IF(ISNUMBER(F3872),E3872,0)</x:f>
        <x:v>1</x:v>
      </x:c>
      <x:c r="K3872" s="1"/>
      <x:c r="L3872" s="1"/>
      <x:c r="M3872" s="1"/>
    </x:row>
    <x:row r="3873" ht="18.75" customHeight="1">
      <x:c r="A3873" s="1" t="str">
        <x:v>https://blog.skyairline.com/valle-nevado/</x:v>
      </x:c>
      <x:c r="B3873" s="1" t="str">
        <x:v>donde queda valle nevado</x:v>
      </x:c>
      <x:c r="C3873" s="1" t="str">
        <x:v>chl</x:v>
      </x:c>
      <x:c r="D3873" s="1" t="str">
        <x:v>Sin marca</x:v>
      </x:c>
      <x:c r="E3873" s="35" t="n">
        <x:v>1</x:v>
      </x:c>
      <x:c r="F3873" s="36" t="n">
        <x:v>1.38</x:v>
      </x:c>
      <x:c r="G3873" s="36" t="n">
        <x:f>IF(ISNUMBER(F3873),E3873*F3873,"")</x:f>
        <x:v>1.38</x:v>
      </x:c>
      <x:c r="H3873" s="37" t="d">
        <x:v>2026-10-15T00:00:00.000Z</x:v>
      </x:c>
      <x:c r="I3873" s="37" t="d">
        <x:v>2026-09-14T09:11:19.000Z</x:v>
      </x:c>
      <x:c r="J3873" s="1" t="n">
        <x:f>IF(ISNUMBER(F3873),E3873,0)</x:f>
        <x:v>1</x:v>
      </x:c>
      <x:c r="K3873" s="1"/>
      <x:c r="L3873" s="1"/>
      <x:c r="M3873" s="1"/>
    </x:row>
    <x:row r="3874" ht="18.75" customHeight="1">
      <x:c r="A3874" s="1" t="str">
        <x:v>https://blog.skyairline.com/velocidad-avion/</x:v>
      </x:c>
      <x:c r="B3874" s="1" t="str">
        <x:v>a cuantos kilometros por hora viaja un avion</x:v>
      </x:c>
      <x:c r="C3874" s="1" t="str">
        <x:v>chl</x:v>
      </x:c>
      <x:c r="D3874" s="1" t="str">
        <x:v>Sin marca</x:v>
      </x:c>
      <x:c r="E3874" s="35" t="n">
        <x:v>1</x:v>
      </x:c>
      <x:c r="F3874" s="36"/>
      <x:c r="G3874" s="36" t="str">
        <x:f>IF(ISNUMBER(F3874),E3874*F3874,"")</x:f>
      </x:c>
      <x:c r="H3874" s="37"/>
      <x:c r="I3874" s="37"/>
      <x:c r="J3874" s="1" t="n">
        <x:f>IF(ISNUMBER(F3874),E3874,0)</x:f>
        <x:v>0</x:v>
      </x:c>
      <x:c r="K3874" s="1"/>
      <x:c r="L3874" s="1"/>
      <x:c r="M3874" s="1"/>
    </x:row>
    <x:row r="3875" ht="18.75" customHeight="1">
      <x:c r="A3875" s="1" t="str">
        <x:v>https://blog.skyairline.com/velocidad-avion/</x:v>
      </x:c>
      <x:c r="B3875" s="1" t="str">
        <x:v>a que velocidad viaja un avión de pasajeros</x:v>
      </x:c>
      <x:c r="C3875" s="1" t="str">
        <x:v>chl</x:v>
      </x:c>
      <x:c r="D3875" s="1" t="str">
        <x:v>Sin marca</x:v>
      </x:c>
      <x:c r="E3875" s="35" t="n">
        <x:v>1</x:v>
      </x:c>
      <x:c r="F3875" s="36" t="n">
        <x:v>0.16</x:v>
      </x:c>
      <x:c r="G3875" s="36" t="n">
        <x:f>IF(ISNUMBER(F3875),E3875*F3875,"")</x:f>
        <x:v>0.16</x:v>
      </x:c>
      <x:c r="H3875" s="37" t="d">
        <x:v>2026-10-15T00:00:00.000Z</x:v>
      </x:c>
      <x:c r="I3875" s="37" t="d">
        <x:v>2026-09-14T02:03:22.000Z</x:v>
      </x:c>
      <x:c r="J3875" s="1" t="n">
        <x:f>IF(ISNUMBER(F3875),E3875,0)</x:f>
        <x:v>1</x:v>
      </x:c>
      <x:c r="K3875" s="1"/>
      <x:c r="L3875" s="1"/>
      <x:c r="M3875" s="1"/>
    </x:row>
    <x:row r="3876" ht="18.75" customHeight="1">
      <x:c r="A3876" s="1" t="str">
        <x:v>https://blog.skyairline.com/velocidad-avion/</x:v>
      </x:c>
      <x:c r="B3876" s="1" t="str">
        <x:v>avion comercial velocidad</x:v>
      </x:c>
      <x:c r="C3876" s="1" t="str">
        <x:v>chl</x:v>
      </x:c>
      <x:c r="D3876" s="1" t="str">
        <x:v>Sin marca</x:v>
      </x:c>
      <x:c r="E3876" s="35" t="n">
        <x:v>1</x:v>
      </x:c>
      <x:c r="F3876" s="36"/>
      <x:c r="G3876" s="36" t="str">
        <x:f>IF(ISNUMBER(F3876),E3876*F3876,"")</x:f>
      </x:c>
      <x:c r="H3876" s="37"/>
      <x:c r="I3876" s="37"/>
      <x:c r="J3876" s="1" t="n">
        <x:f>IF(ISNUMBER(F3876),E3876,0)</x:f>
        <x:v>0</x:v>
      </x:c>
      <x:c r="K3876" s="1"/>
      <x:c r="L3876" s="1"/>
      <x:c r="M3876" s="1"/>
    </x:row>
    <x:row r="3877" ht="18.75" customHeight="1">
      <x:c r="A3877" s="1" t="str">
        <x:v>https://blog.skyairline.com/velocidad-avion/</x:v>
      </x:c>
      <x:c r="B3877" s="1" t="str">
        <x:v>velocidad de un avion comercial</x:v>
      </x:c>
      <x:c r="C3877" s="1" t="str">
        <x:v>chl</x:v>
      </x:c>
      <x:c r="D3877" s="1" t="str">
        <x:v>Sin marca</x:v>
      </x:c>
      <x:c r="E3877" s="35" t="n">
        <x:v>1</x:v>
      </x:c>
      <x:c r="F3877" s="36"/>
      <x:c r="G3877" s="36" t="str">
        <x:f>IF(ISNUMBER(F3877),E3877*F3877,"")</x:f>
      </x:c>
      <x:c r="H3877" s="37"/>
      <x:c r="I3877" s="37"/>
      <x:c r="J3877" s="1" t="n">
        <x:f>IF(ISNUMBER(F3877),E3877,0)</x:f>
        <x:v>0</x:v>
      </x:c>
      <x:c r="K3877" s="1"/>
      <x:c r="L3877" s="1"/>
      <x:c r="M3877" s="1"/>
    </x:row>
    <x:row r="3878" ht="18.75" customHeight="1">
      <x:c r="A3878" s="1" t="str">
        <x:v>https://blog.skyairline.com/viajar-a-coyhaique/</x:v>
      </x:c>
      <x:c r="B3878" s="1" t="str">
        <x:v>buses a coyhaique desde santiago</x:v>
      </x:c>
      <x:c r="C3878" s="1" t="str">
        <x:v>chl</x:v>
      </x:c>
      <x:c r="D3878" s="1" t="str">
        <x:v>Sin marca</x:v>
      </x:c>
      <x:c r="E3878" s="35" t="n">
        <x:v>1</x:v>
      </x:c>
      <x:c r="F3878" s="36" t="n">
        <x:v>0.16</x:v>
      </x:c>
      <x:c r="G3878" s="36" t="n">
        <x:f>IF(ISNUMBER(F3878),E3878*F3878,"")</x:f>
        <x:v>0.16</x:v>
      </x:c>
      <x:c r="H3878" s="37" t="d">
        <x:v>2026-10-15T00:00:00.000Z</x:v>
      </x:c>
      <x:c r="I3878" s="37" t="d">
        <x:v>2026-09-12T23:04:58.999Z</x:v>
      </x:c>
      <x:c r="J3878" s="1" t="n">
        <x:f>IF(ISNUMBER(F3878),E3878,0)</x:f>
        <x:v>1</x:v>
      </x:c>
      <x:c r="K3878" s="1"/>
      <x:c r="L3878" s="1"/>
      <x:c r="M3878" s="1"/>
    </x:row>
    <x:row r="3879" ht="18.75" customHeight="1">
      <x:c r="A3879" s="1" t="str">
        <x:v>https://blog.skyairline.com/viajar-a-coyhaique/</x:v>
      </x:c>
      <x:c r="B3879" s="1" t="str">
        <x:v>coyhaique</x:v>
      </x:c>
      <x:c r="C3879" s="1" t="str">
        <x:v>chl</x:v>
      </x:c>
      <x:c r="D3879" s="1" t="str">
        <x:v>Sin marca</x:v>
      </x:c>
      <x:c r="E3879" s="35" t="n">
        <x:v>1</x:v>
      </x:c>
      <x:c r="F3879" s="36" t="n">
        <x:v>1.02</x:v>
      </x:c>
      <x:c r="G3879" s="36" t="n">
        <x:f>IF(ISNUMBER(F3879),E3879*F3879,"")</x:f>
        <x:v>1.02</x:v>
      </x:c>
      <x:c r="H3879" s="37" t="d">
        <x:v>2026-10-15T00:00:00.000Z</x:v>
      </x:c>
      <x:c r="I3879" s="37" t="d">
        <x:v>2026-09-15T19:53:18.000Z</x:v>
      </x:c>
      <x:c r="J3879" s="1" t="n">
        <x:f>IF(ISNUMBER(F3879),E3879,0)</x:f>
        <x:v>1</x:v>
      </x:c>
      <x:c r="K3879" s="1"/>
      <x:c r="L3879" s="1"/>
      <x:c r="M3879" s="1"/>
    </x:row>
    <x:row r="3880" ht="18.75" customHeight="1">
      <x:c r="A3880" s="1" t="str">
        <x:v>https://blog.skyairline.com/viajar-a-coyhaique/</x:v>
      </x:c>
      <x:c r="B3880" s="1" t="str">
        <x:v>cómo llegar a coyhaique</x:v>
      </x:c>
      <x:c r="C3880" s="1" t="str">
        <x:v>chl</x:v>
      </x:c>
      <x:c r="D3880" s="1" t="str">
        <x:v>Sin marca</x:v>
      </x:c>
      <x:c r="E3880" s="35" t="n">
        <x:v>1</x:v>
      </x:c>
      <x:c r="F3880" s="36" t="n">
        <x:v>1.05</x:v>
      </x:c>
      <x:c r="G3880" s="36" t="n">
        <x:f>IF(ISNUMBER(F3880),E3880*F3880,"")</x:f>
        <x:v>1.05</x:v>
      </x:c>
      <x:c r="H3880" s="37" t="d">
        <x:v>2026-10-15T00:00:00.000Z</x:v>
      </x:c>
      <x:c r="I3880" s="37" t="d">
        <x:v>2026-09-16T21:15:08.000Z</x:v>
      </x:c>
      <x:c r="J3880" s="1" t="n">
        <x:f>IF(ISNUMBER(F3880),E3880,0)</x:f>
        <x:v>1</x:v>
      </x:c>
      <x:c r="K3880" s="1"/>
      <x:c r="L3880" s="1"/>
      <x:c r="M3880" s="1"/>
    </x:row>
    <x:row r="3881" ht="18.75" customHeight="1">
      <x:c r="A3881" s="1" t="str">
        <x:v>https://blog.skyairline.com/viajar-a-puerto-natales/</x:v>
      </x:c>
      <x:c r="B3881" s="1" t="str">
        <x:v>puerto natales chile</x:v>
      </x:c>
      <x:c r="C3881" s="1" t="str">
        <x:v>mex</x:v>
      </x:c>
      <x:c r="D3881" s="1" t="str">
        <x:v>Sin marca</x:v>
      </x:c>
      <x:c r="E3881" s="35" t="n">
        <x:v>1</x:v>
      </x:c>
      <x:c r="F3881" s="36"/>
      <x:c r="G3881" s="36" t="str">
        <x:f>IF(ISNUMBER(F3881),E3881*F3881,"")</x:f>
      </x:c>
      <x:c r="H3881" s="37"/>
      <x:c r="I3881" s="37"/>
      <x:c r="J3881" s="1" t="n">
        <x:f>IF(ISNUMBER(F3881),E3881,0)</x:f>
        <x:v>0</x:v>
      </x:c>
      <x:c r="K3881" s="1"/>
      <x:c r="L3881" s="1"/>
      <x:c r="M3881" s="1"/>
    </x:row>
    <x:row r="3882" ht="18.75" customHeight="1">
      <x:c r="A3882" s="1" t="str">
        <x:v>https://blog.skyairline.com/viajar-con-bebe/</x:v>
      </x:c>
      <x:c r="B3882" s="1" t="str">
        <x:v>el coche de bebe cuenta como equipaje</x:v>
      </x:c>
      <x:c r="C3882" s="1" t="str">
        <x:v>chl</x:v>
      </x:c>
      <x:c r="D3882" s="1" t="str">
        <x:v>Sin marca</x:v>
      </x:c>
      <x:c r="E3882" s="35" t="n">
        <x:v>1</x:v>
      </x:c>
      <x:c r="F3882" s="36"/>
      <x:c r="G3882" s="36" t="str">
        <x:f>IF(ISNUMBER(F3882),E3882*F3882,"")</x:f>
      </x:c>
      <x:c r="H3882" s="37"/>
      <x:c r="I3882" s="37"/>
      <x:c r="J3882" s="1" t="n">
        <x:f>IF(ISNUMBER(F3882),E3882,0)</x:f>
        <x:v>0</x:v>
      </x:c>
      <x:c r="K3882" s="1"/>
      <x:c r="L3882" s="1"/>
      <x:c r="M3882" s="1"/>
    </x:row>
    <x:row r="3883" ht="18.75" customHeight="1">
      <x:c r="A3883" s="1" t="str">
        <x:v>https://blog.skyairline.com/viajar-con-bebe/</x:v>
      </x:c>
      <x:c r="B3883" s="1" t="str">
        <x:v>es un niño de 3 años</x:v>
      </x:c>
      <x:c r="C3883" s="1" t="str">
        <x:v>chl</x:v>
      </x:c>
      <x:c r="D3883" s="1" t="str">
        <x:v>Sin marca</x:v>
      </x:c>
      <x:c r="E3883" s="35" t="n">
        <x:v>1</x:v>
      </x:c>
      <x:c r="F3883" s="36"/>
      <x:c r="G3883" s="36" t="str">
        <x:f>IF(ISNUMBER(F3883),E3883*F3883,"")</x:f>
      </x:c>
      <x:c r="H3883" s="37"/>
      <x:c r="I3883" s="37"/>
      <x:c r="J3883" s="1" t="n">
        <x:f>IF(ISNUMBER(F3883),E3883,0)</x:f>
        <x:v>0</x:v>
      </x:c>
      <x:c r="K3883" s="1"/>
      <x:c r="L3883" s="1"/>
      <x:c r="M3883" s="1"/>
    </x:row>
    <x:row r="3884" ht="18.75" customHeight="1">
      <x:c r="A3884" s="1" t="str">
        <x:v>https://blog.skyairline.com/viajar-con-bebes/</x:v>
      </x:c>
      <x:c r="B3884" s="1" t="str">
        <x:v>3 meses de edad</x:v>
      </x:c>
      <x:c r="C3884" s="1" t="str">
        <x:v>per</x:v>
      </x:c>
      <x:c r="D3884" s="1" t="str">
        <x:v>Sin marca</x:v>
      </x:c>
      <x:c r="E3884" s="35" t="n">
        <x:v>1</x:v>
      </x:c>
      <x:c r="F3884" s="36"/>
      <x:c r="G3884" s="36" t="str">
        <x:f>IF(ISNUMBER(F3884),E3884*F3884,"")</x:f>
      </x:c>
      <x:c r="H3884" s="37"/>
      <x:c r="I3884" s="37"/>
      <x:c r="J3884" s="1" t="n">
        <x:f>IF(ISNUMBER(F3884),E3884,0)</x:f>
        <x:v>0</x:v>
      </x:c>
      <x:c r="K3884" s="1"/>
      <x:c r="L3884" s="1"/>
      <x:c r="M3884" s="1"/>
    </x:row>
    <x:row r="3885" ht="18.75" customHeight="1">
      <x:c r="A3885" s="1" t="str">
        <x:v>https://blog.skyairline.com/viajar-con-bebes/</x:v>
      </x:c>
      <x:c r="B3885" s="1" t="str">
        <x:v>a partir de cuantos años pagan pasaje en avion</x:v>
      </x:c>
      <x:c r="C3885" s="1" t="str">
        <x:v>per</x:v>
      </x:c>
      <x:c r="D3885" s="1" t="str">
        <x:v>Sin marca</x:v>
      </x:c>
      <x:c r="E3885" s="35" t="n">
        <x:v>1</x:v>
      </x:c>
      <x:c r="F3885" s="36"/>
      <x:c r="G3885" s="36" t="str">
        <x:f>IF(ISNUMBER(F3885),E3885*F3885,"")</x:f>
      </x:c>
      <x:c r="H3885" s="37"/>
      <x:c r="I3885" s="37"/>
      <x:c r="J3885" s="1" t="n">
        <x:f>IF(ISNUMBER(F3885),E3885,0)</x:f>
        <x:v>0</x:v>
      </x:c>
      <x:c r="K3885" s="1"/>
      <x:c r="L3885" s="1"/>
      <x:c r="M3885" s="1"/>
    </x:row>
    <x:row r="3886" ht="18.75" customHeight="1">
      <x:c r="A3886" s="1" t="str">
        <x:v>https://blog.skyairline.com/viajar-con-bebes/</x:v>
      </x:c>
      <x:c r="B3886" s="1" t="str">
        <x:v>a partir de cuantos años pagan pasaje los niños en avion</x:v>
      </x:c>
      <x:c r="C3886" s="1" t="str">
        <x:v>per</x:v>
      </x:c>
      <x:c r="D3886" s="1" t="str">
        <x:v>Sin marca</x:v>
      </x:c>
      <x:c r="E3886" s="35" t="n">
        <x:v>1</x:v>
      </x:c>
      <x:c r="F3886" s="36"/>
      <x:c r="G3886" s="36" t="str">
        <x:f>IF(ISNUMBER(F3886),E3886*F3886,"")</x:f>
      </x:c>
      <x:c r="H3886" s="37"/>
      <x:c r="I3886" s="37"/>
      <x:c r="J3886" s="1" t="n">
        <x:f>IF(ISNUMBER(F3886),E3886,0)</x:f>
        <x:v>0</x:v>
      </x:c>
      <x:c r="K3886" s="1"/>
      <x:c r="L3886" s="1"/>
      <x:c r="M3886" s="1"/>
    </x:row>
    <x:row r="3887" ht="18.75" customHeight="1">
      <x:c r="A3887" s="1" t="str">
        <x:v>https://blog.skyairline.com/viajar-con-bebes/</x:v>
      </x:c>
      <x:c r="B3887" s="1" t="str">
        <x:v>a partir de que edad los niños pagan pasaje de avión</x:v>
      </x:c>
      <x:c r="C3887" s="1" t="str">
        <x:v>per</x:v>
      </x:c>
      <x:c r="D3887" s="1" t="str">
        <x:v>Sin marca</x:v>
      </x:c>
      <x:c r="E3887" s="35" t="n">
        <x:v>1</x:v>
      </x:c>
      <x:c r="F3887" s="36"/>
      <x:c r="G3887" s="36" t="str">
        <x:f>IF(ISNUMBER(F3887),E3887*F3887,"")</x:f>
      </x:c>
      <x:c r="H3887" s="37"/>
      <x:c r="I3887" s="37"/>
      <x:c r="J3887" s="1" t="n">
        <x:f>IF(ISNUMBER(F3887),E3887,0)</x:f>
        <x:v>0</x:v>
      </x:c>
      <x:c r="K3887" s="1"/>
      <x:c r="L3887" s="1"/>
      <x:c r="M3887" s="1"/>
    </x:row>
    <x:row r="3888" ht="18.75" customHeight="1">
      <x:c r="A3888" s="1" t="str">
        <x:v>https://blog.skyairline.com/viajar-con-bebes/</x:v>
      </x:c>
      <x:c r="B3888" s="1" t="str">
        <x:v>a partir de que edad los niños pagan pasaje en avión</x:v>
      </x:c>
      <x:c r="C3888" s="1" t="str">
        <x:v>chl</x:v>
      </x:c>
      <x:c r="D3888" s="1" t="str">
        <x:v>Sin marca</x:v>
      </x:c>
      <x:c r="E3888" s="35" t="n">
        <x:v>1</x:v>
      </x:c>
      <x:c r="F3888" s="36"/>
      <x:c r="G3888" s="36" t="str">
        <x:f>IF(ISNUMBER(F3888),E3888*F3888,"")</x:f>
      </x:c>
      <x:c r="H3888" s="37"/>
      <x:c r="I3888" s="37"/>
      <x:c r="J3888" s="1" t="n">
        <x:f>IF(ISNUMBER(F3888),E3888,0)</x:f>
        <x:v>0</x:v>
      </x:c>
      <x:c r="K3888" s="1"/>
      <x:c r="L3888" s="1"/>
      <x:c r="M3888" s="1"/>
    </x:row>
    <x:row r="3889" ht="18.75" customHeight="1">
      <x:c r="A3889" s="1" t="str">
        <x:v>https://blog.skyairline.com/viajar-con-bebes/</x:v>
      </x:c>
      <x:c r="B3889" s="1" t="str">
        <x:v>a partir de que edad los niños pagan pasaje en avión</x:v>
      </x:c>
      <x:c r="C3889" s="1" t="str">
        <x:v>per</x:v>
      </x:c>
      <x:c r="D3889" s="1" t="str">
        <x:v>Sin marca</x:v>
      </x:c>
      <x:c r="E3889" s="35" t="n">
        <x:v>1</x:v>
      </x:c>
      <x:c r="F3889" s="36"/>
      <x:c r="G3889" s="36" t="str">
        <x:f>IF(ISNUMBER(F3889),E3889*F3889,"")</x:f>
      </x:c>
      <x:c r="H3889" s="37"/>
      <x:c r="I3889" s="37"/>
      <x:c r="J3889" s="1" t="n">
        <x:f>IF(ISNUMBER(F3889),E3889,0)</x:f>
        <x:v>0</x:v>
      </x:c>
      <x:c r="K3889" s="1"/>
      <x:c r="L3889" s="1"/>
      <x:c r="M3889" s="1"/>
    </x:row>
    <x:row r="3890" ht="18.75" customHeight="1">
      <x:c r="A3890" s="1" t="str">
        <x:v>https://blog.skyairline.com/viajar-con-bebes/</x:v>
      </x:c>
      <x:c r="B3890" s="1" t="str">
        <x:v>a partir de que edad pagan los bebes en avion</x:v>
      </x:c>
      <x:c r="C3890" s="1" t="str">
        <x:v>per</x:v>
      </x:c>
      <x:c r="D3890" s="1" t="str">
        <x:v>Sin marca</x:v>
      </x:c>
      <x:c r="E3890" s="35" t="n">
        <x:v>1</x:v>
      </x:c>
      <x:c r="F3890" s="36"/>
      <x:c r="G3890" s="36" t="str">
        <x:f>IF(ISNUMBER(F3890),E3890*F3890,"")</x:f>
      </x:c>
      <x:c r="H3890" s="37"/>
      <x:c r="I3890" s="37"/>
      <x:c r="J3890" s="1" t="n">
        <x:f>IF(ISNUMBER(F3890),E3890,0)</x:f>
        <x:v>0</x:v>
      </x:c>
      <x:c r="K3890" s="1"/>
      <x:c r="L3890" s="1"/>
      <x:c r="M3890" s="1"/>
    </x:row>
    <x:row r="3891" ht="18.75" customHeight="1">
      <x:c r="A3891" s="1" t="str">
        <x:v>https://blog.skyairline.com/viajar-con-bebes/</x:v>
      </x:c>
      <x:c r="B3891" s="1" t="str">
        <x:v>a partir de que edad pagan los niños en el avion</x:v>
      </x:c>
      <x:c r="C3891" s="1" t="str">
        <x:v>chl</x:v>
      </x:c>
      <x:c r="D3891" s="1" t="str">
        <x:v>Sin marca</x:v>
      </x:c>
      <x:c r="E3891" s="35" t="n">
        <x:v>1</x:v>
      </x:c>
      <x:c r="F3891" s="36"/>
      <x:c r="G3891" s="36" t="str">
        <x:f>IF(ISNUMBER(F3891),E3891*F3891,"")</x:f>
      </x:c>
      <x:c r="H3891" s="37"/>
      <x:c r="I3891" s="37"/>
      <x:c r="J3891" s="1" t="n">
        <x:f>IF(ISNUMBER(F3891),E3891,0)</x:f>
        <x:v>0</x:v>
      </x:c>
      <x:c r="K3891" s="1"/>
      <x:c r="L3891" s="1"/>
      <x:c r="M3891" s="1"/>
    </x:row>
    <x:row r="3892" ht="18.75" customHeight="1">
      <x:c r="A3892" s="1" t="str">
        <x:v>https://blog.skyairline.com/viajar-con-bebes/</x:v>
      </x:c>
      <x:c r="B3892" s="1" t="str">
        <x:v>a partir de que edad pagan pasaje los niños</x:v>
      </x:c>
      <x:c r="C3892" s="1" t="str">
        <x:v>per</x:v>
      </x:c>
      <x:c r="D3892" s="1" t="str">
        <x:v>Sin marca</x:v>
      </x:c>
      <x:c r="E3892" s="35" t="n">
        <x:v>1</x:v>
      </x:c>
      <x:c r="F3892" s="36"/>
      <x:c r="G3892" s="36" t="str">
        <x:f>IF(ISNUMBER(F3892),E3892*F3892,"")</x:f>
      </x:c>
      <x:c r="H3892" s="37"/>
      <x:c r="I3892" s="37"/>
      <x:c r="J3892" s="1" t="n">
        <x:f>IF(ISNUMBER(F3892),E3892,0)</x:f>
        <x:v>0</x:v>
      </x:c>
      <x:c r="K3892" s="1"/>
      <x:c r="L3892" s="1"/>
      <x:c r="M3892" s="1"/>
    </x:row>
    <x:row r="3893" ht="18.75" customHeight="1">
      <x:c r="A3893" s="1" t="str">
        <x:v>https://blog.skyairline.com/viajar-con-bebes/</x:v>
      </x:c>
      <x:c r="B3893" s="1" t="str">
        <x:v>a partir de que edad pagan pasaje los niños en avion</x:v>
      </x:c>
      <x:c r="C3893" s="1" t="str">
        <x:v>chl</x:v>
      </x:c>
      <x:c r="D3893" s="1" t="str">
        <x:v>Sin marca</x:v>
      </x:c>
      <x:c r="E3893" s="35" t="n">
        <x:v>1</x:v>
      </x:c>
      <x:c r="F3893" s="36"/>
      <x:c r="G3893" s="36" t="str">
        <x:f>IF(ISNUMBER(F3893),E3893*F3893,"")</x:f>
      </x:c>
      <x:c r="H3893" s="37"/>
      <x:c r="I3893" s="37"/>
      <x:c r="J3893" s="1" t="n">
        <x:f>IF(ISNUMBER(F3893),E3893,0)</x:f>
        <x:v>0</x:v>
      </x:c>
      <x:c r="K3893" s="1"/>
      <x:c r="L3893" s="1"/>
      <x:c r="M3893" s="1"/>
    </x:row>
    <x:row r="3894" ht="18.75" customHeight="1">
      <x:c r="A3894" s="1" t="str">
        <x:v>https://blog.skyairline.com/viajar-con-bebes/</x:v>
      </x:c>
      <x:c r="B3894" s="1" t="str">
        <x:v>a partir de que edad puede viajar un bebe en avion</x:v>
      </x:c>
      <x:c r="C3894" s="1" t="str">
        <x:v>per</x:v>
      </x:c>
      <x:c r="D3894" s="1" t="str">
        <x:v>Sin marca</x:v>
      </x:c>
      <x:c r="E3894" s="35" t="n">
        <x:v>1</x:v>
      </x:c>
      <x:c r="F3894" s="36"/>
      <x:c r="G3894" s="36" t="str">
        <x:f>IF(ISNUMBER(F3894),E3894*F3894,"")</x:f>
      </x:c>
      <x:c r="H3894" s="37"/>
      <x:c r="I3894" s="37"/>
      <x:c r="J3894" s="1" t="n">
        <x:f>IF(ISNUMBER(F3894),E3894,0)</x:f>
        <x:v>0</x:v>
      </x:c>
      <x:c r="K3894" s="1"/>
      <x:c r="L3894" s="1"/>
      <x:c r="M3894" s="1"/>
    </x:row>
    <x:row r="3895" ht="18.75" customHeight="1">
      <x:c r="A3895" s="1" t="str">
        <x:v>https://blog.skyairline.com/viajar-con-bebes/</x:v>
      </x:c>
      <x:c r="B3895" s="1" t="str">
        <x:v>a que edad pagan pasaje de avion los niños</x:v>
      </x:c>
      <x:c r="C3895" s="1" t="str">
        <x:v>per</x:v>
      </x:c>
      <x:c r="D3895" s="1" t="str">
        <x:v>Sin marca</x:v>
      </x:c>
      <x:c r="E3895" s="35" t="n">
        <x:v>1</x:v>
      </x:c>
      <x:c r="F3895" s="36"/>
      <x:c r="G3895" s="36" t="str">
        <x:f>IF(ISNUMBER(F3895),E3895*F3895,"")</x:f>
      </x:c>
      <x:c r="H3895" s="37"/>
      <x:c r="I3895" s="37"/>
      <x:c r="J3895" s="1" t="n">
        <x:f>IF(ISNUMBER(F3895),E3895,0)</x:f>
        <x:v>0</x:v>
      </x:c>
      <x:c r="K3895" s="1"/>
      <x:c r="L3895" s="1"/>
      <x:c r="M3895" s="1"/>
    </x:row>
    <x:row r="3896" ht="18.75" customHeight="1">
      <x:c r="A3896" s="1" t="str">
        <x:v>https://blog.skyairline.com/viajar-con-bebes/</x:v>
      </x:c>
      <x:c r="B3896" s="1" t="str">
        <x:v>a que edad se paga pasaje en avion</x:v>
      </x:c>
      <x:c r="C3896" s="1" t="str">
        <x:v>chl</x:v>
      </x:c>
      <x:c r="D3896" s="1" t="str">
        <x:v>Sin marca</x:v>
      </x:c>
      <x:c r="E3896" s="35" t="n">
        <x:v>1</x:v>
      </x:c>
      <x:c r="F3896" s="36"/>
      <x:c r="G3896" s="36" t="str">
        <x:f>IF(ISNUMBER(F3896),E3896*F3896,"")</x:f>
      </x:c>
      <x:c r="H3896" s="37"/>
      <x:c r="I3896" s="37"/>
      <x:c r="J3896" s="1" t="n">
        <x:f>IF(ISNUMBER(F3896),E3896,0)</x:f>
        <x:v>0</x:v>
      </x:c>
      <x:c r="K3896" s="1"/>
      <x:c r="L3896" s="1"/>
      <x:c r="M3896" s="1"/>
    </x:row>
    <x:row r="3897" ht="18.75" customHeight="1">
      <x:c r="A3897" s="1" t="str">
        <x:v>https://blog.skyairline.com/viajar-con-bebes/</x:v>
      </x:c>
      <x:c r="B3897" s="1" t="str">
        <x:v>bebe de 1 año paga pasaje en avion</x:v>
      </x:c>
      <x:c r="C3897" s="1" t="str">
        <x:v>per</x:v>
      </x:c>
      <x:c r="D3897" s="1" t="str">
        <x:v>Sin marca</x:v>
      </x:c>
      <x:c r="E3897" s="35" t="n">
        <x:v>1</x:v>
      </x:c>
      <x:c r="F3897" s="36"/>
      <x:c r="G3897" s="36" t="str">
        <x:f>IF(ISNUMBER(F3897),E3897*F3897,"")</x:f>
      </x:c>
      <x:c r="H3897" s="37"/>
      <x:c r="I3897" s="37"/>
      <x:c r="J3897" s="1" t="n">
        <x:f>IF(ISNUMBER(F3897),E3897,0)</x:f>
        <x:v>0</x:v>
      </x:c>
      <x:c r="K3897" s="1"/>
      <x:c r="L3897" s="1"/>
      <x:c r="M3897" s="1"/>
    </x:row>
    <x:row r="3898" ht="18.75" customHeight="1">
      <x:c r="A3898" s="1" t="str">
        <x:v>https://blog.skyairline.com/viajar-con-bebes/</x:v>
      </x:c>
      <x:c r="B3898" s="1" t="str">
        <x:v>bebe sky</x:v>
      </x:c>
      <x:c r="C3898" s="1" t="str">
        <x:v>per</x:v>
      </x:c>
      <x:c r="D3898" s="1" t="str">
        <x:v>Marca</x:v>
      </x:c>
      <x:c r="E3898" s="35" t="n">
        <x:v>1</x:v>
      </x:c>
      <x:c r="F3898" s="36"/>
      <x:c r="G3898" s="36" t="str">
        <x:f>IF(ISNUMBER(F3898),E3898*F3898,"")</x:f>
      </x:c>
      <x:c r="H3898" s="37"/>
      <x:c r="I3898" s="37"/>
      <x:c r="J3898" s="1" t="n">
        <x:f>IF(ISNUMBER(F3898),E3898,0)</x:f>
        <x:v>0</x:v>
      </x:c>
      <x:c r="K3898" s="1"/>
      <x:c r="L3898" s="1"/>
      <x:c r="M3898" s="1"/>
    </x:row>
    <x:row r="3899" ht="18.75" customHeight="1">
      <x:c r="A3899" s="1" t="str">
        <x:v>https://blog.skyairline.com/viajar-con-bebes/</x:v>
      </x:c>
      <x:c r="B3899" s="1" t="str">
        <x:v>bebes pagan pasaje de avion</x:v>
      </x:c>
      <x:c r="C3899" s="1" t="str">
        <x:v>per</x:v>
      </x:c>
      <x:c r="D3899" s="1" t="str">
        <x:v>Sin marca</x:v>
      </x:c>
      <x:c r="E3899" s="35" t="n">
        <x:v>1</x:v>
      </x:c>
      <x:c r="F3899" s="36"/>
      <x:c r="G3899" s="36" t="str">
        <x:f>IF(ISNUMBER(F3899),E3899*F3899,"")</x:f>
      </x:c>
      <x:c r="H3899" s="37" t="d">
        <x:v>2026-10-15T00:00:00.000Z</x:v>
      </x:c>
      <x:c r="I3899" s="37" t="d">
        <x:v>2026-09-15T07:53:43.000Z</x:v>
      </x:c>
      <x:c r="J3899" s="1" t="n">
        <x:f>IF(ISNUMBER(F3899),E3899,0)</x:f>
        <x:v>0</x:v>
      </x:c>
      <x:c r="K3899" s="1"/>
      <x:c r="L3899" s="1"/>
      <x:c r="M3899" s="1"/>
    </x:row>
    <x:row r="3900" ht="18.75" customHeight="1">
      <x:c r="A3900" s="1" t="str">
        <x:v>https://blog.skyairline.com/viajar-con-bebes/</x:v>
      </x:c>
      <x:c r="B3900" s="1" t="str">
        <x:v>como viajan los bebes en avion</x:v>
      </x:c>
      <x:c r="C3900" s="1" t="str">
        <x:v>chl</x:v>
      </x:c>
      <x:c r="D3900" s="1" t="str">
        <x:v>Sin marca</x:v>
      </x:c>
      <x:c r="E3900" s="35" t="n">
        <x:v>1</x:v>
      </x:c>
      <x:c r="F3900" s="36"/>
      <x:c r="G3900" s="36" t="str">
        <x:f>IF(ISNUMBER(F3900),E3900*F3900,"")</x:f>
      </x:c>
      <x:c r="H3900" s="37"/>
      <x:c r="I3900" s="37"/>
      <x:c r="J3900" s="1" t="n">
        <x:f>IF(ISNUMBER(F3900),E3900,0)</x:f>
        <x:v>0</x:v>
      </x:c>
      <x:c r="K3900" s="1"/>
      <x:c r="L3900" s="1"/>
      <x:c r="M3900" s="1"/>
    </x:row>
    <x:row r="3901" ht="18.75" customHeight="1">
      <x:c r="A3901" s="1" t="str">
        <x:v>https://blog.skyairline.com/viajar-con-bebes/</x:v>
      </x:c>
      <x:c r="B3901" s="1" t="str">
        <x:v>cuanto cuesta</x:v>
      </x:c>
      <x:c r="C3901" s="1" t="str">
        <x:v>chl</x:v>
      </x:c>
      <x:c r="D3901" s="1" t="str">
        <x:v>Sin marca</x:v>
      </x:c>
      <x:c r="E3901" s="35" t="n">
        <x:v>1</x:v>
      </x:c>
      <x:c r="F3901" s="36"/>
      <x:c r="G3901" s="36" t="str">
        <x:f>IF(ISNUMBER(F3901),E3901*F3901,"")</x:f>
      </x:c>
      <x:c r="H3901" s="37" t="d">
        <x:v>2026-10-15T00:00:00.000Z</x:v>
      </x:c>
      <x:c r="I3901" s="37" t="d">
        <x:v>2026-09-17T00:37:31.000Z</x:v>
      </x:c>
      <x:c r="J3901" s="1" t="n">
        <x:f>IF(ISNUMBER(F3901),E3901,0)</x:f>
        <x:v>0</x:v>
      </x:c>
      <x:c r="K3901" s="1"/>
      <x:c r="L3901" s="1"/>
      <x:c r="M3901" s="1"/>
    </x:row>
    <x:row r="3902" ht="18.75" customHeight="1">
      <x:c r="A3902" s="1" t="str">
        <x:v>https://blog.skyairline.com/viajar-con-bebes/</x:v>
      </x:c>
      <x:c r="B3902" s="1" t="str">
        <x:v>cuanto paga un bebe de 1 año en avion</x:v>
      </x:c>
      <x:c r="C3902" s="1" t="str">
        <x:v>per</x:v>
      </x:c>
      <x:c r="D3902" s="1" t="str">
        <x:v>Sin marca</x:v>
      </x:c>
      <x:c r="E3902" s="35" t="n">
        <x:v>1</x:v>
      </x:c>
      <x:c r="F3902" s="36"/>
      <x:c r="G3902" s="36" t="str">
        <x:f>IF(ISNUMBER(F3902),E3902*F3902,"")</x:f>
      </x:c>
      <x:c r="H3902" s="37"/>
      <x:c r="I3902" s="37"/>
      <x:c r="J3902" s="1" t="n">
        <x:f>IF(ISNUMBER(F3902),E3902,0)</x:f>
        <x:v>0</x:v>
      </x:c>
      <x:c r="K3902" s="1"/>
      <x:c r="L3902" s="1"/>
      <x:c r="M3902" s="1"/>
    </x:row>
    <x:row r="3903" ht="18.75" customHeight="1">
      <x:c r="A3903" s="1" t="str">
        <x:v>https://blog.skyairline.com/viajar-con-bebes/</x:v>
      </x:c>
      <x:c r="B3903" s="1" t="str">
        <x:v>cuanto paga un niño de 2 años en avión</x:v>
      </x:c>
      <x:c r="C3903" s="1" t="str">
        <x:v>chl</x:v>
      </x:c>
      <x:c r="D3903" s="1" t="str">
        <x:v>Sin marca</x:v>
      </x:c>
      <x:c r="E3903" s="35" t="n">
        <x:v>1</x:v>
      </x:c>
      <x:c r="F3903" s="36"/>
      <x:c r="G3903" s="36" t="str">
        <x:f>IF(ISNUMBER(F3903),E3903*F3903,"")</x:f>
      </x:c>
      <x:c r="H3903" s="37"/>
      <x:c r="I3903" s="37"/>
      <x:c r="J3903" s="1" t="n">
        <x:f>IF(ISNUMBER(F3903),E3903,0)</x:f>
        <x:v>0</x:v>
      </x:c>
      <x:c r="K3903" s="1"/>
      <x:c r="L3903" s="1"/>
      <x:c r="M3903" s="1"/>
    </x:row>
    <x:row r="3904" ht="18.75" customHeight="1">
      <x:c r="A3904" s="1" t="str">
        <x:v>https://blog.skyairline.com/viajar-con-bebes/</x:v>
      </x:c>
      <x:c r="B3904" s="1" t="str">
        <x:v>desde que edad cobran pasaje en avion para niños</x:v>
      </x:c>
      <x:c r="C3904" s="1" t="str">
        <x:v>per</x:v>
      </x:c>
      <x:c r="D3904" s="1" t="str">
        <x:v>Sin marca</x:v>
      </x:c>
      <x:c r="E3904" s="35" t="n">
        <x:v>1</x:v>
      </x:c>
      <x:c r="F3904" s="36"/>
      <x:c r="G3904" s="36" t="str">
        <x:f>IF(ISNUMBER(F3904),E3904*F3904,"")</x:f>
      </x:c>
      <x:c r="H3904" s="37"/>
      <x:c r="I3904" s="37"/>
      <x:c r="J3904" s="1" t="n">
        <x:f>IF(ISNUMBER(F3904),E3904,0)</x:f>
        <x:v>0</x:v>
      </x:c>
      <x:c r="K3904" s="1"/>
      <x:c r="L3904" s="1"/>
      <x:c r="M3904" s="1"/>
    </x:row>
    <x:row r="3905" ht="18.75" customHeight="1">
      <x:c r="A3905" s="1" t="str">
        <x:v>https://blog.skyairline.com/viajar-con-bebes/</x:v>
      </x:c>
      <x:c r="B3905" s="1" t="str">
        <x:v>desde que edad pagan los niños en avion</x:v>
      </x:c>
      <x:c r="C3905" s="1" t="str">
        <x:v>chl</x:v>
      </x:c>
      <x:c r="D3905" s="1" t="str">
        <x:v>Sin marca</x:v>
      </x:c>
      <x:c r="E3905" s="35" t="n">
        <x:v>1</x:v>
      </x:c>
      <x:c r="F3905" s="36"/>
      <x:c r="G3905" s="36" t="str">
        <x:f>IF(ISNUMBER(F3905),E3905*F3905,"")</x:f>
      </x:c>
      <x:c r="H3905" s="37"/>
      <x:c r="I3905" s="37"/>
      <x:c r="J3905" s="1" t="n">
        <x:f>IF(ISNUMBER(F3905),E3905,0)</x:f>
        <x:v>0</x:v>
      </x:c>
      <x:c r="K3905" s="1"/>
      <x:c r="L3905" s="1"/>
      <x:c r="M3905" s="1"/>
    </x:row>
    <x:row r="3906" ht="18.75" customHeight="1">
      <x:c r="A3906" s="1" t="str">
        <x:v>https://blog.skyairline.com/viajar-con-bebes/</x:v>
      </x:c>
      <x:c r="B3906" s="1" t="str">
        <x:v>desde que edad pueden viajar solos los niños en avion</x:v>
      </x:c>
      <x:c r="C3906" s="1" t="str">
        <x:v>per</x:v>
      </x:c>
      <x:c r="D3906" s="1" t="str">
        <x:v>Sin marca</x:v>
      </x:c>
      <x:c r="E3906" s="35" t="n">
        <x:v>1</x:v>
      </x:c>
      <x:c r="F3906" s="36"/>
      <x:c r="G3906" s="36" t="str">
        <x:f>IF(ISNUMBER(F3906),E3906*F3906,"")</x:f>
      </x:c>
      <x:c r="H3906" s="37"/>
      <x:c r="I3906" s="37"/>
      <x:c r="J3906" s="1" t="n">
        <x:f>IF(ISNUMBER(F3906),E3906,0)</x:f>
        <x:v>0</x:v>
      </x:c>
      <x:c r="K3906" s="1"/>
      <x:c r="L3906" s="1"/>
      <x:c r="M3906" s="1"/>
    </x:row>
    <x:row r="3907" ht="18.75" customHeight="1">
      <x:c r="A3907" s="1" t="str">
        <x:v>https://blog.skyairline.com/viajar-con-bebes/</x:v>
      </x:c>
      <x:c r="B3907" s="1" t="str">
        <x:v>desde que edad se paga pasaje en avion</x:v>
      </x:c>
      <x:c r="C3907" s="1" t="str">
        <x:v>chl</x:v>
      </x:c>
      <x:c r="D3907" s="1" t="str">
        <x:v>Sin marca</x:v>
      </x:c>
      <x:c r="E3907" s="35" t="n">
        <x:v>1</x:v>
      </x:c>
      <x:c r="F3907" s="36"/>
      <x:c r="G3907" s="36" t="str">
        <x:f>IF(ISNUMBER(F3907),E3907*F3907,"")</x:f>
      </x:c>
      <x:c r="H3907" s="37"/>
      <x:c r="I3907" s="37"/>
      <x:c r="J3907" s="1" t="n">
        <x:f>IF(ISNUMBER(F3907),E3907,0)</x:f>
        <x:v>0</x:v>
      </x:c>
      <x:c r="K3907" s="1"/>
      <x:c r="L3907" s="1"/>
      <x:c r="M3907" s="1"/>
    </x:row>
    <x:row r="3908" ht="18.75" customHeight="1">
      <x:c r="A3908" s="1" t="str">
        <x:v>https://blog.skyairline.com/viajar-con-bebes/</x:v>
      </x:c>
      <x:c r="B3908" s="1" t="str">
        <x:v>desde que edad se paga pasaje en avion</x:v>
      </x:c>
      <x:c r="C3908" s="1" t="str">
        <x:v>per</x:v>
      </x:c>
      <x:c r="D3908" s="1" t="str">
        <x:v>Sin marca</x:v>
      </x:c>
      <x:c r="E3908" s="35" t="n">
        <x:v>1</x:v>
      </x:c>
      <x:c r="F3908" s="36"/>
      <x:c r="G3908" s="36" t="str">
        <x:f>IF(ISNUMBER(F3908),E3908*F3908,"")</x:f>
      </x:c>
      <x:c r="H3908" s="37"/>
      <x:c r="I3908" s="37"/>
      <x:c r="J3908" s="1" t="n">
        <x:f>IF(ISNUMBER(F3908),E3908,0)</x:f>
        <x:v>0</x:v>
      </x:c>
      <x:c r="K3908" s="1"/>
      <x:c r="L3908" s="1"/>
      <x:c r="M3908" s="1"/>
    </x:row>
    <x:row r="3909" ht="18.75" customHeight="1">
      <x:c r="A3909" s="1" t="str">
        <x:v>https://blog.skyairline.com/viajar-con-bebes/</x:v>
      </x:c>
      <x:c r="B3909" s="1" t="str">
        <x:v>edad minima de un bebe para viajar en avion</x:v>
      </x:c>
      <x:c r="C3909" s="1" t="str">
        <x:v>chl</x:v>
      </x:c>
      <x:c r="D3909" s="1" t="str">
        <x:v>Sin marca</x:v>
      </x:c>
      <x:c r="E3909" s="35" t="n">
        <x:v>1</x:v>
      </x:c>
      <x:c r="F3909" s="36"/>
      <x:c r="G3909" s="36" t="str">
        <x:f>IF(ISNUMBER(F3909),E3909*F3909,"")</x:f>
      </x:c>
      <x:c r="H3909" s="37"/>
      <x:c r="I3909" s="37"/>
      <x:c r="J3909" s="1" t="n">
        <x:f>IF(ISNUMBER(F3909),E3909,0)</x:f>
        <x:v>0</x:v>
      </x:c>
      <x:c r="K3909" s="1"/>
      <x:c r="L3909" s="1"/>
      <x:c r="M3909" s="1"/>
    </x:row>
    <x:row r="3910" ht="18.75" customHeight="1">
      <x:c r="A3910" s="1" t="str">
        <x:v>https://blog.skyairline.com/viajar-con-bebes/</x:v>
      </x:c>
      <x:c r="B3910" s="1" t="str">
        <x:v>en peru</x:v>
      </x:c>
      <x:c r="C3910" s="1" t="str">
        <x:v>per</x:v>
      </x:c>
      <x:c r="D3910" s="1" t="str">
        <x:v>Sin marca</x:v>
      </x:c>
      <x:c r="E3910" s="35" t="n">
        <x:v>1</x:v>
      </x:c>
      <x:c r="F3910" s="36"/>
      <x:c r="G3910" s="36" t="str">
        <x:f>IF(ISNUMBER(F3910),E3910*F3910,"")</x:f>
      </x:c>
      <x:c r="H3910" s="37" t="d">
        <x:v>2026-10-15T00:00:00.000Z</x:v>
      </x:c>
      <x:c r="I3910" s="37" t="d">
        <x:v>2026-09-17T10:02:43.000Z</x:v>
      </x:c>
      <x:c r="J3910" s="1" t="n">
        <x:f>IF(ISNUMBER(F3910),E3910,0)</x:f>
        <x:v>0</x:v>
      </x:c>
      <x:c r="K3910" s="1"/>
      <x:c r="L3910" s="1"/>
      <x:c r="M3910" s="1"/>
    </x:row>
    <x:row r="3911" ht="18.75" customHeight="1">
      <x:c r="A3911" s="1" t="str">
        <x:v>https://blog.skyairline.com/viajar-con-bebes/</x:v>
      </x:c>
      <x:c r="B3911" s="1" t="str">
        <x:v>hasta que edad los niños viajan gratis en avion</x:v>
      </x:c>
      <x:c r="C3911" s="1" t="str">
        <x:v>chl</x:v>
      </x:c>
      <x:c r="D3911" s="1" t="str">
        <x:v>Sin marca</x:v>
      </x:c>
      <x:c r="E3911" s="35" t="n">
        <x:v>1</x:v>
      </x:c>
      <x:c r="F3911" s="36"/>
      <x:c r="G3911" s="36" t="str">
        <x:f>IF(ISNUMBER(F3911),E3911*F3911,"")</x:f>
      </x:c>
      <x:c r="H3911" s="37"/>
      <x:c r="I3911" s="37"/>
      <x:c r="J3911" s="1" t="n">
        <x:f>IF(ISNUMBER(F3911),E3911,0)</x:f>
        <x:v>0</x:v>
      </x:c>
      <x:c r="K3911" s="1"/>
      <x:c r="L3911" s="1"/>
      <x:c r="M3911" s="1"/>
    </x:row>
    <x:row r="3912" ht="18.75" customHeight="1">
      <x:c r="A3912" s="1" t="str">
        <x:v>https://blog.skyairline.com/viajar-con-bebes/</x:v>
      </x:c>
      <x:c r="B3912" s="1" t="str">
        <x:v>hasta que edad no pagan pasaje en avion los niños</x:v>
      </x:c>
      <x:c r="C3912" s="1" t="str">
        <x:v>per</x:v>
      </x:c>
      <x:c r="D3912" s="1" t="str">
        <x:v>Sin marca</x:v>
      </x:c>
      <x:c r="E3912" s="35" t="n">
        <x:v>1</x:v>
      </x:c>
      <x:c r="F3912" s="36"/>
      <x:c r="G3912" s="36" t="str">
        <x:f>IF(ISNUMBER(F3912),E3912*F3912,"")</x:f>
      </x:c>
      <x:c r="H3912" s="37"/>
      <x:c r="I3912" s="37"/>
      <x:c r="J3912" s="1" t="n">
        <x:f>IF(ISNUMBER(F3912),E3912,0)</x:f>
        <x:v>0</x:v>
      </x:c>
      <x:c r="K3912" s="1"/>
      <x:c r="L3912" s="1"/>
      <x:c r="M3912" s="1"/>
    </x:row>
    <x:row r="3913" ht="18.75" customHeight="1">
      <x:c r="A3913" s="1" t="str">
        <x:v>https://blog.skyairline.com/viajar-con-bebes/</x:v>
      </x:c>
      <x:c r="B3913" s="1" t="str">
        <x:v>hasta que edad no pagan pasaje los niños en avion</x:v>
      </x:c>
      <x:c r="C3913" s="1" t="str">
        <x:v>chl</x:v>
      </x:c>
      <x:c r="D3913" s="1" t="str">
        <x:v>Sin marca</x:v>
      </x:c>
      <x:c r="E3913" s="35" t="n">
        <x:v>1</x:v>
      </x:c>
      <x:c r="F3913" s="36"/>
      <x:c r="G3913" s="36" t="str">
        <x:f>IF(ISNUMBER(F3913),E3913*F3913,"")</x:f>
      </x:c>
      <x:c r="H3913" s="37"/>
      <x:c r="I3913" s="37"/>
      <x:c r="J3913" s="1" t="n">
        <x:f>IF(ISNUMBER(F3913),E3913,0)</x:f>
        <x:v>0</x:v>
      </x:c>
      <x:c r="K3913" s="1"/>
      <x:c r="L3913" s="1"/>
      <x:c r="M3913" s="1"/>
    </x:row>
    <x:row r="3914" ht="18.75" customHeight="1">
      <x:c r="A3914" s="1" t="str">
        <x:v>https://blog.skyairline.com/viajar-con-bebes/</x:v>
      </x:c>
      <x:c r="B3914" s="1" t="str">
        <x:v>hasta que edad no se paga pasaje en avion</x:v>
      </x:c>
      <x:c r="C3914" s="1" t="str">
        <x:v>per</x:v>
      </x:c>
      <x:c r="D3914" s="1" t="str">
        <x:v>Sin marca</x:v>
      </x:c>
      <x:c r="E3914" s="35" t="n">
        <x:v>1</x:v>
      </x:c>
      <x:c r="F3914" s="36"/>
      <x:c r="G3914" s="36" t="str">
        <x:f>IF(ISNUMBER(F3914),E3914*F3914,"")</x:f>
      </x:c>
      <x:c r="H3914" s="37"/>
      <x:c r="I3914" s="37"/>
      <x:c r="J3914" s="1" t="n">
        <x:f>IF(ISNUMBER(F3914),E3914,0)</x:f>
        <x:v>0</x:v>
      </x:c>
      <x:c r="K3914" s="1"/>
      <x:c r="L3914" s="1"/>
      <x:c r="M3914" s="1"/>
    </x:row>
    <x:row r="3915" ht="18.75" customHeight="1">
      <x:c r="A3915" s="1" t="str">
        <x:v>https://blog.skyairline.com/viajar-con-bebes/</x:v>
      </x:c>
      <x:c r="B3915" s="1" t="str">
        <x:v>los bebes pagan boleto de avion</x:v>
      </x:c>
      <x:c r="C3915" s="1" t="str">
        <x:v>per</x:v>
      </x:c>
      <x:c r="D3915" s="1" t="str">
        <x:v>Sin marca</x:v>
      </x:c>
      <x:c r="E3915" s="35" t="n">
        <x:v>1</x:v>
      </x:c>
      <x:c r="F3915" s="36"/>
      <x:c r="G3915" s="36" t="str">
        <x:f>IF(ISNUMBER(F3915),E3915*F3915,"")</x:f>
      </x:c>
      <x:c r="H3915" s="37"/>
      <x:c r="I3915" s="37"/>
      <x:c r="J3915" s="1" t="n">
        <x:f>IF(ISNUMBER(F3915),E3915,0)</x:f>
        <x:v>0</x:v>
      </x:c>
      <x:c r="K3915" s="1"/>
      <x:c r="L3915" s="1"/>
      <x:c r="M3915" s="1"/>
    </x:row>
    <x:row r="3916" ht="18.75" customHeight="1">
      <x:c r="A3916" s="1" t="str">
        <x:v>https://blog.skyairline.com/viajar-con-bebes/</x:v>
      </x:c>
      <x:c r="B3916" s="1" t="str">
        <x:v>los bebes pagan pasaje de avion</x:v>
      </x:c>
      <x:c r="C3916" s="1" t="str">
        <x:v>chl</x:v>
      </x:c>
      <x:c r="D3916" s="1" t="str">
        <x:v>Sin marca</x:v>
      </x:c>
      <x:c r="E3916" s="35" t="n">
        <x:v>1</x:v>
      </x:c>
      <x:c r="F3916" s="36"/>
      <x:c r="G3916" s="36" t="str">
        <x:f>IF(ISNUMBER(F3916),E3916*F3916,"")</x:f>
      </x:c>
      <x:c r="H3916" s="37"/>
      <x:c r="I3916" s="37"/>
      <x:c r="J3916" s="1" t="n">
        <x:f>IF(ISNUMBER(F3916),E3916,0)</x:f>
        <x:v>0</x:v>
      </x:c>
      <x:c r="K3916" s="1"/>
      <x:c r="L3916" s="1"/>
      <x:c r="M3916" s="1"/>
    </x:row>
    <x:row r="3917" ht="18.75" customHeight="1">
      <x:c r="A3917" s="1" t="str">
        <x:v>https://blog.skyairline.com/viajar-con-bebes/</x:v>
      </x:c>
      <x:c r="B3917" s="1" t="str">
        <x:v>los bebés pagan pasaje de avión</x:v>
      </x:c>
      <x:c r="C3917" s="1" t="str">
        <x:v>chl</x:v>
      </x:c>
      <x:c r="D3917" s="1" t="str">
        <x:v>Sin marca</x:v>
      </x:c>
      <x:c r="E3917" s="35" t="n">
        <x:v>1</x:v>
      </x:c>
      <x:c r="F3917" s="36"/>
      <x:c r="G3917" s="36" t="str">
        <x:f>IF(ISNUMBER(F3917),E3917*F3917,"")</x:f>
      </x:c>
      <x:c r="H3917" s="37"/>
      <x:c r="I3917" s="37"/>
      <x:c r="J3917" s="1" t="n">
        <x:f>IF(ISNUMBER(F3917),E3917,0)</x:f>
        <x:v>0</x:v>
      </x:c>
      <x:c r="K3917" s="1"/>
      <x:c r="L3917" s="1"/>
      <x:c r="M3917" s="1"/>
    </x:row>
    <x:row r="3918" ht="18.75" customHeight="1">
      <x:c r="A3918" s="1" t="str">
        <x:v>https://blog.skyairline.com/viajar-con-bebes/</x:v>
      </x:c>
      <x:c r="B3918" s="1" t="str">
        <x:v>los niños de 2 años pagan pasaje en avion</x:v>
      </x:c>
      <x:c r="C3918" s="1" t="str">
        <x:v>per</x:v>
      </x:c>
      <x:c r="D3918" s="1" t="str">
        <x:v>Sin marca</x:v>
      </x:c>
      <x:c r="E3918" s="35" t="n">
        <x:v>1</x:v>
      </x:c>
      <x:c r="F3918" s="36"/>
      <x:c r="G3918" s="36" t="str">
        <x:f>IF(ISNUMBER(F3918),E3918*F3918,"")</x:f>
      </x:c>
      <x:c r="H3918" s="37"/>
      <x:c r="I3918" s="37"/>
      <x:c r="J3918" s="1" t="n">
        <x:f>IF(ISNUMBER(F3918),E3918,0)</x:f>
        <x:v>0</x:v>
      </x:c>
      <x:c r="K3918" s="1"/>
      <x:c r="L3918" s="1"/>
      <x:c r="M3918" s="1"/>
    </x:row>
    <x:row r="3919" ht="18.75" customHeight="1">
      <x:c r="A3919" s="1" t="str">
        <x:v>https://blog.skyairline.com/viajar-con-bebes/</x:v>
      </x:c>
      <x:c r="B3919" s="1" t="str">
        <x:v>los niños de 3 años pagan pasaje en avion</x:v>
      </x:c>
      <x:c r="C3919" s="1" t="str">
        <x:v>per</x:v>
      </x:c>
      <x:c r="D3919" s="1" t="str">
        <x:v>Sin marca</x:v>
      </x:c>
      <x:c r="E3919" s="35" t="n">
        <x:v>1</x:v>
      </x:c>
      <x:c r="F3919" s="36"/>
      <x:c r="G3919" s="36" t="str">
        <x:f>IF(ISNUMBER(F3919),E3919*F3919,"")</x:f>
      </x:c>
      <x:c r="H3919" s="37"/>
      <x:c r="I3919" s="37"/>
      <x:c r="J3919" s="1" t="n">
        <x:f>IF(ISNUMBER(F3919),E3919,0)</x:f>
        <x:v>0</x:v>
      </x:c>
      <x:c r="K3919" s="1"/>
      <x:c r="L3919" s="1"/>
      <x:c r="M3919" s="1"/>
    </x:row>
    <x:row r="3920" ht="18.75" customHeight="1">
      <x:c r="A3920" s="1" t="str">
        <x:v>https://blog.skyairline.com/viajar-con-bebes/</x:v>
      </x:c>
      <x:c r="B3920" s="1" t="str">
        <x:v>los niños pagan pasaje en avion</x:v>
      </x:c>
      <x:c r="C3920" s="1" t="str">
        <x:v>chl</x:v>
      </x:c>
      <x:c r="D3920" s="1" t="str">
        <x:v>Sin marca</x:v>
      </x:c>
      <x:c r="E3920" s="35" t="n">
        <x:v>1</x:v>
      </x:c>
      <x:c r="F3920" s="36"/>
      <x:c r="G3920" s="36" t="str">
        <x:f>IF(ISNUMBER(F3920),E3920*F3920,"")</x:f>
      </x:c>
      <x:c r="H3920" s="37"/>
      <x:c r="I3920" s="37"/>
      <x:c r="J3920" s="1" t="n">
        <x:f>IF(ISNUMBER(F3920),E3920,0)</x:f>
        <x:v>0</x:v>
      </x:c>
      <x:c r="K3920" s="1"/>
      <x:c r="L3920" s="1"/>
      <x:c r="M3920" s="1"/>
    </x:row>
    <x:row r="3921" ht="18.75" customHeight="1">
      <x:c r="A3921" s="1" t="str">
        <x:v>https://blog.skyairline.com/viajar-con-bebes/</x:v>
      </x:c>
      <x:c r="B3921" s="1" t="str">
        <x:v>niños de 1 año pagan pasaje en avion</x:v>
      </x:c>
      <x:c r="C3921" s="1" t="str">
        <x:v>per</x:v>
      </x:c>
      <x:c r="D3921" s="1" t="str">
        <x:v>Sin marca</x:v>
      </x:c>
      <x:c r="E3921" s="35" t="n">
        <x:v>1</x:v>
      </x:c>
      <x:c r="F3921" s="36"/>
      <x:c r="G3921" s="36" t="str">
        <x:f>IF(ISNUMBER(F3921),E3921*F3921,"")</x:f>
      </x:c>
      <x:c r="H3921" s="37"/>
      <x:c r="I3921" s="37"/>
      <x:c r="J3921" s="1" t="n">
        <x:f>IF(ISNUMBER(F3921),E3921,0)</x:f>
        <x:v>0</x:v>
      </x:c>
      <x:c r="K3921" s="1"/>
      <x:c r="L3921" s="1"/>
      <x:c r="M3921" s="1"/>
    </x:row>
    <x:row r="3922" ht="18.75" customHeight="1">
      <x:c r="A3922" s="1" t="str">
        <x:v>https://blog.skyairline.com/viajar-con-bebes/</x:v>
      </x:c>
      <x:c r="B3922" s="1" t="str">
        <x:v>niños de 2 años pagan pasaje en avion</x:v>
      </x:c>
      <x:c r="C3922" s="1" t="str">
        <x:v>chl</x:v>
      </x:c>
      <x:c r="D3922" s="1" t="str">
        <x:v>Sin marca</x:v>
      </x:c>
      <x:c r="E3922" s="35" t="n">
        <x:v>1</x:v>
      </x:c>
      <x:c r="F3922" s="36"/>
      <x:c r="G3922" s="36" t="str">
        <x:f>IF(ISNUMBER(F3922),E3922*F3922,"")</x:f>
      </x:c>
      <x:c r="H3922" s="37"/>
      <x:c r="I3922" s="37"/>
      <x:c r="J3922" s="1" t="n">
        <x:f>IF(ISNUMBER(F3922),E3922,0)</x:f>
        <x:v>0</x:v>
      </x:c>
      <x:c r="K3922" s="1"/>
      <x:c r="L3922" s="1"/>
      <x:c r="M3922" s="1"/>
    </x:row>
    <x:row r="3923" ht="18.75" customHeight="1">
      <x:c r="A3923" s="1" t="str">
        <x:v>https://blog.skyairline.com/viajar-con-bebes/</x:v>
      </x:c>
      <x:c r="B3923" s="1" t="str">
        <x:v>niños de 2 años pagan pasaje en avion</x:v>
      </x:c>
      <x:c r="C3923" s="1" t="str">
        <x:v>per</x:v>
      </x:c>
      <x:c r="D3923" s="1" t="str">
        <x:v>Sin marca</x:v>
      </x:c>
      <x:c r="E3923" s="35" t="n">
        <x:v>1</x:v>
      </x:c>
      <x:c r="F3923" s="36"/>
      <x:c r="G3923" s="36" t="str">
        <x:f>IF(ISNUMBER(F3923),E3923*F3923,"")</x:f>
      </x:c>
      <x:c r="H3923" s="37"/>
      <x:c r="I3923" s="37"/>
      <x:c r="J3923" s="1" t="n">
        <x:f>IF(ISNUMBER(F3923),E3923,0)</x:f>
        <x:v>0</x:v>
      </x:c>
      <x:c r="K3923" s="1"/>
      <x:c r="L3923" s="1"/>
      <x:c r="M3923" s="1"/>
    </x:row>
    <x:row r="3924" ht="18.75" customHeight="1">
      <x:c r="A3924" s="1" t="str">
        <x:v>https://blog.skyairline.com/viajar-con-bebes/</x:v>
      </x:c>
      <x:c r="B3924" s="1" t="str">
        <x:v>niños de 3 años pagan pasaje en avion</x:v>
      </x:c>
      <x:c r="C3924" s="1" t="str">
        <x:v>per</x:v>
      </x:c>
      <x:c r="D3924" s="1" t="str">
        <x:v>Sin marca</x:v>
      </x:c>
      <x:c r="E3924" s="35" t="n">
        <x:v>1</x:v>
      </x:c>
      <x:c r="F3924" s="36"/>
      <x:c r="G3924" s="36" t="str">
        <x:f>IF(ISNUMBER(F3924),E3924*F3924,"")</x:f>
      </x:c>
      <x:c r="H3924" s="37"/>
      <x:c r="I3924" s="37"/>
      <x:c r="J3924" s="1" t="n">
        <x:f>IF(ISNUMBER(F3924),E3924,0)</x:f>
        <x:v>0</x:v>
      </x:c>
      <x:c r="K3924" s="1"/>
      <x:c r="L3924" s="1"/>
      <x:c r="M3924" s="1"/>
    </x:row>
    <x:row r="3925" ht="18.75" customHeight="1">
      <x:c r="A3925" s="1" t="str">
        <x:v>https://blog.skyairline.com/viajar-con-bebes/</x:v>
      </x:c>
      <x:c r="B3925" s="1" t="str">
        <x:v>niños de que edad pagan pasaje en avion</x:v>
      </x:c>
      <x:c r="C3925" s="1" t="str">
        <x:v>per</x:v>
      </x:c>
      <x:c r="D3925" s="1" t="str">
        <x:v>Sin marca</x:v>
      </x:c>
      <x:c r="E3925" s="35" t="n">
        <x:v>1</x:v>
      </x:c>
      <x:c r="F3925" s="36"/>
      <x:c r="G3925" s="36" t="str">
        <x:f>IF(ISNUMBER(F3925),E3925*F3925,"")</x:f>
      </x:c>
      <x:c r="H3925" s="37"/>
      <x:c r="I3925" s="37"/>
      <x:c r="J3925" s="1" t="n">
        <x:f>IF(ISNUMBER(F3925),E3925,0)</x:f>
        <x:v>0</x:v>
      </x:c>
      <x:c r="K3925" s="1"/>
      <x:c r="L3925" s="1"/>
      <x:c r="M3925" s="1"/>
    </x:row>
    <x:row r="3926" ht="18.75" customHeight="1">
      <x:c r="A3926" s="1" t="str">
        <x:v>https://blog.skyairline.com/viajar-con-bebes/</x:v>
      </x:c>
      <x:c r="B3926" s="1" t="str">
        <x:v>niños menores de 2 años pagan pasaje en avion</x:v>
      </x:c>
      <x:c r="C3926" s="1" t="str">
        <x:v>chl</x:v>
      </x:c>
      <x:c r="D3926" s="1" t="str">
        <x:v>Sin marca</x:v>
      </x:c>
      <x:c r="E3926" s="35" t="n">
        <x:v>1</x:v>
      </x:c>
      <x:c r="F3926" s="36"/>
      <x:c r="G3926" s="36" t="str">
        <x:f>IF(ISNUMBER(F3926),E3926*F3926,"")</x:f>
      </x:c>
      <x:c r="H3926" s="37"/>
      <x:c r="I3926" s="37"/>
      <x:c r="J3926" s="1" t="n">
        <x:f>IF(ISNUMBER(F3926),E3926,0)</x:f>
        <x:v>0</x:v>
      </x:c>
      <x:c r="K3926" s="1"/>
      <x:c r="L3926" s="1"/>
      <x:c r="M3926" s="1"/>
    </x:row>
    <x:row r="3927" ht="18.75" customHeight="1">
      <x:c r="A3927" s="1" t="str">
        <x:v>https://blog.skyairline.com/viajar-con-bebes/</x:v>
      </x:c>
      <x:c r="B3927" s="1" t="str">
        <x:v>se puede viajar con un bebe de 2 meses</x:v>
      </x:c>
      <x:c r="C3927" s="1" t="str">
        <x:v>chl</x:v>
      </x:c>
      <x:c r="D3927" s="1" t="str">
        <x:v>Sin marca</x:v>
      </x:c>
      <x:c r="E3927" s="35" t="n">
        <x:v>1</x:v>
      </x:c>
      <x:c r="F3927" s="36"/>
      <x:c r="G3927" s="36" t="str">
        <x:f>IF(ISNUMBER(F3927),E3927*F3927,"")</x:f>
      </x:c>
      <x:c r="H3927" s="37"/>
      <x:c r="I3927" s="37"/>
      <x:c r="J3927" s="1" t="n">
        <x:f>IF(ISNUMBER(F3927),E3927,0)</x:f>
        <x:v>0</x:v>
      </x:c>
      <x:c r="K3927" s="1"/>
      <x:c r="L3927" s="1"/>
      <x:c r="M3927" s="1"/>
    </x:row>
    <x:row r="3928" ht="18.75" customHeight="1">
      <x:c r="A3928" s="1" t="str">
        <x:v>https://blog.skyairline.com/viajar-con-bebes/</x:v>
      </x:c>
      <x:c r="B3928" s="1" t="str">
        <x:v>sky</x:v>
      </x:c>
      <x:c r="C3928" s="1" t="str">
        <x:v>per</x:v>
      </x:c>
      <x:c r="D3928" s="1" t="str">
        <x:v>Marca</x:v>
      </x:c>
      <x:c r="E3928" s="35" t="n">
        <x:v>1</x:v>
      </x:c>
      <x:c r="F3928" s="36" t="n">
        <x:v>0.16</x:v>
      </x:c>
      <x:c r="G3928" s="36" t="n">
        <x:f>IF(ISNUMBER(F3928),E3928*F3928,"")</x:f>
        <x:v>0.16</x:v>
      </x:c>
      <x:c r="H3928" s="37" t="d">
        <x:v>2026-10-15T00:00:00.000Z</x:v>
      </x:c>
      <x:c r="I3928" s="37" t="d">
        <x:v>2026-09-15T03:38:50.000Z</x:v>
      </x:c>
      <x:c r="J3928" s="1" t="n">
        <x:f>IF(ISNUMBER(F3928),E3928,0)</x:f>
        <x:v>1</x:v>
      </x:c>
      <x:c r="K3928" s="1"/>
      <x:c r="L3928" s="1"/>
      <x:c r="M3928" s="1"/>
    </x:row>
    <x:row r="3929" ht="18.75" customHeight="1">
      <x:c r="A3929" s="1" t="str">
        <x:v>https://blog.skyairline.com/viajar-con-bebes/</x:v>
      </x:c>
      <x:c r="B3929" s="1" t="str">
        <x:v>sky bebe</x:v>
      </x:c>
      <x:c r="C3929" s="1" t="str">
        <x:v>chl</x:v>
      </x:c>
      <x:c r="D3929" s="1" t="str">
        <x:v>Marca</x:v>
      </x:c>
      <x:c r="E3929" s="35" t="n">
        <x:v>1</x:v>
      </x:c>
      <x:c r="F3929" s="36"/>
      <x:c r="G3929" s="36" t="str">
        <x:f>IF(ISNUMBER(F3929),E3929*F3929,"")</x:f>
      </x:c>
      <x:c r="H3929" s="37"/>
      <x:c r="I3929" s="37"/>
      <x:c r="J3929" s="1" t="n">
        <x:f>IF(ISNUMBER(F3929),E3929,0)</x:f>
        <x:v>0</x:v>
      </x:c>
      <x:c r="K3929" s="1"/>
      <x:c r="L3929" s="1"/>
      <x:c r="M3929" s="1"/>
    </x:row>
    <x:row r="3930" ht="18.75" customHeight="1">
      <x:c r="A3930" s="1" t="str">
        <x:v>https://blog.skyairline.com/viajar-con-bebes/</x:v>
      </x:c>
      <x:c r="B3930" s="1" t="str">
        <x:v>un bebe de 1 año paga pasaje en avion</x:v>
      </x:c>
      <x:c r="C3930" s="1" t="str">
        <x:v>per</x:v>
      </x:c>
      <x:c r="D3930" s="1" t="str">
        <x:v>Sin marca</x:v>
      </x:c>
      <x:c r="E3930" s="35" t="n">
        <x:v>1</x:v>
      </x:c>
      <x:c r="F3930" s="36"/>
      <x:c r="G3930" s="36" t="str">
        <x:f>IF(ISNUMBER(F3930),E3930*F3930,"")</x:f>
      </x:c>
      <x:c r="H3930" s="37"/>
      <x:c r="I3930" s="37"/>
      <x:c r="J3930" s="1" t="n">
        <x:f>IF(ISNUMBER(F3930),E3930,0)</x:f>
        <x:v>0</x:v>
      </x:c>
      <x:c r="K3930" s="1"/>
      <x:c r="L3930" s="1"/>
      <x:c r="M3930" s="1"/>
    </x:row>
    <x:row r="3931" ht="18.75" customHeight="1">
      <x:c r="A3931" s="1" t="str">
        <x:v>https://blog.skyairline.com/viajar-con-bebes/</x:v>
      </x:c>
      <x:c r="B3931" s="1" t="str">
        <x:v>un bebe de 2 años paga pasaje en avion</x:v>
      </x:c>
      <x:c r="C3931" s="1" t="str">
        <x:v>per</x:v>
      </x:c>
      <x:c r="D3931" s="1" t="str">
        <x:v>Sin marca</x:v>
      </x:c>
      <x:c r="E3931" s="35" t="n">
        <x:v>1</x:v>
      </x:c>
      <x:c r="F3931" s="36"/>
      <x:c r="G3931" s="36" t="str">
        <x:f>IF(ISNUMBER(F3931),E3931*F3931,"")</x:f>
      </x:c>
      <x:c r="H3931" s="37"/>
      <x:c r="I3931" s="37"/>
      <x:c r="J3931" s="1" t="n">
        <x:f>IF(ISNUMBER(F3931),E3931,0)</x:f>
        <x:v>0</x:v>
      </x:c>
      <x:c r="K3931" s="1"/>
      <x:c r="L3931" s="1"/>
      <x:c r="M3931" s="1"/>
    </x:row>
    <x:row r="3932" ht="18.75" customHeight="1">
      <x:c r="A3932" s="1" t="str">
        <x:v>https://blog.skyairline.com/viajar-con-bebes/</x:v>
      </x:c>
      <x:c r="B3932" s="1" t="str">
        <x:v>un bebe de 6 meses paga pasaje en avion</x:v>
      </x:c>
      <x:c r="C3932" s="1" t="str">
        <x:v>per</x:v>
      </x:c>
      <x:c r="D3932" s="1" t="str">
        <x:v>Sin marca</x:v>
      </x:c>
      <x:c r="E3932" s="35" t="n">
        <x:v>1</x:v>
      </x:c>
      <x:c r="F3932" s="36"/>
      <x:c r="G3932" s="36" t="str">
        <x:f>IF(ISNUMBER(F3932),E3932*F3932,"")</x:f>
      </x:c>
      <x:c r="H3932" s="37"/>
      <x:c r="I3932" s="37"/>
      <x:c r="J3932" s="1" t="n">
        <x:f>IF(ISNUMBER(F3932),E3932,0)</x:f>
        <x:v>0</x:v>
      </x:c>
      <x:c r="K3932" s="1"/>
      <x:c r="L3932" s="1"/>
      <x:c r="M3932" s="1"/>
    </x:row>
    <x:row r="3933" ht="18.75" customHeight="1">
      <x:c r="A3933" s="1" t="str">
        <x:v>https://blog.skyairline.com/viajar-con-bebes/</x:v>
      </x:c>
      <x:c r="B3933" s="1" t="str">
        <x:v>un bebe paga pasaje de avion</x:v>
      </x:c>
      <x:c r="C3933" s="1" t="str">
        <x:v>per</x:v>
      </x:c>
      <x:c r="D3933" s="1" t="str">
        <x:v>Sin marca</x:v>
      </x:c>
      <x:c r="E3933" s="35" t="n">
        <x:v>1</x:v>
      </x:c>
      <x:c r="F3933" s="36"/>
      <x:c r="G3933" s="36" t="str">
        <x:f>IF(ISNUMBER(F3933),E3933*F3933,"")</x:f>
      </x:c>
      <x:c r="H3933" s="37"/>
      <x:c r="I3933" s="37"/>
      <x:c r="J3933" s="1" t="n">
        <x:f>IF(ISNUMBER(F3933),E3933,0)</x:f>
        <x:v>0</x:v>
      </x:c>
      <x:c r="K3933" s="1"/>
      <x:c r="L3933" s="1"/>
      <x:c r="M3933" s="1"/>
    </x:row>
    <x:row r="3934" ht="18.75" customHeight="1">
      <x:c r="A3934" s="1" t="str">
        <x:v>https://blog.skyairline.com/viajar-con-bebes/</x:v>
      </x:c>
      <x:c r="B3934" s="1" t="str">
        <x:v>viajar con bebe en avion</x:v>
      </x:c>
      <x:c r="C3934" s="1" t="str">
        <x:v>chl</x:v>
      </x:c>
      <x:c r="D3934" s="1" t="str">
        <x:v>Sin marca</x:v>
      </x:c>
      <x:c r="E3934" s="35" t="n">
        <x:v>1</x:v>
      </x:c>
      <x:c r="F3934" s="36" t="n">
        <x:v>0.53</x:v>
      </x:c>
      <x:c r="G3934" s="36" t="n">
        <x:f>IF(ISNUMBER(F3934),E3934*F3934,"")</x:f>
        <x:v>0.53</x:v>
      </x:c>
      <x:c r="H3934" s="37" t="d">
        <x:v>2026-10-15T00:00:00.000Z</x:v>
      </x:c>
      <x:c r="I3934" s="37" t="d">
        <x:v>2026-09-15T06:13:10.000Z</x:v>
      </x:c>
      <x:c r="J3934" s="1" t="n">
        <x:f>IF(ISNUMBER(F3934),E3934,0)</x:f>
        <x:v>1</x:v>
      </x:c>
      <x:c r="K3934" s="1"/>
      <x:c r="L3934" s="1"/>
      <x:c r="M3934" s="1"/>
    </x:row>
    <x:row r="3935" ht="18.75" customHeight="1">
      <x:c r="A3935" s="1" t="str">
        <x:v>https://blog.skyairline.com/viajar-con-perros/</x:v>
      </x:c>
      <x:c r="B3935" s="1" t="str">
        <x:v>aerolineas que aceptan mascotas en cabina</x:v>
      </x:c>
      <x:c r="C3935" s="1" t="str">
        <x:v>chl</x:v>
      </x:c>
      <x:c r="D3935" s="1" t="str">
        <x:v>Sin marca</x:v>
      </x:c>
      <x:c r="E3935" s="35" t="n">
        <x:v>1</x:v>
      </x:c>
      <x:c r="F3935" s="36"/>
      <x:c r="G3935" s="36" t="str">
        <x:f>IF(ISNUMBER(F3935),E3935*F3935,"")</x:f>
      </x:c>
      <x:c r="H3935" s="37"/>
      <x:c r="I3935" s="37"/>
      <x:c r="J3935" s="1" t="n">
        <x:f>IF(ISNUMBER(F3935),E3935,0)</x:f>
        <x:v>0</x:v>
      </x:c>
      <x:c r="K3935" s="1"/>
      <x:c r="L3935" s="1"/>
      <x:c r="M3935" s="1"/>
    </x:row>
    <x:row r="3936" ht="18.75" customHeight="1">
      <x:c r="A3936" s="1" t="str">
        <x:v>https://blog.skyairline.com/viajar-con-perros/</x:v>
      </x:c>
      <x:c r="B3936" s="1" t="str">
        <x:v>aerolíneas que aceptan mascotas</x:v>
      </x:c>
      <x:c r="C3936" s="1" t="str">
        <x:v>chl</x:v>
      </x:c>
      <x:c r="D3936" s="1" t="str">
        <x:v>Sin marca</x:v>
      </x:c>
      <x:c r="E3936" s="35" t="n">
        <x:v>1</x:v>
      </x:c>
      <x:c r="F3936" s="36"/>
      <x:c r="G3936" s="36" t="str">
        <x:f>IF(ISNUMBER(F3936),E3936*F3936,"")</x:f>
      </x:c>
      <x:c r="H3936" s="37"/>
      <x:c r="I3936" s="37"/>
      <x:c r="J3936" s="1" t="n">
        <x:f>IF(ISNUMBER(F3936),E3936,0)</x:f>
        <x:v>0</x:v>
      </x:c>
      <x:c r="K3936" s="1"/>
      <x:c r="L3936" s="1"/>
      <x:c r="M3936" s="1"/>
    </x:row>
    <x:row r="3937" ht="18.75" customHeight="1">
      <x:c r="A3937" s="1" t="str">
        <x:v>https://blog.skyairline.com/viajar-con-perros/</x:v>
      </x:c>
      <x:c r="B3937" s="1" t="str">
        <x:v>aerolíneas que permiten viajar con perros en cabina</x:v>
      </x:c>
      <x:c r="C3937" s="1" t="str">
        <x:v>chl</x:v>
      </x:c>
      <x:c r="D3937" s="1" t="str">
        <x:v>Sin marca</x:v>
      </x:c>
      <x:c r="E3937" s="35" t="n">
        <x:v>1</x:v>
      </x:c>
      <x:c r="F3937" s="36" t="n">
        <x:v>0.12</x:v>
      </x:c>
      <x:c r="G3937" s="36" t="n">
        <x:f>IF(ISNUMBER(F3937),E3937*F3937,"")</x:f>
        <x:v>0.12</x:v>
      </x:c>
      <x:c r="H3937" s="37" t="d">
        <x:v>2026-10-15T00:00:00.000Z</x:v>
      </x:c>
      <x:c r="I3937" s="37" t="d">
        <x:v>2026-09-14T15:47:18.000Z</x:v>
      </x:c>
      <x:c r="J3937" s="1" t="n">
        <x:f>IF(ISNUMBER(F3937),E3937,0)</x:f>
        <x:v>1</x:v>
      </x:c>
      <x:c r="K3937" s="1"/>
      <x:c r="L3937" s="1"/>
      <x:c r="M3937" s="1"/>
    </x:row>
    <x:row r="3938" ht="18.75" customHeight="1">
      <x:c r="A3938" s="1" t="str">
        <x:v>https://blog.skyairline.com/viajar-con-perros/</x:v>
      </x:c>
      <x:c r="B3938" s="1" t="str">
        <x:v>avion perros</x:v>
      </x:c>
      <x:c r="C3938" s="1" t="str">
        <x:v>chl</x:v>
      </x:c>
      <x:c r="D3938" s="1" t="str">
        <x:v>Sin marca</x:v>
      </x:c>
      <x:c r="E3938" s="35" t="n">
        <x:v>1</x:v>
      </x:c>
      <x:c r="F3938" s="36"/>
      <x:c r="G3938" s="36" t="str">
        <x:f>IF(ISNUMBER(F3938),E3938*F3938,"")</x:f>
      </x:c>
      <x:c r="H3938" s="37"/>
      <x:c r="I3938" s="37"/>
      <x:c r="J3938" s="1" t="n">
        <x:f>IF(ISNUMBER(F3938),E3938,0)</x:f>
        <x:v>0</x:v>
      </x:c>
      <x:c r="K3938" s="1"/>
      <x:c r="L3938" s="1"/>
      <x:c r="M3938" s="1"/>
    </x:row>
    <x:row r="3939" ht="18.75" customHeight="1">
      <x:c r="A3939" s="1" t="str">
        <x:v>https://blog.skyairline.com/viajar-con-perros/</x:v>
      </x:c>
      <x:c r="B3939" s="1" t="str">
        <x:v>bodega</x:v>
      </x:c>
      <x:c r="C3939" s="1" t="str">
        <x:v>chl</x:v>
      </x:c>
      <x:c r="D3939" s="1" t="str">
        <x:v>Sin marca</x:v>
      </x:c>
      <x:c r="E3939" s="35" t="n">
        <x:v>1</x:v>
      </x:c>
      <x:c r="F3939" s="36" t="n">
        <x:v>0.68</x:v>
      </x:c>
      <x:c r="G3939" s="36" t="n">
        <x:f>IF(ISNUMBER(F3939),E3939*F3939,"")</x:f>
        <x:v>0.68</x:v>
      </x:c>
      <x:c r="H3939" s="37" t="d">
        <x:v>2026-10-15T00:00:00.000Z</x:v>
      </x:c>
      <x:c r="I3939" s="37" t="d">
        <x:v>2026-09-13T13:40:59.000Z</x:v>
      </x:c>
      <x:c r="J3939" s="1" t="n">
        <x:f>IF(ISNUMBER(F3939),E3939,0)</x:f>
        <x:v>1</x:v>
      </x:c>
      <x:c r="K3939" s="1"/>
      <x:c r="L3939" s="1"/>
      <x:c r="M3939" s="1"/>
    </x:row>
    <x:row r="3940" ht="18.75" customHeight="1">
      <x:c r="A3940" s="1" t="str">
        <x:v>https://blog.skyairline.com/viajar-con-perros/</x:v>
      </x:c>
      <x:c r="B3940" s="1" t="str">
        <x:v>como llevar mascotas en avion</x:v>
      </x:c>
      <x:c r="C3940" s="1" t="str">
        <x:v>chl</x:v>
      </x:c>
      <x:c r="D3940" s="1" t="str">
        <x:v>Sin marca</x:v>
      </x:c>
      <x:c r="E3940" s="35" t="n">
        <x:v>1</x:v>
      </x:c>
      <x:c r="F3940" s="36" t="n">
        <x:v>0.73</x:v>
      </x:c>
      <x:c r="G3940" s="36" t="n">
        <x:f>IF(ISNUMBER(F3940),E3940*F3940,"")</x:f>
        <x:v>0.73</x:v>
      </x:c>
      <x:c r="H3940" s="37" t="d">
        <x:v>2026-10-15T00:00:00.000Z</x:v>
      </x:c>
      <x:c r="I3940" s="37" t="d">
        <x:v>2026-09-16T14:53:01.999Z</x:v>
      </x:c>
      <x:c r="J3940" s="1" t="n">
        <x:f>IF(ISNUMBER(F3940),E3940,0)</x:f>
        <x:v>1</x:v>
      </x:c>
      <x:c r="K3940" s="1"/>
      <x:c r="L3940" s="1"/>
      <x:c r="M3940" s="1"/>
    </x:row>
    <x:row r="3941" ht="18.75" customHeight="1">
      <x:c r="A3941" s="1" t="str">
        <x:v>https://blog.skyairline.com/viajar-con-perros/</x:v>
      </x:c>
      <x:c r="B3941" s="1" t="str">
        <x:v>como viajar con un perro en avion</x:v>
      </x:c>
      <x:c r="C3941" s="1" t="str">
        <x:v>chl</x:v>
      </x:c>
      <x:c r="D3941" s="1" t="str">
        <x:v>Sin marca</x:v>
      </x:c>
      <x:c r="E3941" s="35" t="n">
        <x:v>1</x:v>
      </x:c>
      <x:c r="F3941" s="36" t="n">
        <x:v>0.29</x:v>
      </x:c>
      <x:c r="G3941" s="36" t="n">
        <x:f>IF(ISNUMBER(F3941),E3941*F3941,"")</x:f>
        <x:v>0.29</x:v>
      </x:c>
      <x:c r="H3941" s="37" t="d">
        <x:v>2026-10-15T00:00:00.000Z</x:v>
      </x:c>
      <x:c r="I3941" s="37" t="d">
        <x:v>2026-09-16T04:24:51.000Z</x:v>
      </x:c>
      <x:c r="J3941" s="1" t="n">
        <x:f>IF(ISNUMBER(F3941),E3941,0)</x:f>
        <x:v>1</x:v>
      </x:c>
      <x:c r="K3941" s="1"/>
      <x:c r="L3941" s="1"/>
      <x:c r="M3941" s="1"/>
    </x:row>
    <x:row r="3942" ht="18.75" customHeight="1">
      <x:c r="A3942" s="1" t="str">
        <x:v>https://blog.skyairline.com/viajar-con-perros/</x:v>
      </x:c>
      <x:c r="B3942" s="1" t="str">
        <x:v>en cabina</x:v>
      </x:c>
      <x:c r="C3942" s="1" t="str">
        <x:v>per</x:v>
      </x:c>
      <x:c r="D3942" s="1" t="str">
        <x:v>Sin marca</x:v>
      </x:c>
      <x:c r="E3942" s="35" t="n">
        <x:v>1</x:v>
      </x:c>
      <x:c r="F3942" s="36"/>
      <x:c r="G3942" s="36" t="str">
        <x:f>IF(ISNUMBER(F3942),E3942*F3942,"")</x:f>
      </x:c>
      <x:c r="H3942" s="37"/>
      <x:c r="I3942" s="37"/>
      <x:c r="J3942" s="1" t="n">
        <x:f>IF(ISNUMBER(F3942),E3942,0)</x:f>
        <x:v>0</x:v>
      </x:c>
      <x:c r="K3942" s="1"/>
      <x:c r="L3942" s="1"/>
      <x:c r="M3942" s="1"/>
    </x:row>
    <x:row r="3943" ht="18.75" customHeight="1">
      <x:c r="A3943" s="1" t="str">
        <x:v>https://blog.skyairline.com/viajar-con-perros/</x:v>
      </x:c>
      <x:c r="B3943" s="1" t="str">
        <x:v>en perú</x:v>
      </x:c>
      <x:c r="C3943" s="1" t="str">
        <x:v>per</x:v>
      </x:c>
      <x:c r="D3943" s="1" t="str">
        <x:v>Sin marca</x:v>
      </x:c>
      <x:c r="E3943" s="35" t="n">
        <x:v>1</x:v>
      </x:c>
      <x:c r="F3943" s="36"/>
      <x:c r="G3943" s="36" t="str">
        <x:f>IF(ISNUMBER(F3943),E3943*F3943,"")</x:f>
      </x:c>
      <x:c r="H3943" s="37" t="d">
        <x:v>2026-10-15T00:00:00.000Z</x:v>
      </x:c>
      <x:c r="I3943" s="37" t="d">
        <x:v>2026-09-14T19:41:02.999Z</x:v>
      </x:c>
      <x:c r="J3943" s="1" t="n">
        <x:f>IF(ISNUMBER(F3943),E3943,0)</x:f>
        <x:v>0</x:v>
      </x:c>
      <x:c r="K3943" s="1"/>
      <x:c r="L3943" s="1"/>
      <x:c r="M3943" s="1"/>
    </x:row>
    <x:row r="3944" ht="18.75" customHeight="1">
      <x:c r="A3944" s="1" t="str">
        <x:v>https://blog.skyairline.com/viajar-con-perros/</x:v>
      </x:c>
      <x:c r="B3944" s="1" t="str">
        <x:v>en pesos chilenos</x:v>
      </x:c>
      <x:c r="C3944" s="1" t="str">
        <x:v>chl</x:v>
      </x:c>
      <x:c r="D3944" s="1" t="str">
        <x:v>Sin marca</x:v>
      </x:c>
      <x:c r="E3944" s="35" t="n">
        <x:v>1</x:v>
      </x:c>
      <x:c r="F3944" s="36"/>
      <x:c r="G3944" s="36" t="str">
        <x:f>IF(ISNUMBER(F3944),E3944*F3944,"")</x:f>
      </x:c>
      <x:c r="H3944" s="37"/>
      <x:c r="I3944" s="37"/>
      <x:c r="J3944" s="1" t="n">
        <x:f>IF(ISNUMBER(F3944),E3944,0)</x:f>
        <x:v>0</x:v>
      </x:c>
      <x:c r="K3944" s="1"/>
      <x:c r="L3944" s="1"/>
      <x:c r="M3944" s="1"/>
    </x:row>
    <x:row r="3945" ht="18.75" customHeight="1">
      <x:c r="A3945" s="1" t="str">
        <x:v>https://blog.skyairline.com/viajar-con-perros/</x:v>
      </x:c>
      <x:c r="B3945" s="1" t="str">
        <x:v>mascotas sky</x:v>
      </x:c>
      <x:c r="C3945" s="1" t="str">
        <x:v>chl</x:v>
      </x:c>
      <x:c r="D3945" s="1" t="str">
        <x:v>Marca</x:v>
      </x:c>
      <x:c r="E3945" s="35" t="n">
        <x:v>1</x:v>
      </x:c>
      <x:c r="F3945" s="36"/>
      <x:c r="G3945" s="36" t="str">
        <x:f>IF(ISNUMBER(F3945),E3945*F3945,"")</x:f>
      </x:c>
      <x:c r="H3945" s="37" t="d">
        <x:v>2026-10-15T00:00:00.000Z</x:v>
      </x:c>
      <x:c r="I3945" s="37" t="d">
        <x:v>2026-09-16T09:56:50.000Z</x:v>
      </x:c>
      <x:c r="J3945" s="1" t="n">
        <x:f>IF(ISNUMBER(F3945),E3945,0)</x:f>
        <x:v>0</x:v>
      </x:c>
      <x:c r="K3945" s="1"/>
      <x:c r="L3945" s="1"/>
      <x:c r="M3945" s="1"/>
    </x:row>
    <x:row r="3946" ht="18.75" customHeight="1">
      <x:c r="A3946" s="1" t="str">
        <x:v>https://blog.skyairline.com/viajar-con-perros/</x:v>
      </x:c>
      <x:c r="B3946" s="1" t="str">
        <x:v>mascotas sky</x:v>
      </x:c>
      <x:c r="C3946" s="1" t="str">
        <x:v>per</x:v>
      </x:c>
      <x:c r="D3946" s="1" t="str">
        <x:v>Marca</x:v>
      </x:c>
      <x:c r="E3946" s="35" t="n">
        <x:v>1</x:v>
      </x:c>
      <x:c r="F3946" s="36"/>
      <x:c r="G3946" s="36" t="str">
        <x:f>IF(ISNUMBER(F3946),E3946*F3946,"")</x:f>
      </x:c>
      <x:c r="H3946" s="37" t="d">
        <x:v>2026-10-15T00:00:00.000Z</x:v>
      </x:c>
      <x:c r="I3946" s="37" t="d">
        <x:v>2026-09-13T15:44:36.000Z</x:v>
      </x:c>
      <x:c r="J3946" s="1" t="n">
        <x:f>IF(ISNUMBER(F3946),E3946,0)</x:f>
        <x:v>0</x:v>
      </x:c>
      <x:c r="K3946" s="1"/>
      <x:c r="L3946" s="1"/>
      <x:c r="M3946" s="1"/>
    </x:row>
    <x:row r="3947" ht="18.75" customHeight="1">
      <x:c r="A3947" s="1" t="str">
        <x:v>https://blog.skyairline.com/viajar-con-perros/</x:v>
      </x:c>
      <x:c r="B3947" s="1" t="str">
        <x:v>medidas canil sky</x:v>
      </x:c>
      <x:c r="C3947" s="1" t="str">
        <x:v>chl</x:v>
      </x:c>
      <x:c r="D3947" s="1" t="str">
        <x:v>Marca</x:v>
      </x:c>
      <x:c r="E3947" s="35" t="n">
        <x:v>1</x:v>
      </x:c>
      <x:c r="F3947" s="36"/>
      <x:c r="G3947" s="36" t="str">
        <x:f>IF(ISNUMBER(F3947),E3947*F3947,"")</x:f>
      </x:c>
      <x:c r="H3947" s="37" t="d">
        <x:v>2026-10-15T00:00:00.000Z</x:v>
      </x:c>
      <x:c r="I3947" s="37" t="d">
        <x:v>2026-09-16T03:51:27.000Z</x:v>
      </x:c>
      <x:c r="J3947" s="1" t="n">
        <x:f>IF(ISNUMBER(F3947),E3947,0)</x:f>
        <x:v>0</x:v>
      </x:c>
      <x:c r="K3947" s="1"/>
      <x:c r="L3947" s="1"/>
      <x:c r="M3947" s="1"/>
    </x:row>
    <x:row r="3948" ht="18.75" customHeight="1">
      <x:c r="A3948" s="1" t="str">
        <x:v>https://blog.skyairline.com/viajar-con-perros/</x:v>
      </x:c>
      <x:c r="B3948" s="1" t="str">
        <x:v>requisitos para viajar en avion con un perro</x:v>
      </x:c>
      <x:c r="C3948" s="1" t="str">
        <x:v>chl</x:v>
      </x:c>
      <x:c r="D3948" s="1" t="str">
        <x:v>Sin marca</x:v>
      </x:c>
      <x:c r="E3948" s="35" t="n">
        <x:v>1</x:v>
      </x:c>
      <x:c r="F3948" s="36"/>
      <x:c r="G3948" s="36" t="str">
        <x:f>IF(ISNUMBER(F3948),E3948*F3948,"")</x:f>
      </x:c>
      <x:c r="H3948" s="37" t="d">
        <x:v>2026-10-15T00:00:00.000Z</x:v>
      </x:c>
      <x:c r="I3948" s="37" t="d">
        <x:v>2026-09-15T14:45:35.000Z</x:v>
      </x:c>
      <x:c r="J3948" s="1" t="n">
        <x:f>IF(ISNUMBER(F3948),E3948,0)</x:f>
        <x:v>0</x:v>
      </x:c>
      <x:c r="K3948" s="1"/>
      <x:c r="L3948" s="1"/>
      <x:c r="M3948" s="1"/>
    </x:row>
    <x:row r="3949" ht="18.75" customHeight="1">
      <x:c r="A3949" s="1" t="str">
        <x:v>https://blog.skyairline.com/viajar-con-perros/</x:v>
      </x:c>
      <x:c r="B3949" s="1" t="str">
        <x:v>se puede viajar con perro en avion</x:v>
      </x:c>
      <x:c r="C3949" s="1" t="str">
        <x:v>chl</x:v>
      </x:c>
      <x:c r="D3949" s="1" t="str">
        <x:v>Sin marca</x:v>
      </x:c>
      <x:c r="E3949" s="35" t="n">
        <x:v>1</x:v>
      </x:c>
      <x:c r="F3949" s="36"/>
      <x:c r="G3949" s="36" t="str">
        <x:f>IF(ISNUMBER(F3949),E3949*F3949,"")</x:f>
      </x:c>
      <x:c r="H3949" s="37" t="d">
        <x:v>2026-10-15T00:00:00.000Z</x:v>
      </x:c>
      <x:c r="I3949" s="37" t="d">
        <x:v>2026-09-14T02:25:49.000Z</x:v>
      </x:c>
      <x:c r="J3949" s="1" t="n">
        <x:f>IF(ISNUMBER(F3949),E3949,0)</x:f>
        <x:v>0</x:v>
      </x:c>
      <x:c r="K3949" s="1"/>
      <x:c r="L3949" s="1"/>
      <x:c r="M3949" s="1"/>
    </x:row>
    <x:row r="3950" ht="18.75" customHeight="1">
      <x:c r="A3950" s="1" t="str">
        <x:v>https://blog.skyairline.com/viajar-con-perros/</x:v>
      </x:c>
      <x:c r="B3950" s="1" t="str">
        <x:v>sky</x:v>
      </x:c>
      <x:c r="C3950" s="1" t="str">
        <x:v>per</x:v>
      </x:c>
      <x:c r="D3950" s="1" t="str">
        <x:v>Marca</x:v>
      </x:c>
      <x:c r="E3950" s="35" t="n">
        <x:v>1</x:v>
      </x:c>
      <x:c r="F3950" s="36" t="n">
        <x:v>0.16</x:v>
      </x:c>
      <x:c r="G3950" s="36" t="n">
        <x:f>IF(ISNUMBER(F3950),E3950*F3950,"")</x:f>
        <x:v>0.16</x:v>
      </x:c>
      <x:c r="H3950" s="37" t="d">
        <x:v>2026-10-15T00:00:00.000Z</x:v>
      </x:c>
      <x:c r="I3950" s="37" t="d">
        <x:v>2026-09-15T03:38:50.000Z</x:v>
      </x:c>
      <x:c r="J3950" s="1" t="n">
        <x:f>IF(ISNUMBER(F3950),E3950,0)</x:f>
        <x:v>1</x:v>
      </x:c>
      <x:c r="K3950" s="1"/>
      <x:c r="L3950" s="1"/>
      <x:c r="M3950" s="1"/>
    </x:row>
    <x:row r="3951" ht="18.75" customHeight="1">
      <x:c r="A3951" s="1" t="str">
        <x:v>https://blog.skyairline.com/viajar-con-perros/</x:v>
      </x:c>
      <x:c r="B3951" s="1" t="str">
        <x:v>sky airline mascotas</x:v>
      </x:c>
      <x:c r="C3951" s="1" t="str">
        <x:v>arg</x:v>
      </x:c>
      <x:c r="D3951" s="1" t="str">
        <x:v>Marca</x:v>
      </x:c>
      <x:c r="E3951" s="35" t="n">
        <x:v>1</x:v>
      </x:c>
      <x:c r="F3951" s="36"/>
      <x:c r="G3951" s="36" t="str">
        <x:f>IF(ISNUMBER(F3951),E3951*F3951,"")</x:f>
      </x:c>
      <x:c r="H3951" s="37"/>
      <x:c r="I3951" s="37"/>
      <x:c r="J3951" s="1" t="n">
        <x:f>IF(ISNUMBER(F3951),E3951,0)</x:f>
        <x:v>0</x:v>
      </x:c>
      <x:c r="K3951" s="1"/>
      <x:c r="L3951" s="1"/>
      <x:c r="M3951" s="1"/>
    </x:row>
    <x:row r="3952" ht="18.75" customHeight="1">
      <x:c r="A3952" s="1" t="str">
        <x:v>https://blog.skyairline.com/viajar-con-perros/</x:v>
      </x:c>
      <x:c r="B3952" s="1" t="str">
        <x:v>sky airline mascotas</x:v>
      </x:c>
      <x:c r="C3952" s="1" t="str">
        <x:v>col</x:v>
      </x:c>
      <x:c r="D3952" s="1" t="str">
        <x:v>Marca</x:v>
      </x:c>
      <x:c r="E3952" s="35" t="n">
        <x:v>1</x:v>
      </x:c>
      <x:c r="F3952" s="36"/>
      <x:c r="G3952" s="36" t="str">
        <x:f>IF(ISNUMBER(F3952),E3952*F3952,"")</x:f>
      </x:c>
      <x:c r="H3952" s="37"/>
      <x:c r="I3952" s="37"/>
      <x:c r="J3952" s="1" t="n">
        <x:f>IF(ISNUMBER(F3952),E3952,0)</x:f>
        <x:v>0</x:v>
      </x:c>
      <x:c r="K3952" s="1"/>
      <x:c r="L3952" s="1"/>
      <x:c r="M3952" s="1"/>
    </x:row>
    <x:row r="3953" ht="18.75" customHeight="1">
      <x:c r="A3953" s="1" t="str">
        <x:v>https://blog.skyairline.com/viajar-con-perros/</x:v>
      </x:c>
      <x:c r="B3953" s="1" t="str">
        <x:v>sky airlines mascotas</x:v>
      </x:c>
      <x:c r="C3953" s="1" t="str">
        <x:v>per</x:v>
      </x:c>
      <x:c r="D3953" s="1" t="str">
        <x:v>Marca</x:v>
      </x:c>
      <x:c r="E3953" s="35" t="n">
        <x:v>1</x:v>
      </x:c>
      <x:c r="F3953" s="36"/>
      <x:c r="G3953" s="36" t="str">
        <x:f>IF(ISNUMBER(F3953),E3953*F3953,"")</x:f>
      </x:c>
      <x:c r="H3953" s="37"/>
      <x:c r="I3953" s="37"/>
      <x:c r="J3953" s="1" t="n">
        <x:f>IF(ISNUMBER(F3953),E3953,0)</x:f>
        <x:v>0</x:v>
      </x:c>
      <x:c r="K3953" s="1"/>
      <x:c r="L3953" s="1"/>
      <x:c r="M3953" s="1"/>
    </x:row>
    <x:row r="3954" ht="18.75" customHeight="1">
      <x:c r="A3954" s="1" t="str">
        <x:v>https://blog.skyairline.com/viajar-con-perros/</x:v>
      </x:c>
      <x:c r="B3954" s="1" t="str">
        <x:v>sky cachorro</x:v>
      </x:c>
      <x:c r="C3954" s="1" t="str">
        <x:v>chl</x:v>
      </x:c>
      <x:c r="D3954" s="1" t="str">
        <x:v>Marca</x:v>
      </x:c>
      <x:c r="E3954" s="35" t="n">
        <x:v>1</x:v>
      </x:c>
      <x:c r="F3954" s="36"/>
      <x:c r="G3954" s="36" t="str">
        <x:f>IF(ISNUMBER(F3954),E3954*F3954,"")</x:f>
      </x:c>
      <x:c r="H3954" s="37"/>
      <x:c r="I3954" s="37"/>
      <x:c r="J3954" s="1" t="n">
        <x:f>IF(ISNUMBER(F3954),E3954,0)</x:f>
        <x:v>0</x:v>
      </x:c>
      <x:c r="K3954" s="1"/>
      <x:c r="L3954" s="1"/>
      <x:c r="M3954" s="1"/>
    </x:row>
    <x:row r="3955" ht="18.75" customHeight="1">
      <x:c r="A3955" s="1" t="str">
        <x:v>https://blog.skyairline.com/viajar-con-perros/</x:v>
      </x:c>
      <x:c r="B3955" s="1" t="str">
        <x:v>sky mascotas</x:v>
      </x:c>
      <x:c r="C3955" s="1" t="str">
        <x:v>deu</x:v>
      </x:c>
      <x:c r="D3955" s="1" t="str">
        <x:v>Marca</x:v>
      </x:c>
      <x:c r="E3955" s="35" t="n">
        <x:v>1</x:v>
      </x:c>
      <x:c r="F3955" s="36"/>
      <x:c r="G3955" s="36" t="str">
        <x:f>IF(ISNUMBER(F3955),E3955*F3955,"")</x:f>
      </x:c>
      <x:c r="H3955" s="37"/>
      <x:c r="I3955" s="37"/>
      <x:c r="J3955" s="1" t="n">
        <x:f>IF(ISNUMBER(F3955),E3955,0)</x:f>
        <x:v>0</x:v>
      </x:c>
      <x:c r="K3955" s="1"/>
      <x:c r="L3955" s="1"/>
      <x:c r="M3955" s="1"/>
    </x:row>
    <x:row r="3956" ht="18.75" customHeight="1">
      <x:c r="A3956" s="1" t="str">
        <x:v>https://blog.skyairline.com/viajar-con-perros/</x:v>
      </x:c>
      <x:c r="B3956" s="1" t="str">
        <x:v>sky mascotas</x:v>
      </x:c>
      <x:c r="C3956" s="1" t="str">
        <x:v>ury</x:v>
      </x:c>
      <x:c r="D3956" s="1" t="str">
        <x:v>Marca</x:v>
      </x:c>
      <x:c r="E3956" s="35" t="n">
        <x:v>1</x:v>
      </x:c>
      <x:c r="F3956" s="36"/>
      <x:c r="G3956" s="36" t="str">
        <x:f>IF(ISNUMBER(F3956),E3956*F3956,"")</x:f>
      </x:c>
      <x:c r="H3956" s="37"/>
      <x:c r="I3956" s="37"/>
      <x:c r="J3956" s="1" t="n">
        <x:f>IF(ISNUMBER(F3956),E3956,0)</x:f>
        <x:v>0</x:v>
      </x:c>
      <x:c r="K3956" s="1"/>
      <x:c r="L3956" s="1"/>
      <x:c r="M3956" s="1"/>
    </x:row>
    <x:row r="3957" ht="18.75" customHeight="1">
      <x:c r="A3957" s="1" t="str">
        <x:v>https://blog.skyairline.com/viajar-con-perros/</x:v>
      </x:c>
      <x:c r="B3957" s="1" t="str">
        <x:v>sky mascotas precio</x:v>
      </x:c>
      <x:c r="C3957" s="1" t="str">
        <x:v>chl</x:v>
      </x:c>
      <x:c r="D3957" s="1" t="str">
        <x:v>Marca</x:v>
      </x:c>
      <x:c r="E3957" s="35" t="n">
        <x:v>1</x:v>
      </x:c>
      <x:c r="F3957" s="36"/>
      <x:c r="G3957" s="36" t="str">
        <x:f>IF(ISNUMBER(F3957),E3957*F3957,"")</x:f>
      </x:c>
      <x:c r="H3957" s="37" t="d">
        <x:v>2026-10-15T00:00:00.000Z</x:v>
      </x:c>
      <x:c r="I3957" s="37" t="d">
        <x:v>2026-09-16T12:30:29.000Z</x:v>
      </x:c>
      <x:c r="J3957" s="1" t="n">
        <x:f>IF(ISNUMBER(F3957),E3957,0)</x:f>
        <x:v>0</x:v>
      </x:c>
      <x:c r="K3957" s="1"/>
      <x:c r="L3957" s="1"/>
      <x:c r="M3957" s="1"/>
    </x:row>
    <x:row r="3958" ht="18.75" customHeight="1">
      <x:c r="A3958" s="1" t="str">
        <x:v>https://blog.skyairline.com/viajar-con-perros/</x:v>
      </x:c>
      <x:c r="B3958" s="1" t="str">
        <x:v>sky perro</x:v>
      </x:c>
      <x:c r="C3958" s="1" t="str">
        <x:v>chl</x:v>
      </x:c>
      <x:c r="D3958" s="1" t="str">
        <x:v>Marca</x:v>
      </x:c>
      <x:c r="E3958" s="35" t="n">
        <x:v>1</x:v>
      </x:c>
      <x:c r="F3958" s="36"/>
      <x:c r="G3958" s="36" t="str">
        <x:f>IF(ISNUMBER(F3958),E3958*F3958,"")</x:f>
      </x:c>
      <x:c r="H3958" s="37" t="d">
        <x:v>2026-10-15T00:00:00.000Z</x:v>
      </x:c>
      <x:c r="I3958" s="37" t="d">
        <x:v>2026-09-13T14:59:28.000Z</x:v>
      </x:c>
      <x:c r="J3958" s="1" t="n">
        <x:f>IF(ISNUMBER(F3958),E3958,0)</x:f>
        <x:v>0</x:v>
      </x:c>
      <x:c r="K3958" s="1"/>
      <x:c r="L3958" s="1"/>
      <x:c r="M3958" s="1"/>
    </x:row>
    <x:row r="3959" ht="18.75" customHeight="1">
      <x:c r="A3959" s="1" t="str">
        <x:v>https://blog.skyairline.com/viajar-con-perros/</x:v>
      </x:c>
      <x:c r="B3959" s="1" t="str">
        <x:v>sky perros</x:v>
      </x:c>
      <x:c r="C3959" s="1" t="str">
        <x:v>per</x:v>
      </x:c>
      <x:c r="D3959" s="1" t="str">
        <x:v>Marca</x:v>
      </x:c>
      <x:c r="E3959" s="35" t="n">
        <x:v>1</x:v>
      </x:c>
      <x:c r="F3959" s="36"/>
      <x:c r="G3959" s="36" t="str">
        <x:f>IF(ISNUMBER(F3959),E3959*F3959,"")</x:f>
      </x:c>
      <x:c r="H3959" s="37" t="d">
        <x:v>2026-10-15T00:00:00.000Z</x:v>
      </x:c>
      <x:c r="I3959" s="37" t="d">
        <x:v>2026-09-16T15:25:08.000Z</x:v>
      </x:c>
      <x:c r="J3959" s="1" t="n">
        <x:f>IF(ISNUMBER(F3959),E3959,0)</x:f>
        <x:v>0</x:v>
      </x:c>
      <x:c r="K3959" s="1"/>
      <x:c r="L3959" s="1"/>
      <x:c r="M3959" s="1"/>
    </x:row>
    <x:row r="3960" ht="18.75" customHeight="1">
      <x:c r="A3960" s="1" t="str">
        <x:v>https://blog.skyairline.com/viajar-con-perros/</x:v>
      </x:c>
      <x:c r="B3960" s="1" t="str">
        <x:v>sky pet</x:v>
      </x:c>
      <x:c r="C3960" s="1" t="str">
        <x:v>chl</x:v>
      </x:c>
      <x:c r="D3960" s="1" t="str">
        <x:v>Marca</x:v>
      </x:c>
      <x:c r="E3960" s="35" t="n">
        <x:v>1</x:v>
      </x:c>
      <x:c r="F3960" s="36"/>
      <x:c r="G3960" s="36" t="str">
        <x:f>IF(ISNUMBER(F3960),E3960*F3960,"")</x:f>
      </x:c>
      <x:c r="H3960" s="37"/>
      <x:c r="I3960" s="37"/>
      <x:c r="J3960" s="1" t="n">
        <x:f>IF(ISNUMBER(F3960),E3960,0)</x:f>
        <x:v>0</x:v>
      </x:c>
      <x:c r="K3960" s="1"/>
      <x:c r="L3960" s="1"/>
      <x:c r="M3960" s="1"/>
    </x:row>
    <x:row r="3961" ht="18.75" customHeight="1">
      <x:c r="A3961" s="1" t="str">
        <x:v>https://blog.skyairline.com/viajar-con-perros/</x:v>
      </x:c>
      <x:c r="B3961" s="1" t="str">
        <x:v>sky viajar con mascota</x:v>
      </x:c>
      <x:c r="C3961" s="1" t="str">
        <x:v>arg</x:v>
      </x:c>
      <x:c r="D3961" s="1" t="str">
        <x:v>Marca</x:v>
      </x:c>
      <x:c r="E3961" s="35" t="n">
        <x:v>1</x:v>
      </x:c>
      <x:c r="F3961" s="36"/>
      <x:c r="G3961" s="36" t="str">
        <x:f>IF(ISNUMBER(F3961),E3961*F3961,"")</x:f>
      </x:c>
      <x:c r="H3961" s="37"/>
      <x:c r="I3961" s="37"/>
      <x:c r="J3961" s="1" t="n">
        <x:f>IF(ISNUMBER(F3961),E3961,0)</x:f>
        <x:v>0</x:v>
      </x:c>
      <x:c r="K3961" s="1"/>
      <x:c r="L3961" s="1"/>
      <x:c r="M3961" s="1"/>
    </x:row>
    <x:row r="3962" ht="18.75" customHeight="1">
      <x:c r="A3962" s="1" t="str">
        <x:v>https://blog.skyairline.com/viajar-con-perros/</x:v>
      </x:c>
      <x:c r="B3962" s="1" t="str">
        <x:v>sky viajar con mascotas</x:v>
      </x:c>
      <x:c r="C3962" s="1" t="str">
        <x:v>per</x:v>
      </x:c>
      <x:c r="D3962" s="1" t="str">
        <x:v>Marca</x:v>
      </x:c>
      <x:c r="E3962" s="35" t="n">
        <x:v>1</x:v>
      </x:c>
      <x:c r="F3962" s="36"/>
      <x:c r="G3962" s="36" t="str">
        <x:f>IF(ISNUMBER(F3962),E3962*F3962,"")</x:f>
      </x:c>
      <x:c r="H3962" s="37" t="d">
        <x:v>2026-10-15T00:00:00.000Z</x:v>
      </x:c>
      <x:c r="I3962" s="37" t="d">
        <x:v>2026-09-17T15:50:54.000Z</x:v>
      </x:c>
      <x:c r="J3962" s="1" t="n">
        <x:f>IF(ISNUMBER(F3962),E3962,0)</x:f>
        <x:v>0</x:v>
      </x:c>
      <x:c r="K3962" s="1"/>
      <x:c r="L3962" s="1"/>
      <x:c r="M3962" s="1"/>
    </x:row>
    <x:row r="3963" ht="18.75" customHeight="1">
      <x:c r="A3963" s="1" t="str">
        <x:v>https://blog.skyairline.com/viajar-con-perros/</x:v>
      </x:c>
      <x:c r="B3963" s="1" t="str">
        <x:v>traslado de perros en avion</x:v>
      </x:c>
      <x:c r="C3963" s="1" t="str">
        <x:v>chl</x:v>
      </x:c>
      <x:c r="D3963" s="1" t="str">
        <x:v>Sin marca</x:v>
      </x:c>
      <x:c r="E3963" s="35" t="n">
        <x:v>1</x:v>
      </x:c>
      <x:c r="F3963" s="36" t="n">
        <x:v>0.27</x:v>
      </x:c>
      <x:c r="G3963" s="36" t="n">
        <x:f>IF(ISNUMBER(F3963),E3963*F3963,"")</x:f>
        <x:v>0.27</x:v>
      </x:c>
      <x:c r="H3963" s="37" t="d">
        <x:v>2026-10-15T00:00:00.000Z</x:v>
      </x:c>
      <x:c r="I3963" s="37" t="d">
        <x:v>2026-09-17T09:00:05.000Z</x:v>
      </x:c>
      <x:c r="J3963" s="1" t="n">
        <x:f>IF(ISNUMBER(F3963),E3963,0)</x:f>
        <x:v>1</x:v>
      </x:c>
      <x:c r="K3963" s="1"/>
      <x:c r="L3963" s="1"/>
      <x:c r="M3963" s="1"/>
    </x:row>
    <x:row r="3964" ht="18.75" customHeight="1">
      <x:c r="A3964" s="1" t="str">
        <x:v>https://blog.skyairline.com/viajar-con-perros/</x:v>
      </x:c>
      <x:c r="B3964" s="1" t="str">
        <x:v>viajar con mascotas sky</x:v>
      </x:c>
      <x:c r="C3964" s="1" t="str">
        <x:v>arg</x:v>
      </x:c>
      <x:c r="D3964" s="1" t="str">
        <x:v>Marca</x:v>
      </x:c>
      <x:c r="E3964" s="35" t="n">
        <x:v>1</x:v>
      </x:c>
      <x:c r="F3964" s="36"/>
      <x:c r="G3964" s="36" t="str">
        <x:f>IF(ISNUMBER(F3964),E3964*F3964,"")</x:f>
      </x:c>
      <x:c r="H3964" s="37"/>
      <x:c r="I3964" s="37"/>
      <x:c r="J3964" s="1" t="n">
        <x:f>IF(ISNUMBER(F3964),E3964,0)</x:f>
        <x:v>0</x:v>
      </x:c>
      <x:c r="K3964" s="1"/>
      <x:c r="L3964" s="1"/>
      <x:c r="M3964" s="1"/>
    </x:row>
    <x:row r="3965" ht="18.75" customHeight="1">
      <x:c r="A3965" s="1" t="str">
        <x:v>https://blog.skyairline.com/viajar-con-perros/</x:v>
      </x:c>
      <x:c r="B3965" s="1" t="str">
        <x:v>viajar con mascotas sky</x:v>
      </x:c>
      <x:c r="C3965" s="1" t="str">
        <x:v>per</x:v>
      </x:c>
      <x:c r="D3965" s="1" t="str">
        <x:v>Marca</x:v>
      </x:c>
      <x:c r="E3965" s="35" t="n">
        <x:v>1</x:v>
      </x:c>
      <x:c r="F3965" s="36"/>
      <x:c r="G3965" s="36" t="str">
        <x:f>IF(ISNUMBER(F3965),E3965*F3965,"")</x:f>
      </x:c>
      <x:c r="H3965" s="37" t="d">
        <x:v>2026-10-15T00:00:00.000Z</x:v>
      </x:c>
      <x:c r="I3965" s="37" t="d">
        <x:v>2026-09-16T20:10:00.000Z</x:v>
      </x:c>
      <x:c r="J3965" s="1" t="n">
        <x:f>IF(ISNUMBER(F3965),E3965,0)</x:f>
        <x:v>0</x:v>
      </x:c>
      <x:c r="K3965" s="1"/>
      <x:c r="L3965" s="1"/>
      <x:c r="M3965" s="1"/>
    </x:row>
    <x:row r="3966" ht="18.75" customHeight="1">
      <x:c r="A3966" s="1" t="str">
        <x:v>https://blog.skyairline.com/viajar-con-perros/</x:v>
      </x:c>
      <x:c r="B3966" s="1" t="str">
        <x:v>viajar en avion con perro pequeño</x:v>
      </x:c>
      <x:c r="C3966" s="1" t="str">
        <x:v>chl</x:v>
      </x:c>
      <x:c r="D3966" s="1" t="str">
        <x:v>Sin marca</x:v>
      </x:c>
      <x:c r="E3966" s="35" t="n">
        <x:v>1</x:v>
      </x:c>
      <x:c r="F3966" s="36"/>
      <x:c r="G3966" s="36" t="str">
        <x:f>IF(ISNUMBER(F3966),E3966*F3966,"")</x:f>
      </x:c>
      <x:c r="H3966" s="37" t="d">
        <x:v>2026-10-15T00:00:00.000Z</x:v>
      </x:c>
      <x:c r="I3966" s="37" t="d">
        <x:v>2026-09-16T12:17:57.000Z</x:v>
      </x:c>
      <x:c r="J3966" s="1" t="n">
        <x:f>IF(ISNUMBER(F3966),E3966,0)</x:f>
        <x:v>0</x:v>
      </x:c>
      <x:c r="K3966" s="1"/>
      <x:c r="L3966" s="1"/>
      <x:c r="M3966" s="1"/>
    </x:row>
    <x:row r="3967" ht="18.75" customHeight="1">
      <x:c r="A3967" s="1" t="str">
        <x:v>https://blog.skyairline.com/viajar-con-perros/</x:v>
      </x:c>
      <x:c r="B3967" s="1" t="str">
        <x:v>viaje en avion con mascotas</x:v>
      </x:c>
      <x:c r="C3967" s="1" t="str">
        <x:v>chl</x:v>
      </x:c>
      <x:c r="D3967" s="1" t="str">
        <x:v>Sin marca</x:v>
      </x:c>
      <x:c r="E3967" s="35" t="n">
        <x:v>1</x:v>
      </x:c>
      <x:c r="F3967" s="36" t="n">
        <x:v>0.33</x:v>
      </x:c>
      <x:c r="G3967" s="36" t="n">
        <x:f>IF(ISNUMBER(F3967),E3967*F3967,"")</x:f>
        <x:v>0.33</x:v>
      </x:c>
      <x:c r="H3967" s="37" t="d">
        <x:v>2026-10-15T00:00:00.000Z</x:v>
      </x:c>
      <x:c r="I3967" s="37" t="d">
        <x:v>2026-09-12T22:57:37.000Z</x:v>
      </x:c>
      <x:c r="J3967" s="1" t="n">
        <x:f>IF(ISNUMBER(F3967),E3967,0)</x:f>
        <x:v>1</x:v>
      </x:c>
      <x:c r="K3967" s="1"/>
      <x:c r="L3967" s="1"/>
      <x:c r="M3967" s="1"/>
    </x:row>
    <x:row r="3968" ht="18.75" customHeight="1">
      <x:c r="A3968" s="1" t="str">
        <x:v>https://blog.skyairline.com/viajar-con-perros/</x:v>
      </x:c>
      <x:c r="B3968" s="1" t="str">
        <x:v>vuelos con mascotas</x:v>
      </x:c>
      <x:c r="C3968" s="1" t="str">
        <x:v>chl</x:v>
      </x:c>
      <x:c r="D3968" s="1" t="str">
        <x:v>Sin marca</x:v>
      </x:c>
      <x:c r="E3968" s="35" t="n">
        <x:v>1</x:v>
      </x:c>
      <x:c r="F3968" s="36" t="n">
        <x:v>0.32</x:v>
      </x:c>
      <x:c r="G3968" s="36" t="n">
        <x:f>IF(ISNUMBER(F3968),E3968*F3968,"")</x:f>
        <x:v>0.32</x:v>
      </x:c>
      <x:c r="H3968" s="37" t="d">
        <x:v>2026-10-15T00:00:00.000Z</x:v>
      </x:c>
      <x:c r="I3968" s="37" t="d">
        <x:v>2026-10-15T07:19:05.000Z</x:v>
      </x:c>
      <x:c r="J3968" s="1" t="n">
        <x:f>IF(ISNUMBER(F3968),E3968,0)</x:f>
        <x:v>1</x:v>
      </x:c>
      <x:c r="K3968" s="1"/>
      <x:c r="L3968" s="1"/>
      <x:c r="M3968" s="1"/>
    </x:row>
    <x:row r="3969" ht="18.75" customHeight="1">
      <x:c r="A3969" s="1" t="str">
        <x:v>https://blog.skyairline.com/viajar-en-auto-2/</x:v>
      </x:c>
      <x:c r="B3969" s="1" t="str">
        <x:v>antofagasta a santiago en auto</x:v>
      </x:c>
      <x:c r="C3969" s="1" t="str">
        <x:v>chl</x:v>
      </x:c>
      <x:c r="D3969" s="1" t="str">
        <x:v>Sin marca</x:v>
      </x:c>
      <x:c r="E3969" s="35" t="n">
        <x:v>1</x:v>
      </x:c>
      <x:c r="F3969" s="36"/>
      <x:c r="G3969" s="36" t="str">
        <x:f>IF(ISNUMBER(F3969),E3969*F3969,"")</x:f>
      </x:c>
      <x:c r="H3969" s="37" t="d">
        <x:v>2026-10-15T00:00:00.000Z</x:v>
      </x:c>
      <x:c r="I3969" s="37" t="d">
        <x:v>2026-09-13T08:41:27.000Z</x:v>
      </x:c>
      <x:c r="J3969" s="1" t="n">
        <x:f>IF(ISNUMBER(F3969),E3969,0)</x:f>
        <x:v>0</x:v>
      </x:c>
      <x:c r="K3969" s="1"/>
      <x:c r="L3969" s="1"/>
      <x:c r="M3969" s="1"/>
    </x:row>
    <x:row r="3970" ht="18.75" customHeight="1">
      <x:c r="A3970" s="1" t="str">
        <x:v>https://blog.skyairline.com/viajar-en-grupo/</x:v>
      </x:c>
      <x:c r="B3970" s="1" t="str">
        <x:v>grupos sky</x:v>
      </x:c>
      <x:c r="C3970" s="1" t="str">
        <x:v>chl</x:v>
      </x:c>
      <x:c r="D3970" s="1" t="str">
        <x:v>Marca</x:v>
      </x:c>
      <x:c r="E3970" s="35" t="n">
        <x:v>1</x:v>
      </x:c>
      <x:c r="F3970" s="36"/>
      <x:c r="G3970" s="36" t="str">
        <x:f>IF(ISNUMBER(F3970),E3970*F3970,"")</x:f>
      </x:c>
      <x:c r="H3970" s="37"/>
      <x:c r="I3970" s="37"/>
      <x:c r="J3970" s="1" t="n">
        <x:f>IF(ISNUMBER(F3970),E3970,0)</x:f>
        <x:v>0</x:v>
      </x:c>
      <x:c r="K3970" s="1"/>
      <x:c r="L3970" s="1"/>
      <x:c r="M3970" s="1"/>
    </x:row>
    <x:row r="3971" ht="18.75" customHeight="1">
      <x:c r="A3971" s="1" t="str">
        <x:v>https://blog.skyairline.com/viajar-en-grupo/</x:v>
      </x:c>
      <x:c r="B3971" s="1" t="str">
        <x:v>grupos sky airlines</x:v>
      </x:c>
      <x:c r="C3971" s="1" t="str">
        <x:v>per</x:v>
      </x:c>
      <x:c r="D3971" s="1" t="str">
        <x:v>Marca</x:v>
      </x:c>
      <x:c r="E3971" s="35" t="n">
        <x:v>1</x:v>
      </x:c>
      <x:c r="F3971" s="36"/>
      <x:c r="G3971" s="36" t="str">
        <x:f>IF(ISNUMBER(F3971),E3971*F3971,"")</x:f>
      </x:c>
      <x:c r="H3971" s="37"/>
      <x:c r="I3971" s="37"/>
      <x:c r="J3971" s="1" t="n">
        <x:f>IF(ISNUMBER(F3971),E3971,0)</x:f>
        <x:v>0</x:v>
      </x:c>
      <x:c r="K3971" s="1"/>
      <x:c r="L3971" s="1"/>
      <x:c r="M3971" s="1"/>
    </x:row>
    <x:row r="3972" ht="18.75" customHeight="1">
      <x:c r="A3972" s="1" t="str">
        <x:v>https://blog.skyairline.com/viajar-en-grupo/</x:v>
      </x:c>
      <x:c r="B3972" s="1" t="str">
        <x:v>grupos sky airlines</x:v>
      </x:c>
      <x:c r="C3972" s="1" t="str">
        <x:v>ury</x:v>
      </x:c>
      <x:c r="D3972" s="1" t="str">
        <x:v>Marca</x:v>
      </x:c>
      <x:c r="E3972" s="35" t="n">
        <x:v>1</x:v>
      </x:c>
      <x:c r="F3972" s="36"/>
      <x:c r="G3972" s="36" t="str">
        <x:f>IF(ISNUMBER(F3972),E3972*F3972,"")</x:f>
      </x:c>
      <x:c r="H3972" s="37"/>
      <x:c r="I3972" s="37"/>
      <x:c r="J3972" s="1" t="n">
        <x:f>IF(ISNUMBER(F3972),E3972,0)</x:f>
        <x:v>0</x:v>
      </x:c>
      <x:c r="K3972" s="1"/>
      <x:c r="L3972" s="1"/>
      <x:c r="M3972" s="1"/>
    </x:row>
    <x:row r="3973" ht="18.75" customHeight="1">
      <x:c r="A3973" s="1" t="str">
        <x:v>https://blog.skyairline.com/viajar-en-grupo/</x:v>
      </x:c>
      <x:c r="B3973" s="1" t="str">
        <x:v>sky airlines grupos</x:v>
      </x:c>
      <x:c r="C3973" s="1" t="str">
        <x:v>per</x:v>
      </x:c>
      <x:c r="D3973" s="1" t="str">
        <x:v>Marca</x:v>
      </x:c>
      <x:c r="E3973" s="35" t="n">
        <x:v>1</x:v>
      </x:c>
      <x:c r="F3973" s="36"/>
      <x:c r="G3973" s="36" t="str">
        <x:f>IF(ISNUMBER(F3973),E3973*F3973,"")</x:f>
      </x:c>
      <x:c r="H3973" s="37"/>
      <x:c r="I3973" s="37"/>
      <x:c r="J3973" s="1" t="n">
        <x:f>IF(ISNUMBER(F3973),E3973,0)</x:f>
        <x:v>0</x:v>
      </x:c>
      <x:c r="K3973" s="1"/>
      <x:c r="L3973" s="1"/>
      <x:c r="M3973" s="1"/>
    </x:row>
    <x:row r="3974" ht="18.75" customHeight="1">
      <x:c r="A3974" s="1" t="str">
        <x:v>https://blog.skyairline.com/viaje-a-brasil-3/</x:v>
      </x:c>
      <x:c r="B3974" s="1" t="str">
        <x:v>ah brasil</x:v>
      </x:c>
      <x:c r="C3974" s="1" t="str">
        <x:v>chl</x:v>
      </x:c>
      <x:c r="D3974" s="1" t="str">
        <x:v>Sin marca</x:v>
      </x:c>
      <x:c r="E3974" s="35" t="n">
        <x:v>1</x:v>
      </x:c>
      <x:c r="F3974" s="36"/>
      <x:c r="G3974" s="36" t="str">
        <x:f>IF(ISNUMBER(F3974),E3974*F3974,"")</x:f>
      </x:c>
      <x:c r="H3974" s="37"/>
      <x:c r="I3974" s="37"/>
      <x:c r="J3974" s="1" t="n">
        <x:f>IF(ISNUMBER(F3974),E3974,0)</x:f>
        <x:v>0</x:v>
      </x:c>
      <x:c r="K3974" s="1"/>
      <x:c r="L3974" s="1"/>
      <x:c r="M3974" s="1"/>
    </x:row>
    <x:row r="3975" ht="18.75" customHeight="1">
      <x:c r="A3975" s="1" t="str">
        <x:v>https://blog.skyairline.com/viaje-a-brasil-3/</x:v>
      </x:c>
      <x:c r="B3975" s="1" t="str">
        <x:v>documento para viajar a brasil</x:v>
      </x:c>
      <x:c r="C3975" s="1" t="str">
        <x:v>chl</x:v>
      </x:c>
      <x:c r="D3975" s="1" t="str">
        <x:v>Sin marca</x:v>
      </x:c>
      <x:c r="E3975" s="35" t="n">
        <x:v>1</x:v>
      </x:c>
      <x:c r="F3975" s="36" t="n">
        <x:v>0.62</x:v>
      </x:c>
      <x:c r="G3975" s="36" t="n">
        <x:f>IF(ISNUMBER(F3975),E3975*F3975,"")</x:f>
        <x:v>0.62</x:v>
      </x:c>
      <x:c r="H3975" s="37" t="d">
        <x:v>2026-10-15T00:00:00.000Z</x:v>
      </x:c>
      <x:c r="I3975" s="37" t="d">
        <x:v>2026-10-15T18:59:52.000Z</x:v>
      </x:c>
      <x:c r="J3975" s="1" t="n">
        <x:f>IF(ISNUMBER(F3975),E3975,0)</x:f>
        <x:v>1</x:v>
      </x:c>
      <x:c r="K3975" s="1"/>
      <x:c r="L3975" s="1"/>
      <x:c r="M3975" s="1"/>
    </x:row>
    <x:row r="3976" ht="18.75" customHeight="1">
      <x:c r="A3976" s="1" t="str">
        <x:v>https://blog.skyairline.com/viaje-a-brasil-3/</x:v>
      </x:c>
      <x:c r="B3976" s="1" t="str">
        <x:v>necesito pasaporte para viajar a brasil?</x:v>
      </x:c>
      <x:c r="C3976" s="1" t="str">
        <x:v>chl</x:v>
      </x:c>
      <x:c r="D3976" s="1" t="str">
        <x:v>Sin marca</x:v>
      </x:c>
      <x:c r="E3976" s="35" t="n">
        <x:v>1</x:v>
      </x:c>
      <x:c r="F3976" s="36"/>
      <x:c r="G3976" s="36" t="str">
        <x:f>IF(ISNUMBER(F3976),E3976*F3976,"")</x:f>
      </x:c>
      <x:c r="H3976" s="37"/>
      <x:c r="I3976" s="37"/>
      <x:c r="J3976" s="1" t="n">
        <x:f>IF(ISNUMBER(F3976),E3976,0)</x:f>
        <x:v>0</x:v>
      </x:c>
      <x:c r="K3976" s="1"/>
      <x:c r="L3976" s="1"/>
      <x:c r="M3976" s="1"/>
    </x:row>
    <x:row r="3977" ht="18.75" customHeight="1">
      <x:c r="A3977" s="1" t="str">
        <x:v>https://blog.skyairline.com/viaje-a-brasil-3/</x:v>
      </x:c>
      <x:c r="B3977" s="1" t="str">
        <x:v>para viajar a brasil necesito pasaporte</x:v>
      </x:c>
      <x:c r="C3977" s="1" t="str">
        <x:v>chl</x:v>
      </x:c>
      <x:c r="D3977" s="1" t="str">
        <x:v>Sin marca</x:v>
      </x:c>
      <x:c r="E3977" s="35" t="n">
        <x:v>1</x:v>
      </x:c>
      <x:c r="F3977" s="36" t="n">
        <x:v>0.06</x:v>
      </x:c>
      <x:c r="G3977" s="36" t="n">
        <x:f>IF(ISNUMBER(F3977),E3977*F3977,"")</x:f>
        <x:v>0.06</x:v>
      </x:c>
      <x:c r="H3977" s="37" t="d">
        <x:v>2026-10-15T00:00:00.000Z</x:v>
      </x:c>
      <x:c r="I3977" s="37" t="d">
        <x:v>2026-09-15T11:31:05.000Z</x:v>
      </x:c>
      <x:c r="J3977" s="1" t="n">
        <x:f>IF(ISNUMBER(F3977),E3977,0)</x:f>
        <x:v>1</x:v>
      </x:c>
      <x:c r="K3977" s="1"/>
      <x:c r="L3977" s="1"/>
      <x:c r="M3977" s="1"/>
    </x:row>
    <x:row r="3978" ht="18.75" customHeight="1">
      <x:c r="A3978" s="1" t="str">
        <x:v>https://blog.skyairline.com/viaje-a-brasil-3/</x:v>
      </x:c>
      <x:c r="B3978" s="1" t="str">
        <x:v>pasaporte para ir a brasil</x:v>
      </x:c>
      <x:c r="C3978" s="1" t="str">
        <x:v>chl</x:v>
      </x:c>
      <x:c r="D3978" s="1" t="str">
        <x:v>Sin marca</x:v>
      </x:c>
      <x:c r="E3978" s="35" t="n">
        <x:v>1</x:v>
      </x:c>
      <x:c r="F3978" s="36"/>
      <x:c r="G3978" s="36" t="str">
        <x:f>IF(ISNUMBER(F3978),E3978*F3978,"")</x:f>
      </x:c>
      <x:c r="H3978" s="37" t="d">
        <x:v>2026-10-15T00:00:00.000Z</x:v>
      </x:c>
      <x:c r="I3978" s="37" t="d">
        <x:v>2026-09-15T16:10:46.000Z</x:v>
      </x:c>
      <x:c r="J3978" s="1" t="n">
        <x:f>IF(ISNUMBER(F3978),E3978,0)</x:f>
        <x:v>0</x:v>
      </x:c>
      <x:c r="K3978" s="1"/>
      <x:c r="L3978" s="1"/>
      <x:c r="M3978" s="1"/>
    </x:row>
    <x:row r="3979" ht="18.75" customHeight="1">
      <x:c r="A3979" s="1" t="str">
        <x:v>https://blog.skyairline.com/viaje-a-brasil-3/</x:v>
      </x:c>
      <x:c r="B3979" s="1" t="str">
        <x:v>que documentos necesito para viajar a brasil</x:v>
      </x:c>
      <x:c r="C3979" s="1" t="str">
        <x:v>per</x:v>
      </x:c>
      <x:c r="D3979" s="1" t="str">
        <x:v>Sin marca</x:v>
      </x:c>
      <x:c r="E3979" s="35" t="n">
        <x:v>1</x:v>
      </x:c>
      <x:c r="F3979" s="36"/>
      <x:c r="G3979" s="36" t="str">
        <x:f>IF(ISNUMBER(F3979),E3979*F3979,"")</x:f>
      </x:c>
      <x:c r="H3979" s="37"/>
      <x:c r="I3979" s="37"/>
      <x:c r="J3979" s="1" t="n">
        <x:f>IF(ISNUMBER(F3979),E3979,0)</x:f>
        <x:v>0</x:v>
      </x:c>
      <x:c r="K3979" s="1"/>
      <x:c r="L3979" s="1"/>
      <x:c r="M3979" s="1"/>
    </x:row>
    <x:row r="3980" ht="18.75" customHeight="1">
      <x:c r="A3980" s="1" t="str">
        <x:v>https://blog.skyairline.com/viaje-a-brasil-3/</x:v>
      </x:c>
      <x:c r="B3980" s="1" t="str">
        <x:v>que necesito para viajar a brasil</x:v>
      </x:c>
      <x:c r="C3980" s="1" t="str">
        <x:v>chl</x:v>
      </x:c>
      <x:c r="D3980" s="1" t="str">
        <x:v>Sin marca</x:v>
      </x:c>
      <x:c r="E3980" s="35" t="n">
        <x:v>1</x:v>
      </x:c>
      <x:c r="F3980" s="36" t="n">
        <x:v>0.33</x:v>
      </x:c>
      <x:c r="G3980" s="36" t="n">
        <x:f>IF(ISNUMBER(F3980),E3980*F3980,"")</x:f>
        <x:v>0.33</x:v>
      </x:c>
      <x:c r="H3980" s="37" t="d">
        <x:v>2026-10-15T00:00:00.000Z</x:v>
      </x:c>
      <x:c r="I3980" s="37" t="d">
        <x:v>2026-09-17T04:56:54.000Z</x:v>
      </x:c>
      <x:c r="J3980" s="1" t="n">
        <x:f>IF(ISNUMBER(F3980),E3980,0)</x:f>
        <x:v>1</x:v>
      </x:c>
      <x:c r="K3980" s="1"/>
      <x:c r="L3980" s="1"/>
      <x:c r="M3980" s="1"/>
    </x:row>
    <x:row r="3981" ht="18.75" customHeight="1">
      <x:c r="A3981" s="1" t="str">
        <x:v>https://blog.skyairline.com/viaje-a-brasil-3/</x:v>
      </x:c>
      <x:c r="B3981" s="1" t="str">
        <x:v>que necesito para viajar a brasil desde chile</x:v>
      </x:c>
      <x:c r="C3981" s="1" t="str">
        <x:v>chl</x:v>
      </x:c>
      <x:c r="D3981" s="1" t="str">
        <x:v>Sin marca</x:v>
      </x:c>
      <x:c r="E3981" s="35" t="n">
        <x:v>1</x:v>
      </x:c>
      <x:c r="F3981" s="36" t="n">
        <x:v>0.16</x:v>
      </x:c>
      <x:c r="G3981" s="36" t="n">
        <x:f>IF(ISNUMBER(F3981),E3981*F3981,"")</x:f>
        <x:v>0.16</x:v>
      </x:c>
      <x:c r="H3981" s="37" t="d">
        <x:v>2026-10-15T00:00:00.000Z</x:v>
      </x:c>
      <x:c r="I3981" s="37" t="d">
        <x:v>2026-09-15T15:06:14.000Z</x:v>
      </x:c>
      <x:c r="J3981" s="1" t="n">
        <x:f>IF(ISNUMBER(F3981),E3981,0)</x:f>
        <x:v>1</x:v>
      </x:c>
      <x:c r="K3981" s="1"/>
      <x:c r="L3981" s="1"/>
      <x:c r="M3981" s="1"/>
    </x:row>
    <x:row r="3982" ht="18.75" customHeight="1">
      <x:c r="A3982" s="1" t="str">
        <x:v>https://blog.skyairline.com/viaje-a-brasil-3/</x:v>
      </x:c>
      <x:c r="B3982" s="1" t="str">
        <x:v>que piden para entrar a brasil</x:v>
      </x:c>
      <x:c r="C3982" s="1" t="str">
        <x:v>chl</x:v>
      </x:c>
      <x:c r="D3982" s="1" t="str">
        <x:v>Sin marca</x:v>
      </x:c>
      <x:c r="E3982" s="35" t="n">
        <x:v>1</x:v>
      </x:c>
      <x:c r="F3982" s="36"/>
      <x:c r="G3982" s="36" t="str">
        <x:f>IF(ISNUMBER(F3982),E3982*F3982,"")</x:f>
      </x:c>
      <x:c r="H3982" s="37"/>
      <x:c r="I3982" s="37"/>
      <x:c r="J3982" s="1" t="n">
        <x:f>IF(ISNUMBER(F3982),E3982,0)</x:f>
        <x:v>0</x:v>
      </x:c>
      <x:c r="K3982" s="1"/>
      <x:c r="L3982" s="1"/>
      <x:c r="M3982" s="1"/>
    </x:row>
    <x:row r="3983" ht="18.75" customHeight="1">
      <x:c r="A3983" s="1" t="str">
        <x:v>https://blog.skyairline.com/viaje-a-brasil-3/</x:v>
      </x:c>
      <x:c r="B3983" s="1" t="str">
        <x:v>requisitos para entrar a brasil</x:v>
      </x:c>
      <x:c r="C3983" s="1" t="str">
        <x:v>chl</x:v>
      </x:c>
      <x:c r="D3983" s="1" t="str">
        <x:v>Sin marca</x:v>
      </x:c>
      <x:c r="E3983" s="35" t="n">
        <x:v>1</x:v>
      </x:c>
      <x:c r="F3983" s="36"/>
      <x:c r="G3983" s="36" t="str">
        <x:f>IF(ISNUMBER(F3983),E3983*F3983,"")</x:f>
      </x:c>
      <x:c r="H3983" s="37" t="d">
        <x:v>2026-10-15T00:00:00.000Z</x:v>
      </x:c>
      <x:c r="I3983" s="37" t="d">
        <x:v>2026-09-13T07:49:49.999Z</x:v>
      </x:c>
      <x:c r="J3983" s="1" t="n">
        <x:f>IF(ISNUMBER(F3983),E3983,0)</x:f>
        <x:v>0</x:v>
      </x:c>
      <x:c r="K3983" s="1"/>
      <x:c r="L3983" s="1"/>
      <x:c r="M3983" s="1"/>
    </x:row>
    <x:row r="3984" ht="18.75" customHeight="1">
      <x:c r="A3984" s="1" t="str">
        <x:v>https://blog.skyairline.com/viaje-a-brasil-3/</x:v>
      </x:c>
      <x:c r="B3984" s="1" t="str">
        <x:v>requisitos para ir a brasil desde chile</x:v>
      </x:c>
      <x:c r="C3984" s="1" t="str">
        <x:v>chl</x:v>
      </x:c>
      <x:c r="D3984" s="1" t="str">
        <x:v>Sin marca</x:v>
      </x:c>
      <x:c r="E3984" s="35" t="n">
        <x:v>1</x:v>
      </x:c>
      <x:c r="F3984" s="36" t="n">
        <x:v>0.2</x:v>
      </x:c>
      <x:c r="G3984" s="36" t="n">
        <x:f>IF(ISNUMBER(F3984),E3984*F3984,"")</x:f>
        <x:v>0.2</x:v>
      </x:c>
      <x:c r="H3984" s="37" t="d">
        <x:v>2026-10-15T00:00:00.000Z</x:v>
      </x:c>
      <x:c r="I3984" s="37" t="d">
        <x:v>2026-09-14T22:06:31.000Z</x:v>
      </x:c>
      <x:c r="J3984" s="1" t="n">
        <x:f>IF(ISNUMBER(F3984),E3984,0)</x:f>
        <x:v>1</x:v>
      </x:c>
      <x:c r="K3984" s="1"/>
      <x:c r="L3984" s="1"/>
      <x:c r="M3984" s="1"/>
    </x:row>
    <x:row r="3985" ht="18.75" customHeight="1">
      <x:c r="A3985" s="1" t="str">
        <x:v>https://blog.skyairline.com/viaje-a-brasil-3/</x:v>
      </x:c>
      <x:c r="B3985" s="1" t="str">
        <x:v>requisitos para viajar a brasil desde chile 2026</x:v>
      </x:c>
      <x:c r="C3985" s="1" t="str">
        <x:v>chl</x:v>
      </x:c>
      <x:c r="D3985" s="1" t="str">
        <x:v>Sin marca</x:v>
      </x:c>
      <x:c r="E3985" s="35" t="n">
        <x:v>1</x:v>
      </x:c>
      <x:c r="F3985" s="36" t="n">
        <x:v>0.04</x:v>
      </x:c>
      <x:c r="G3985" s="36" t="n">
        <x:f>IF(ISNUMBER(F3985),E3985*F3985,"")</x:f>
        <x:v>0.04</x:v>
      </x:c>
      <x:c r="H3985" s="37" t="d">
        <x:v>2026-10-15T00:00:00.000Z</x:v>
      </x:c>
      <x:c r="I3985" s="37" t="d">
        <x:v>2026-09-17T15:33:51.000Z</x:v>
      </x:c>
      <x:c r="J3985" s="1" t="n">
        <x:f>IF(ISNUMBER(F3985),E3985,0)</x:f>
        <x:v>1</x:v>
      </x:c>
      <x:c r="K3985" s="1"/>
      <x:c r="L3985" s="1"/>
      <x:c r="M3985" s="1"/>
    </x:row>
    <x:row r="3986" ht="18.75" customHeight="1">
      <x:c r="A3986" s="1" t="str">
        <x:v>https://blog.skyairline.com/viaje-a-brasil-3/</x:v>
      </x:c>
      <x:c r="B3986" s="1" t="str">
        <x:v>requisitos para viajar a brazil</x:v>
      </x:c>
      <x:c r="C3986" s="1" t="str">
        <x:v>chl</x:v>
      </x:c>
      <x:c r="D3986" s="1" t="str">
        <x:v>Sin marca</x:v>
      </x:c>
      <x:c r="E3986" s="35" t="n">
        <x:v>1</x:v>
      </x:c>
      <x:c r="F3986" s="36"/>
      <x:c r="G3986" s="36" t="str">
        <x:f>IF(ISNUMBER(F3986),E3986*F3986,"")</x:f>
      </x:c>
      <x:c r="H3986" s="37"/>
      <x:c r="I3986" s="37"/>
      <x:c r="J3986" s="1" t="n">
        <x:f>IF(ISNUMBER(F3986),E3986,0)</x:f>
        <x:v>0</x:v>
      </x:c>
      <x:c r="K3986" s="1"/>
      <x:c r="L3986" s="1"/>
      <x:c r="M3986" s="1"/>
    </x:row>
    <x:row r="3987" ht="18.75" customHeight="1">
      <x:c r="A3987" s="1" t="str">
        <x:v>https://blog.skyairline.com/viaje-a-brasil-3/</x:v>
      </x:c>
      <x:c r="B3987" s="1" t="str">
        <x:v>requisitos viajar a brasil</x:v>
      </x:c>
      <x:c r="C3987" s="1" t="str">
        <x:v>chl</x:v>
      </x:c>
      <x:c r="D3987" s="1" t="str">
        <x:v>Sin marca</x:v>
      </x:c>
      <x:c r="E3987" s="35" t="n">
        <x:v>1</x:v>
      </x:c>
      <x:c r="F3987" s="36"/>
      <x:c r="G3987" s="36" t="str">
        <x:f>IF(ISNUMBER(F3987),E3987*F3987,"")</x:f>
      </x:c>
      <x:c r="H3987" s="37" t="d">
        <x:v>2026-10-15T00:00:00.000Z</x:v>
      </x:c>
      <x:c r="I3987" s="37" t="d">
        <x:v>2026-09-16T01:17:51.000Z</x:v>
      </x:c>
      <x:c r="J3987" s="1" t="n">
        <x:f>IF(ISNUMBER(F3987),E3987,0)</x:f>
        <x:v>0</x:v>
      </x:c>
      <x:c r="K3987" s="1"/>
      <x:c r="L3987" s="1"/>
      <x:c r="M3987" s="1"/>
    </x:row>
    <x:row r="3988" ht="18.75" customHeight="1">
      <x:c r="A3988" s="1" t="str">
        <x:v>https://blog.skyairline.com/viaje-a-juliaca/</x:v>
      </x:c>
      <x:c r="B3988" s="1" t="str">
        <x:v>imagenes de lugares turísticos de juliaca</x:v>
      </x:c>
      <x:c r="C3988" s="1" t="str">
        <x:v>per</x:v>
      </x:c>
      <x:c r="D3988" s="1" t="str">
        <x:v>Sin marca</x:v>
      </x:c>
      <x:c r="E3988" s="35" t="n">
        <x:v>1</x:v>
      </x:c>
      <x:c r="F3988" s="36"/>
      <x:c r="G3988" s="36" t="str">
        <x:f>IF(ISNUMBER(F3988),E3988*F3988,"")</x:f>
      </x:c>
      <x:c r="H3988" s="37" t="d">
        <x:v>2026-10-15T00:00:00.000Z</x:v>
      </x:c>
      <x:c r="I3988" s="37" t="d">
        <x:v>2026-09-16T02:33:47.000Z</x:v>
      </x:c>
      <x:c r="J3988" s="1" t="n">
        <x:f>IF(ISNUMBER(F3988),E3988,0)</x:f>
        <x:v>0</x:v>
      </x:c>
      <x:c r="K3988" s="1"/>
      <x:c r="L3988" s="1"/>
      <x:c r="M3988" s="1"/>
    </x:row>
    <x:row r="3989" ht="18.75" customHeight="1">
      <x:c r="A3989" s="1" t="str">
        <x:v>https://blog.skyairline.com/viaje-a-peru/</x:v>
      </x:c>
      <x:c r="B3989" s="1" t="str">
        <x:v>chilena</x:v>
      </x:c>
      <x:c r="C3989" s="1" t="str">
        <x:v>chl</x:v>
      </x:c>
      <x:c r="D3989" s="1" t="str">
        <x:v>Sin marca</x:v>
      </x:c>
      <x:c r="E3989" s="35" t="n">
        <x:v>1</x:v>
      </x:c>
      <x:c r="F3989" s="36"/>
      <x:c r="G3989" s="36" t="str">
        <x:f>IF(ISNUMBER(F3989),E3989*F3989,"")</x:f>
      </x:c>
      <x:c r="H3989" s="37" t="d">
        <x:v>2026-10-15T00:00:00.000Z</x:v>
      </x:c>
      <x:c r="I3989" s="37" t="d">
        <x:v>2026-09-16T11:54:48.000Z</x:v>
      </x:c>
      <x:c r="J3989" s="1" t="n">
        <x:f>IF(ISNUMBER(F3989),E3989,0)</x:f>
        <x:v>0</x:v>
      </x:c>
      <x:c r="K3989" s="1"/>
      <x:c r="L3989" s="1"/>
      <x:c r="M3989" s="1"/>
    </x:row>
    <x:row r="3990" ht="18.75" customHeight="1">
      <x:c r="A3990" s="1" t="str">
        <x:v>https://blog.skyairline.com/viaje-a-peru/</x:v>
      </x:c>
      <x:c r="B3990" s="1" t="str">
        <x:v>para ir a peru se necesita pasaporte</x:v>
      </x:c>
      <x:c r="C3990" s="1" t="str">
        <x:v>chl</x:v>
      </x:c>
      <x:c r="D3990" s="1" t="str">
        <x:v>Sin marca</x:v>
      </x:c>
      <x:c r="E3990" s="35" t="n">
        <x:v>1</x:v>
      </x:c>
      <x:c r="F3990" s="36"/>
      <x:c r="G3990" s="36" t="str">
        <x:f>IF(ISNUMBER(F3990),E3990*F3990,"")</x:f>
      </x:c>
      <x:c r="H3990" s="37"/>
      <x:c r="I3990" s="37"/>
      <x:c r="J3990" s="1" t="n">
        <x:f>IF(ISNUMBER(F3990),E3990,0)</x:f>
        <x:v>0</x:v>
      </x:c>
      <x:c r="K3990" s="1"/>
      <x:c r="L3990" s="1"/>
      <x:c r="M3990" s="1"/>
    </x:row>
    <x:row r="3991" ht="18.75" customHeight="1">
      <x:c r="A3991" s="1" t="str">
        <x:v>https://blog.skyairline.com/viaje-a-peru/</x:v>
      </x:c>
      <x:c r="B3991" s="1" t="str">
        <x:v>para viajar a peru desde chile se necesita pasaporte</x:v>
      </x:c>
      <x:c r="C3991" s="1" t="str">
        <x:v>chl</x:v>
      </x:c>
      <x:c r="D3991" s="1" t="str">
        <x:v>Sin marca</x:v>
      </x:c>
      <x:c r="E3991" s="35" t="n">
        <x:v>1</x:v>
      </x:c>
      <x:c r="F3991" s="36"/>
      <x:c r="G3991" s="36" t="str">
        <x:f>IF(ISNUMBER(F3991),E3991*F3991,"")</x:f>
      </x:c>
      <x:c r="H3991" s="37" t="d">
        <x:v>2026-10-15T00:00:00.000Z</x:v>
      </x:c>
      <x:c r="I3991" s="37" t="d">
        <x:v>2026-09-16T23:52:26.999Z</x:v>
      </x:c>
      <x:c r="J3991" s="1" t="n">
        <x:f>IF(ISNUMBER(F3991),E3991,0)</x:f>
        <x:v>0</x:v>
      </x:c>
      <x:c r="K3991" s="1"/>
      <x:c r="L3991" s="1"/>
      <x:c r="M3991" s="1"/>
    </x:row>
    <x:row r="3992" ht="18.75" customHeight="1">
      <x:c r="A3992" s="1" t="str">
        <x:v>https://blog.skyairline.com/viaje-a-peru/</x:v>
      </x:c>
      <x:c r="B3992" s="1" t="str">
        <x:v>para viajar a peru se necesita pasaporte</x:v>
      </x:c>
      <x:c r="C3992" s="1" t="str">
        <x:v>chl</x:v>
      </x:c>
      <x:c r="D3992" s="1" t="str">
        <x:v>Sin marca</x:v>
      </x:c>
      <x:c r="E3992" s="35" t="n">
        <x:v>1</x:v>
      </x:c>
      <x:c r="F3992" s="36"/>
      <x:c r="G3992" s="36" t="str">
        <x:f>IF(ISNUMBER(F3992),E3992*F3992,"")</x:f>
      </x:c>
      <x:c r="H3992" s="37" t="d">
        <x:v>2026-10-15T00:00:00.000Z</x:v>
      </x:c>
      <x:c r="I3992" s="37" t="d">
        <x:v>2026-09-15T15:34:30.000Z</x:v>
      </x:c>
      <x:c r="J3992" s="1" t="n">
        <x:f>IF(ISNUMBER(F3992),E3992,0)</x:f>
        <x:v>0</x:v>
      </x:c>
      <x:c r="K3992" s="1"/>
      <x:c r="L3992" s="1"/>
      <x:c r="M3992" s="1"/>
    </x:row>
    <x:row r="3993" ht="18.75" customHeight="1">
      <x:c r="A3993" s="1" t="str">
        <x:v>https://blog.skyairline.com/viaje-a-peru/</x:v>
      </x:c>
      <x:c r="B3993" s="1" t="str">
        <x:v>para viajar a perú se necesita pasaporte</x:v>
      </x:c>
      <x:c r="C3993" s="1" t="str">
        <x:v>chl</x:v>
      </x:c>
      <x:c r="D3993" s="1" t="str">
        <x:v>Sin marca</x:v>
      </x:c>
      <x:c r="E3993" s="35" t="n">
        <x:v>1</x:v>
      </x:c>
      <x:c r="F3993" s="36" t="n">
        <x:v>0.06</x:v>
      </x:c>
      <x:c r="G3993" s="36" t="n">
        <x:f>IF(ISNUMBER(F3993),E3993*F3993,"")</x:f>
        <x:v>0.06</x:v>
      </x:c>
      <x:c r="H3993" s="37" t="d">
        <x:v>2026-10-15T00:00:00.000Z</x:v>
      </x:c>
      <x:c r="I3993" s="37" t="d">
        <x:v>2026-09-16T14:23:51.000Z</x:v>
      </x:c>
      <x:c r="J3993" s="1" t="n">
        <x:f>IF(ISNUMBER(F3993),E3993,0)</x:f>
        <x:v>1</x:v>
      </x:c>
      <x:c r="K3993" s="1"/>
      <x:c r="L3993" s="1"/>
      <x:c r="M3993" s="1"/>
    </x:row>
    <x:row r="3994" ht="18.75" customHeight="1">
      <x:c r="A3994" s="1" t="str">
        <x:v>https://blog.skyairline.com/viaje-a-peru/</x:v>
      </x:c>
      <x:c r="B3994" s="1" t="str">
        <x:v>requisitos entrada peru</x:v>
      </x:c>
      <x:c r="C3994" s="1" t="str">
        <x:v>chl</x:v>
      </x:c>
      <x:c r="D3994" s="1" t="str">
        <x:v>Sin marca</x:v>
      </x:c>
      <x:c r="E3994" s="35" t="n">
        <x:v>1</x:v>
      </x:c>
      <x:c r="F3994" s="36"/>
      <x:c r="G3994" s="36" t="str">
        <x:f>IF(ISNUMBER(F3994),E3994*F3994,"")</x:f>
      </x:c>
      <x:c r="H3994" s="37"/>
      <x:c r="I3994" s="37"/>
      <x:c r="J3994" s="1" t="n">
        <x:f>IF(ISNUMBER(F3994),E3994,0)</x:f>
        <x:v>0</x:v>
      </x:c>
      <x:c r="K3994" s="1"/>
      <x:c r="L3994" s="1"/>
      <x:c r="M3994" s="1"/>
    </x:row>
    <x:row r="3995" ht="18.75" customHeight="1">
      <x:c r="A3995" s="1" t="str">
        <x:v>https://blog.skyairline.com/viaje-a-peru/</x:v>
      </x:c>
      <x:c r="B3995" s="1" t="str">
        <x:v>se necesita pasaporte para viajar a peru</x:v>
      </x:c>
      <x:c r="C3995" s="1" t="str">
        <x:v>chl</x:v>
      </x:c>
      <x:c r="D3995" s="1" t="str">
        <x:v>Sin marca</x:v>
      </x:c>
      <x:c r="E3995" s="35" t="n">
        <x:v>1</x:v>
      </x:c>
      <x:c r="F3995" s="36"/>
      <x:c r="G3995" s="36" t="str">
        <x:f>IF(ISNUMBER(F3995),E3995*F3995,"")</x:f>
      </x:c>
      <x:c r="H3995" s="37"/>
      <x:c r="I3995" s="37"/>
      <x:c r="J3995" s="1" t="n">
        <x:f>IF(ISNUMBER(F3995),E3995,0)</x:f>
        <x:v>0</x:v>
      </x:c>
      <x:c r="K3995" s="1"/>
      <x:c r="L3995" s="1"/>
      <x:c r="M3995" s="1"/>
    </x:row>
    <x:row r="3996" ht="18.75" customHeight="1">
      <x:c r="A3996" s="1" t="str">
        <x:v>https://blog.skyairline.com/viaje-a-peru/</x:v>
      </x:c>
      <x:c r="B3996" s="1" t="str">
        <x:v>se necesita pasaporte para viajar a perú desde chile</x:v>
      </x:c>
      <x:c r="C3996" s="1" t="str">
        <x:v>chl</x:v>
      </x:c>
      <x:c r="D3996" s="1" t="str">
        <x:v>Sin marca</x:v>
      </x:c>
      <x:c r="E3996" s="35" t="n">
        <x:v>1</x:v>
      </x:c>
      <x:c r="F3996" s="36"/>
      <x:c r="G3996" s="36" t="str">
        <x:f>IF(ISNUMBER(F3996),E3996*F3996,"")</x:f>
      </x:c>
      <x:c r="H3996" s="37" t="d">
        <x:v>2026-10-15T00:00:00.000Z</x:v>
      </x:c>
      <x:c r="I3996" s="37" t="d">
        <x:v>2026-09-13T19:23:36.999Z</x:v>
      </x:c>
      <x:c r="J3996" s="1" t="n">
        <x:f>IF(ISNUMBER(F3996),E3996,0)</x:f>
        <x:v>0</x:v>
      </x:c>
      <x:c r="K3996" s="1"/>
      <x:c r="L3996" s="1"/>
      <x:c r="M3996" s="1"/>
    </x:row>
    <x:row r="3997" ht="18.75" customHeight="1">
      <x:c r="A3997" s="1" t="str">
        <x:v>https://blog.skyairline.com/viaje-a-peru/</x:v>
      </x:c>
      <x:c r="B3997" s="1" t="str">
        <x:v>y de ida y vuelta?</x:v>
      </x:c>
      <x:c r="C3997" s="1" t="str">
        <x:v>chl</x:v>
      </x:c>
      <x:c r="D3997" s="1" t="str">
        <x:v>Sin marca</x:v>
      </x:c>
      <x:c r="E3997" s="35" t="n">
        <x:v>1</x:v>
      </x:c>
      <x:c r="F3997" s="36"/>
      <x:c r="G3997" s="36" t="str">
        <x:f>IF(ISNUMBER(F3997),E3997*F3997,"")</x:f>
      </x:c>
      <x:c r="H3997" s="37"/>
      <x:c r="I3997" s="37"/>
      <x:c r="J3997" s="1" t="n">
        <x:f>IF(ISNUMBER(F3997),E3997,0)</x:f>
        <x:v>0</x:v>
      </x:c>
      <x:c r="K3997" s="1"/>
      <x:c r="L3997" s="1"/>
      <x:c r="M3997" s="1"/>
    </x:row>
    <x:row r="3998" ht="18.75" customHeight="1">
      <x:c r="A3998" s="1" t="str">
        <x:v>https://blog.skyairline.com/viaje-a-uruguay/</x:v>
      </x:c>
      <x:c r="B3998" s="1" t="str">
        <x:v>que ver en uruguay en 3 dias</x:v>
      </x:c>
      <x:c r="C3998" s="1" t="str">
        <x:v>arg</x:v>
      </x:c>
      <x:c r="D3998" s="1" t="str">
        <x:v>Sin marca</x:v>
      </x:c>
      <x:c r="E3998" s="35" t="n">
        <x:v>1</x:v>
      </x:c>
      <x:c r="F3998" s="36"/>
      <x:c r="G3998" s="36" t="str">
        <x:f>IF(ISNUMBER(F3998),E3998*F3998,"")</x:f>
      </x:c>
      <x:c r="H3998" s="37"/>
      <x:c r="I3998" s="37"/>
      <x:c r="J3998" s="1" t="n">
        <x:f>IF(ISNUMBER(F3998),E3998,0)</x:f>
        <x:v>0</x:v>
      </x:c>
      <x:c r="K3998" s="1"/>
      <x:c r="L3998" s="1"/>
      <x:c r="M3998" s="1"/>
    </x:row>
    <x:row r="3999" ht="18.75" customHeight="1">
      <x:c r="A3999" s="1" t="str">
        <x:v>https://blog.skyairline.com/viaje-a-uruguay/</x:v>
      </x:c>
      <x:c r="B3999" s="1" t="str">
        <x:v>que visitar en uruguay en 3 días</x:v>
      </x:c>
      <x:c r="C3999" s="1" t="str">
        <x:v>chl</x:v>
      </x:c>
      <x:c r="D3999" s="1" t="str">
        <x:v>Sin marca</x:v>
      </x:c>
      <x:c r="E3999" s="35" t="n">
        <x:v>1</x:v>
      </x:c>
      <x:c r="F3999" s="36" t="n">
        <x:v>0.23</x:v>
      </x:c>
      <x:c r="G3999" s="36" t="n">
        <x:f>IF(ISNUMBER(F3999),E3999*F3999,"")</x:f>
        <x:v>0.23</x:v>
      </x:c>
      <x:c r="H3999" s="37" t="d">
        <x:v>2026-10-15T00:00:00.000Z</x:v>
      </x:c>
      <x:c r="I3999" s="37" t="d">
        <x:v>2026-09-15T03:10:10.000Z</x:v>
      </x:c>
      <x:c r="J3999" s="1" t="n">
        <x:f>IF(ISNUMBER(F3999),E3999,0)</x:f>
        <x:v>1</x:v>
      </x:c>
      <x:c r="K3999" s="1"/>
      <x:c r="L3999" s="1"/>
      <x:c r="M3999" s="1"/>
    </x:row>
    <x:row r="4000" ht="18.75" customHeight="1">
      <x:c r="A4000" s="1" t="str">
        <x:v>https://blog.skyairline.com/viaje-a-uruguay/</x:v>
      </x:c>
      <x:c r="B4000" s="1" t="str">
        <x:v>que visitar en uruguay en 3 días</x:v>
      </x:c>
      <x:c r="C4000" s="1" t="str">
        <x:v>ecu</x:v>
      </x:c>
      <x:c r="D4000" s="1" t="str">
        <x:v>Sin marca</x:v>
      </x:c>
      <x:c r="E4000" s="35" t="n">
        <x:v>1</x:v>
      </x:c>
      <x:c r="F4000" s="36"/>
      <x:c r="G4000" s="36" t="str">
        <x:f>IF(ISNUMBER(F4000),E4000*F4000,"")</x:f>
      </x:c>
      <x:c r="H4000" s="37"/>
      <x:c r="I4000" s="37"/>
      <x:c r="J4000" s="1" t="n">
        <x:f>IF(ISNUMBER(F4000),E4000,0)</x:f>
        <x:v>0</x:v>
      </x:c>
      <x:c r="K4000" s="1"/>
      <x:c r="L4000" s="1"/>
      <x:c r="M4000" s="1"/>
    </x:row>
    <x:row r="4001" ht="18.75" customHeight="1">
      <x:c r="A4001" s="1" t="str">
        <x:v>https://blog.skyairline.com/viaje-a-ushuaia/</x:v>
      </x:c>
      <x:c r="B4001" s="1" t="str">
        <x:v>cómo llegar a ushuaia desde chile</x:v>
      </x:c>
      <x:c r="C4001" s="1" t="str">
        <x:v>chl</x:v>
      </x:c>
      <x:c r="D4001" s="1" t="str">
        <x:v>Sin marca</x:v>
      </x:c>
      <x:c r="E4001" s="35" t="n">
        <x:v>1</x:v>
      </x:c>
      <x:c r="F4001" s="36"/>
      <x:c r="G4001" s="36" t="str">
        <x:f>IF(ISNUMBER(F4001),E4001*F4001,"")</x:f>
      </x:c>
      <x:c r="H4001" s="37"/>
      <x:c r="I4001" s="37"/>
      <x:c r="J4001" s="1" t="n">
        <x:f>IF(ISNUMBER(F4001),E4001,0)</x:f>
        <x:v>0</x:v>
      </x:c>
      <x:c r="K4001" s="1"/>
      <x:c r="L4001" s="1"/>
      <x:c r="M4001" s="1"/>
    </x:row>
    <x:row r="4002" ht="18.75" customHeight="1">
      <x:c r="A4002" s="1" t="str">
        <x:v>https://blog.skyairline.com/viaje-a-ushuaia/</x:v>
      </x:c>
      <x:c r="B4002" s="1" t="str">
        <x:v>donde queda ushuaia</x:v>
      </x:c>
      <x:c r="C4002" s="1" t="str">
        <x:v>chl</x:v>
      </x:c>
      <x:c r="D4002" s="1" t="str">
        <x:v>Sin marca</x:v>
      </x:c>
      <x:c r="E4002" s="35" t="n">
        <x:v>1</x:v>
      </x:c>
      <x:c r="F4002" s="36" t="n">
        <x:v>0.41</x:v>
      </x:c>
      <x:c r="G4002" s="36" t="n">
        <x:f>IF(ISNUMBER(F4002),E4002*F4002,"")</x:f>
        <x:v>0.41</x:v>
      </x:c>
      <x:c r="H4002" s="37" t="d">
        <x:v>2026-10-15T00:00:00.000Z</x:v>
      </x:c>
      <x:c r="I4002" s="37" t="d">
        <x:v>2026-09-16T01:35:29.000Z</x:v>
      </x:c>
      <x:c r="J4002" s="1" t="n">
        <x:f>IF(ISNUMBER(F4002),E4002,0)</x:f>
        <x:v>1</x:v>
      </x:c>
      <x:c r="K4002" s="1"/>
      <x:c r="L4002" s="1"/>
      <x:c r="M4002" s="1"/>
    </x:row>
    <x:row r="4003" ht="18.75" customHeight="1">
      <x:c r="A4003" s="1" t="str">
        <x:v>https://blog.skyairline.com/viaje-a-ushuaia/</x:v>
      </x:c>
      <x:c r="B4003" s="1" t="str">
        <x:v>ushuaia</x:v>
      </x:c>
      <x:c r="C4003" s="1" t="str">
        <x:v>chl</x:v>
      </x:c>
      <x:c r="D4003" s="1" t="str">
        <x:v>Sin marca</x:v>
      </x:c>
      <x:c r="E4003" s="35" t="n">
        <x:v>1</x:v>
      </x:c>
      <x:c r="F4003" s="36" t="n">
        <x:v>0.76</x:v>
      </x:c>
      <x:c r="G4003" s="36" t="n">
        <x:f>IF(ISNUMBER(F4003),E4003*F4003,"")</x:f>
        <x:v>0.76</x:v>
      </x:c>
      <x:c r="H4003" s="37" t="d">
        <x:v>2026-10-15T00:00:00.000Z</x:v>
      </x:c>
      <x:c r="I4003" s="37" t="d">
        <x:v>2026-09-12T19:18:27.000Z</x:v>
      </x:c>
      <x:c r="J4003" s="1" t="n">
        <x:f>IF(ISNUMBER(F4003),E4003,0)</x:f>
        <x:v>1</x:v>
      </x:c>
      <x:c r="K4003" s="1"/>
      <x:c r="L4003" s="1"/>
      <x:c r="M4003" s="1"/>
    </x:row>
    <x:row r="4004" ht="18.75" customHeight="1">
      <x:c r="A4004" s="1" t="str">
        <x:v>https://blog.skyairline.com/viaje-a-ushuaia/</x:v>
      </x:c>
      <x:c r="B4004" s="1" t="str">
        <x:v>ushuaia es argentina o chile</x:v>
      </x:c>
      <x:c r="C4004" s="1" t="str">
        <x:v>fra</x:v>
      </x:c>
      <x:c r="D4004" s="1" t="str">
        <x:v>Sin marca</x:v>
      </x:c>
      <x:c r="E4004" s="35" t="n">
        <x:v>1</x:v>
      </x:c>
      <x:c r="F4004" s="36"/>
      <x:c r="G4004" s="36" t="str">
        <x:f>IF(ISNUMBER(F4004),E4004*F4004,"")</x:f>
      </x:c>
      <x:c r="H4004" s="37"/>
      <x:c r="I4004" s="37"/>
      <x:c r="J4004" s="1" t="n">
        <x:f>IF(ISNUMBER(F4004),E4004,0)</x:f>
        <x:v>0</x:v>
      </x:c>
      <x:c r="K4004" s="1"/>
      <x:c r="L4004" s="1"/>
      <x:c r="M4004" s="1"/>
    </x:row>
    <x:row r="4005" ht="18.75" customHeight="1">
      <x:c r="A4005" s="1" t="str">
        <x:v>https://blog.skyairline.com/viaje-a-ushuaia/</x:v>
      </x:c>
      <x:c r="B4005" s="1" t="str">
        <x:v>usuhuia</x:v>
      </x:c>
      <x:c r="C4005" s="1" t="str">
        <x:v>chl</x:v>
      </x:c>
      <x:c r="D4005" s="1" t="str">
        <x:v>Sin marca</x:v>
      </x:c>
      <x:c r="E4005" s="35" t="n">
        <x:v>1</x:v>
      </x:c>
      <x:c r="F4005" s="36"/>
      <x:c r="G4005" s="36" t="str">
        <x:f>IF(ISNUMBER(F4005),E4005*F4005,"")</x:f>
      </x:c>
      <x:c r="H4005" s="37"/>
      <x:c r="I4005" s="37"/>
      <x:c r="J4005" s="1" t="n">
        <x:f>IF(ISNUMBER(F4005),E4005,0)</x:f>
        <x:v>0</x:v>
      </x:c>
      <x:c r="K4005" s="1"/>
      <x:c r="L4005" s="1"/>
      <x:c r="M4005" s="1"/>
    </x:row>
    <x:row r="4006" ht="18.75" customHeight="1">
      <x:c r="A4006" s="1" t="str">
        <x:v>https://blog.skyairline.com/viajes-avion/</x:v>
      </x:c>
      <x:c r="B4006" s="1" t="str">
        <x:v>a que hora debo llegar al aeropuerto para vuelos nacionales</x:v>
      </x:c>
      <x:c r="C4006" s="1" t="str">
        <x:v>per</x:v>
      </x:c>
      <x:c r="D4006" s="1" t="str">
        <x:v>Sin marca</x:v>
      </x:c>
      <x:c r="E4006" s="35" t="n">
        <x:v>1</x:v>
      </x:c>
      <x:c r="F4006" s="36"/>
      <x:c r="G4006" s="36" t="str">
        <x:f>IF(ISNUMBER(F4006),E4006*F4006,"")</x:f>
      </x:c>
      <x:c r="H4006" s="37"/>
      <x:c r="I4006" s="37"/>
      <x:c r="J4006" s="1" t="n">
        <x:f>IF(ISNUMBER(F4006),E4006,0)</x:f>
        <x:v>0</x:v>
      </x:c>
      <x:c r="K4006" s="1"/>
      <x:c r="L4006" s="1"/>
      <x:c r="M4006" s="1"/>
    </x:row>
    <x:row r="4007" ht="18.75" customHeight="1">
      <x:c r="A4007" s="1" t="str">
        <x:v>https://blog.skyairline.com/viajes-avion/</x:v>
      </x:c>
      <x:c r="B4007" s="1" t="str">
        <x:v>cuantas horas debo estar en el aeropuerto para un vuelo nacional</x:v>
      </x:c>
      <x:c r="C4007" s="1" t="str">
        <x:v>chl</x:v>
      </x:c>
      <x:c r="D4007" s="1" t="str">
        <x:v>Sin marca</x:v>
      </x:c>
      <x:c r="E4007" s="35" t="n">
        <x:v>1</x:v>
      </x:c>
      <x:c r="F4007" s="36"/>
      <x:c r="G4007" s="36" t="str">
        <x:f>IF(ISNUMBER(F4007),E4007*F4007,"")</x:f>
      </x:c>
      <x:c r="H4007" s="37"/>
      <x:c r="I4007" s="37"/>
      <x:c r="J4007" s="1" t="n">
        <x:f>IF(ISNUMBER(F4007),E4007,0)</x:f>
        <x:v>0</x:v>
      </x:c>
      <x:c r="K4007" s="1"/>
      <x:c r="L4007" s="1"/>
      <x:c r="M4007" s="1"/>
    </x:row>
    <x:row r="4008" ht="18.75" customHeight="1">
      <x:c r="A4008" s="1" t="str">
        <x:v>https://blog.skyairline.com/viajes-avion/</x:v>
      </x:c>
      <x:c r="B4008" s="1" t="str">
        <x:v>cuantas horas debo llegar antes al aeropuerto</x:v>
      </x:c>
      <x:c r="C4008" s="1" t="str">
        <x:v>chl</x:v>
      </x:c>
      <x:c r="D4008" s="1" t="str">
        <x:v>Sin marca</x:v>
      </x:c>
      <x:c r="E4008" s="35" t="n">
        <x:v>1</x:v>
      </x:c>
      <x:c r="F4008" s="36"/>
      <x:c r="G4008" s="36" t="str">
        <x:f>IF(ISNUMBER(F4008),E4008*F4008,"")</x:f>
      </x:c>
      <x:c r="H4008" s="37"/>
      <x:c r="I4008" s="37"/>
      <x:c r="J4008" s="1" t="n">
        <x:f>IF(ISNUMBER(F4008),E4008,0)</x:f>
        <x:v>0</x:v>
      </x:c>
      <x:c r="K4008" s="1"/>
      <x:c r="L4008" s="1"/>
      <x:c r="M4008" s="1"/>
    </x:row>
    <x:row r="4009" ht="18.75" customHeight="1">
      <x:c r="A4009" s="1" t="str">
        <x:v>https://blog.skyairline.com/viajes-avion/</x:v>
      </x:c>
      <x:c r="B4009" s="1" t="str">
        <x:v>cuántas horas antes hay que estar en el aeropuerto para un vuelo internacional</x:v>
      </x:c>
      <x:c r="C4009" s="1" t="str">
        <x:v>chl</x:v>
      </x:c>
      <x:c r="D4009" s="1" t="str">
        <x:v>Sin marca</x:v>
      </x:c>
      <x:c r="E4009" s="35" t="n">
        <x:v>1</x:v>
      </x:c>
      <x:c r="F4009" s="36"/>
      <x:c r="G4009" s="36" t="str">
        <x:f>IF(ISNUMBER(F4009),E4009*F4009,"")</x:f>
      </x:c>
      <x:c r="H4009" s="37"/>
      <x:c r="I4009" s="37"/>
      <x:c r="J4009" s="1" t="n">
        <x:f>IF(ISNUMBER(F4009),E4009,0)</x:f>
        <x:v>0</x:v>
      </x:c>
      <x:c r="K4009" s="1"/>
      <x:c r="L4009" s="1"/>
      <x:c r="M4009" s="1"/>
    </x:row>
    <x:row r="4010" ht="18.75" customHeight="1">
      <x:c r="A4010" s="1" t="str">
        <x:v>https://blog.skyairline.com/viajes-avion/</x:v>
      </x:c>
      <x:c r="B4010" s="1" t="str">
        <x:v>mapa asientos sky chile</x:v>
      </x:c>
      <x:c r="C4010" s="1" t="str">
        <x:v>chl</x:v>
      </x:c>
      <x:c r="D4010" s="1" t="str">
        <x:v>Marca</x:v>
      </x:c>
      <x:c r="E4010" s="35" t="n">
        <x:v>1</x:v>
      </x:c>
      <x:c r="F4010" s="36"/>
      <x:c r="G4010" s="36" t="str">
        <x:f>IF(ISNUMBER(F4010),E4010*F4010,"")</x:f>
      </x:c>
      <x:c r="H4010" s="37" t="d">
        <x:v>2026-10-15T00:00:00.000Z</x:v>
      </x:c>
      <x:c r="I4010" s="37" t="d">
        <x:v>2026-09-15T22:45:52.000Z</x:v>
      </x:c>
      <x:c r="J4010" s="1" t="n">
        <x:f>IF(ISNUMBER(F4010),E4010,0)</x:f>
        <x:v>0</x:v>
      </x:c>
      <x:c r="K4010" s="1"/>
      <x:c r="L4010" s="1"/>
      <x:c r="M4010" s="1"/>
    </x:row>
    <x:row r="4011" ht="18.75" customHeight="1">
      <x:c r="A4011" s="1" t="str">
        <x:v>https://blog.skyairline.com/viajes-avion/</x:v>
      </x:c>
      <x:c r="B4011" s="1" t="str">
        <x:v>no puede ser antes?</x:v>
      </x:c>
      <x:c r="C4011" s="1" t="str">
        <x:v>usa</x:v>
      </x:c>
      <x:c r="D4011" s="1" t="str">
        <x:v>Sin marca</x:v>
      </x:c>
      <x:c r="E4011" s="35" t="n">
        <x:v>1</x:v>
      </x:c>
      <x:c r="F4011" s="36"/>
      <x:c r="G4011" s="36" t="str">
        <x:f>IF(ISNUMBER(F4011),E4011*F4011,"")</x:f>
      </x:c>
      <x:c r="H4011" s="37"/>
      <x:c r="I4011" s="37"/>
      <x:c r="J4011" s="1" t="n">
        <x:f>IF(ISNUMBER(F4011),E4011,0)</x:f>
        <x:v>0</x:v>
      </x:c>
      <x:c r="K4011" s="1"/>
      <x:c r="L4011" s="1"/>
      <x:c r="M4011" s="1"/>
    </x:row>
    <x:row r="4012" ht="18.75" customHeight="1">
      <x:c r="A4012" s="1" t="str">
        <x:v>https://blog.skyairline.com/viajes-avion/</x:v>
      </x:c>
      <x:c r="B4012" s="1" t="str">
        <x:v>puedo viajar en avion con licencia de conducir</x:v>
      </x:c>
      <x:c r="C4012" s="1" t="str">
        <x:v>chl</x:v>
      </x:c>
      <x:c r="D4012" s="1" t="str">
        <x:v>Sin marca</x:v>
      </x:c>
      <x:c r="E4012" s="35" t="n">
        <x:v>1</x:v>
      </x:c>
      <x:c r="F4012" s="36"/>
      <x:c r="G4012" s="36" t="str">
        <x:f>IF(ISNUMBER(F4012),E4012*F4012,"")</x:f>
      </x:c>
      <x:c r="H4012" s="37"/>
      <x:c r="I4012" s="37"/>
      <x:c r="J4012" s="1" t="n">
        <x:f>IF(ISNUMBER(F4012),E4012,0)</x:f>
        <x:v>0</x:v>
      </x:c>
      <x:c r="K4012" s="1"/>
      <x:c r="L4012" s="1"/>
      <x:c r="M4012" s="1"/>
    </x:row>
    <x:row r="4013" ht="18.75" customHeight="1">
      <x:c r="A4013" s="1" t="str">
        <x:v>https://blog.skyairline.com/viajes-avion/</x:v>
      </x:c>
      <x:c r="B4013" s="1" t="str">
        <x:v>puedo volar con licencia de conducir</x:v>
      </x:c>
      <x:c r="C4013" s="1" t="str">
        <x:v>chl</x:v>
      </x:c>
      <x:c r="D4013" s="1" t="str">
        <x:v>Sin marca</x:v>
      </x:c>
      <x:c r="E4013" s="35" t="n">
        <x:v>1</x:v>
      </x:c>
      <x:c r="F4013" s="36"/>
      <x:c r="G4013" s="36" t="str">
        <x:f>IF(ISNUMBER(F4013),E4013*F4013,"")</x:f>
      </x:c>
      <x:c r="H4013" s="37" t="d">
        <x:v>2026-10-15T00:00:00.000Z</x:v>
      </x:c>
      <x:c r="I4013" s="37" t="d">
        <x:v>2026-10-15T09:04:38.000Z</x:v>
      </x:c>
      <x:c r="J4013" s="1" t="n">
        <x:f>IF(ISNUMBER(F4013),E4013,0)</x:f>
        <x:v>0</x:v>
      </x:c>
      <x:c r="K4013" s="1"/>
      <x:c r="L4013" s="1"/>
      <x:c r="M4013" s="1"/>
    </x:row>
    <x:row r="4014" ht="18.75" customHeight="1">
      <x:c r="A4014" s="1" t="str">
        <x:v>https://blog.skyairline.com/viajes-avion/</x:v>
      </x:c>
      <x:c r="B4014" s="1" t="str">
        <x:v>se puede viajar con licencia de conducir en avion</x:v>
      </x:c>
      <x:c r="C4014" s="1" t="str">
        <x:v>chl</x:v>
      </x:c>
      <x:c r="D4014" s="1" t="str">
        <x:v>Sin marca</x:v>
      </x:c>
      <x:c r="E4014" s="35" t="n">
        <x:v>1</x:v>
      </x:c>
      <x:c r="F4014" s="36"/>
      <x:c r="G4014" s="36" t="str">
        <x:f>IF(ISNUMBER(F4014),E4014*F4014,"")</x:f>
      </x:c>
      <x:c r="H4014" s="37"/>
      <x:c r="I4014" s="37"/>
      <x:c r="J4014" s="1" t="n">
        <x:f>IF(ISNUMBER(F4014),E4014,0)</x:f>
        <x:v>0</x:v>
      </x:c>
      <x:c r="K4014" s="1"/>
      <x:c r="L4014" s="1"/>
      <x:c r="M4014" s="1"/>
    </x:row>
    <x:row r="4015" ht="18.75" customHeight="1">
      <x:c r="A4015" s="1" t="str">
        <x:v>https://blog.skyairline.com/viajes-avion/</x:v>
      </x:c>
      <x:c r="B4015" s="1" t="str">
        <x:v>seguro ?</x:v>
      </x:c>
      <x:c r="C4015" s="1" t="str">
        <x:v>chl</x:v>
      </x:c>
      <x:c r="D4015" s="1" t="str">
        <x:v>Sin marca</x:v>
      </x:c>
      <x:c r="E4015" s="35" t="n">
        <x:v>1</x:v>
      </x:c>
      <x:c r="F4015" s="36"/>
      <x:c r="G4015" s="36" t="str">
        <x:f>IF(ISNUMBER(F4015),E4015*F4015,"")</x:f>
      </x:c>
      <x:c r="H4015" s="37"/>
      <x:c r="I4015" s="37"/>
      <x:c r="J4015" s="1" t="n">
        <x:f>IF(ISNUMBER(F4015),E4015,0)</x:f>
        <x:v>0</x:v>
      </x:c>
      <x:c r="K4015" s="1"/>
      <x:c r="L4015" s="1"/>
      <x:c r="M4015" s="1"/>
    </x:row>
    <x:row r="4016" ht="18.75" customHeight="1">
      <x:c r="A4016" s="1" t="str">
        <x:v>https://blog.skyairline.com/viajes-avion/</x:v>
      </x:c>
      <x:c r="B4016" s="1" t="str">
        <x:v>si mi vuelo es nacional cuanto tiempo antes</x:v>
      </x:c>
      <x:c r="C4016" s="1" t="str">
        <x:v>per</x:v>
      </x:c>
      <x:c r="D4016" s="1" t="str">
        <x:v>Sin marca</x:v>
      </x:c>
      <x:c r="E4016" s="35" t="n">
        <x:v>1</x:v>
      </x:c>
      <x:c r="F4016" s="36"/>
      <x:c r="G4016" s="36" t="str">
        <x:f>IF(ISNUMBER(F4016),E4016*F4016,"")</x:f>
      </x:c>
      <x:c r="H4016" s="37"/>
      <x:c r="I4016" s="37"/>
      <x:c r="J4016" s="1" t="n">
        <x:f>IF(ISNUMBER(F4016),E4016,0)</x:f>
        <x:v>0</x:v>
      </x:c>
      <x:c r="K4016" s="1"/>
      <x:c r="L4016" s="1"/>
      <x:c r="M4016" s="1"/>
    </x:row>
    <x:row r="4017" ht="18.75" customHeight="1">
      <x:c r="A4017" s="1" t="str">
        <x:v>https://blog.skyairline.com/viajes-avion/</x:v>
      </x:c>
      <x:c r="B4017" s="1" t="str">
        <x:v>sky</x:v>
      </x:c>
      <x:c r="C4017" s="1" t="str">
        <x:v>per</x:v>
      </x:c>
      <x:c r="D4017" s="1" t="str">
        <x:v>Marca</x:v>
      </x:c>
      <x:c r="E4017" s="35" t="n">
        <x:v>1</x:v>
      </x:c>
      <x:c r="F4017" s="36" t="n">
        <x:v>0.16</x:v>
      </x:c>
      <x:c r="G4017" s="36" t="n">
        <x:f>IF(ISNUMBER(F4017),E4017*F4017,"")</x:f>
        <x:v>0.16</x:v>
      </x:c>
      <x:c r="H4017" s="37" t="d">
        <x:v>2026-10-15T00:00:00.000Z</x:v>
      </x:c>
      <x:c r="I4017" s="37" t="d">
        <x:v>2026-09-15T03:38:50.000Z</x:v>
      </x:c>
      <x:c r="J4017" s="1" t="n">
        <x:f>IF(ISNUMBER(F4017),E4017,0)</x:f>
        <x:v>1</x:v>
      </x:c>
      <x:c r="K4017" s="1"/>
      <x:c r="L4017" s="1"/>
      <x:c r="M4017" s="1"/>
    </x:row>
    <x:row r="4018" ht="18.75" customHeight="1">
      <x:c r="A4018" s="1" t="str">
        <x:v>https://blog.skyairline.com/viajes-avion/</x:v>
      </x:c>
      <x:c r="B4018" s="1" t="str">
        <x:v>sky vuelos nacionales</x:v>
      </x:c>
      <x:c r="C4018" s="1" t="str">
        <x:v>chl</x:v>
      </x:c>
      <x:c r="D4018" s="1" t="str">
        <x:v>Marca</x:v>
      </x:c>
      <x:c r="E4018" s="35" t="n">
        <x:v>1</x:v>
      </x:c>
      <x:c r="F4018" s="36" t="n">
        <x:v>0.38</x:v>
      </x:c>
      <x:c r="G4018" s="36" t="n">
        <x:f>IF(ISNUMBER(F4018),E4018*F4018,"")</x:f>
        <x:v>0.38</x:v>
      </x:c>
      <x:c r="H4018" s="37" t="d">
        <x:v>2026-10-15T00:00:00.000Z</x:v>
      </x:c>
      <x:c r="I4018" s="37" t="d">
        <x:v>2026-09-15T10:20:59.000Z</x:v>
      </x:c>
      <x:c r="J4018" s="1" t="n">
        <x:f>IF(ISNUMBER(F4018),E4018,0)</x:f>
        <x:v>1</x:v>
      </x:c>
      <x:c r="K4018" s="1"/>
      <x:c r="L4018" s="1"/>
      <x:c r="M4018" s="1"/>
    </x:row>
    <x:row r="4019" ht="18.75" customHeight="1">
      <x:c r="A4019" s="1" t="str">
        <x:v>https://blog.skyairline.com/viajes-avion/</x:v>
      </x:c>
      <x:c r="B4019" s="1" t="str">
        <x:v>vuelos nacionales chile cuanto tiempo antes para</x:v>
      </x:c>
      <x:c r="C4019" s="1" t="str">
        <x:v>chl</x:v>
      </x:c>
      <x:c r="D4019" s="1" t="str">
        <x:v>Sin marca</x:v>
      </x:c>
      <x:c r="E4019" s="35" t="n">
        <x:v>1</x:v>
      </x:c>
      <x:c r="F4019" s="36"/>
      <x:c r="G4019" s="36" t="str">
        <x:f>IF(ISNUMBER(F4019),E4019*F4019,"")</x:f>
      </x:c>
      <x:c r="H4019" s="37" t="d">
        <x:v>2026-10-15T00:00:00.000Z</x:v>
      </x:c>
      <x:c r="I4019" s="37" t="d">
        <x:v>2026-09-15T15:12:23.000Z</x:v>
      </x:c>
      <x:c r="J4019" s="1" t="n">
        <x:f>IF(ISNUMBER(F4019),E4019,0)</x:f>
        <x:v>0</x:v>
      </x:c>
      <x:c r="K4019" s="1"/>
      <x:c r="L4019" s="1"/>
      <x:c r="M4019" s="1"/>
    </x:row>
    <x:row r="4020" ht="18.75" customHeight="1">
      <x:c r="A4020" s="1" t="str">
        <x:v>https://blog.skyairline.com/viajes-avion/</x:v>
      </x:c>
      <x:c r="B4020" s="1" t="str">
        <x:v>vuelos nacionales cuanto tiempo antes en el aeropuerto</x:v>
      </x:c>
      <x:c r="C4020" s="1" t="str">
        <x:v>chl</x:v>
      </x:c>
      <x:c r="D4020" s="1" t="str">
        <x:v>Sin marca</x:v>
      </x:c>
      <x:c r="E4020" s="35" t="n">
        <x:v>1</x:v>
      </x:c>
      <x:c r="F4020" s="36"/>
      <x:c r="G4020" s="36" t="str">
        <x:f>IF(ISNUMBER(F4020),E4020*F4020,"")</x:f>
      </x:c>
      <x:c r="H4020" s="37"/>
      <x:c r="I4020" s="37"/>
      <x:c r="J4020" s="1" t="n">
        <x:f>IF(ISNUMBER(F4020),E4020,0)</x:f>
        <x:v>0</x:v>
      </x:c>
      <x:c r="K4020" s="1"/>
      <x:c r="L4020" s="1"/>
      <x:c r="M4020" s="1"/>
    </x:row>
    <x:row r="4021" ht="18.75" customHeight="1">
      <x:c r="A4021" s="1" t="str">
        <x:v>https://blog.skyairline.com/vida-nocturna-en-porto-alegre/</x:v>
      </x:c>
      <x:c r="B4021" s="1" t="str">
        <x:v>night club porto alegre</x:v>
      </x:c>
      <x:c r="C4021" s="1" t="str">
        <x:v>ury</x:v>
      </x:c>
      <x:c r="D4021" s="1" t="str">
        <x:v>Sin marca</x:v>
      </x:c>
      <x:c r="E4021" s="35" t="n">
        <x:v>1</x:v>
      </x:c>
      <x:c r="F4021" s="36"/>
      <x:c r="G4021" s="36" t="str">
        <x:f>IF(ISNUMBER(F4021),E4021*F4021,"")</x:f>
      </x:c>
      <x:c r="H4021" s="37"/>
      <x:c r="I4021" s="37"/>
      <x:c r="J4021" s="1" t="n">
        <x:f>IF(ISNUMBER(F4021),E4021,0)</x:f>
        <x:v>0</x:v>
      </x:c>
      <x:c r="K4021" s="1"/>
      <x:c r="L4021" s="1"/>
      <x:c r="M4021" s="1"/>
    </x:row>
    <x:row r="4022" ht="18.75" customHeight="1">
      <x:c r="A4022" s="1" t="str">
        <x:v>https://blog.skyairline.com/villa-de-leyva-desde-bogota/</x:v>
      </x:c>
      <x:c r="B4022" s="1" t="str">
        <x:v>cuanto queda villa de leyva de bogota</x:v>
      </x:c>
      <x:c r="C4022" s="1" t="str">
        <x:v>col</x:v>
      </x:c>
      <x:c r="D4022" s="1" t="str">
        <x:v>Sin marca</x:v>
      </x:c>
      <x:c r="E4022" s="35" t="n">
        <x:v>1</x:v>
      </x:c>
      <x:c r="F4022" s="36"/>
      <x:c r="G4022" s="36" t="str">
        <x:f>IF(ISNUMBER(F4022),E4022*F4022,"")</x:f>
      </x:c>
      <x:c r="H4022" s="37"/>
      <x:c r="I4022" s="37"/>
      <x:c r="J4022" s="1" t="n">
        <x:f>IF(ISNUMBER(F4022),E4022,0)</x:f>
        <x:v>0</x:v>
      </x:c>
      <x:c r="K4022" s="1"/>
      <x:c r="L4022" s="1"/>
      <x:c r="M4022" s="1"/>
    </x:row>
    <x:row r="4023" ht="18.75" customHeight="1">
      <x:c r="A4023" s="1" t="str">
        <x:v>https://blog.skyairline.com/villa-pehuenia-un-paraiso-patagonico-para-descubrir/</x:v>
      </x:c>
      <x:c r="B4023" s="1" t="str">
        <x:v>pehuenia</x:v>
      </x:c>
      <x:c r="C4023" s="1" t="str">
        <x:v>esp</x:v>
      </x:c>
      <x:c r="D4023" s="1" t="str">
        <x:v>Sin marca</x:v>
      </x:c>
      <x:c r="E4023" s="35" t="n">
        <x:v>1</x:v>
      </x:c>
      <x:c r="F4023" s="36"/>
      <x:c r="G4023" s="36" t="str">
        <x:f>IF(ISNUMBER(F4023),E4023*F4023,"")</x:f>
      </x:c>
      <x:c r="H4023" s="37"/>
      <x:c r="I4023" s="37"/>
      <x:c r="J4023" s="1" t="n">
        <x:f>IF(ISNUMBER(F4023),E4023,0)</x:f>
        <x:v>0</x:v>
      </x:c>
      <x:c r="K4023" s="1"/>
      <x:c r="L4023" s="1"/>
      <x:c r="M4023" s="1"/>
    </x:row>
    <x:row r="4024" ht="18.75" customHeight="1">
      <x:c r="A4024" s="1" t="str">
        <x:v>https://blog.skyairline.com/visa-para-viajar-a-mexico-desde-peru/</x:v>
      </x:c>
      <x:c r="B4024" s="1" t="str">
        <x:v>mexico visa peru</x:v>
      </x:c>
      <x:c r="C4024" s="1" t="str">
        <x:v>per</x:v>
      </x:c>
      <x:c r="D4024" s="1" t="str">
        <x:v>Sin marca</x:v>
      </x:c>
      <x:c r="E4024" s="35" t="n">
        <x:v>1</x:v>
      </x:c>
      <x:c r="F4024" s="36" t="n">
        <x:v>0.87</x:v>
      </x:c>
      <x:c r="G4024" s="36" t="n">
        <x:f>IF(ISNUMBER(F4024),E4024*F4024,"")</x:f>
        <x:v>0.87</x:v>
      </x:c>
      <x:c r="H4024" s="37" t="d">
        <x:v>2026-10-15T00:00:00.000Z</x:v>
      </x:c>
      <x:c r="I4024" s="37" t="d">
        <x:v>2026-09-16T13:03:20.000Z</x:v>
      </x:c>
      <x:c r="J4024" s="1" t="n">
        <x:f>IF(ISNUMBER(F4024),E4024,0)</x:f>
        <x:v>1</x:v>
      </x:c>
      <x:c r="K4024" s="1"/>
      <x:c r="L4024" s="1"/>
      <x:c r="M4024" s="1"/>
    </x:row>
    <x:row r="4025" ht="18.75" customHeight="1">
      <x:c r="A4025" s="1" t="str">
        <x:v>https://blog.skyairline.com/visa-para-viajar-a-mexico-desde-peru/</x:v>
      </x:c>
      <x:c r="B4025" s="1" t="str">
        <x:v>visa de mexico para peruanos</x:v>
      </x:c>
      <x:c r="C4025" s="1" t="str">
        <x:v>chl</x:v>
      </x:c>
      <x:c r="D4025" s="1" t="str">
        <x:v>Sin marca</x:v>
      </x:c>
      <x:c r="E4025" s="35" t="n">
        <x:v>1</x:v>
      </x:c>
      <x:c r="F4025" s="36"/>
      <x:c r="G4025" s="36" t="str">
        <x:f>IF(ISNUMBER(F4025),E4025*F4025,"")</x:f>
      </x:c>
      <x:c r="H4025" s="37"/>
      <x:c r="I4025" s="37"/>
      <x:c r="J4025" s="1" t="n">
        <x:f>IF(ISNUMBER(F4025),E4025,0)</x:f>
        <x:v>0</x:v>
      </x:c>
      <x:c r="K4025" s="1"/>
      <x:c r="L4025" s="1"/>
      <x:c r="M4025" s="1"/>
    </x:row>
    <x:row r="4026" ht="18.75" customHeight="1">
      <x:c r="A4026" s="1" t="str">
        <x:v>https://blog.skyairline.com/visa-para-viajar-a-mexico-desde-peru/</x:v>
      </x:c>
      <x:c r="B4026" s="1" t="str">
        <x:v>visa para peruanos en mexico</x:v>
      </x:c>
      <x:c r="C4026" s="1" t="str">
        <x:v>mex</x:v>
      </x:c>
      <x:c r="D4026" s="1" t="str">
        <x:v>Sin marca</x:v>
      </x:c>
      <x:c r="E4026" s="35" t="n">
        <x:v>1</x:v>
      </x:c>
      <x:c r="F4026" s="36"/>
      <x:c r="G4026" s="36" t="str">
        <x:f>IF(ISNUMBER(F4026),E4026*F4026,"")</x:f>
      </x:c>
      <x:c r="H4026" s="37"/>
      <x:c r="I4026" s="37"/>
      <x:c r="J4026" s="1" t="n">
        <x:f>IF(ISNUMBER(F4026),E4026,0)</x:f>
        <x:v>0</x:v>
      </x:c>
      <x:c r="K4026" s="1"/>
      <x:c r="L4026" s="1"/>
      <x:c r="M4026" s="1"/>
    </x:row>
    <x:row r="4027" ht="18.75" customHeight="1">
      <x:c r="A4027" s="1" t="str">
        <x:v>https://blog.skyairline.com/volcanes-chile/</x:v>
      </x:c>
      <x:c r="B4027" s="1" t="str">
        <x:v>cuantos volcanes tiene chile</x:v>
      </x:c>
      <x:c r="C4027" s="1" t="str">
        <x:v>per</x:v>
      </x:c>
      <x:c r="D4027" s="1" t="str">
        <x:v>Sin marca</x:v>
      </x:c>
      <x:c r="E4027" s="35" t="n">
        <x:v>1</x:v>
      </x:c>
      <x:c r="F4027" s="36"/>
      <x:c r="G4027" s="36" t="str">
        <x:f>IF(ISNUMBER(F4027),E4027*F4027,"")</x:f>
      </x:c>
      <x:c r="H4027" s="37" t="d">
        <x:v>2026-10-15T00:00:00.000Z</x:v>
      </x:c>
      <x:c r="I4027" s="37" t="d">
        <x:v>2026-09-12T16:31:38.000Z</x:v>
      </x:c>
      <x:c r="J4027" s="1" t="n">
        <x:f>IF(ISNUMBER(F4027),E4027,0)</x:f>
        <x:v>0</x:v>
      </x:c>
      <x:c r="K4027" s="1"/>
      <x:c r="L4027" s="1"/>
      <x:c r="M4027" s="1"/>
    </x:row>
    <x:row r="4028" ht="18.75" customHeight="1">
      <x:c r="A4028" s="1" t="str">
        <x:v>https://blog.skyairline.com/volcanes-de-la-region-de-la-araucania/</x:v>
      </x:c>
      <x:c r="B4028" s="1" t="str">
        <x:v>volcanes araucania</x:v>
      </x:c>
      <x:c r="C4028" s="1" t="str">
        <x:v>chl</x:v>
      </x:c>
      <x:c r="D4028" s="1" t="str">
        <x:v>Sin marca</x:v>
      </x:c>
      <x:c r="E4028" s="35" t="n">
        <x:v>1</x:v>
      </x:c>
      <x:c r="F4028" s="36" t="n">
        <x:v>0.69</x:v>
      </x:c>
      <x:c r="G4028" s="36" t="n">
        <x:f>IF(ISNUMBER(F4028),E4028*F4028,"")</x:f>
        <x:v>0.69</x:v>
      </x:c>
      <x:c r="H4028" s="37" t="d">
        <x:v>2026-10-15T00:00:00.000Z</x:v>
      </x:c>
      <x:c r="I4028" s="37" t="d">
        <x:v>2026-09-15T03:40:23.000Z</x:v>
      </x:c>
      <x:c r="J4028" s="1" t="n">
        <x:f>IF(ISNUMBER(F4028),E4028,0)</x:f>
        <x:v>1</x:v>
      </x:c>
      <x:c r="K4028" s="1"/>
      <x:c r="L4028" s="1"/>
      <x:c r="M4028" s="1"/>
    </x:row>
    <x:row r="4029" ht="18.75" customHeight="1">
      <x:c r="A4029" s="1" t="str">
        <x:v>https://blog.skyairline.com/volcanes-de-la-region-de-la-araucania/</x:v>
      </x:c>
      <x:c r="B4029" s="1" t="str">
        <x:v>volcanes cerca de temuco</x:v>
      </x:c>
      <x:c r="C4029" s="1" t="str">
        <x:v>chl</x:v>
      </x:c>
      <x:c r="D4029" s="1" t="str">
        <x:v>Sin marca</x:v>
      </x:c>
      <x:c r="E4029" s="35" t="n">
        <x:v>1</x:v>
      </x:c>
      <x:c r="F4029" s="36"/>
      <x:c r="G4029" s="36" t="str">
        <x:f>IF(ISNUMBER(F4029),E4029*F4029,"")</x:f>
      </x:c>
      <x:c r="H4029" s="37" t="d">
        <x:v>2026-10-15T00:00:00.000Z</x:v>
      </x:c>
      <x:c r="I4029" s="37" t="d">
        <x:v>2026-09-14T20:07:25.000Z</x:v>
      </x:c>
      <x:c r="J4029" s="1" t="n">
        <x:f>IF(ISNUMBER(F4029),E4029,0)</x:f>
        <x:v>0</x:v>
      </x:c>
      <x:c r="K4029" s="1"/>
      <x:c r="L4029" s="1"/>
      <x:c r="M4029" s="1"/>
    </x:row>
    <x:row r="4030" ht="18.75" customHeight="1">
      <x:c r="A4030" s="1" t="str">
        <x:v>https://blog.skyairline.com/volcanes-en-puerto-montt-cuales-visitar-y-como-llegar/</x:v>
      </x:c>
      <x:c r="B4030" s="1" t="str">
        <x:v>volcan en puerto montt</x:v>
      </x:c>
      <x:c r="C4030" s="1" t="str">
        <x:v>chl</x:v>
      </x:c>
      <x:c r="D4030" s="1" t="str">
        <x:v>Sin marca</x:v>
      </x:c>
      <x:c r="E4030" s="35" t="n">
        <x:v>1</x:v>
      </x:c>
      <x:c r="F4030" s="36"/>
      <x:c r="G4030" s="36" t="str">
        <x:f>IF(ISNUMBER(F4030),E4030*F4030,"")</x:f>
      </x:c>
      <x:c r="H4030" s="37" t="d">
        <x:v>2026-10-15T00:00:00.000Z</x:v>
      </x:c>
      <x:c r="I4030" s="37" t="d">
        <x:v>2026-09-17T04:20:00.000Z</x:v>
      </x:c>
      <x:c r="J4030" s="1" t="n">
        <x:f>IF(ISNUMBER(F4030),E4030,0)</x:f>
        <x:v>0</x:v>
      </x:c>
      <x:c r="K4030" s="1"/>
      <x:c r="L4030" s="1"/>
      <x:c r="M4030" s="1"/>
    </x:row>
    <x:row r="4031" ht="18.75" customHeight="1">
      <x:c r="A4031" s="1" t="str">
        <x:v>https://blog.skyairline.com/volcanes-en-puerto-montt-cuales-visitar-y-como-llegar/</x:v>
      </x:c>
      <x:c r="B4031" s="1" t="str">
        <x:v>volcanes en puerto montt</x:v>
      </x:c>
      <x:c r="C4031" s="1" t="str">
        <x:v>arg</x:v>
      </x:c>
      <x:c r="D4031" s="1" t="str">
        <x:v>Sin marca</x:v>
      </x:c>
      <x:c r="E4031" s="35" t="n">
        <x:v>1</x:v>
      </x:c>
      <x:c r="F4031" s="36"/>
      <x:c r="G4031" s="36" t="str">
        <x:f>IF(ISNUMBER(F4031),E4031*F4031,"")</x:f>
      </x:c>
      <x:c r="H4031" s="37"/>
      <x:c r="I4031" s="37"/>
      <x:c r="J4031" s="1" t="n">
        <x:f>IF(ISNUMBER(F4031),E4031,0)</x:f>
        <x:v>0</x:v>
      </x:c>
      <x:c r="K4031" s="1"/>
      <x:c r="L4031" s="1"/>
      <x:c r="M4031" s="1"/>
    </x:row>
    <x:row r="4032" ht="18.75" customHeight="1">
      <x:c r="A4032" s="1" t="str">
        <x:v>https://blog.skyairline.com/vuelos-colombia-desde-chile/</x:v>
      </x:c>
      <x:c r="B4032" s="1" t="str">
        <x:v>sky llega a colombia</x:v>
      </x:c>
      <x:c r="C4032" s="1" t="str">
        <x:v>chl</x:v>
      </x:c>
      <x:c r="D4032" s="1" t="str">
        <x:v>Marca</x:v>
      </x:c>
      <x:c r="E4032" s="35" t="n">
        <x:v>1</x:v>
      </x:c>
      <x:c r="F4032" s="36"/>
      <x:c r="G4032" s="36" t="str">
        <x:f>IF(ISNUMBER(F4032),E4032*F4032,"")</x:f>
      </x:c>
      <x:c r="H4032" s="37"/>
      <x:c r="I4032" s="37"/>
      <x:c r="J4032" s="1" t="n">
        <x:f>IF(ISNUMBER(F4032),E4032,0)</x:f>
        <x:v>0</x:v>
      </x:c>
      <x:c r="K4032" s="1"/>
      <x:c r="L4032" s="1"/>
      <x:c r="M4032" s="1"/>
    </x:row>
    <x:row r="4033" ht="18.75" customHeight="1">
      <x:c r="A4033" s="1" t="str">
        <x:v>https://blog.skyairline.com/vuelos-colombia-desde-chile/</x:v>
      </x:c>
      <x:c r="B4033" s="1" t="str">
        <x:v>sky vuela a colombia</x:v>
      </x:c>
      <x:c r="C4033" s="1" t="str">
        <x:v>chl</x:v>
      </x:c>
      <x:c r="D4033" s="1" t="str">
        <x:v>Marca</x:v>
      </x:c>
      <x:c r="E4033" s="35" t="n">
        <x:v>1</x:v>
      </x:c>
      <x:c r="F4033" s="36"/>
      <x:c r="G4033" s="36" t="str">
        <x:f>IF(ISNUMBER(F4033),E4033*F4033,"")</x:f>
      </x:c>
      <x:c r="H4033" s="37"/>
      <x:c r="I4033" s="37"/>
      <x:c r="J4033" s="1" t="n">
        <x:f>IF(ISNUMBER(F4033),E4033,0)</x:f>
        <x:v>0</x:v>
      </x:c>
      <x:c r="K4033" s="1"/>
      <x:c r="L4033" s="1"/>
      <x:c r="M4033" s="1"/>
    </x:row>
    <x:row r="4034" ht="18.75" customHeight="1">
      <x:c r="A4034" s="1" t="str">
        <x:v>https://blog.skyairline.com/vuelos-multidestino/</x:v>
      </x:c>
      <x:c r="B4034" s="1" t="str">
        <x:v>pasaje multidestino</x:v>
      </x:c>
      <x:c r="C4034" s="1" t="str">
        <x:v>chl</x:v>
      </x:c>
      <x:c r="D4034" s="1" t="str">
        <x:v>Sin marca</x:v>
      </x:c>
      <x:c r="E4034" s="35" t="n">
        <x:v>1</x:v>
      </x:c>
      <x:c r="F4034" s="36"/>
      <x:c r="G4034" s="36" t="str">
        <x:f>IF(ISNUMBER(F4034),E4034*F4034,"")</x:f>
      </x:c>
      <x:c r="H4034" s="37"/>
      <x:c r="I4034" s="37"/>
      <x:c r="J4034" s="1" t="n">
        <x:f>IF(ISNUMBER(F4034),E4034,0)</x:f>
        <x:v>0</x:v>
      </x:c>
      <x:c r="K4034" s="1"/>
      <x:c r="L4034" s="1"/>
      <x:c r="M4034" s="1"/>
    </x:row>
    <x:row r="4035" ht="18.75" customHeight="1">
      <x:c r="A4035" s="1" t="str">
        <x:v>https://blog.skyairline.com/vuelos-multidestino/</x:v>
      </x:c>
      <x:c r="B4035" s="1" t="str">
        <x:v>pasaje multidestino</x:v>
      </x:c>
      <x:c r="C4035" s="1" t="str">
        <x:v>per</x:v>
      </x:c>
      <x:c r="D4035" s="1" t="str">
        <x:v>Sin marca</x:v>
      </x:c>
      <x:c r="E4035" s="35" t="n">
        <x:v>1</x:v>
      </x:c>
      <x:c r="F4035" s="36"/>
      <x:c r="G4035" s="36" t="str">
        <x:f>IF(ISNUMBER(F4035),E4035*F4035,"")</x:f>
      </x:c>
      <x:c r="H4035" s="37"/>
      <x:c r="I4035" s="37"/>
      <x:c r="J4035" s="1" t="n">
        <x:f>IF(ISNUMBER(F4035),E4035,0)</x:f>
        <x:v>0</x:v>
      </x:c>
      <x:c r="K4035" s="1"/>
      <x:c r="L4035" s="1"/>
      <x:c r="M4035" s="1"/>
    </x:row>
    <x:row r="4036" ht="18.75" customHeight="1">
      <x:c r="A4036" s="1" t="str">
        <x:v>https://blog.skyairline.com/vuelos-multidestino/</x:v>
      </x:c>
      <x:c r="B4036" s="1" t="str">
        <x:v>sky multidestino</x:v>
      </x:c>
      <x:c r="C4036" s="1" t="str">
        <x:v>chl</x:v>
      </x:c>
      <x:c r="D4036" s="1" t="str">
        <x:v>Marca</x:v>
      </x:c>
      <x:c r="E4036" s="35" t="n">
        <x:v>1</x:v>
      </x:c>
      <x:c r="F4036" s="36" t="n">
        <x:v>0.86</x:v>
      </x:c>
      <x:c r="G4036" s="36" t="n">
        <x:f>IF(ISNUMBER(F4036),E4036*F4036,"")</x:f>
        <x:v>0.86</x:v>
      </x:c>
      <x:c r="H4036" s="37" t="d">
        <x:v>2026-10-15T00:00:00.000Z</x:v>
      </x:c>
      <x:c r="I4036" s="37" t="d">
        <x:v>2026-09-17T17:02:28.000Z</x:v>
      </x:c>
      <x:c r="J4036" s="1" t="n">
        <x:f>IF(ISNUMBER(F4036),E4036,0)</x:f>
        <x:v>1</x:v>
      </x:c>
      <x:c r="K4036" s="1"/>
      <x:c r="L4036" s="1"/>
      <x:c r="M4036" s="1"/>
    </x:row>
    <x:row r="4037" ht="18.75" customHeight="1">
      <x:c r="A4037" s="1" t="str">
        <x:v>https://blog.skyairline.com/vuelos-multidestino/</x:v>
      </x:c>
      <x:c r="B4037" s="1" t="str">
        <x:v>sky multidestino</x:v>
      </x:c>
      <x:c r="C4037" s="1" t="str">
        <x:v>col</x:v>
      </x:c>
      <x:c r="D4037" s="1" t="str">
        <x:v>Marca</x:v>
      </x:c>
      <x:c r="E4037" s="35" t="n">
        <x:v>1</x:v>
      </x:c>
      <x:c r="F4037" s="36"/>
      <x:c r="G4037" s="36" t="str">
        <x:f>IF(ISNUMBER(F4037),E4037*F4037,"")</x:f>
      </x:c>
      <x:c r="H4037" s="37"/>
      <x:c r="I4037" s="37"/>
      <x:c r="J4037" s="1" t="n">
        <x:f>IF(ISNUMBER(F4037),E4037,0)</x:f>
        <x:v>0</x:v>
      </x:c>
      <x:c r="K4037" s="1"/>
      <x:c r="L4037" s="1"/>
      <x:c r="M4037" s="1"/>
    </x:row>
    <x:row r="4038" ht="18.75" customHeight="1">
      <x:c r="A4038" s="1" t="str">
        <x:v>https://blog.skyairline.com/vuelos-multidestino/</x:v>
      </x:c>
      <x:c r="B4038" s="1" t="str">
        <x:v>vuelos multidestinos</x:v>
      </x:c>
      <x:c r="C4038" s="1" t="str">
        <x:v>chl</x:v>
      </x:c>
      <x:c r="D4038" s="1" t="str">
        <x:v>Sin marca</x:v>
      </x:c>
      <x:c r="E4038" s="35" t="n">
        <x:v>1</x:v>
      </x:c>
      <x:c r="F4038" s="36" t="n">
        <x:v>1.26</x:v>
      </x:c>
      <x:c r="G4038" s="36" t="n">
        <x:f>IF(ISNUMBER(F4038),E4038*F4038,"")</x:f>
        <x:v>1.26</x:v>
      </x:c>
      <x:c r="H4038" s="37" t="d">
        <x:v>2026-10-15T00:00:00.000Z</x:v>
      </x:c>
      <x:c r="I4038" s="37" t="d">
        <x:v>2026-09-13T17:22:50.000Z</x:v>
      </x:c>
      <x:c r="J4038" s="1" t="n">
        <x:f>IF(ISNUMBER(F4038),E4038,0)</x:f>
        <x:v>1</x:v>
      </x:c>
      <x:c r="K4038" s="1"/>
      <x:c r="L4038" s="1"/>
      <x:c r="M4038" s="1"/>
    </x:row>
    <x:row r="4039" ht="18.75" customHeight="1">
      <x:c r="A4039" s="1" t="str">
        <x:v>https://blog.skyairline.com/youtubers-viajeros/</x:v>
      </x:c>
      <x:c r="B4039" s="1" t="str">
        <x:v>youtubers viajeros</x:v>
      </x:c>
      <x:c r="C4039" s="1" t="str">
        <x:v>mex</x:v>
      </x:c>
      <x:c r="D4039" s="1" t="str">
        <x:v>Sin marca</x:v>
      </x:c>
      <x:c r="E4039" s="35" t="n">
        <x:v>1</x:v>
      </x:c>
      <x:c r="F4039" s="36"/>
      <x:c r="G4039" s="36" t="str">
        <x:f>IF(ISNUMBER(F4039),E4039*F4039,"")</x:f>
      </x:c>
      <x:c r="H4039" s="37"/>
      <x:c r="I4039" s="37"/>
      <x:c r="J4039" s="1" t="n">
        <x:f>IF(ISNUMBER(F4039),E4039,0)</x:f>
        <x:v>0</x:v>
      </x:c>
      <x:c r="K4039" s="1"/>
      <x:c r="L4039" s="1"/>
      <x:c r="M4039" s="1"/>
    </x:row>
    <x:row r="4040" ht="18.75" customHeight="1">
      <x:c r="A4040" s="1" t="str">
        <x:v>https://blog.skyairline.com/youtubers-viajeros/</x:v>
      </x:c>
      <x:c r="B4040" s="1" t="str">
        <x:v>youtubers viajeros</x:v>
      </x:c>
      <x:c r="C4040" s="1" t="str">
        <x:v>per</x:v>
      </x:c>
      <x:c r="D4040" s="1" t="str">
        <x:v>Sin marca</x:v>
      </x:c>
      <x:c r="E4040" s="35" t="n">
        <x:v>1</x:v>
      </x:c>
      <x:c r="F4040" s="36"/>
      <x:c r="G4040" s="36" t="str">
        <x:f>IF(ISNUMBER(F4040),E4040*F4040,"")</x:f>
      </x:c>
      <x:c r="H4040" s="37" t="d">
        <x:v>2026-10-15T00:00:00.000Z</x:v>
      </x:c>
      <x:c r="I4040" s="37" t="d">
        <x:v>2026-09-17T21:30:34.000Z</x:v>
      </x:c>
      <x:c r="J4040" s="1" t="n">
        <x:f>IF(ISNUMBER(F4040),E4040,0)</x:f>
        <x:v>0</x:v>
      </x:c>
      <x:c r="K4040" s="1"/>
      <x:c r="L4040" s="1"/>
      <x:c r="M4040" s="1"/>
    </x:row>
    <x:row r="4041" ht="18.75" customHeight="1">
      <x:c r="A4041" s="1" t="str">
        <x:v>https://blog.skyairline.com/zofri-iquique/</x:v>
      </x:c>
      <x:c r="B4041" s="1" t="str">
        <x:v>como comprar en iquique zona franca</x:v>
      </x:c>
      <x:c r="C4041" s="1" t="str">
        <x:v>per</x:v>
      </x:c>
      <x:c r="D4041" s="1" t="str">
        <x:v>Sin marca</x:v>
      </x:c>
      <x:c r="E4041" s="35" t="n">
        <x:v>1</x:v>
      </x:c>
      <x:c r="F4041" s="36"/>
      <x:c r="G4041" s="36" t="str">
        <x:f>IF(ISNUMBER(F4041),E4041*F4041,"")</x:f>
      </x:c>
      <x:c r="H4041" s="37" t="d">
        <x:v>2026-10-15T00:00:00.000Z</x:v>
      </x:c>
      <x:c r="I4041" s="37" t="d">
        <x:v>2026-09-13T10:52:43.000Z</x:v>
      </x:c>
      <x:c r="J4041" s="1" t="n">
        <x:f>IF(ISNUMBER(F4041),E4041,0)</x:f>
        <x:v>0</x:v>
      </x:c>
      <x:c r="K4041" s="1"/>
      <x:c r="L4041" s="1"/>
      <x:c r="M4041" s="1"/>
    </x:row>
    <x:row r="4042" ht="18.75" customHeight="1">
      <x:c r="A4042" s="1" t="str">
        <x:v>https://blog.skyairline.com/zofri-iquique/</x:v>
      </x:c>
      <x:c r="B4042" s="1" t="str">
        <x:v>iquique</x:v>
      </x:c>
      <x:c r="C4042" s="1" t="str">
        <x:v>chl</x:v>
      </x:c>
      <x:c r="D4042" s="1" t="str">
        <x:v>Sin marca</x:v>
      </x:c>
      <x:c r="E4042" s="35" t="n">
        <x:v>1</x:v>
      </x:c>
      <x:c r="F4042" s="36" t="n">
        <x:v>0.82</x:v>
      </x:c>
      <x:c r="G4042" s="36" t="n">
        <x:f>IF(ISNUMBER(F4042),E4042*F4042,"")</x:f>
        <x:v>0.82</x:v>
      </x:c>
      <x:c r="H4042" s="37" t="d">
        <x:v>2026-10-15T00:00:00.000Z</x:v>
      </x:c>
      <x:c r="I4042" s="37" t="d">
        <x:v>2026-09-16T13:56:42.000Z</x:v>
      </x:c>
      <x:c r="J4042" s="1" t="n">
        <x:f>IF(ISNUMBER(F4042),E4042,0)</x:f>
        <x:v>1</x:v>
      </x:c>
      <x:c r="K4042" s="1"/>
      <x:c r="L4042" s="1"/>
      <x:c r="M4042" s="1"/>
    </x:row>
    <x:row r="4043" ht="18.75" customHeight="1">
      <x:c r="A4043" s="1" t="str">
        <x:v>https://blog.skyairline.com/zofri-iquique/</x:v>
      </x:c>
      <x:c r="B4043" s="1" t="str">
        <x:v>iquique chile zona franca</x:v>
      </x:c>
      <x:c r="C4043" s="1" t="str">
        <x:v>pry</x:v>
      </x:c>
      <x:c r="D4043" s="1" t="str">
        <x:v>Sin marca</x:v>
      </x:c>
      <x:c r="E4043" s="35" t="n">
        <x:v>1</x:v>
      </x:c>
      <x:c r="F4043" s="36"/>
      <x:c r="G4043" s="36" t="str">
        <x:f>IF(ISNUMBER(F4043),E4043*F4043,"")</x:f>
      </x:c>
      <x:c r="H4043" s="37"/>
      <x:c r="I4043" s="37"/>
      <x:c r="J4043" s="1" t="n">
        <x:f>IF(ISNUMBER(F4043),E4043,0)</x:f>
        <x:v>0</x:v>
      </x:c>
      <x:c r="K4043" s="1"/>
      <x:c r="L4043" s="1"/>
      <x:c r="M4043" s="1"/>
    </x:row>
    <x:row r="4044" ht="18.75" customHeight="1">
      <x:c r="A4044" s="1" t="str">
        <x:v>https://blog.skyairline.com/zofri-iquique/</x:v>
      </x:c>
      <x:c r="B4044" s="1" t="str">
        <x:v>precios zofri iquique</x:v>
      </x:c>
      <x:c r="C4044" s="1" t="str">
        <x:v>bol</x:v>
      </x:c>
      <x:c r="D4044" s="1" t="str">
        <x:v>Sin marca</x:v>
      </x:c>
      <x:c r="E4044" s="35" t="n">
        <x:v>1</x:v>
      </x:c>
      <x:c r="F4044" s="36"/>
      <x:c r="G4044" s="36" t="str">
        <x:f>IF(ISNUMBER(F4044),E4044*F4044,"")</x:f>
      </x:c>
      <x:c r="H4044" s="37"/>
      <x:c r="I4044" s="37"/>
      <x:c r="J4044" s="1" t="n">
        <x:f>IF(ISNUMBER(F4044),E4044,0)</x:f>
        <x:v>0</x:v>
      </x:c>
      <x:c r="K4044" s="1"/>
      <x:c r="L4044" s="1"/>
      <x:c r="M4044" s="1"/>
    </x:row>
    <x:row r="4045" ht="18.75" customHeight="1">
      <x:c r="A4045" s="1" t="str">
        <x:v>https://blog.skyairline.com/zofri-iquique/</x:v>
      </x:c>
      <x:c r="B4045" s="1" t="str">
        <x:v>que conviene comprar en zofri iquique</x:v>
      </x:c>
      <x:c r="C4045" s="1" t="str">
        <x:v>chl</x:v>
      </x:c>
      <x:c r="D4045" s="1" t="str">
        <x:v>Sin marca</x:v>
      </x:c>
      <x:c r="E4045" s="35" t="n">
        <x:v>1</x:v>
      </x:c>
      <x:c r="F4045" s="36"/>
      <x:c r="G4045" s="36" t="str">
        <x:f>IF(ISNUMBER(F4045),E4045*F4045,"")</x:f>
      </x:c>
      <x:c r="H4045" s="37" t="d">
        <x:v>2026-10-15T00:00:00.000Z</x:v>
      </x:c>
      <x:c r="I4045" s="37" t="d">
        <x:v>2026-10-15T10:12:54.000Z</x:v>
      </x:c>
      <x:c r="J4045" s="1" t="n">
        <x:f>IF(ISNUMBER(F4045),E4045,0)</x:f>
        <x:v>0</x:v>
      </x:c>
      <x:c r="K4045" s="1"/>
      <x:c r="L4045" s="1"/>
      <x:c r="M4045" s="1"/>
    </x:row>
    <x:row r="4046" ht="18.75" customHeight="1">
      <x:c r="A4046" s="1" t="str">
        <x:v>https://blog.skyairline.com/zofri-iquique/</x:v>
      </x:c>
      <x:c r="B4046" s="1" t="str">
        <x:v>que es zofri iquique</x:v>
      </x:c>
      <x:c r="C4046" s="1" t="str">
        <x:v>chl</x:v>
      </x:c>
      <x:c r="D4046" s="1" t="str">
        <x:v>Sin marca</x:v>
      </x:c>
      <x:c r="E4046" s="35" t="n">
        <x:v>1</x:v>
      </x:c>
      <x:c r="F4046" s="36"/>
      <x:c r="G4046" s="36" t="str">
        <x:f>IF(ISNUMBER(F4046),E4046*F4046,"")</x:f>
      </x:c>
      <x:c r="H4046" s="37" t="d">
        <x:v>2026-10-15T00:00:00.000Z</x:v>
      </x:c>
      <x:c r="I4046" s="37" t="d">
        <x:v>2026-09-16T23:12:53.000Z</x:v>
      </x:c>
      <x:c r="J4046" s="1" t="n">
        <x:f>IF(ISNUMBER(F4046),E4046,0)</x:f>
        <x:v>0</x:v>
      </x:c>
      <x:c r="K4046" s="1"/>
      <x:c r="L4046" s="1"/>
      <x:c r="M4046" s="1"/>
    </x:row>
    <x:row r="4047" ht="18.75" customHeight="1">
      <x:c r="A4047" s="1" t="str">
        <x:v>https://blog.skyairline.com/zofri-iquique/</x:v>
      </x:c>
      <x:c r="B4047" s="1" t="str">
        <x:v>tiendas de zofri iquique</x:v>
      </x:c>
      <x:c r="C4047" s="1" t="str">
        <x:v>arg</x:v>
      </x:c>
      <x:c r="D4047" s="1" t="str">
        <x:v>Sin marca</x:v>
      </x:c>
      <x:c r="E4047" s="35" t="n">
        <x:v>1</x:v>
      </x:c>
      <x:c r="F4047" s="36"/>
      <x:c r="G4047" s="36" t="str">
        <x:f>IF(ISNUMBER(F4047),E4047*F4047,"")</x:f>
      </x:c>
      <x:c r="H4047" s="37"/>
      <x:c r="I4047" s="37"/>
      <x:c r="J4047" s="1" t="n">
        <x:f>IF(ISNUMBER(F4047),E4047,0)</x:f>
        <x:v>0</x:v>
      </x:c>
      <x:c r="K4047" s="1"/>
      <x:c r="L4047" s="1"/>
      <x:c r="M4047" s="1"/>
    </x:row>
    <x:row r="4048" ht="18.75" customHeight="1">
      <x:c r="A4048" s="1" t="str">
        <x:v>https://blog.skyairline.com/zofri-iquique/</x:v>
      </x:c>
      <x:c r="B4048" s="1" t="str">
        <x:v>tiendas en zofri iquique</x:v>
      </x:c>
      <x:c r="C4048" s="1" t="str">
        <x:v>chl</x:v>
      </x:c>
      <x:c r="D4048" s="1" t="str">
        <x:v>Sin marca</x:v>
      </x:c>
      <x:c r="E4048" s="35" t="n">
        <x:v>1</x:v>
      </x:c>
      <x:c r="F4048" s="36" t="n">
        <x:v>0.9</x:v>
      </x:c>
      <x:c r="G4048" s="36" t="n">
        <x:f>IF(ISNUMBER(F4048),E4048*F4048,"")</x:f>
        <x:v>0.9</x:v>
      </x:c>
      <x:c r="H4048" s="37" t="d">
        <x:v>2026-10-15T00:00:00.000Z</x:v>
      </x:c>
      <x:c r="I4048" s="37" t="d">
        <x:v>2026-09-14T07:56:35.000Z</x:v>
      </x:c>
      <x:c r="J4048" s="1" t="n">
        <x:f>IF(ISNUMBER(F4048),E4048,0)</x:f>
        <x:v>1</x:v>
      </x:c>
      <x:c r="K4048" s="1"/>
      <x:c r="L4048" s="1"/>
      <x:c r="M4048" s="1"/>
    </x:row>
    <x:row r="4049" ht="18.75" customHeight="1">
      <x:c r="A4049" s="1" t="str">
        <x:v>https://blog.skyairline.com/zofri-iquique/</x:v>
      </x:c>
      <x:c r="B4049" s="1" t="str">
        <x:v>zofri iquique</x:v>
      </x:c>
      <x:c r="C4049" s="1" t="str">
        <x:v>pry</x:v>
      </x:c>
      <x:c r="D4049" s="1" t="str">
        <x:v>Sin marca</x:v>
      </x:c>
      <x:c r="E4049" s="35" t="n">
        <x:v>1</x:v>
      </x:c>
      <x:c r="F4049" s="36"/>
      <x:c r="G4049" s="36" t="str">
        <x:f>IF(ISNUMBER(F4049),E4049*F4049,"")</x:f>
      </x:c>
      <x:c r="H4049" s="37"/>
      <x:c r="I4049" s="37"/>
      <x:c r="J4049" s="1" t="n">
        <x:f>IF(ISNUMBER(F4049),E4049,0)</x:f>
        <x:v>0</x:v>
      </x:c>
      <x:c r="K4049" s="1"/>
      <x:c r="L4049" s="1"/>
      <x:c r="M4049" s="1"/>
    </x:row>
    <x:row r="4050" ht="18.75" customHeight="1">
      <x:c r="A4050" s="1" t="str">
        <x:v>https://blog.skyairline.com/zofri-iquique/</x:v>
      </x:c>
      <x:c r="B4050" s="1" t="str">
        <x:v>zofri iquique tiendas</x:v>
      </x:c>
      <x:c r="C4050" s="1" t="str">
        <x:v>bol</x:v>
      </x:c>
      <x:c r="D4050" s="1" t="str">
        <x:v>Sin marca</x:v>
      </x:c>
      <x:c r="E4050" s="35" t="n">
        <x:v>1</x:v>
      </x:c>
      <x:c r="F4050" s="36"/>
      <x:c r="G4050" s="36" t="str">
        <x:f>IF(ISNUMBER(F4050),E4050*F4050,"")</x:f>
      </x:c>
      <x:c r="H4050" s="37"/>
      <x:c r="I4050" s="37"/>
      <x:c r="J4050" s="1" t="n">
        <x:f>IF(ISNUMBER(F4050),E4050,0)</x:f>
        <x:v>0</x:v>
      </x:c>
      <x:c r="K4050" s="1"/>
      <x:c r="L4050" s="1"/>
      <x:c r="M4050" s="1"/>
    </x:row>
    <x:row r="4051" ht="18.75" customHeight="1">
      <x:c r="A4051" s="1" t="str">
        <x:v>https://blog.skyairline.com/zofri-iquique/</x:v>
      </x:c>
      <x:c r="B4051" s="1" t="str">
        <x:v>zofri iquique venta online</x:v>
      </x:c>
      <x:c r="C4051" s="1" t="str">
        <x:v>arg</x:v>
      </x:c>
      <x:c r="D4051" s="1" t="str">
        <x:v>Sin marca</x:v>
      </x:c>
      <x:c r="E4051" s="35" t="n">
        <x:v>1</x:v>
      </x:c>
      <x:c r="F4051" s="36"/>
      <x:c r="G4051" s="36" t="str">
        <x:f>IF(ISNUMBER(F4051),E4051*F4051,"")</x:f>
      </x:c>
      <x:c r="H4051" s="37"/>
      <x:c r="I4051" s="37"/>
      <x:c r="J4051" s="1" t="n">
        <x:f>IF(ISNUMBER(F4051),E4051,0)</x:f>
        <x:v>0</x:v>
      </x:c>
      <x:c r="K4051" s="1"/>
      <x:c r="L4051" s="1"/>
      <x:c r="M4051" s="1"/>
    </x:row>
    <x:row r="4052" ht="18.75" customHeight="1">
      <x:c r="A4052" s="1" t="str">
        <x:v>https://blog.skyairline.com/zofri-iquique/</x:v>
      </x:c>
      <x:c r="B4052" s="1" t="str">
        <x:v>zofri tiendas</x:v>
      </x:c>
      <x:c r="C4052" s="1" t="str">
        <x:v>chl</x:v>
      </x:c>
      <x:c r="D4052" s="1" t="str">
        <x:v>Sin marca</x:v>
      </x:c>
      <x:c r="E4052" s="35" t="n">
        <x:v>1</x:v>
      </x:c>
      <x:c r="F4052" s="36" t="n">
        <x:v>0.42</x:v>
      </x:c>
      <x:c r="G4052" s="36" t="n">
        <x:f>IF(ISNUMBER(F4052),E4052*F4052,"")</x:f>
        <x:v>0.42</x:v>
      </x:c>
      <x:c r="H4052" s="37" t="d">
        <x:v>2026-10-15T00:00:00.000Z</x:v>
      </x:c>
      <x:c r="I4052" s="37" t="d">
        <x:v>2026-09-16T04:01:05.000Z</x:v>
      </x:c>
      <x:c r="J4052" s="1" t="n">
        <x:f>IF(ISNUMBER(F4052),E4052,0)</x:f>
        <x:v>1</x:v>
      </x:c>
      <x:c r="K4052" s="1"/>
      <x:c r="L4052" s="1"/>
      <x:c r="M4052" s="1"/>
    </x:row>
    <x:row r="4053" ht="18.75" customHeight="1">
      <x:c r="A4053" s="1" t="str">
        <x:v>https://blog.skyairline.com/zona-central/</x:v>
      </x:c>
      <x:c r="B4053" s="1" t="str">
        <x:v>imagen de la zona central de chile</x:v>
      </x:c>
      <x:c r="C4053" s="1" t="str">
        <x:v>chl</x:v>
      </x:c>
      <x:c r="D4053" s="1" t="str">
        <x:v>Sin marca</x:v>
      </x:c>
      <x:c r="E4053" s="35" t="n">
        <x:v>1</x:v>
      </x:c>
      <x:c r="F4053" s="36"/>
      <x:c r="G4053" s="36" t="str">
        <x:f>IF(ISNUMBER(F4053),E4053*F4053,"")</x:f>
      </x:c>
      <x:c r="H4053" s="37" t="d">
        <x:v>2026-10-15T00:00:00.000Z</x:v>
      </x:c>
      <x:c r="I4053" s="37" t="d">
        <x:v>2026-09-13T12:36:04.000Z</x:v>
      </x:c>
      <x:c r="J4053" s="1" t="n">
        <x:f>IF(ISNUMBER(F4053),E4053,0)</x:f>
        <x:v>0</x:v>
      </x:c>
      <x:c r="K4053" s="1"/>
      <x:c r="L4053" s="1"/>
      <x:c r="M4053" s="1"/>
    </x:row>
    <x:row r="4054" ht="18.75" customHeight="1">
      <x:c r="A4054" s="1" t="str">
        <x:v>https://blog.skyairline.com/zona-central/</x:v>
      </x:c>
      <x:c r="B4054" s="1" t="str">
        <x:v>paisajes de chile zona centro</x:v>
      </x:c>
      <x:c r="C4054" s="1" t="str">
        <x:v>chl</x:v>
      </x:c>
      <x:c r="D4054" s="1" t="str">
        <x:v>Sin marca</x:v>
      </x:c>
      <x:c r="E4054" s="35" t="n">
        <x:v>1</x:v>
      </x:c>
      <x:c r="F4054" s="36"/>
      <x:c r="G4054" s="36" t="str">
        <x:f>IF(ISNUMBER(F4054),E4054*F4054,"")</x:f>
      </x:c>
      <x:c r="H4054" s="37" t="d">
        <x:v>2026-10-15T00:00:00.000Z</x:v>
      </x:c>
      <x:c r="I4054" s="37" t="d">
        <x:v>2026-09-17T04:20:00.000Z</x:v>
      </x:c>
      <x:c r="J4054" s="1" t="n">
        <x:f>IF(ISNUMBER(F4054),E4054,0)</x:f>
        <x:v>0</x:v>
      </x:c>
      <x:c r="K4054" s="1"/>
      <x:c r="L4054" s="1"/>
      <x:c r="M4054" s="1"/>
    </x:row>
    <x:row r="4055" ht="18.75" customHeight="1">
      <x:c r="A4055" s="1" t="str">
        <x:v>https://blog.skyairline.com/zona-central/</x:v>
      </x:c>
      <x:c r="B4055" s="1" t="str">
        <x:v>paisajes de la zona central de chile</x:v>
      </x:c>
      <x:c r="C4055" s="1" t="str">
        <x:v>chl</x:v>
      </x:c>
      <x:c r="D4055" s="1" t="str">
        <x:v>Sin marca</x:v>
      </x:c>
      <x:c r="E4055" s="35" t="n">
        <x:v>1</x:v>
      </x:c>
      <x:c r="F4055" s="36"/>
      <x:c r="G4055" s="36" t="str">
        <x:f>IF(ISNUMBER(F4055),E4055*F4055,"")</x:f>
      </x:c>
      <x:c r="H4055" s="37" t="d">
        <x:v>2026-10-15T00:00:00.000Z</x:v>
      </x:c>
      <x:c r="I4055" s="37" t="d">
        <x:v>2026-09-13T19:01:18.000Z</x:v>
      </x:c>
      <x:c r="J4055" s="1" t="n">
        <x:f>IF(ISNUMBER(F4055),E4055,0)</x:f>
        <x:v>0</x:v>
      </x:c>
      <x:c r="K4055" s="1"/>
      <x:c r="L4055" s="1"/>
      <x:c r="M4055" s="1"/>
    </x:row>
    <x:row r="4056" ht="18.75" customHeight="1">
      <x:c r="A4056" s="1" t="str">
        <x:v>https://blog.skyairline.com/zona-central/</x:v>
      </x:c>
      <x:c r="B4056" s="1" t="str">
        <x:v>paisajes zona centro de chile</x:v>
      </x:c>
      <x:c r="C4056" s="1" t="str">
        <x:v>chl</x:v>
      </x:c>
      <x:c r="D4056" s="1" t="str">
        <x:v>Sin marca</x:v>
      </x:c>
      <x:c r="E4056" s="35" t="n">
        <x:v>1</x:v>
      </x:c>
      <x:c r="F4056" s="36"/>
      <x:c r="G4056" s="36" t="str">
        <x:f>IF(ISNUMBER(F4056),E4056*F4056,"")</x:f>
      </x:c>
      <x:c r="H4056" s="37" t="d">
        <x:v>2026-10-15T00:00:00.000Z</x:v>
      </x:c>
      <x:c r="I4056" s="37" t="d">
        <x:v>2026-09-15T16:00:12.999Z</x:v>
      </x:c>
      <x:c r="J4056" s="1" t="n">
        <x:f>IF(ISNUMBER(F4056),E4056,0)</x:f>
        <x:v>0</x:v>
      </x:c>
      <x:c r="K4056" s="1"/>
      <x:c r="L4056" s="1"/>
      <x:c r="M4056" s="1"/>
    </x:row>
    <x:row r="4057" ht="18.75" customHeight="1">
      <x:c r="A4057" s="1" t="str">
        <x:v>https://blog.skyairline.com/zona-centro-sur-de-chile-geografia-clima-y-turismo/</x:v>
      </x:c>
      <x:c r="B4057" s="1" t="str">
        <x:v>ciudades de chile sur</x:v>
      </x:c>
      <x:c r="C4057" s="1" t="str">
        <x:v>chl</x:v>
      </x:c>
      <x:c r="D4057" s="1" t="str">
        <x:v>Sin marca</x:v>
      </x:c>
      <x:c r="E4057" s="35" t="n">
        <x:v>1</x:v>
      </x:c>
      <x:c r="F4057" s="36"/>
      <x:c r="G4057" s="36" t="str">
        <x:f>IF(ISNUMBER(F4057),E4057*F4057,"")</x:f>
      </x:c>
      <x:c r="H4057" s="37" t="d">
        <x:v>2026-10-15T00:00:00.000Z</x:v>
      </x:c>
      <x:c r="I4057" s="37" t="d">
        <x:v>2026-09-15T11:31:49.000Z</x:v>
      </x:c>
      <x:c r="J4057" s="1" t="n">
        <x:f>IF(ISNUMBER(F4057),E4057,0)</x:f>
        <x:v>0</x:v>
      </x:c>
      <x:c r="K4057" s="1"/>
      <x:c r="L4057" s="1"/>
      <x:c r="M4057" s="1"/>
    </x:row>
    <x:row r="4058" ht="18.75" customHeight="1">
      <x:c r="A4058" s="1" t="str">
        <x:v>https://blog.skyairline.com/zona-centro-sur-de-chile-geografia-clima-y-turismo/</x:v>
      </x:c>
      <x:c r="B4058" s="1" t="str">
        <x:v>regiones del sur de chile</x:v>
      </x:c>
      <x:c r="C4058" s="1" t="str">
        <x:v>chl</x:v>
      </x:c>
      <x:c r="D4058" s="1" t="str">
        <x:v>Sin marca</x:v>
      </x:c>
      <x:c r="E4058" s="35" t="n">
        <x:v>1</x:v>
      </x:c>
      <x:c r="F4058" s="36"/>
      <x:c r="G4058" s="36" t="str">
        <x:f>IF(ISNUMBER(F4058),E4058*F4058,"")</x:f>
      </x:c>
      <x:c r="H4058" s="37" t="d">
        <x:v>2026-10-15T00:00:00.000Z</x:v>
      </x:c>
      <x:c r="I4058" s="37" t="d">
        <x:v>2026-10-15T01:51:55.000Z</x:v>
      </x:c>
      <x:c r="J4058" s="1" t="n">
        <x:f>IF(ISNUMBER(F4058),E4058,0)</x:f>
        <x:v>0</x:v>
      </x:c>
      <x:c r="K4058" s="1"/>
      <x:c r="L4058" s="1"/>
      <x:c r="M4058" s="1"/>
    </x:row>
    <x:row r="4059" ht="18.75" customHeight="1">
      <x:c r="A4059" s="1" t="str">
        <x:v>https://blog.skyairline.com/zona-centro-sur-de-chile-geografia-clima-y-turismo/</x:v>
      </x:c>
      <x:c r="B4059" s="1" t="str">
        <x:v>zona centro sur de chile</x:v>
      </x:c>
      <x:c r="C4059" s="1" t="str">
        <x:v>chl</x:v>
      </x:c>
      <x:c r="D4059" s="1" t="str">
        <x:v>Sin marca</x:v>
      </x:c>
      <x:c r="E4059" s="35" t="n">
        <x:v>1</x:v>
      </x:c>
      <x:c r="F4059" s="36"/>
      <x:c r="G4059" s="36" t="str">
        <x:f>IF(ISNUMBER(F4059),E4059*F4059,"")</x:f>
      </x:c>
      <x:c r="H4059" s="37" t="d">
        <x:v>2026-10-15T00:00:00.000Z</x:v>
      </x:c>
      <x:c r="I4059" s="37" t="d">
        <x:v>2026-09-17T04:20:40.000Z</x:v>
      </x:c>
      <x:c r="J4059" s="1" t="n">
        <x:f>IF(ISNUMBER(F4059),E4059,0)</x:f>
        <x:v>0</x:v>
      </x:c>
      <x:c r="K4059" s="1"/>
      <x:c r="L4059" s="1"/>
      <x:c r="M4059" s="1"/>
    </x:row>
    <x:row r="4060" ht="18.75" customHeight="1">
      <x:c r="A4060" s="1" t="str">
        <x:v>https://blog.skyairline.com/zona-norte-de-chile/</x:v>
      </x:c>
      <x:c r="B4060" s="1" t="str">
        <x:v>norte de chile</x:v>
      </x:c>
      <x:c r="C4060" s="1" t="str">
        <x:v>chl</x:v>
      </x:c>
      <x:c r="D4060" s="1" t="str">
        <x:v>Sin marca</x:v>
      </x:c>
      <x:c r="E4060" s="35" t="n">
        <x:v>1</x:v>
      </x:c>
      <x:c r="F4060" s="36" t="n">
        <x:v>0.79</x:v>
      </x:c>
      <x:c r="G4060" s="36" t="n">
        <x:f>IF(ISNUMBER(F4060),E4060*F4060,"")</x:f>
        <x:v>0.79</x:v>
      </x:c>
      <x:c r="H4060" s="37" t="d">
        <x:v>2026-10-15T00:00:00.000Z</x:v>
      </x:c>
      <x:c r="I4060" s="37" t="d">
        <x:v>2026-09-15T18:07:43.999Z</x:v>
      </x:c>
      <x:c r="J4060" s="1" t="n">
        <x:f>IF(ISNUMBER(F4060),E4060,0)</x:f>
        <x:v>1</x:v>
      </x:c>
      <x:c r="K4060" s="1"/>
      <x:c r="L4060" s="1"/>
      <x:c r="M4060" s="1"/>
    </x:row>
  </x:sheetData>
  <x:pageMargins left="0.7" right="0.7" top="0.75" bottom="0.75" header="0.3" footer="0.3"/>
  <x:tableParts count="1">
    <x:tablePart xmlns:r="http://schemas.openxmlformats.org/officeDocument/2006/relationships" r:id="R2b8d682c69114eab"/>
  </x:tableParts>
</x:worksheet>
</file>