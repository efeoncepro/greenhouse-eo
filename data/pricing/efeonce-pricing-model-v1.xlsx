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feonce-my.sharepoint.com/personal/jreyes_efeoncepro_com/Documents/Workspace/Efeonce Group/Comercial/"/>
    </mc:Choice>
  </mc:AlternateContent>
  <xr:revisionPtr revIDLastSave="284" documentId="8_{187F677A-926D-4414-8B05-D6A190B6F907}" xr6:coauthVersionLast="47" xr6:coauthVersionMax="47" xr10:uidLastSave="{E6135EF7-7311-4E3E-825D-E8EA47B7ED41}"/>
  <bookViews>
    <workbookView xWindow="-108" yWindow="-108" windowWidth="23256" windowHeight="12456" firstSheet="5" activeTab="9" xr2:uid="{C61D9C9B-0F7C-4ACB-89A4-B010B13346DD}"/>
  </bookViews>
  <sheets>
    <sheet name="Datos" sheetId="5" r:id="rId1"/>
    <sheet name="Tier Datos" sheetId="9" state="hidden" r:id="rId2"/>
    <sheet name="Tiers" sheetId="7" r:id="rId3"/>
    <sheet name="Tipos de Cambio" sheetId="19" state="hidden" r:id="rId4"/>
    <sheet name="Factor País" sheetId="8" r:id="rId5"/>
    <sheet name="Tier Servicios" sheetId="16" r:id="rId6"/>
    <sheet name="Modelo comercial" sheetId="17" state="hidden" r:id="rId7"/>
    <sheet name="Tabla Guía FTE" sheetId="10" r:id="rId8"/>
    <sheet name="Estructura de Servicios" sheetId="15" r:id="rId9"/>
    <sheet name="Precios personal" sheetId="1" r:id="rId10"/>
    <sheet name="Precios Servicios" sheetId="11" r:id="rId11"/>
    <sheet name="Herramientas" sheetId="13" r:id="rId12"/>
    <sheet name="Addons - Overheads" sheetId="12" r:id="rId13"/>
  </sheets>
  <definedNames>
    <definedName name="TipoCambio">'Tipos de Cambio'!$C$1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7" i="1" l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K2" i="13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3" i="15"/>
  <c r="W37" i="1"/>
  <c r="X37" i="1" s="1"/>
  <c r="W36" i="1"/>
  <c r="X36" i="1" s="1"/>
  <c r="W35" i="1"/>
  <c r="AB35" i="1" s="1"/>
  <c r="W34" i="1"/>
  <c r="W18" i="1"/>
  <c r="W17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20" i="1"/>
  <c r="O19" i="1"/>
  <c r="O18" i="1"/>
  <c r="N33" i="1"/>
  <c r="O33" i="1" s="1"/>
  <c r="N32" i="1"/>
  <c r="O32" i="1" s="1"/>
  <c r="N31" i="1"/>
  <c r="P31" i="1" s="1"/>
  <c r="N30" i="1"/>
  <c r="P30" i="1" s="1"/>
  <c r="N28" i="1"/>
  <c r="P28" i="1" s="1"/>
  <c r="W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P22" i="1" s="1"/>
  <c r="W22" i="1" s="1"/>
  <c r="N21" i="1"/>
  <c r="O21" i="1" s="1"/>
  <c r="N20" i="1"/>
  <c r="N19" i="1"/>
  <c r="N18" i="1"/>
  <c r="P18" i="1" s="1"/>
  <c r="V18" i="1" s="1"/>
  <c r="N17" i="1"/>
  <c r="O17" i="1" s="1"/>
  <c r="N16" i="1"/>
  <c r="O16" i="1" s="1"/>
  <c r="N14" i="1"/>
  <c r="O14" i="1" s="1"/>
  <c r="N13" i="1"/>
  <c r="O13" i="1" s="1"/>
  <c r="N12" i="1"/>
  <c r="O12" i="1" s="1"/>
  <c r="N9" i="1"/>
  <c r="O9" i="1" s="1"/>
  <c r="N7" i="1"/>
  <c r="P7" i="1" s="1"/>
  <c r="W7" i="1" s="1"/>
  <c r="N6" i="1"/>
  <c r="P6" i="1" s="1"/>
  <c r="W6" i="1" s="1"/>
  <c r="N5" i="1"/>
  <c r="O5" i="1" s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A22" i="15"/>
  <c r="A23" i="15"/>
  <c r="A24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R61" i="1"/>
  <c r="R62" i="1"/>
  <c r="R63" i="1"/>
  <c r="R64" i="1"/>
  <c r="R65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M33" i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2" i="11"/>
  <c r="H3" i="15"/>
  <c r="H4" i="15"/>
  <c r="I4" i="15" s="1"/>
  <c r="H5" i="15"/>
  <c r="I5" i="15" s="1"/>
  <c r="A3" i="15"/>
  <c r="A4" i="15"/>
  <c r="A5" i="15"/>
  <c r="A6" i="15"/>
  <c r="A7" i="15"/>
  <c r="A8" i="15"/>
  <c r="A10" i="15"/>
  <c r="A11" i="15"/>
  <c r="A12" i="15"/>
  <c r="A13" i="15"/>
  <c r="A14" i="15"/>
  <c r="A15" i="15"/>
  <c r="A16" i="15"/>
  <c r="A17" i="15"/>
  <c r="A18" i="15"/>
  <c r="A20" i="15"/>
  <c r="A21" i="15"/>
  <c r="A2" i="15"/>
  <c r="H7" i="15"/>
  <c r="I7" i="15" s="1"/>
  <c r="H8" i="15"/>
  <c r="I8" i="15" s="1"/>
  <c r="H13" i="15"/>
  <c r="I13" i="15" s="1"/>
  <c r="H14" i="15"/>
  <c r="I14" i="15" s="1"/>
  <c r="H15" i="15"/>
  <c r="I15" i="15" s="1"/>
  <c r="H16" i="15"/>
  <c r="I16" i="15" s="1"/>
  <c r="H17" i="15"/>
  <c r="I17" i="15" s="1"/>
  <c r="H18" i="15"/>
  <c r="I18" i="15" s="1"/>
  <c r="H22" i="15"/>
  <c r="I22" i="15" s="1"/>
  <c r="H23" i="15"/>
  <c r="I23" i="15" s="1"/>
  <c r="H24" i="15"/>
  <c r="I24" i="15" s="1"/>
  <c r="H26" i="15"/>
  <c r="H27" i="15"/>
  <c r="H28" i="15"/>
  <c r="H29" i="15"/>
  <c r="H30" i="15"/>
  <c r="H31" i="15"/>
  <c r="K16" i="13"/>
  <c r="K17" i="13"/>
  <c r="K18" i="13"/>
  <c r="K19" i="13"/>
  <c r="K20" i="13"/>
  <c r="K21" i="13"/>
  <c r="K22" i="13"/>
  <c r="K23" i="13"/>
  <c r="K24" i="13"/>
  <c r="K25" i="13"/>
  <c r="K26" i="13"/>
  <c r="K28" i="13"/>
  <c r="K29" i="13"/>
  <c r="K30" i="13"/>
  <c r="K31" i="13"/>
  <c r="K32" i="13"/>
  <c r="K33" i="13"/>
  <c r="K34" i="13"/>
  <c r="K35" i="13"/>
  <c r="K36" i="13"/>
  <c r="K37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K27" i="13" s="1"/>
  <c r="J28" i="13"/>
  <c r="J29" i="13"/>
  <c r="J30" i="13"/>
  <c r="J31" i="13"/>
  <c r="J32" i="13"/>
  <c r="J33" i="13"/>
  <c r="J34" i="13"/>
  <c r="J35" i="13"/>
  <c r="J36" i="13"/>
  <c r="J37" i="13"/>
  <c r="J2" i="13"/>
  <c r="M3" i="1"/>
  <c r="N3" i="1" s="1"/>
  <c r="O3" i="1" s="1"/>
  <c r="M4" i="1"/>
  <c r="N4" i="1" s="1"/>
  <c r="O4" i="1" s="1"/>
  <c r="M5" i="1"/>
  <c r="M6" i="1"/>
  <c r="M7" i="1"/>
  <c r="M8" i="1"/>
  <c r="N8" i="1" s="1"/>
  <c r="M9" i="1"/>
  <c r="M10" i="1"/>
  <c r="N10" i="1" s="1"/>
  <c r="M11" i="1"/>
  <c r="N11" i="1" s="1"/>
  <c r="M12" i="1"/>
  <c r="M13" i="1"/>
  <c r="M14" i="1"/>
  <c r="M15" i="1"/>
  <c r="N15" i="1" s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29" i="1" s="1"/>
  <c r="M30" i="1"/>
  <c r="M31" i="1"/>
  <c r="M32" i="1"/>
  <c r="M2" i="1"/>
  <c r="N2" i="1" s="1"/>
  <c r="AB34" i="1"/>
  <c r="P9" i="1"/>
  <c r="W9" i="1" s="1"/>
  <c r="P14" i="1"/>
  <c r="R14" i="1" s="1"/>
  <c r="P16" i="1"/>
  <c r="T16" i="1" s="1"/>
  <c r="P17" i="1"/>
  <c r="S17" i="1" s="1"/>
  <c r="P24" i="1"/>
  <c r="W24" i="1" s="1"/>
  <c r="P25" i="1"/>
  <c r="W25" i="1" s="1"/>
  <c r="P26" i="1"/>
  <c r="W26" i="1" s="1"/>
  <c r="P27" i="1"/>
  <c r="W27" i="1" s="1"/>
  <c r="P32" i="1"/>
  <c r="W32" i="1" s="1"/>
  <c r="W30" i="1" l="1"/>
  <c r="AA30" i="1" s="1"/>
  <c r="W31" i="1"/>
  <c r="AA31" i="1" s="1"/>
  <c r="O28" i="1"/>
  <c r="O30" i="1"/>
  <c r="O31" i="1"/>
  <c r="O6" i="1"/>
  <c r="O22" i="1"/>
  <c r="Z32" i="1"/>
  <c r="W16" i="1"/>
  <c r="P29" i="1"/>
  <c r="W29" i="1" s="1"/>
  <c r="Y29" i="1" s="1"/>
  <c r="O29" i="1"/>
  <c r="P33" i="1"/>
  <c r="W33" i="1" s="1"/>
  <c r="Z33" i="1" s="1"/>
  <c r="O2" i="1"/>
  <c r="P2" i="1"/>
  <c r="W2" i="1" s="1"/>
  <c r="AB2" i="1" s="1"/>
  <c r="P15" i="1"/>
  <c r="O15" i="1"/>
  <c r="W14" i="1"/>
  <c r="P13" i="1"/>
  <c r="P12" i="1"/>
  <c r="P11" i="1"/>
  <c r="S11" i="1" s="1"/>
  <c r="O11" i="1"/>
  <c r="P10" i="1"/>
  <c r="W10" i="1" s="1"/>
  <c r="O10" i="1"/>
  <c r="P8" i="1"/>
  <c r="W8" i="1" s="1"/>
  <c r="AA8" i="1" s="1"/>
  <c r="O8" i="1"/>
  <c r="O7" i="1"/>
  <c r="X10" i="1"/>
  <c r="X27" i="1"/>
  <c r="X7" i="1"/>
  <c r="X25" i="1"/>
  <c r="X9" i="1"/>
  <c r="Y28" i="1"/>
  <c r="X26" i="1"/>
  <c r="X24" i="1"/>
  <c r="X22" i="1"/>
  <c r="X6" i="1"/>
  <c r="P23" i="1"/>
  <c r="P20" i="1"/>
  <c r="P4" i="1"/>
  <c r="V4" i="1" s="1"/>
  <c r="P5" i="1"/>
  <c r="P19" i="1"/>
  <c r="P3" i="1"/>
  <c r="P21" i="1"/>
  <c r="S21" i="1" s="1"/>
  <c r="S27" i="1"/>
  <c r="X35" i="1"/>
  <c r="Y27" i="1"/>
  <c r="Z31" i="1"/>
  <c r="S26" i="1"/>
  <c r="S10" i="1"/>
  <c r="X34" i="1"/>
  <c r="Y26" i="1"/>
  <c r="Y10" i="1"/>
  <c r="Z30" i="1"/>
  <c r="AA28" i="1"/>
  <c r="AB32" i="1"/>
  <c r="S25" i="1"/>
  <c r="S9" i="1"/>
  <c r="Y25" i="1"/>
  <c r="Y9" i="1"/>
  <c r="AA27" i="1"/>
  <c r="AB31" i="1"/>
  <c r="S24" i="1"/>
  <c r="X32" i="1"/>
  <c r="Y24" i="1"/>
  <c r="Y8" i="1"/>
  <c r="Z28" i="1"/>
  <c r="AA26" i="1"/>
  <c r="AA10" i="1"/>
  <c r="AB30" i="1"/>
  <c r="S6" i="1"/>
  <c r="X31" i="1"/>
  <c r="Y7" i="1"/>
  <c r="Z27" i="1"/>
  <c r="AA25" i="1"/>
  <c r="AA9" i="1"/>
  <c r="S22" i="1"/>
  <c r="X30" i="1"/>
  <c r="Y22" i="1"/>
  <c r="Y6" i="1"/>
  <c r="Z26" i="1"/>
  <c r="Z10" i="1"/>
  <c r="AA24" i="1"/>
  <c r="AB28" i="1"/>
  <c r="Y37" i="1"/>
  <c r="Z25" i="1"/>
  <c r="Z9" i="1"/>
  <c r="AA7" i="1"/>
  <c r="AB27" i="1"/>
  <c r="AB10" i="1"/>
  <c r="S20" i="1"/>
  <c r="X28" i="1"/>
  <c r="Y36" i="1"/>
  <c r="Z24" i="1"/>
  <c r="Z8" i="1"/>
  <c r="AA22" i="1"/>
  <c r="AA6" i="1"/>
  <c r="AB26" i="1"/>
  <c r="AB9" i="1"/>
  <c r="Y35" i="1"/>
  <c r="Z7" i="1"/>
  <c r="AA37" i="1"/>
  <c r="AB25" i="1"/>
  <c r="AB8" i="1"/>
  <c r="S7" i="1"/>
  <c r="S18" i="1"/>
  <c r="Y34" i="1"/>
  <c r="Z2" i="1"/>
  <c r="Z22" i="1"/>
  <c r="Z6" i="1"/>
  <c r="AA36" i="1"/>
  <c r="AB24" i="1"/>
  <c r="AB7" i="1"/>
  <c r="Z37" i="1"/>
  <c r="AA35" i="1"/>
  <c r="AB6" i="1"/>
  <c r="U22" i="1"/>
  <c r="S32" i="1"/>
  <c r="S16" i="1"/>
  <c r="Y32" i="1"/>
  <c r="Z36" i="1"/>
  <c r="AA34" i="1"/>
  <c r="AB22" i="1"/>
  <c r="S31" i="1"/>
  <c r="S15" i="1"/>
  <c r="Y31" i="1"/>
  <c r="Z35" i="1"/>
  <c r="AB37" i="1"/>
  <c r="S30" i="1"/>
  <c r="S14" i="1"/>
  <c r="Y30" i="1"/>
  <c r="Z34" i="1"/>
  <c r="AA32" i="1"/>
  <c r="AB36" i="1"/>
  <c r="S29" i="1"/>
  <c r="S13" i="1"/>
  <c r="S28" i="1"/>
  <c r="S12" i="1"/>
  <c r="U30" i="1"/>
  <c r="U28" i="1"/>
  <c r="R16" i="1"/>
  <c r="U14" i="1"/>
  <c r="U12" i="1"/>
  <c r="H11" i="15"/>
  <c r="I11" i="15" s="1"/>
  <c r="R32" i="1"/>
  <c r="U16" i="1"/>
  <c r="U7" i="1"/>
  <c r="U11" i="1"/>
  <c r="T8" i="1"/>
  <c r="U24" i="1"/>
  <c r="T6" i="1"/>
  <c r="U27" i="1"/>
  <c r="R26" i="1"/>
  <c r="H21" i="15"/>
  <c r="I21" i="15" s="1"/>
  <c r="U32" i="1"/>
  <c r="R17" i="1"/>
  <c r="T17" i="1"/>
  <c r="U17" i="1"/>
  <c r="V17" i="1"/>
  <c r="R23" i="1"/>
  <c r="T22" i="1"/>
  <c r="U18" i="1"/>
  <c r="H12" i="15"/>
  <c r="I12" i="15" s="1"/>
  <c r="T18" i="1"/>
  <c r="V32" i="1"/>
  <c r="V16" i="1"/>
  <c r="T25" i="1"/>
  <c r="R24" i="1"/>
  <c r="T23" i="1"/>
  <c r="R18" i="1"/>
  <c r="V31" i="1"/>
  <c r="V15" i="1"/>
  <c r="H10" i="15"/>
  <c r="I10" i="15" s="1"/>
  <c r="T32" i="1"/>
  <c r="U31" i="1"/>
  <c r="U15" i="1"/>
  <c r="V30" i="1"/>
  <c r="V14" i="1"/>
  <c r="H20" i="15"/>
  <c r="I20" i="15" s="1"/>
  <c r="V13" i="1"/>
  <c r="R31" i="1"/>
  <c r="R15" i="1"/>
  <c r="T30" i="1"/>
  <c r="T14" i="1"/>
  <c r="U13" i="1"/>
  <c r="V28" i="1"/>
  <c r="V12" i="1"/>
  <c r="V27" i="1"/>
  <c r="V11" i="1"/>
  <c r="V26" i="1"/>
  <c r="T31" i="1"/>
  <c r="R13" i="1"/>
  <c r="T28" i="1"/>
  <c r="R28" i="1"/>
  <c r="R12" i="1"/>
  <c r="T27" i="1"/>
  <c r="T11" i="1"/>
  <c r="U26" i="1"/>
  <c r="U10" i="1"/>
  <c r="V25" i="1"/>
  <c r="V8" i="1"/>
  <c r="R30" i="1"/>
  <c r="T13" i="1"/>
  <c r="T12" i="1"/>
  <c r="R27" i="1"/>
  <c r="R11" i="1"/>
  <c r="T26" i="1"/>
  <c r="T10" i="1"/>
  <c r="U25" i="1"/>
  <c r="U8" i="1"/>
  <c r="V24" i="1"/>
  <c r="V7" i="1"/>
  <c r="V23" i="1"/>
  <c r="V6" i="1"/>
  <c r="R25" i="1"/>
  <c r="T24" i="1"/>
  <c r="T7" i="1"/>
  <c r="U6" i="1"/>
  <c r="V22" i="1"/>
  <c r="R7" i="1"/>
  <c r="R6" i="1"/>
  <c r="R22" i="1"/>
  <c r="U20" i="1"/>
  <c r="V19" i="1"/>
  <c r="V2" i="1"/>
  <c r="V9" i="1"/>
  <c r="U9" i="1"/>
  <c r="R9" i="1"/>
  <c r="T9" i="1"/>
  <c r="H6" i="15"/>
  <c r="I6" i="15" s="1"/>
  <c r="H30" i="11"/>
  <c r="J30" i="11" s="1"/>
  <c r="H18" i="11"/>
  <c r="J18" i="11" s="1"/>
  <c r="H33" i="11"/>
  <c r="J33" i="11" s="1"/>
  <c r="H32" i="11"/>
  <c r="J32" i="11" s="1"/>
  <c r="H14" i="11"/>
  <c r="J14" i="11" s="1"/>
  <c r="H46" i="11"/>
  <c r="H31" i="11"/>
  <c r="J31" i="11" s="1"/>
  <c r="H29" i="11"/>
  <c r="J29" i="11" s="1"/>
  <c r="H2" i="15"/>
  <c r="I2" i="15" s="1"/>
  <c r="I9" i="15" s="1"/>
  <c r="H2" i="11" s="1"/>
  <c r="H45" i="11"/>
  <c r="H44" i="11"/>
  <c r="H34" i="11"/>
  <c r="J34" i="11" s="1"/>
  <c r="H17" i="11"/>
  <c r="J17" i="11" s="1"/>
  <c r="H16" i="11"/>
  <c r="J16" i="11" s="1"/>
  <c r="H13" i="11"/>
  <c r="J13" i="11" s="1"/>
  <c r="H15" i="11"/>
  <c r="J15" i="11" s="1"/>
  <c r="H12" i="11"/>
  <c r="J12" i="11" s="1"/>
  <c r="H9" i="11"/>
  <c r="J9" i="11" s="1"/>
  <c r="H7" i="11"/>
  <c r="J7" i="11" s="1"/>
  <c r="H28" i="11"/>
  <c r="J28" i="11" s="1"/>
  <c r="H27" i="11"/>
  <c r="J27" i="11" s="1"/>
  <c r="H41" i="11"/>
  <c r="H43" i="11"/>
  <c r="H11" i="11"/>
  <c r="J11" i="11" s="1"/>
  <c r="H42" i="11"/>
  <c r="H26" i="11"/>
  <c r="J26" i="11" s="1"/>
  <c r="H10" i="11"/>
  <c r="J10" i="11" s="1"/>
  <c r="H25" i="11"/>
  <c r="J25" i="11" s="1"/>
  <c r="H40" i="11"/>
  <c r="H24" i="11"/>
  <c r="J24" i="11" s="1"/>
  <c r="H8" i="11"/>
  <c r="J8" i="11" s="1"/>
  <c r="H39" i="11"/>
  <c r="H23" i="11"/>
  <c r="J23" i="11" s="1"/>
  <c r="H38" i="11"/>
  <c r="H22" i="11"/>
  <c r="J22" i="11" s="1"/>
  <c r="H6" i="11"/>
  <c r="J6" i="11" s="1"/>
  <c r="H37" i="11"/>
  <c r="H21" i="11"/>
  <c r="J21" i="11" s="1"/>
  <c r="H5" i="11"/>
  <c r="J5" i="11" s="1"/>
  <c r="H36" i="11"/>
  <c r="H20" i="11"/>
  <c r="J20" i="11" s="1"/>
  <c r="H35" i="11"/>
  <c r="J35" i="11" s="1"/>
  <c r="H19" i="11"/>
  <c r="J19" i="11" s="1"/>
  <c r="M29" i="11" l="1"/>
  <c r="N29" i="11"/>
  <c r="K29" i="11"/>
  <c r="O29" i="11"/>
  <c r="L29" i="11"/>
  <c r="T33" i="1"/>
  <c r="K28" i="11"/>
  <c r="O28" i="11"/>
  <c r="L28" i="11"/>
  <c r="N28" i="11"/>
  <c r="M28" i="11"/>
  <c r="W23" i="1"/>
  <c r="X23" i="1" s="1"/>
  <c r="T4" i="1"/>
  <c r="AA33" i="1"/>
  <c r="X2" i="1"/>
  <c r="L14" i="11"/>
  <c r="M14" i="11"/>
  <c r="O14" i="11"/>
  <c r="N14" i="11"/>
  <c r="K14" i="11"/>
  <c r="L9" i="11"/>
  <c r="O9" i="11"/>
  <c r="K9" i="11"/>
  <c r="N9" i="11"/>
  <c r="M9" i="11"/>
  <c r="O18" i="11"/>
  <c r="L18" i="11"/>
  <c r="K18" i="11"/>
  <c r="N18" i="11"/>
  <c r="M18" i="11"/>
  <c r="V21" i="1"/>
  <c r="I25" i="15"/>
  <c r="H4" i="11" s="1"/>
  <c r="J4" i="11" s="1"/>
  <c r="U21" i="1"/>
  <c r="S33" i="1"/>
  <c r="AB33" i="1"/>
  <c r="O19" i="11"/>
  <c r="N19" i="11"/>
  <c r="M19" i="11"/>
  <c r="L19" i="11"/>
  <c r="K19" i="11"/>
  <c r="M31" i="11"/>
  <c r="K31" i="11"/>
  <c r="O31" i="11"/>
  <c r="L31" i="11"/>
  <c r="N31" i="11"/>
  <c r="M7" i="11"/>
  <c r="N7" i="11"/>
  <c r="O7" i="11"/>
  <c r="L7" i="11"/>
  <c r="K7" i="11"/>
  <c r="N12" i="11"/>
  <c r="O12" i="11"/>
  <c r="M12" i="11"/>
  <c r="L12" i="11"/>
  <c r="K12" i="11"/>
  <c r="N30" i="11"/>
  <c r="M30" i="11"/>
  <c r="K30" i="11"/>
  <c r="O30" i="11"/>
  <c r="L30" i="11"/>
  <c r="T2" i="1"/>
  <c r="V33" i="1"/>
  <c r="R33" i="1"/>
  <c r="AA29" i="1"/>
  <c r="M26" i="11"/>
  <c r="K26" i="11"/>
  <c r="O26" i="11"/>
  <c r="N26" i="11"/>
  <c r="L26" i="11"/>
  <c r="N21" i="11"/>
  <c r="M21" i="11"/>
  <c r="O21" i="11"/>
  <c r="L21" i="11"/>
  <c r="K21" i="11"/>
  <c r="T20" i="1"/>
  <c r="W20" i="1"/>
  <c r="AB20" i="1" s="1"/>
  <c r="V20" i="1"/>
  <c r="M23" i="11"/>
  <c r="O23" i="11"/>
  <c r="N23" i="11"/>
  <c r="L23" i="11"/>
  <c r="K23" i="11"/>
  <c r="L15" i="11"/>
  <c r="O15" i="11"/>
  <c r="N15" i="11"/>
  <c r="M15" i="11"/>
  <c r="K15" i="11"/>
  <c r="R10" i="1"/>
  <c r="S2" i="1"/>
  <c r="Z29" i="1"/>
  <c r="O10" i="11"/>
  <c r="K10" i="11"/>
  <c r="N10" i="11"/>
  <c r="M10" i="11"/>
  <c r="L10" i="11"/>
  <c r="K20" i="11"/>
  <c r="O20" i="11"/>
  <c r="N20" i="11"/>
  <c r="M20" i="11"/>
  <c r="L20" i="11"/>
  <c r="N5" i="11"/>
  <c r="M5" i="11"/>
  <c r="L5" i="11"/>
  <c r="O5" i="11"/>
  <c r="K5" i="11"/>
  <c r="L32" i="11"/>
  <c r="K32" i="11"/>
  <c r="O32" i="11"/>
  <c r="N32" i="11"/>
  <c r="M32" i="11"/>
  <c r="AB29" i="1"/>
  <c r="S8" i="1"/>
  <c r="L8" i="11"/>
  <c r="N8" i="11"/>
  <c r="O8" i="11"/>
  <c r="K8" i="11"/>
  <c r="M8" i="11"/>
  <c r="N13" i="11"/>
  <c r="L13" i="11"/>
  <c r="M13" i="11"/>
  <c r="O13" i="11"/>
  <c r="K13" i="11"/>
  <c r="U23" i="1"/>
  <c r="R29" i="1"/>
  <c r="V10" i="1"/>
  <c r="X29" i="1"/>
  <c r="M22" i="11"/>
  <c r="L22" i="11"/>
  <c r="K22" i="11"/>
  <c r="O22" i="11"/>
  <c r="N22" i="11"/>
  <c r="V29" i="1"/>
  <c r="U33" i="1"/>
  <c r="L24" i="11"/>
  <c r="K24" i="11"/>
  <c r="N24" i="11"/>
  <c r="O24" i="11"/>
  <c r="M24" i="11"/>
  <c r="L16" i="11"/>
  <c r="O16" i="11"/>
  <c r="K16" i="11"/>
  <c r="N16" i="11"/>
  <c r="M16" i="11"/>
  <c r="R2" i="1"/>
  <c r="U2" i="1"/>
  <c r="U4" i="1"/>
  <c r="R21" i="1"/>
  <c r="W21" i="1"/>
  <c r="U19" i="1"/>
  <c r="W19" i="1"/>
  <c r="K27" i="11"/>
  <c r="N27" i="11"/>
  <c r="M27" i="11"/>
  <c r="L27" i="11"/>
  <c r="O27" i="11"/>
  <c r="O33" i="11"/>
  <c r="N33" i="11"/>
  <c r="L33" i="11"/>
  <c r="K33" i="11"/>
  <c r="M33" i="11"/>
  <c r="Y33" i="1"/>
  <c r="L17" i="11"/>
  <c r="O17" i="11"/>
  <c r="N17" i="11"/>
  <c r="K17" i="11"/>
  <c r="M17" i="11"/>
  <c r="T19" i="1"/>
  <c r="X33" i="1"/>
  <c r="X8" i="1"/>
  <c r="O35" i="11"/>
  <c r="N35" i="11"/>
  <c r="M35" i="11"/>
  <c r="K35" i="11"/>
  <c r="L35" i="11"/>
  <c r="K11" i="11"/>
  <c r="L11" i="11"/>
  <c r="O11" i="11"/>
  <c r="N11" i="11"/>
  <c r="M11" i="11"/>
  <c r="T21" i="1"/>
  <c r="M6" i="11"/>
  <c r="O6" i="11"/>
  <c r="L6" i="11"/>
  <c r="N6" i="11"/>
  <c r="K6" i="11"/>
  <c r="L25" i="11"/>
  <c r="K25" i="11"/>
  <c r="O25" i="11"/>
  <c r="N25" i="11"/>
  <c r="M25" i="11"/>
  <c r="O34" i="11"/>
  <c r="N34" i="11"/>
  <c r="L34" i="11"/>
  <c r="M34" i="11"/>
  <c r="K34" i="11"/>
  <c r="R8" i="1"/>
  <c r="T29" i="1"/>
  <c r="I19" i="15"/>
  <c r="H3" i="11" s="1"/>
  <c r="J3" i="11" s="1"/>
  <c r="R20" i="1"/>
  <c r="S23" i="1"/>
  <c r="U29" i="1"/>
  <c r="W4" i="1"/>
  <c r="R4" i="1"/>
  <c r="S4" i="1"/>
  <c r="S3" i="1"/>
  <c r="W3" i="1"/>
  <c r="AB3" i="1" s="1"/>
  <c r="W5" i="1"/>
  <c r="R5" i="1"/>
  <c r="U5" i="1"/>
  <c r="S5" i="1"/>
  <c r="V5" i="1"/>
  <c r="T5" i="1"/>
  <c r="T15" i="1"/>
  <c r="W15" i="1"/>
  <c r="AB15" i="1" s="1"/>
  <c r="W13" i="1"/>
  <c r="W12" i="1"/>
  <c r="W11" i="1"/>
  <c r="Y2" i="1"/>
  <c r="R3" i="1"/>
  <c r="V3" i="1"/>
  <c r="U3" i="1"/>
  <c r="T3" i="1"/>
  <c r="R19" i="1"/>
  <c r="AA2" i="1"/>
  <c r="S19" i="1"/>
  <c r="AA14" i="1"/>
  <c r="Y14" i="1"/>
  <c r="AB14" i="1"/>
  <c r="X14" i="1"/>
  <c r="Z14" i="1"/>
  <c r="Z17" i="1"/>
  <c r="AA17" i="1"/>
  <c r="Y17" i="1"/>
  <c r="X17" i="1"/>
  <c r="AB17" i="1"/>
  <c r="Z16" i="1"/>
  <c r="AA16" i="1"/>
  <c r="Y16" i="1"/>
  <c r="X16" i="1"/>
  <c r="AB16" i="1"/>
  <c r="AB19" i="1"/>
  <c r="Z19" i="1"/>
  <c r="AA19" i="1"/>
  <c r="Y19" i="1"/>
  <c r="X19" i="1"/>
  <c r="AB18" i="1"/>
  <c r="Z18" i="1"/>
  <c r="AA18" i="1"/>
  <c r="Y18" i="1"/>
  <c r="X18" i="1"/>
  <c r="AA15" i="1"/>
  <c r="Y15" i="1"/>
  <c r="X15" i="1"/>
  <c r="X21" i="1"/>
  <c r="AB21" i="1"/>
  <c r="Z21" i="1"/>
  <c r="AA21" i="1"/>
  <c r="Y21" i="1"/>
  <c r="Y3" i="1"/>
  <c r="X3" i="1"/>
  <c r="J2" i="11"/>
  <c r="Y20" i="1" l="1"/>
  <c r="X20" i="1"/>
  <c r="Y23" i="1"/>
  <c r="AB23" i="1"/>
  <c r="Z23" i="1"/>
  <c r="AA23" i="1"/>
  <c r="AA20" i="1"/>
  <c r="Z20" i="1"/>
  <c r="AA3" i="1"/>
  <c r="Z3" i="1"/>
  <c r="O2" i="11"/>
  <c r="N2" i="11"/>
  <c r="K2" i="11"/>
  <c r="M2" i="11"/>
  <c r="L2" i="11"/>
  <c r="Z15" i="1"/>
  <c r="N4" i="11"/>
  <c r="M4" i="11"/>
  <c r="O4" i="11"/>
  <c r="L4" i="11"/>
  <c r="K4" i="11"/>
  <c r="O3" i="11"/>
  <c r="N3" i="11"/>
  <c r="K3" i="11"/>
  <c r="M3" i="11"/>
  <c r="L3" i="11"/>
  <c r="AB4" i="1"/>
  <c r="Y4" i="1"/>
  <c r="Z4" i="1"/>
  <c r="AA4" i="1"/>
  <c r="X4" i="1"/>
  <c r="Y5" i="1"/>
  <c r="AB5" i="1"/>
  <c r="AA5" i="1"/>
  <c r="Z5" i="1"/>
  <c r="X5" i="1"/>
  <c r="AA13" i="1"/>
  <c r="Z13" i="1"/>
  <c r="AB13" i="1"/>
  <c r="X13" i="1"/>
  <c r="Y13" i="1"/>
  <c r="AA12" i="1"/>
  <c r="X12" i="1"/>
  <c r="AB12" i="1"/>
  <c r="Z12" i="1"/>
  <c r="Y12" i="1"/>
  <c r="AA11" i="1"/>
  <c r="AB11" i="1"/>
  <c r="Z11" i="1"/>
  <c r="Y11" i="1"/>
  <c r="X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Reyes</author>
  </authors>
  <commentList>
    <comment ref="O3" authorId="0" shapeId="0" xr:uid="{2D3FE0B3-33C4-4A41-B8EC-22E8BF5D8921}">
      <text>
        <r>
          <rPr>
            <b/>
            <sz val="9"/>
            <color indexed="81"/>
            <rFont val="Tahoma"/>
            <charset val="1"/>
          </rPr>
          <t>Julio Reyes:</t>
        </r>
        <r>
          <rPr>
            <sz val="9"/>
            <color indexed="81"/>
            <rFont val="Tahoma"/>
            <charset val="1"/>
          </rPr>
          <t xml:space="preserve">
Horas laborales por mes. Usado en cálculos de costo/hora y precio FTE. Cambiar aquí actualiza todas las fórmulas.</t>
        </r>
      </text>
    </comment>
  </commentList>
</comments>
</file>

<file path=xl/sharedStrings.xml><?xml version="1.0" encoding="utf-8"?>
<sst xmlns="http://schemas.openxmlformats.org/spreadsheetml/2006/main" count="1145" uniqueCount="602">
  <si>
    <t>Creativo</t>
  </si>
  <si>
    <t>Staff</t>
  </si>
  <si>
    <t>Tier 1: Commoditizado</t>
  </si>
  <si>
    <t>Creatividad</t>
  </si>
  <si>
    <t>Mes</t>
  </si>
  <si>
    <t>SaaS / Licencia</t>
  </si>
  <si>
    <t>Proyectos/mes</t>
  </si>
  <si>
    <t>Mensual</t>
  </si>
  <si>
    <t>✅</t>
  </si>
  <si>
    <t>Rol</t>
  </si>
  <si>
    <t>Proyecto / Implementación</t>
  </si>
  <si>
    <t>Consultoria</t>
  </si>
  <si>
    <t>Servicio</t>
  </si>
  <si>
    <t>Tier 2: Especializado</t>
  </si>
  <si>
    <t>Social / Medios</t>
  </si>
  <si>
    <t>Año</t>
  </si>
  <si>
    <t>Recurso / Banco</t>
  </si>
  <si>
    <t>Proyectos</t>
  </si>
  <si>
    <t>Anual</t>
  </si>
  <si>
    <t>❌</t>
  </si>
  <si>
    <t>Herramienta</t>
  </si>
  <si>
    <t>Retainer</t>
  </si>
  <si>
    <t>Performance</t>
  </si>
  <si>
    <t>Tier 3: Estratégico</t>
  </si>
  <si>
    <t>Analítica / Performance</t>
  </si>
  <si>
    <t>SaaS</t>
  </si>
  <si>
    <t>Meses</t>
  </si>
  <si>
    <t>Créditos</t>
  </si>
  <si>
    <t>Consultoría Estratégica</t>
  </si>
  <si>
    <t>Tech</t>
  </si>
  <si>
    <t>Tier 4: IP Propietaria</t>
  </si>
  <si>
    <t>MarTech / HubSpot</t>
  </si>
  <si>
    <t>Usuario</t>
  </si>
  <si>
    <t>Plataforma</t>
  </si>
  <si>
    <t>Usuarios/mes</t>
  </si>
  <si>
    <t>Bolsa</t>
  </si>
  <si>
    <t>Proyecto / Servicio Técnico</t>
  </si>
  <si>
    <t>PR</t>
  </si>
  <si>
    <t>Automatización / Integraciones</t>
  </si>
  <si>
    <t>Plugin</t>
  </si>
  <si>
    <t>Clientes activos</t>
  </si>
  <si>
    <t>IA / Contenido</t>
  </si>
  <si>
    <t>Infraestructura</t>
  </si>
  <si>
    <t>Automatizaciones</t>
  </si>
  <si>
    <t>Hosting</t>
  </si>
  <si>
    <t>Plugins / CMS</t>
  </si>
  <si>
    <t>Infraestructura / Data</t>
  </si>
  <si>
    <t>Gestión Interna</t>
  </si>
  <si>
    <t>Gestión Financiera</t>
  </si>
  <si>
    <t>Tier</t>
  </si>
  <si>
    <t>Margen (%)</t>
  </si>
  <si>
    <t>Tier 4: Ip Propietaria</t>
  </si>
  <si>
    <t>Margen MIN</t>
  </si>
  <si>
    <t>Margen OPT</t>
  </si>
  <si>
    <t>Margen MAX</t>
  </si>
  <si>
    <t>TIER 1: COMMODITIZADO</t>
  </si>
  <si>
    <t>Community Manager</t>
  </si>
  <si>
    <t>Social Media Manager</t>
  </si>
  <si>
    <t>Content Creator</t>
  </si>
  <si>
    <t>UGC Creator</t>
  </si>
  <si>
    <t>Creative Designer (Jr/Mid)</t>
  </si>
  <si>
    <t>TIER 2: ESPECIALIZADO</t>
  </si>
  <si>
    <t>Copywriter</t>
  </si>
  <si>
    <t>Senior Visual Designer</t>
  </si>
  <si>
    <t>Video Editor/Motion Graphics</t>
  </si>
  <si>
    <t>UX/UI Designer</t>
  </si>
  <si>
    <t>Desarrollador WordPress</t>
  </si>
  <si>
    <t>Desarrollador Full Stack Jr/Mid</t>
  </si>
  <si>
    <t>Paid Media Specialist</t>
  </si>
  <si>
    <t>Media Buyer</t>
  </si>
  <si>
    <t>SEO Specialist</t>
  </si>
  <si>
    <t>Influencer Manager</t>
  </si>
  <si>
    <t>PR Analyst</t>
  </si>
  <si>
    <t>Content Manager</t>
  </si>
  <si>
    <t>TIER 3: ESTRATÉGICO</t>
  </si>
  <si>
    <t>Creative Operations Lead</t>
  </si>
  <si>
    <t>Director de Arte</t>
  </si>
  <si>
    <t>Project Manager</t>
  </si>
  <si>
    <t>Data Analyst</t>
  </si>
  <si>
    <t>CRO Specialist</t>
  </si>
  <si>
    <t>Growth Hacker</t>
  </si>
  <si>
    <t>Marketing Automation Specialist</t>
  </si>
  <si>
    <t>Analista GA4/GTM/Looker</t>
  </si>
  <si>
    <t>Desarrollador Full Stack Senior</t>
  </si>
  <si>
    <t>Implementador HubSpot</t>
  </si>
  <si>
    <t>Desarrollador HubSpot</t>
  </si>
  <si>
    <t>Periodista PR Digital</t>
  </si>
  <si>
    <t>TIER 4: IP PROPIETARIA</t>
  </si>
  <si>
    <t>Consultor HubSpot</t>
  </si>
  <si>
    <t>Estrategia AEO</t>
  </si>
  <si>
    <t>Globe OS (futuro)</t>
  </si>
  <si>
    <t>Moneda</t>
  </si>
  <si>
    <t>Código</t>
  </si>
  <si>
    <t>Tipo de cambio</t>
  </si>
  <si>
    <t>Última actualización</t>
  </si>
  <si>
    <t>Notas</t>
  </si>
  <si>
    <t>Peso Chileno</t>
  </si>
  <si>
    <t>CLP</t>
  </si>
  <si>
    <t>Valor base interno Efeonce</t>
  </si>
  <si>
    <t>Peso Colombiano</t>
  </si>
  <si>
    <t>COP</t>
  </si>
  <si>
    <t>Promedio mercado LATAM</t>
  </si>
  <si>
    <t>Peso Mexicano</t>
  </si>
  <si>
    <t>MXN</t>
  </si>
  <si>
    <t>SAT + XE promedio</t>
  </si>
  <si>
    <t>Sol Peruano</t>
  </si>
  <si>
    <t>PEN</t>
  </si>
  <si>
    <t>Promedio BCRP</t>
  </si>
  <si>
    <t>Unidad de Fomento (Chile)</t>
  </si>
  <si>
    <t>CLF</t>
  </si>
  <si>
    <t>1 UF ≈ 41,64 USD</t>
  </si>
  <si>
    <t>Dólar estadounidense</t>
  </si>
  <si>
    <t>USD</t>
  </si>
  <si>
    <t>Referencia principal</t>
  </si>
  <si>
    <t>🌎 TABLA FACTOR PAÍS</t>
  </si>
  <si>
    <t>Tipo de Cliente</t>
  </si>
  <si>
    <t>Factor</t>
  </si>
  <si>
    <t>Cuándo Usar</t>
  </si>
  <si>
    <t>Chile Corporate</t>
  </si>
  <si>
    <t>1.0</t>
  </si>
  <si>
    <t>Mid-market o enterprise estándar</t>
  </si>
  <si>
    <t>Chile PYME</t>
  </si>
  <si>
    <t>0.9</t>
  </si>
  <si>
    <t>Startup, PYME budget limitado</t>
  </si>
  <si>
    <t>Colombia / PYME LATAM</t>
  </si>
  <si>
    <t>0.85-0.9</t>
  </si>
  <si>
    <t>Mercado precio-sensible</t>
  </si>
  <si>
    <t>Internacional USD</t>
  </si>
  <si>
    <t>1.1-1.2</t>
  </si>
  <si>
    <t>USA, Europa con budget</t>
  </si>
  <si>
    <t>Licitación Pública</t>
  </si>
  <si>
    <t>0.85-0.95</t>
  </si>
  <si>
    <t>Gobierno, concurso</t>
  </si>
  <si>
    <t>Cliente Estratégico</t>
  </si>
  <si>
    <t>0.95</t>
  </si>
  <si>
    <t>Futuro valor &gt; margen actual</t>
  </si>
  <si>
    <t>Margen Base (%)</t>
  </si>
  <si>
    <t>Descripción</t>
  </si>
  <si>
    <t>Tier 1</t>
  </si>
  <si>
    <t>Servicios básicos o de entrada</t>
  </si>
  <si>
    <t>Tier 2</t>
  </si>
  <si>
    <t>Servicios estándar recurrentes</t>
  </si>
  <si>
    <t>Tier 3</t>
  </si>
  <si>
    <t>Servicios de consultoría o implementación media</t>
  </si>
  <si>
    <t>Tier 4</t>
  </si>
  <si>
    <t>Servicios estratégicos o premium</t>
  </si>
  <si>
    <t>Modelo Comercial</t>
  </si>
  <si>
    <t>Multiplicador (%)</t>
  </si>
  <si>
    <t>On-Going</t>
  </si>
  <si>
    <t>Retainers o contratos estables</t>
  </si>
  <si>
    <t>On-Demand</t>
  </si>
  <si>
    <t>Proyectos o implementaciones puntuales</t>
  </si>
  <si>
    <t>Híbrido</t>
  </si>
  <si>
    <t>Combina setup + retainer</t>
  </si>
  <si>
    <t>Licencia / Consultoría</t>
  </si>
  <si>
    <t>Servicios especializados o de licenciamiento</t>
  </si>
  <si>
    <t>% Dedicación</t>
  </si>
  <si>
    <t>Equivalente en FTE</t>
  </si>
  <si>
    <t>Horas mensuales</t>
  </si>
  <si>
    <t>Descripción recomendada</t>
  </si>
  <si>
    <t>0,1 FTE</t>
  </si>
  <si>
    <t>18 h/mes</t>
  </si>
  <si>
    <t>Soporte mínimo o participación táctica puntual</t>
  </si>
  <si>
    <t>0,2 FTE</t>
  </si>
  <si>
    <t>36 h/mes</t>
  </si>
  <si>
    <t>Rol parcial, apoyo en una cuenta o subproyecto</t>
  </si>
  <si>
    <t>0,25 FTE</t>
  </si>
  <si>
    <t>45 h/mes</t>
  </si>
  <si>
    <t>Involucramiento semanal (1 día aprox.)</t>
  </si>
  <si>
    <t>0,3 FTE</t>
  </si>
  <si>
    <t>54 h/mes</t>
  </si>
  <si>
    <t>Participación frecuente en un frente de trabajo</t>
  </si>
  <si>
    <t>0,4 FTE</t>
  </si>
  <si>
    <t>72 h/mes</t>
  </si>
  <si>
    <t>Dedicación parcial sostenida</t>
  </si>
  <si>
    <t>0,5 FTE</t>
  </si>
  <si>
    <t>90 h/mes</t>
  </si>
  <si>
    <t>Mitad de jornada mensual</t>
  </si>
  <si>
    <t>0,6 FTE</t>
  </si>
  <si>
    <t>108 h/mes</t>
  </si>
  <si>
    <t>Presencia importante en dos proyectos o marcas</t>
  </si>
  <si>
    <t>0,7 FTE</t>
  </si>
  <si>
    <t>126 h/mes</t>
  </si>
  <si>
    <t>Casi tiempo completo, comparte carga con otro frente</t>
  </si>
  <si>
    <t>0,8 FTE</t>
  </si>
  <si>
    <t>144 h/mes</t>
  </si>
  <si>
    <t>Alta dedicación (por ejemplo, PM o Creative Lead)</t>
  </si>
  <si>
    <t>0,9 FTE</t>
  </si>
  <si>
    <t>162 h/mes</t>
  </si>
  <si>
    <t>Prácticamente dedicado, con mínima flexibilidad</t>
  </si>
  <si>
    <t>1,0 FTE</t>
  </si>
  <si>
    <t>180 h/mes</t>
  </si>
  <si>
    <t>Dedicación completa mensual (full-time)</t>
  </si>
  <si>
    <t>SKU Servicio</t>
  </si>
  <si>
    <t>Nombre del servicio</t>
  </si>
  <si>
    <t>Tipo de ítem</t>
  </si>
  <si>
    <t>Horas</t>
  </si>
  <si>
    <t>Cantidad</t>
  </si>
  <si>
    <t>Costo unitario (USD)</t>
  </si>
  <si>
    <t>Subtotal (USD)</t>
  </si>
  <si>
    <t>Comentario</t>
  </si>
  <si>
    <t>Onboarding HubSpot Marketing Pro</t>
  </si>
  <si>
    <t>Notion</t>
  </si>
  <si>
    <t>Microsoft 365</t>
  </si>
  <si>
    <t>ChatGPT Plus</t>
  </si>
  <si>
    <t>Servicio de Diseño Digital Full Funnel</t>
  </si>
  <si>
    <t>Envato Elements</t>
  </si>
  <si>
    <t>Adobe Creative Cloud</t>
  </si>
  <si>
    <t>Freepik</t>
  </si>
  <si>
    <t>Deel</t>
  </si>
  <si>
    <t>Servicio de Performance y Paid Ads</t>
  </si>
  <si>
    <t>Paid Media Manager</t>
  </si>
  <si>
    <t>Creative Designer</t>
  </si>
  <si>
    <t>SKU</t>
  </si>
  <si>
    <t>Categoría</t>
  </si>
  <si>
    <t>Tipo (Staff/Servicio)</t>
  </si>
  <si>
    <t>Salario Base (USD)</t>
  </si>
  <si>
    <t>Bonificación JiT</t>
  </si>
  <si>
    <t>Bonificación RpA</t>
  </si>
  <si>
    <t>Bonificación  AR</t>
  </si>
  <si>
    <t>Bonificación Sobrecumplimiento</t>
  </si>
  <si>
    <t>Gastos Previsionales</t>
  </si>
  <si>
    <t>Fee Deel</t>
  </si>
  <si>
    <t>Costo total</t>
  </si>
  <si>
    <t>Costo Interno (USD/h)</t>
  </si>
  <si>
    <t>Costo Interno (FTE)</t>
  </si>
  <si>
    <t>Precio Hora Agencia (USD)</t>
  </si>
  <si>
    <t>Margen en %</t>
  </si>
  <si>
    <t>Precio Hora (CLP)</t>
  </si>
  <si>
    <t>Precio Hora (CLF)</t>
  </si>
  <si>
    <t>Precio Hora (COP)</t>
  </si>
  <si>
    <t>Precio Hora (MXN)</t>
  </si>
  <si>
    <t>Precio Hora (PEN)</t>
  </si>
  <si>
    <t>Precio FTE (USD)</t>
  </si>
  <si>
    <t>Precio FTE (CLP)</t>
  </si>
  <si>
    <t>Precio FTE (CLF)</t>
  </si>
  <si>
    <t>Precio FTE (COP)</t>
  </si>
  <si>
    <t>Precio FTE (MXN)</t>
  </si>
  <si>
    <t>Precio FTE (PEN)</t>
  </si>
  <si>
    <t>ECG-001</t>
  </si>
  <si>
    <t>ECG-002</t>
  </si>
  <si>
    <t>ECG-003</t>
  </si>
  <si>
    <t>ECG-004</t>
  </si>
  <si>
    <t>ECG-005</t>
  </si>
  <si>
    <t>ECG-006</t>
  </si>
  <si>
    <t>ECG-007</t>
  </si>
  <si>
    <t>ECG-008</t>
  </si>
  <si>
    <t>ECG-009</t>
  </si>
  <si>
    <t>ECG-010</t>
  </si>
  <si>
    <t>ECG-011</t>
  </si>
  <si>
    <t>ECG-012</t>
  </si>
  <si>
    <t>ECG-013</t>
  </si>
  <si>
    <t>Desarrollador Full Stack Junior</t>
  </si>
  <si>
    <t>ECG-014</t>
  </si>
  <si>
    <t>Desarrollador Full Stack Mid</t>
  </si>
  <si>
    <t>ECG-015</t>
  </si>
  <si>
    <t>ECG-016</t>
  </si>
  <si>
    <t>Project Manager/Account Manager</t>
  </si>
  <si>
    <t>ECG-017</t>
  </si>
  <si>
    <t>ECG-018</t>
  </si>
  <si>
    <t>Video Editor/Motion Graphics Designer</t>
  </si>
  <si>
    <t>ECG-019</t>
  </si>
  <si>
    <t>ECG-020</t>
  </si>
  <si>
    <t>ECG-021</t>
  </si>
  <si>
    <t>ECG-022</t>
  </si>
  <si>
    <t>ECG-023</t>
  </si>
  <si>
    <t>ECG-024</t>
  </si>
  <si>
    <t>Periodista (PR Digital On/Off)</t>
  </si>
  <si>
    <t>ECG-025</t>
  </si>
  <si>
    <t>ECG-026</t>
  </si>
  <si>
    <t>ECG-027</t>
  </si>
  <si>
    <t>ECG-028</t>
  </si>
  <si>
    <t>ECG-029</t>
  </si>
  <si>
    <t>ECG-030</t>
  </si>
  <si>
    <t>ECG-031</t>
  </si>
  <si>
    <t>Analista de Implementación GA4/GTM/Looker</t>
  </si>
  <si>
    <t>ECG-032</t>
  </si>
  <si>
    <t>Consultor HubSpot Premium</t>
  </si>
  <si>
    <t>ECG-033</t>
  </si>
  <si>
    <t>ECG-034</t>
  </si>
  <si>
    <t>ECG-035</t>
  </si>
  <si>
    <t>ECG-036</t>
  </si>
  <si>
    <t>ECG-037</t>
  </si>
  <si>
    <t>ECG-038</t>
  </si>
  <si>
    <t>ECG-039</t>
  </si>
  <si>
    <t>ECG-040</t>
  </si>
  <si>
    <t>ECG-041</t>
  </si>
  <si>
    <t>ECG-042</t>
  </si>
  <si>
    <t>ECG-043</t>
  </si>
  <si>
    <t>ECG-044</t>
  </si>
  <si>
    <t>ECG-045</t>
  </si>
  <si>
    <t>ECG-046</t>
  </si>
  <si>
    <t>ECG-047</t>
  </si>
  <si>
    <t>ECG-048</t>
  </si>
  <si>
    <t>ECG-049</t>
  </si>
  <si>
    <t>ECG-050</t>
  </si>
  <si>
    <t>ECG-051</t>
  </si>
  <si>
    <t>ECG-052</t>
  </si>
  <si>
    <t>ECG-053</t>
  </si>
  <si>
    <t>ECG-054</t>
  </si>
  <si>
    <t>ECG-055</t>
  </si>
  <si>
    <t>ECG-056</t>
  </si>
  <si>
    <t>ECG-057</t>
  </si>
  <si>
    <t>ECG-058</t>
  </si>
  <si>
    <t>ECG-059</t>
  </si>
  <si>
    <t>ECG-060</t>
  </si>
  <si>
    <t>ECG-061</t>
  </si>
  <si>
    <t>ECG-062</t>
  </si>
  <si>
    <t>ECG-063</t>
  </si>
  <si>
    <t>ECG-064</t>
  </si>
  <si>
    <t>ECG-065</t>
  </si>
  <si>
    <t>ECG-066</t>
  </si>
  <si>
    <t>ECG-067</t>
  </si>
  <si>
    <t>ECG-068</t>
  </si>
  <si>
    <t>ECG-069</t>
  </si>
  <si>
    <t>ECG-070</t>
  </si>
  <si>
    <t>ECG-071</t>
  </si>
  <si>
    <t>ECG-072</t>
  </si>
  <si>
    <t>ECG-073</t>
  </si>
  <si>
    <t>ECG-074</t>
  </si>
  <si>
    <t>ECG-075</t>
  </si>
  <si>
    <t>ECG-076</t>
  </si>
  <si>
    <t>ECG-077</t>
  </si>
  <si>
    <t>ECG-078</t>
  </si>
  <si>
    <t>ECG-079</t>
  </si>
  <si>
    <t>ECG-080</t>
  </si>
  <si>
    <t>ECG-081</t>
  </si>
  <si>
    <t>ECG-082</t>
  </si>
  <si>
    <t>ECG-083</t>
  </si>
  <si>
    <t>ECG-084</t>
  </si>
  <si>
    <t>ECG-085</t>
  </si>
  <si>
    <t>ECG-086</t>
  </si>
  <si>
    <t>Nombre del Servicio</t>
  </si>
  <si>
    <t>Unidad</t>
  </si>
  <si>
    <t>Tipo de Servicio</t>
  </si>
  <si>
    <t>Costo Interno (USD)</t>
  </si>
  <si>
    <t>Margen Agencia (%)</t>
  </si>
  <si>
    <t>Precio Final (USD)</t>
  </si>
  <si>
    <t>Precio Final (CLP)</t>
  </si>
  <si>
    <t>Precio Final (CLF)</t>
  </si>
  <si>
    <t>Precio Final (COP)</t>
  </si>
  <si>
    <t>Precio Final (MXN)</t>
  </si>
  <si>
    <t>Precio Final (PEN)</t>
  </si>
  <si>
    <t>Descripción breve / Alcance</t>
  </si>
  <si>
    <t>Duración estimada</t>
  </si>
  <si>
    <t>Unidad / Brand</t>
  </si>
  <si>
    <t>Comentarios</t>
  </si>
  <si>
    <t>EFG-001</t>
  </si>
  <si>
    <t>Implementaciones MarTech</t>
  </si>
  <si>
    <t>Proyecto</t>
  </si>
  <si>
    <t>Setup completo del portal Marketing Pro: automatizaciones, dashboards y training.</t>
  </si>
  <si>
    <t>4–6 semanas</t>
  </si>
  <si>
    <t>Wave</t>
  </si>
  <si>
    <t>Incluye 1 capacitación y 1 QA final</t>
  </si>
  <si>
    <t>EFG-002</t>
  </si>
  <si>
    <t>Creatividad y Contenido</t>
  </si>
  <si>
    <t>Servicio de Diseño Full-time para empresas</t>
  </si>
  <si>
    <t>Globe</t>
  </si>
  <si>
    <t>Incluye 3 ronda de ajustes</t>
  </si>
  <si>
    <t>EFG-003</t>
  </si>
  <si>
    <t>Performance y Paid Media</t>
  </si>
  <si>
    <t>Gestión integral de campañas + reporting mensual.</t>
  </si>
  <si>
    <t>Incluye optimización y dashboard</t>
  </si>
  <si>
    <t>EFG-004</t>
  </si>
  <si>
    <t>Consultoría Go-To-Market Efeonce</t>
  </si>
  <si>
    <t>Análisis, roadmap GTM y estructura comercial.</t>
  </si>
  <si>
    <t>2 semanas</t>
  </si>
  <si>
    <t>Efeonce</t>
  </si>
  <si>
    <t>Workshop remoto + entrega ejecutiva</t>
  </si>
  <si>
    <t>EFG-005</t>
  </si>
  <si>
    <t>Automatización y CRM</t>
  </si>
  <si>
    <t>Implementación CRM Sales Hub</t>
  </si>
  <si>
    <t>Implementación completa de Sales Hub Pro con pipelines y dashboards.</t>
  </si>
  <si>
    <t>4 semanas</t>
  </si>
  <si>
    <t>Incluye capacitación de equipos</t>
  </si>
  <si>
    <t>EFG-006</t>
  </si>
  <si>
    <t>AEO / SEO Técnico</t>
  </si>
  <si>
    <t>Auditoría Técnica AEO</t>
  </si>
  <si>
    <t>Diagnóstico completo AEO + plan de acción técnico.</t>
  </si>
  <si>
    <t>Ideal previo a optimización</t>
  </si>
  <si>
    <t>EFG-007</t>
  </si>
  <si>
    <t>Retainers Integrales</t>
  </si>
  <si>
    <t>Retainer Loop Marketing</t>
  </si>
  <si>
    <t>Retainer mensual de estrategia, contenido y performance.</t>
  </si>
  <si>
    <t>Efeonce / Globe / Wave / Reach</t>
  </si>
  <si>
    <t>Full funnel con reporting mensual</t>
  </si>
  <si>
    <t>EFG-008</t>
  </si>
  <si>
    <t>EFG-009</t>
  </si>
  <si>
    <t>EFG-010</t>
  </si>
  <si>
    <t>EFG-011</t>
  </si>
  <si>
    <t>EFG-012</t>
  </si>
  <si>
    <t>EFG-013</t>
  </si>
  <si>
    <t>EFG-014</t>
  </si>
  <si>
    <t>EFG-015</t>
  </si>
  <si>
    <t>EFG-016</t>
  </si>
  <si>
    <t>EFG-017</t>
  </si>
  <si>
    <t>EFG-018</t>
  </si>
  <si>
    <t>EFG-019</t>
  </si>
  <si>
    <t>EFG-020</t>
  </si>
  <si>
    <t>EFG-021</t>
  </si>
  <si>
    <t>EFG-022</t>
  </si>
  <si>
    <t>EFG-023</t>
  </si>
  <si>
    <t>EFG-024</t>
  </si>
  <si>
    <t>EFG-025</t>
  </si>
  <si>
    <t>EFG-026</t>
  </si>
  <si>
    <t>EFG-027</t>
  </si>
  <si>
    <t>EFG-028</t>
  </si>
  <si>
    <t>EFG-029</t>
  </si>
  <si>
    <t>EFG-030</t>
  </si>
  <si>
    <t>EFG-031</t>
  </si>
  <si>
    <t>EFG-032</t>
  </si>
  <si>
    <t>EFG-033</t>
  </si>
  <si>
    <t>EFG-034</t>
  </si>
  <si>
    <t>EFG-035</t>
  </si>
  <si>
    <t>EFG-036</t>
  </si>
  <si>
    <t>EFG-037</t>
  </si>
  <si>
    <t>EFG-038</t>
  </si>
  <si>
    <t>EFG-039</t>
  </si>
  <si>
    <t>EFG-040</t>
  </si>
  <si>
    <t>EFG-041</t>
  </si>
  <si>
    <t>EFG-042</t>
  </si>
  <si>
    <t>EFG-043</t>
  </si>
  <si>
    <t>EFG-044</t>
  </si>
  <si>
    <t>EFG-045</t>
  </si>
  <si>
    <t>EFG-046</t>
  </si>
  <si>
    <t>EFG-047</t>
  </si>
  <si>
    <t>EFG-048</t>
  </si>
  <si>
    <t>EFG-049</t>
  </si>
  <si>
    <t>EFG-050</t>
  </si>
  <si>
    <t>Nombre de la Herramienta</t>
  </si>
  <si>
    <t>Tipo</t>
  </si>
  <si>
    <t>Costo Total (USD)</t>
  </si>
  <si>
    <t>Frecuencia</t>
  </si>
  <si>
    <t>Prorrateo Estimado</t>
  </si>
  <si>
    <t>Tipo de prorrateo</t>
  </si>
  <si>
    <t>Costo Prorrateado (USD)</t>
  </si>
  <si>
    <t>Precio Prorrateado</t>
  </si>
  <si>
    <t>Aplicable a</t>
  </si>
  <si>
    <t>Incluye en Add-on</t>
  </si>
  <si>
    <t>ETG-001</t>
  </si>
  <si>
    <t>Incluye Photoshop, Illustrator, After Effects</t>
  </si>
  <si>
    <t>ETG-002</t>
  </si>
  <si>
    <t>Stock, plantillas, fuentes</t>
  </si>
  <si>
    <t>ETG-003</t>
  </si>
  <si>
    <t>Metricool</t>
  </si>
  <si>
    <t>Reach / Globe</t>
  </si>
  <si>
    <t>Licencia Multiaccount</t>
  </si>
  <si>
    <t>ETG-004</t>
  </si>
  <si>
    <t>SEMrush</t>
  </si>
  <si>
    <t>Auditoría SEO, Keywords</t>
  </si>
  <si>
    <t>ETG-005</t>
  </si>
  <si>
    <t>HubSpot</t>
  </si>
  <si>
    <t>N/A</t>
  </si>
  <si>
    <t>Efeonce / Wave</t>
  </si>
  <si>
    <t>Incluido como partner</t>
  </si>
  <si>
    <t>ETG-006</t>
  </si>
  <si>
    <t>Zapier</t>
  </si>
  <si>
    <t>Wave / Efeonce</t>
  </si>
  <si>
    <t>Costo compartido</t>
  </si>
  <si>
    <t>ETG-007</t>
  </si>
  <si>
    <t>Globe / Efeonce</t>
  </si>
  <si>
    <t>Incluye uso Promptcraft</t>
  </si>
  <si>
    <t>ETG-008</t>
  </si>
  <si>
    <t>IA / Diseño</t>
  </si>
  <si>
    <t>Midjourney</t>
  </si>
  <si>
    <t>Uso en renders creativos</t>
  </si>
  <si>
    <t>ETG-009</t>
  </si>
  <si>
    <t>Cloudways VPS</t>
  </si>
  <si>
    <t>Hosting cliente / sitio web</t>
  </si>
  <si>
    <t>ETG-010</t>
  </si>
  <si>
    <t>Elementor Pro</t>
  </si>
  <si>
    <t>Webs WordPress</t>
  </si>
  <si>
    <t>ETG-011</t>
  </si>
  <si>
    <t>WP Rocket</t>
  </si>
  <si>
    <t>Optimización de velocidad</t>
  </si>
  <si>
    <t>ETG-012</t>
  </si>
  <si>
    <t>Crocoblock Suite</t>
  </si>
  <si>
    <t>Webs dinámicas</t>
  </si>
  <si>
    <t>ETG-013</t>
  </si>
  <si>
    <t>GTM Server-side</t>
  </si>
  <si>
    <t>Tracking avanzado</t>
  </si>
  <si>
    <t>ETG-014</t>
  </si>
  <si>
    <t>BigQuery</t>
  </si>
  <si>
    <t>Análisis de datos</t>
  </si>
  <si>
    <t>ETG-015</t>
  </si>
  <si>
    <t>Todos</t>
  </si>
  <si>
    <t>Costo operativo</t>
  </si>
  <si>
    <t>ETG-016</t>
  </si>
  <si>
    <t>Cuentas corporativas</t>
  </si>
  <si>
    <t>ETG-017</t>
  </si>
  <si>
    <t>Staff Augmentation</t>
  </si>
  <si>
    <t>Fee por colaborador externo (gestión global de pagos y contratos internacionales).</t>
  </si>
  <si>
    <t>ETG-018</t>
  </si>
  <si>
    <t>Gemini</t>
  </si>
  <si>
    <t>Asistente de IA generativa para prompts, textos y soporte creativo (IA generativa Google).</t>
  </si>
  <si>
    <t>ETG-019</t>
  </si>
  <si>
    <t>Figma</t>
  </si>
  <si>
    <t>Plataforma de diseño colaborativo UI/UX y prototipado para Globe y Wave.</t>
  </si>
  <si>
    <t>ETG-020</t>
  </si>
  <si>
    <t>Shutterstock</t>
  </si>
  <si>
    <t>Banco de imágenes y videos premium con licencia comercial.</t>
  </si>
  <si>
    <t>ETG-021</t>
  </si>
  <si>
    <t>Recurso gráfico complementario (vectores, íconos, plantillas).</t>
  </si>
  <si>
    <t>ETG-022</t>
  </si>
  <si>
    <t>Frame.io</t>
  </si>
  <si>
    <t>Plataforma de revisión colaborativa de video y control de versiones.</t>
  </si>
  <si>
    <t>ETG-023</t>
  </si>
  <si>
    <t>Eleven Labs</t>
  </si>
  <si>
    <t>Generación de voz con IA para contenidos multimedia o campañas.</t>
  </si>
  <si>
    <t>ETG-024</t>
  </si>
  <si>
    <t>Github Copilot</t>
  </si>
  <si>
    <t>Asistente de codificación IA para automatización de desarrollo (Wave).</t>
  </si>
  <si>
    <t>ETG-025</t>
  </si>
  <si>
    <t>Adobe Express</t>
  </si>
  <si>
    <t>Herramienta de diseño rápido para social media y piezas simples.</t>
  </si>
  <si>
    <t>ETG-026</t>
  </si>
  <si>
    <t>Favikon</t>
  </si>
  <si>
    <t>ETG-027</t>
  </si>
  <si>
    <t>ETG-028</t>
  </si>
  <si>
    <t>ETG-029</t>
  </si>
  <si>
    <t>ETG-030</t>
  </si>
  <si>
    <t>ETG-031</t>
  </si>
  <si>
    <t>ETG-032</t>
  </si>
  <si>
    <t>ETG-033</t>
  </si>
  <si>
    <t>Nombre del Add-On</t>
  </si>
  <si>
    <t>Descripción / Cuándo aplicar</t>
  </si>
  <si>
    <t>EFO-001</t>
  </si>
  <si>
    <t>Overhead Operativo</t>
  </si>
  <si>
    <t>Costo de Herramientas Creativas</t>
  </si>
  <si>
    <t>Overhead</t>
  </si>
  <si>
    <t>Prorrateo de Adobe CC, Envato, Frame.io, Metricool, Notion, etc.</t>
  </si>
  <si>
    <t>Staff &amp; Servicios Creativos (Globe)</t>
  </si>
  <si>
    <t>Puede incluir IA (ChatGPT, Gemini)</t>
  </si>
  <si>
    <t>EFO-002</t>
  </si>
  <si>
    <t>Costo de Herramientas MarTech / HubSpot</t>
  </si>
  <si>
    <t>Uso compartido de HubSpot sandbox, Zapier, Make, GA4, GTM server-side.</t>
  </si>
  <si>
    <t>Wave, Efeonce</t>
  </si>
  <si>
    <t>Aplicar si el cliente no tiene su propia licencia</t>
  </si>
  <si>
    <t>EFO-003</t>
  </si>
  <si>
    <t>Fee de Gestión Efeonce</t>
  </si>
  <si>
    <t>Project Management Fee</t>
  </si>
  <si>
    <t>Fee</t>
  </si>
  <si>
    <t>Proyecto / Mes</t>
  </si>
  <si>
    <t>10 % del subtotal</t>
  </si>
  <si>
    <t>Cobertura de coordinación interna, QA, comunicación y reporting.</t>
  </si>
  <si>
    <t>Todos los proyectos y retainers</t>
  </si>
  <si>
    <t>Puede automatizarse en CPQ como “surcharge %”</t>
  </si>
  <si>
    <t>EFO-004</t>
  </si>
  <si>
    <t>Fee Administrativo</t>
  </si>
  <si>
    <t>Recruiting &amp; Onboarding Fee (Staff Aug)</t>
  </si>
  <si>
    <t>Único (setup)</t>
  </si>
  <si>
    <t>1 mes del costo del recurso</t>
  </si>
  <si>
    <t>Se cobra una sola vez al inicio de cada recurso dedicado.</t>
  </si>
  <si>
    <t>Incluye scouting, entrevistas, validación técnica</t>
  </si>
  <si>
    <t>EFO-005</t>
  </si>
  <si>
    <t>Renovación / Continuidad Staff Aug</t>
  </si>
  <si>
    <t>5 % del valor mensual del recurso</t>
  </si>
  <si>
    <t>Se aplica cuando se renueva un FTE ya existente.</t>
  </si>
  <si>
    <t>Opcional o negociable según duración</t>
  </si>
  <si>
    <t>EFO-006</t>
  </si>
  <si>
    <t>Fee Financiero</t>
  </si>
  <si>
    <t>Costos Transaccionales (Comisiones / Deel / Global66)</t>
  </si>
  <si>
    <t>% del monto</t>
  </si>
  <si>
    <t>4–7 % variable</t>
  </si>
  <si>
    <t>Cobertura de fees por pago internacional, tarjeta, conversión, etc.</t>
  </si>
  <si>
    <t>Staff &amp; Servicios Internacionales</t>
  </si>
  <si>
    <t>Ajustable por método de pago</t>
  </si>
  <si>
    <t>EFO-007</t>
  </si>
  <si>
    <t>Overhead Estratégico</t>
  </si>
  <si>
    <t>AI &amp; Data Infrastructure Fee</t>
  </si>
  <si>
    <t>3 % del proyecto o USD 30 mínimo</t>
  </si>
  <si>
    <t>Uso de infraestructura IA, BigQuery, Breeze, Promptcraft.</t>
  </si>
  <si>
    <t>Integrar en propuestas tech</t>
  </si>
  <si>
    <t>EFO-008</t>
  </si>
  <si>
    <t>Overhead General</t>
  </si>
  <si>
    <t>Efeonce Operational Overhead (base)</t>
  </si>
  <si>
    <t>%</t>
  </si>
  <si>
    <t>8–10 % global</t>
  </si>
  <si>
    <t>Costos indirectos de operación (RRHH, marketing, administración).</t>
  </si>
  <si>
    <t>Todos los proyectos</t>
  </si>
  <si>
    <t>Incluir en pricing interno, no visible al cliente</t>
  </si>
  <si>
    <t>EFO-009</t>
  </si>
  <si>
    <t>Descuento / Bono</t>
  </si>
  <si>
    <t>Fee de Retención / Descuento anual</t>
  </si>
  <si>
    <t>Ajuste</t>
  </si>
  <si>
    <t>−10 %</t>
  </si>
  <si>
    <t>Aplicable a contratos On-Going &gt; 12 meses.</t>
  </si>
  <si>
    <t>Retainers</t>
  </si>
  <si>
    <t>Negociable, aprobado por dirección</t>
  </si>
  <si>
    <t>Parámetro</t>
  </si>
  <si>
    <t>Valor</t>
  </si>
  <si>
    <t>Horas/mes</t>
  </si>
  <si>
    <t>TOTAL — Onboarding HubSpot Marketing Pro</t>
  </si>
  <si>
    <t>TOTAL — Servicio de Diseño Digital Full Funnel</t>
  </si>
  <si>
    <t>TOTAL — Servicio de Performance y Paid Ads</t>
  </si>
  <si>
    <t>TOTAL</t>
  </si>
  <si>
    <t>Área de Servicio</t>
  </si>
  <si>
    <t>Tipo Herramienta</t>
  </si>
  <si>
    <t>Unidad Prorrateo</t>
  </si>
  <si>
    <t>Facturación</t>
  </si>
  <si>
    <t>Activo</t>
  </si>
  <si>
    <t>Tipo de Ítem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</si>
</sst>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"/>
    <numFmt numFmtId="166" formatCode="&quot;$&quot;#,##0.00"/>
    <numFmt numFmtId="167" formatCode="0.0"/>
    <numFmt numFmtId="169" formatCode="#,##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Poppins"/>
    </font>
    <font>
      <b/>
      <sz val="11"/>
      <color theme="0"/>
      <name val="Poppins"/>
    </font>
    <font>
      <b/>
      <sz val="11"/>
      <color theme="1"/>
      <name val="Aptos Narrow"/>
      <family val="2"/>
      <scheme val="minor"/>
    </font>
    <font>
      <b/>
      <sz val="10"/>
      <color theme="0"/>
      <name val="Poppins"/>
    </font>
    <font>
      <sz val="10"/>
      <color theme="1"/>
      <name val="Aptos Narrow"/>
      <family val="2"/>
      <scheme val="minor"/>
    </font>
    <font>
      <b/>
      <sz val="11"/>
      <color theme="1"/>
      <name val="Poppins"/>
    </font>
    <font>
      <sz val="11"/>
      <color theme="0"/>
      <name val="Aptos Narrow"/>
      <family val="2"/>
      <scheme val="minor"/>
    </font>
    <font>
      <b/>
      <sz val="12"/>
      <color rgb="FFFFFFFF"/>
      <name val="Poppins"/>
    </font>
    <font>
      <b/>
      <sz val="11"/>
      <color rgb="FFFFFFFF"/>
      <name val="Poppins"/>
    </font>
    <font>
      <b/>
      <sz val="14"/>
      <color rgb="FF002060"/>
      <name val="Poppins"/>
    </font>
    <font>
      <sz val="11"/>
      <color rgb="FF002060"/>
      <name val="Poppins"/>
    </font>
    <font>
      <sz val="8"/>
      <name val="Aptos Narrow"/>
      <family val="2"/>
      <scheme val="minor"/>
    </font>
    <font>
      <sz val="11"/>
      <color theme="0"/>
      <name val="Poppins"/>
    </font>
    <font>
      <sz val="8"/>
      <color theme="1"/>
      <name val="Poppins"/>
    </font>
    <font>
      <b/>
      <sz val="10"/>
      <color theme="1"/>
      <name val="Poppins"/>
    </font>
    <font>
      <sz val="11"/>
      <color rgb="FF0000FF"/>
      <name val="Poppi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002060"/>
        <bgColor rgb="FF1F4E78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164" fontId="1" fillId="3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9" fillId="5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/>
    <xf numFmtId="9" fontId="1" fillId="0" borderId="1" xfId="0" applyNumberFormat="1" applyFont="1" applyBorder="1"/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/>
    <xf numFmtId="0" fontId="6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5" fontId="13" fillId="2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/>
    <xf numFmtId="164" fontId="13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3" fillId="4" borderId="0" xfId="0" applyNumberFormat="1" applyFont="1" applyFill="1" applyAlignment="1">
      <alignment horizontal="center" vertical="center" wrapText="1"/>
    </xf>
    <xf numFmtId="164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65" fontId="13" fillId="8" borderId="0" xfId="0" applyNumberFormat="1" applyFont="1" applyFill="1" applyAlignment="1">
      <alignment horizontal="center" vertical="center" wrapText="1"/>
    </xf>
    <xf numFmtId="165" fontId="13" fillId="8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wrapText="1"/>
    </xf>
    <xf numFmtId="9" fontId="1" fillId="0" borderId="0" xfId="0" applyNumberFormat="1" applyFont="1" applyAlignment="1">
      <alignment wrapText="1"/>
    </xf>
    <xf numFmtId="0" fontId="13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vertical="center" wrapText="1"/>
    </xf>
    <xf numFmtId="9" fontId="13" fillId="9" borderId="1" xfId="0" applyNumberFormat="1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164" fontId="13" fillId="8" borderId="1" xfId="0" applyNumberFormat="1" applyFont="1" applyFill="1" applyBorder="1" applyAlignment="1">
      <alignment vertical="center" wrapText="1"/>
    </xf>
    <xf numFmtId="164" fontId="13" fillId="8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167" fontId="1" fillId="0" borderId="0" xfId="0" applyNumberFormat="1" applyFont="1" applyAlignment="1">
      <alignment horizontal="right" vertical="center" wrapText="1"/>
    </xf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166" fontId="1" fillId="0" borderId="0" xfId="0" applyNumberFormat="1" applyFont="1" applyAlignment="1">
      <alignment wrapText="1"/>
    </xf>
    <xf numFmtId="166" fontId="1" fillId="0" borderId="2" xfId="0" applyNumberFormat="1" applyFont="1" applyBorder="1" applyAlignment="1">
      <alignment wrapText="1"/>
    </xf>
    <xf numFmtId="0" fontId="13" fillId="2" borderId="0" xfId="0" applyFont="1" applyFill="1" applyAlignment="1">
      <alignment vertical="center"/>
    </xf>
    <xf numFmtId="166" fontId="2" fillId="4" borderId="0" xfId="0" applyNumberFormat="1" applyFont="1" applyFill="1" applyAlignment="1">
      <alignment vertical="center"/>
    </xf>
    <xf numFmtId="166" fontId="13" fillId="7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4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1" fontId="1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/>
    </xf>
    <xf numFmtId="0" fontId="7" fillId="10" borderId="1" xfId="0" applyFont="1" applyFill="1" applyBorder="1"/>
    <xf numFmtId="0" fontId="7" fillId="2" borderId="1" xfId="0" applyFont="1" applyFill="1" applyBorder="1"/>
    <xf numFmtId="0" fontId="0" fillId="11" borderId="1" xfId="0" applyFill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12" borderId="0" xfId="0" applyFont="1" applyFill="1"/>
    <xf numFmtId="4" fontId="13" fillId="2" borderId="0" xfId="0" applyNumberFormat="1" applyFont="1" applyFill="1" applyAlignment="1">
      <alignment horizontal="right" vertical="center" wrapText="1"/>
    </xf>
    <xf numFmtId="4" fontId="13" fillId="2" borderId="0" xfId="0" applyNumberFormat="1" applyFont="1" applyFill="1" applyAlignment="1">
      <alignment vertical="center"/>
    </xf>
    <xf numFmtId="4" fontId="2" fillId="4" borderId="0" xfId="0" applyNumberFormat="1" applyFont="1" applyFill="1" applyAlignment="1">
      <alignment horizontal="right" vertical="center" wrapText="1"/>
    </xf>
    <xf numFmtId="4" fontId="2" fillId="4" borderId="0" xfId="0" applyNumberFormat="1" applyFont="1" applyFill="1" applyAlignment="1">
      <alignment vertical="center"/>
    </xf>
    <xf numFmtId="3" fontId="13" fillId="10" borderId="1" xfId="0" applyNumberFormat="1" applyFont="1" applyFill="1" applyBorder="1" applyAlignment="1">
      <alignment vertical="center"/>
    </xf>
    <xf numFmtId="169" fontId="13" fillId="10" borderId="1" xfId="0" applyNumberFormat="1" applyFont="1" applyFill="1" applyBorder="1" applyAlignment="1">
      <alignment vertical="center"/>
    </xf>
    <xf numFmtId="3" fontId="1" fillId="11" borderId="1" xfId="0" applyNumberFormat="1" applyFont="1" applyFill="1" applyBorder="1" applyAlignment="1">
      <alignment vertical="center"/>
    </xf>
    <xf numFmtId="3" fontId="0" fillId="11" borderId="1" xfId="0" applyNumberFormat="1" applyFill="1" applyBorder="1" applyAlignment="1">
      <alignment vertical="center"/>
    </xf>
    <xf numFmtId="4" fontId="13" fillId="2" borderId="1" xfId="0" applyNumberFormat="1" applyFont="1" applyFill="1" applyBorder="1" applyAlignment="1">
      <alignment vertical="center"/>
    </xf>
    <xf numFmtId="4" fontId="2" fillId="9" borderId="1" xfId="0" applyNumberFormat="1" applyFont="1" applyFill="1" applyBorder="1" applyAlignment="1">
      <alignment vertical="center"/>
    </xf>
    <xf numFmtId="3" fontId="7" fillId="10" borderId="1" xfId="0" applyNumberFormat="1" applyFont="1" applyFill="1" applyBorder="1"/>
    <xf numFmtId="169" fontId="7" fillId="10" borderId="1" xfId="0" applyNumberFormat="1" applyFont="1" applyFill="1" applyBorder="1"/>
    <xf numFmtId="3" fontId="7" fillId="2" borderId="1" xfId="0" applyNumberFormat="1" applyFont="1" applyFill="1" applyBorder="1"/>
    <xf numFmtId="4" fontId="7" fillId="2" borderId="1" xfId="0" applyNumberFormat="1" applyFont="1" applyFill="1" applyBorder="1"/>
    <xf numFmtId="9" fontId="13" fillId="7" borderId="0" xfId="0" applyNumberFormat="1" applyFont="1" applyFill="1" applyAlignment="1">
      <alignment horizontal="right" vertical="center" wrapText="1"/>
    </xf>
    <xf numFmtId="0" fontId="9" fillId="2" borderId="0" xfId="0" applyFont="1" applyFill="1"/>
    <xf numFmtId="0" fontId="9" fillId="2" borderId="0" xfId="0" applyFont="1" applyFill="1" applyBorder="1" applyAlignment="1">
      <alignment wrapText="1"/>
    </xf>
    <xf numFmtId="166" fontId="9" fillId="2" borderId="0" xfId="0" applyNumberFormat="1" applyFont="1" applyFill="1" applyAlignment="1">
      <alignment wrapText="1"/>
    </xf>
    <xf numFmtId="0" fontId="9" fillId="2" borderId="0" xfId="0" applyFont="1" applyFill="1" applyAlignment="1">
      <alignment wrapText="1"/>
    </xf>
    <xf numFmtId="166" fontId="0" fillId="0" borderId="0" xfId="0" applyNumberFormat="1"/>
    <xf numFmtId="166" fontId="13" fillId="4" borderId="1" xfId="0" applyNumberFormat="1" applyFont="1" applyFill="1" applyBorder="1" applyAlignment="1">
      <alignment vertical="center"/>
    </xf>
    <xf numFmtId="9" fontId="13" fillId="9" borderId="1" xfId="0" applyNumberFormat="1" applyFont="1" applyFill="1" applyBorder="1" applyAlignment="1">
      <alignment vertical="center"/>
    </xf>
    <xf numFmtId="3" fontId="13" fillId="10" borderId="1" xfId="0" applyNumberFormat="1" applyFont="1" applyFill="1" applyBorder="1" applyAlignment="1">
      <alignment vertical="center" wrapText="1"/>
    </xf>
    <xf numFmtId="169" fontId="13" fillId="10" borderId="1" xfId="0" applyNumberFormat="1" applyFont="1" applyFill="1" applyBorder="1" applyAlignment="1">
      <alignment vertical="center" wrapText="1"/>
    </xf>
    <xf numFmtId="3" fontId="13" fillId="2" borderId="1" xfId="0" applyNumberFormat="1" applyFont="1" applyFill="1" applyBorder="1" applyAlignment="1">
      <alignment vertical="center" wrapText="1"/>
    </xf>
    <xf numFmtId="4" fontId="13" fillId="2" borderId="1" xfId="0" applyNumberFormat="1" applyFont="1" applyFill="1" applyBorder="1" applyAlignment="1">
      <alignment vertical="center" wrapText="1"/>
    </xf>
    <xf numFmtId="0" fontId="9" fillId="2" borderId="0" xfId="0" applyFont="1" applyFill="1" applyAlignment="1">
      <alignment horizontal="center"/>
    </xf>
    <xf numFmtId="166" fontId="1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horizontal="center" vertical="center" wrapText="1"/>
    </xf>
    <xf numFmtId="166" fontId="13" fillId="4" borderId="0" xfId="0" applyNumberFormat="1" applyFont="1" applyFill="1" applyAlignment="1">
      <alignment horizontal="center" vertical="center" wrapText="1"/>
    </xf>
    <xf numFmtId="166" fontId="13" fillId="8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E8A756-D5A2-4F3B-AA42-181177AD858D}">
  <we:reference id="29673e3c-d826-4f00-92ee-162334a52b1a" version="1.0.0.5" store="EXCatalog" storeType="EXCatalog"/>
  <we:alternateReferences>
    <we:reference id="WA200009404" version="1.0.0.5" store="es-MX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4D2C-83B4-4DD1-A0C5-0F9C24B84351}">
  <dimension ref="A1:O12"/>
  <sheetViews>
    <sheetView workbookViewId="0">
      <selection activeCell="E1" sqref="E1"/>
    </sheetView>
  </sheetViews>
  <sheetFormatPr baseColWidth="10" defaultColWidth="11.44140625" defaultRowHeight="14.4" x14ac:dyDescent="0.3"/>
  <cols>
    <col min="5" max="5" width="13.33203125" customWidth="1"/>
  </cols>
  <sheetData>
    <row r="1" spans="1:15" ht="20.399999999999999" x14ac:dyDescent="0.7">
      <c r="A1" s="123" t="s">
        <v>214</v>
      </c>
      <c r="B1" s="123" t="s">
        <v>430</v>
      </c>
      <c r="C1" s="123" t="s">
        <v>49</v>
      </c>
      <c r="E1" s="123" t="s">
        <v>596</v>
      </c>
      <c r="F1" s="123" t="s">
        <v>432</v>
      </c>
      <c r="G1" s="123" t="s">
        <v>597</v>
      </c>
      <c r="H1" s="123" t="s">
        <v>598</v>
      </c>
      <c r="I1" s="123" t="s">
        <v>599</v>
      </c>
      <c r="J1" s="123" t="s">
        <v>600</v>
      </c>
      <c r="K1" s="123" t="s">
        <v>601</v>
      </c>
      <c r="L1" s="123" t="s">
        <v>334</v>
      </c>
    </row>
    <row r="2" spans="1:15" ht="61.2" x14ac:dyDescent="0.7">
      <c r="A2" t="s">
        <v>0</v>
      </c>
      <c r="B2" t="s">
        <v>1</v>
      </c>
      <c r="C2" s="4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N2" s="94" t="s">
        <v>589</v>
      </c>
      <c r="O2" s="94" t="s">
        <v>590</v>
      </c>
    </row>
    <row r="3" spans="1:15" ht="40.799999999999997" x14ac:dyDescent="0.7">
      <c r="A3" t="s">
        <v>11</v>
      </c>
      <c r="B3" t="s">
        <v>12</v>
      </c>
      <c r="C3" s="4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N3" s="95" t="s">
        <v>591</v>
      </c>
      <c r="O3" s="96">
        <v>180</v>
      </c>
    </row>
    <row r="4" spans="1:15" ht="81.599999999999994" x14ac:dyDescent="0.7">
      <c r="A4" t="s">
        <v>22</v>
      </c>
      <c r="C4" s="4" t="s">
        <v>23</v>
      </c>
      <c r="E4" s="1" t="s">
        <v>24</v>
      </c>
      <c r="F4" s="1" t="s">
        <v>4</v>
      </c>
      <c r="G4" s="1" t="s">
        <v>25</v>
      </c>
      <c r="H4" s="1" t="s">
        <v>26</v>
      </c>
      <c r="I4" s="1" t="s">
        <v>27</v>
      </c>
      <c r="L4" s="1" t="s">
        <v>28</v>
      </c>
    </row>
    <row r="5" spans="1:15" ht="61.2" x14ac:dyDescent="0.7">
      <c r="A5" t="s">
        <v>29</v>
      </c>
      <c r="C5" s="4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L5" s="1" t="s">
        <v>36</v>
      </c>
    </row>
    <row r="6" spans="1:15" ht="81.599999999999994" x14ac:dyDescent="0.3">
      <c r="A6" t="s">
        <v>37</v>
      </c>
      <c r="E6" s="1" t="s">
        <v>38</v>
      </c>
      <c r="F6" s="1" t="s">
        <v>35</v>
      </c>
      <c r="G6" s="1" t="s">
        <v>39</v>
      </c>
      <c r="H6" s="1" t="s">
        <v>40</v>
      </c>
      <c r="L6" s="1" t="s">
        <v>21</v>
      </c>
    </row>
    <row r="7" spans="1:15" ht="40.799999999999997" x14ac:dyDescent="0.3">
      <c r="E7" s="1" t="s">
        <v>41</v>
      </c>
      <c r="F7" s="1" t="s">
        <v>27</v>
      </c>
      <c r="G7" s="1" t="s">
        <v>42</v>
      </c>
      <c r="H7" s="1" t="s">
        <v>43</v>
      </c>
    </row>
    <row r="8" spans="1:15" ht="20.399999999999999" x14ac:dyDescent="0.3">
      <c r="E8" s="1" t="s">
        <v>44</v>
      </c>
      <c r="G8" s="1"/>
    </row>
    <row r="9" spans="1:15" ht="40.799999999999997" x14ac:dyDescent="0.3">
      <c r="E9" s="1" t="s">
        <v>45</v>
      </c>
      <c r="G9" s="1"/>
    </row>
    <row r="10" spans="1:15" ht="40.799999999999997" x14ac:dyDescent="0.3">
      <c r="E10" s="1" t="s">
        <v>46</v>
      </c>
    </row>
    <row r="11" spans="1:15" ht="40.799999999999997" x14ac:dyDescent="0.3">
      <c r="E11" s="1" t="s">
        <v>47</v>
      </c>
    </row>
    <row r="12" spans="1:15" ht="40.799999999999997" x14ac:dyDescent="0.3">
      <c r="E12" s="1" t="s">
        <v>48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03D8-2F47-4EE3-A17E-3DA3DAA8CB38}">
  <dimension ref="A1:B5"/>
  <sheetViews>
    <sheetView workbookViewId="0">
      <selection activeCell="L1" sqref="L1:L5"/>
    </sheetView>
  </sheetViews>
  <sheetFormatPr baseColWidth="10" defaultColWidth="11.44140625" defaultRowHeight="14.4" x14ac:dyDescent="0.3"/>
  <sheetData>
    <row r="1" spans="1:2" ht="40.799999999999997" x14ac:dyDescent="0.3">
      <c r="A1" s="16" t="s">
        <v>49</v>
      </c>
      <c r="B1" s="16" t="s">
        <v>50</v>
      </c>
    </row>
    <row r="2" spans="1:2" ht="61.2" x14ac:dyDescent="0.3">
      <c r="A2" s="1" t="s">
        <v>2</v>
      </c>
      <c r="B2" s="17">
        <v>0.25</v>
      </c>
    </row>
    <row r="3" spans="1:2" ht="61.2" x14ac:dyDescent="0.3">
      <c r="A3" s="1" t="s">
        <v>13</v>
      </c>
      <c r="B3" s="17">
        <v>0.3</v>
      </c>
    </row>
    <row r="4" spans="1:2" ht="61.2" x14ac:dyDescent="0.3">
      <c r="A4" s="1" t="s">
        <v>23</v>
      </c>
      <c r="B4" s="17">
        <v>0.5</v>
      </c>
    </row>
    <row r="5" spans="1:2" ht="61.2" x14ac:dyDescent="0.3">
      <c r="A5" s="1" t="s">
        <v>51</v>
      </c>
      <c r="B5" s="17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EE32-8E25-48E9-A359-04E9E9D8BF68}">
  <dimension ref="A1:E37"/>
  <sheetViews>
    <sheetView workbookViewId="0">
      <selection activeCell="E7" sqref="E7"/>
    </sheetView>
  </sheetViews>
  <sheetFormatPr baseColWidth="10" defaultColWidth="11.44140625" defaultRowHeight="14.4" x14ac:dyDescent="0.3"/>
  <cols>
    <col min="1" max="1" width="43.6640625" customWidth="1"/>
    <col min="3" max="3" width="18.33203125" customWidth="1"/>
    <col min="4" max="4" width="16.33203125" customWidth="1"/>
    <col min="5" max="5" width="24.44140625" customWidth="1"/>
  </cols>
  <sheetData>
    <row r="1" spans="1:5" ht="24" x14ac:dyDescent="0.85">
      <c r="A1" s="14" t="s">
        <v>9</v>
      </c>
      <c r="B1" s="14" t="s">
        <v>49</v>
      </c>
      <c r="C1" s="14" t="s">
        <v>52</v>
      </c>
      <c r="D1" s="14" t="s">
        <v>53</v>
      </c>
      <c r="E1" s="14" t="s">
        <v>54</v>
      </c>
    </row>
    <row r="2" spans="1:5" ht="20.399999999999999" x14ac:dyDescent="0.7">
      <c r="A2" s="15" t="s">
        <v>55</v>
      </c>
      <c r="B2" s="11"/>
      <c r="C2" s="11"/>
      <c r="D2" s="11"/>
      <c r="E2" s="11"/>
    </row>
    <row r="3" spans="1:5" ht="20.399999999999999" x14ac:dyDescent="0.7">
      <c r="A3" s="11" t="s">
        <v>56</v>
      </c>
      <c r="B3" s="12">
        <v>1</v>
      </c>
      <c r="C3" s="13">
        <v>0.2</v>
      </c>
      <c r="D3" s="13">
        <v>0.3</v>
      </c>
      <c r="E3" s="13">
        <v>0.35</v>
      </c>
    </row>
    <row r="4" spans="1:5" ht="20.399999999999999" x14ac:dyDescent="0.7">
      <c r="A4" s="11" t="s">
        <v>57</v>
      </c>
      <c r="B4" s="11">
        <v>1</v>
      </c>
      <c r="C4" s="13">
        <v>0.2</v>
      </c>
      <c r="D4" s="13">
        <v>0.3</v>
      </c>
      <c r="E4" s="13">
        <v>0.35</v>
      </c>
    </row>
    <row r="5" spans="1:5" ht="20.399999999999999" x14ac:dyDescent="0.7">
      <c r="A5" s="11" t="s">
        <v>58</v>
      </c>
      <c r="B5" s="11">
        <v>1</v>
      </c>
      <c r="C5" s="13">
        <v>0.2</v>
      </c>
      <c r="D5" s="13">
        <v>0.3</v>
      </c>
      <c r="E5" s="13">
        <v>0.35</v>
      </c>
    </row>
    <row r="6" spans="1:5" ht="20.399999999999999" x14ac:dyDescent="0.7">
      <c r="A6" s="11" t="s">
        <v>59</v>
      </c>
      <c r="B6" s="11">
        <v>1</v>
      </c>
      <c r="C6" s="13">
        <v>0.2</v>
      </c>
      <c r="D6" s="13">
        <v>0.3</v>
      </c>
      <c r="E6" s="13">
        <v>0.35</v>
      </c>
    </row>
    <row r="7" spans="1:5" ht="20.399999999999999" x14ac:dyDescent="0.7">
      <c r="A7" s="11" t="s">
        <v>60</v>
      </c>
      <c r="B7" s="11">
        <v>1</v>
      </c>
      <c r="C7" s="13">
        <v>0.2</v>
      </c>
      <c r="D7" s="13">
        <v>0.3</v>
      </c>
      <c r="E7" s="13">
        <v>0.35</v>
      </c>
    </row>
    <row r="8" spans="1:5" ht="20.399999999999999" x14ac:dyDescent="0.7">
      <c r="A8" s="15" t="s">
        <v>61</v>
      </c>
      <c r="B8" s="12"/>
      <c r="C8" s="13"/>
      <c r="D8" s="13"/>
      <c r="E8" s="13"/>
    </row>
    <row r="9" spans="1:5" ht="20.399999999999999" x14ac:dyDescent="0.7">
      <c r="A9" s="11" t="s">
        <v>62</v>
      </c>
      <c r="B9" s="11">
        <v>2</v>
      </c>
      <c r="C9" s="13">
        <v>0.3</v>
      </c>
      <c r="D9" s="13">
        <v>0.4</v>
      </c>
      <c r="E9" s="13">
        <v>0.45</v>
      </c>
    </row>
    <row r="10" spans="1:5" ht="20.399999999999999" x14ac:dyDescent="0.7">
      <c r="A10" s="11" t="s">
        <v>63</v>
      </c>
      <c r="B10" s="11">
        <v>2</v>
      </c>
      <c r="C10" s="13">
        <v>0.3</v>
      </c>
      <c r="D10" s="13">
        <v>0.4</v>
      </c>
      <c r="E10" s="13">
        <v>0.45</v>
      </c>
    </row>
    <row r="11" spans="1:5" ht="20.399999999999999" x14ac:dyDescent="0.7">
      <c r="A11" s="11" t="s">
        <v>64</v>
      </c>
      <c r="B11" s="11">
        <v>2</v>
      </c>
      <c r="C11" s="13">
        <v>0.3</v>
      </c>
      <c r="D11" s="13">
        <v>0.4</v>
      </c>
      <c r="E11" s="13">
        <v>0.45</v>
      </c>
    </row>
    <row r="12" spans="1:5" ht="20.399999999999999" x14ac:dyDescent="0.7">
      <c r="A12" s="11" t="s">
        <v>65</v>
      </c>
      <c r="B12" s="11">
        <v>2</v>
      </c>
      <c r="C12" s="13">
        <v>0.3</v>
      </c>
      <c r="D12" s="13">
        <v>0.4</v>
      </c>
      <c r="E12" s="13">
        <v>0.45</v>
      </c>
    </row>
    <row r="13" spans="1:5" ht="20.399999999999999" x14ac:dyDescent="0.7">
      <c r="A13" s="11" t="s">
        <v>66</v>
      </c>
      <c r="B13" s="11">
        <v>2</v>
      </c>
      <c r="C13" s="13">
        <v>0.3</v>
      </c>
      <c r="D13" s="13">
        <v>0.4</v>
      </c>
      <c r="E13" s="13">
        <v>0.45</v>
      </c>
    </row>
    <row r="14" spans="1:5" ht="20.399999999999999" x14ac:dyDescent="0.7">
      <c r="A14" s="11" t="s">
        <v>67</v>
      </c>
      <c r="B14" s="11">
        <v>2</v>
      </c>
      <c r="C14" s="13">
        <v>0.3</v>
      </c>
      <c r="D14" s="13">
        <v>0.4</v>
      </c>
      <c r="E14" s="13">
        <v>0.45</v>
      </c>
    </row>
    <row r="15" spans="1:5" ht="20.399999999999999" x14ac:dyDescent="0.7">
      <c r="A15" s="11" t="s">
        <v>68</v>
      </c>
      <c r="B15" s="11">
        <v>2</v>
      </c>
      <c r="C15" s="13">
        <v>0.3</v>
      </c>
      <c r="D15" s="13">
        <v>0.4</v>
      </c>
      <c r="E15" s="13">
        <v>0.45</v>
      </c>
    </row>
    <row r="16" spans="1:5" ht="20.399999999999999" x14ac:dyDescent="0.7">
      <c r="A16" s="11" t="s">
        <v>69</v>
      </c>
      <c r="B16" s="11">
        <v>2</v>
      </c>
      <c r="C16" s="13">
        <v>0.3</v>
      </c>
      <c r="D16" s="13">
        <v>0.4</v>
      </c>
      <c r="E16" s="13">
        <v>0.45</v>
      </c>
    </row>
    <row r="17" spans="1:5" ht="20.399999999999999" x14ac:dyDescent="0.7">
      <c r="A17" s="11" t="s">
        <v>70</v>
      </c>
      <c r="B17" s="11">
        <v>2</v>
      </c>
      <c r="C17" s="13">
        <v>0.3</v>
      </c>
      <c r="D17" s="13">
        <v>0.4</v>
      </c>
      <c r="E17" s="13">
        <v>0.45</v>
      </c>
    </row>
    <row r="18" spans="1:5" ht="20.399999999999999" x14ac:dyDescent="0.7">
      <c r="A18" s="11" t="s">
        <v>71</v>
      </c>
      <c r="B18" s="11">
        <v>2</v>
      </c>
      <c r="C18" s="13">
        <v>0.3</v>
      </c>
      <c r="D18" s="13">
        <v>0.4</v>
      </c>
      <c r="E18" s="13">
        <v>0.45</v>
      </c>
    </row>
    <row r="19" spans="1:5" ht="20.399999999999999" x14ac:dyDescent="0.7">
      <c r="A19" s="11" t="s">
        <v>72</v>
      </c>
      <c r="B19" s="11">
        <v>2</v>
      </c>
      <c r="C19" s="13">
        <v>0.3</v>
      </c>
      <c r="D19" s="13">
        <v>0.4</v>
      </c>
      <c r="E19" s="13">
        <v>0.45</v>
      </c>
    </row>
    <row r="20" spans="1:5" ht="20.399999999999999" x14ac:dyDescent="0.7">
      <c r="A20" s="11" t="s">
        <v>73</v>
      </c>
      <c r="B20" s="11">
        <v>2</v>
      </c>
      <c r="C20" s="13">
        <v>0.3</v>
      </c>
      <c r="D20" s="13">
        <v>0.4</v>
      </c>
      <c r="E20" s="13">
        <v>0.45</v>
      </c>
    </row>
    <row r="21" spans="1:5" ht="20.399999999999999" x14ac:dyDescent="0.7">
      <c r="A21" s="15" t="s">
        <v>74</v>
      </c>
      <c r="B21" s="12"/>
      <c r="C21" s="13"/>
      <c r="D21" s="13"/>
      <c r="E21" s="13"/>
    </row>
    <row r="22" spans="1:5" ht="20.399999999999999" x14ac:dyDescent="0.7">
      <c r="A22" s="11" t="s">
        <v>75</v>
      </c>
      <c r="B22" s="11">
        <v>3</v>
      </c>
      <c r="C22" s="13">
        <v>0.4</v>
      </c>
      <c r="D22" s="13">
        <v>0.5</v>
      </c>
      <c r="E22" s="13">
        <v>0.6</v>
      </c>
    </row>
    <row r="23" spans="1:5" ht="20.399999999999999" x14ac:dyDescent="0.7">
      <c r="A23" s="11" t="s">
        <v>76</v>
      </c>
      <c r="B23" s="11">
        <v>3</v>
      </c>
      <c r="C23" s="13">
        <v>0.4</v>
      </c>
      <c r="D23" s="13">
        <v>0.5</v>
      </c>
      <c r="E23" s="13">
        <v>0.6</v>
      </c>
    </row>
    <row r="24" spans="1:5" ht="20.399999999999999" x14ac:dyDescent="0.7">
      <c r="A24" s="11" t="s">
        <v>77</v>
      </c>
      <c r="B24" s="11">
        <v>3</v>
      </c>
      <c r="C24" s="13">
        <v>0.4</v>
      </c>
      <c r="D24" s="13">
        <v>0.5</v>
      </c>
      <c r="E24" s="13">
        <v>0.6</v>
      </c>
    </row>
    <row r="25" spans="1:5" ht="20.399999999999999" x14ac:dyDescent="0.7">
      <c r="A25" s="11" t="s">
        <v>78</v>
      </c>
      <c r="B25" s="11">
        <v>3</v>
      </c>
      <c r="C25" s="13">
        <v>0.4</v>
      </c>
      <c r="D25" s="13">
        <v>0.5</v>
      </c>
      <c r="E25" s="13">
        <v>0.6</v>
      </c>
    </row>
    <row r="26" spans="1:5" ht="20.399999999999999" x14ac:dyDescent="0.7">
      <c r="A26" s="11" t="s">
        <v>79</v>
      </c>
      <c r="B26" s="11">
        <v>3</v>
      </c>
      <c r="C26" s="13">
        <v>0.4</v>
      </c>
      <c r="D26" s="13">
        <v>0.5</v>
      </c>
      <c r="E26" s="13">
        <v>0.6</v>
      </c>
    </row>
    <row r="27" spans="1:5" ht="20.399999999999999" x14ac:dyDescent="0.7">
      <c r="A27" s="11" t="s">
        <v>80</v>
      </c>
      <c r="B27" s="11">
        <v>3</v>
      </c>
      <c r="C27" s="13">
        <v>0.4</v>
      </c>
      <c r="D27" s="13">
        <v>0.5</v>
      </c>
      <c r="E27" s="13">
        <v>0.6</v>
      </c>
    </row>
    <row r="28" spans="1:5" ht="20.399999999999999" x14ac:dyDescent="0.7">
      <c r="A28" s="11" t="s">
        <v>81</v>
      </c>
      <c r="B28" s="11">
        <v>3</v>
      </c>
      <c r="C28" s="13">
        <v>0.4</v>
      </c>
      <c r="D28" s="13">
        <v>0.5</v>
      </c>
      <c r="E28" s="13">
        <v>0.6</v>
      </c>
    </row>
    <row r="29" spans="1:5" ht="20.399999999999999" x14ac:dyDescent="0.7">
      <c r="A29" s="11" t="s">
        <v>82</v>
      </c>
      <c r="B29" s="11">
        <v>3</v>
      </c>
      <c r="C29" s="13">
        <v>0.4</v>
      </c>
      <c r="D29" s="13">
        <v>0.5</v>
      </c>
      <c r="E29" s="13">
        <v>0.6</v>
      </c>
    </row>
    <row r="30" spans="1:5" ht="20.399999999999999" x14ac:dyDescent="0.7">
      <c r="A30" s="11" t="s">
        <v>83</v>
      </c>
      <c r="B30" s="11">
        <v>3</v>
      </c>
      <c r="C30" s="13">
        <v>0.4</v>
      </c>
      <c r="D30" s="13">
        <v>0.5</v>
      </c>
      <c r="E30" s="13">
        <v>0.6</v>
      </c>
    </row>
    <row r="31" spans="1:5" ht="20.399999999999999" x14ac:dyDescent="0.7">
      <c r="A31" s="11" t="s">
        <v>84</v>
      </c>
      <c r="B31" s="11">
        <v>3</v>
      </c>
      <c r="C31" s="13">
        <v>0.4</v>
      </c>
      <c r="D31" s="13">
        <v>0.5</v>
      </c>
      <c r="E31" s="13">
        <v>0.6</v>
      </c>
    </row>
    <row r="32" spans="1:5" ht="20.399999999999999" x14ac:dyDescent="0.7">
      <c r="A32" s="11" t="s">
        <v>85</v>
      </c>
      <c r="B32" s="11">
        <v>3</v>
      </c>
      <c r="C32" s="13">
        <v>0.4</v>
      </c>
      <c r="D32" s="13">
        <v>0.5</v>
      </c>
      <c r="E32" s="13">
        <v>0.6</v>
      </c>
    </row>
    <row r="33" spans="1:5" ht="20.399999999999999" x14ac:dyDescent="0.7">
      <c r="A33" s="11" t="s">
        <v>86</v>
      </c>
      <c r="B33" s="11">
        <v>3</v>
      </c>
      <c r="C33" s="13">
        <v>0.4</v>
      </c>
      <c r="D33" s="13">
        <v>0.5</v>
      </c>
      <c r="E33" s="13">
        <v>0.6</v>
      </c>
    </row>
    <row r="34" spans="1:5" ht="20.399999999999999" x14ac:dyDescent="0.7">
      <c r="A34" s="10" t="s">
        <v>87</v>
      </c>
      <c r="B34" s="12"/>
      <c r="C34" s="13"/>
      <c r="D34" s="13"/>
      <c r="E34" s="13"/>
    </row>
    <row r="35" spans="1:5" ht="20.399999999999999" x14ac:dyDescent="0.7">
      <c r="A35" s="11" t="s">
        <v>88</v>
      </c>
      <c r="B35" s="11">
        <v>4</v>
      </c>
      <c r="C35" s="13">
        <v>0.6</v>
      </c>
      <c r="D35" s="13">
        <v>0.7</v>
      </c>
      <c r="E35" s="13">
        <v>0.8</v>
      </c>
    </row>
    <row r="36" spans="1:5" ht="20.399999999999999" x14ac:dyDescent="0.7">
      <c r="A36" s="11" t="s">
        <v>89</v>
      </c>
      <c r="B36" s="11">
        <v>4</v>
      </c>
      <c r="C36" s="13">
        <v>0.6</v>
      </c>
      <c r="D36" s="13">
        <v>0.7</v>
      </c>
      <c r="E36" s="13">
        <v>0.8</v>
      </c>
    </row>
    <row r="37" spans="1:5" ht="20.399999999999999" x14ac:dyDescent="0.7">
      <c r="A37" s="11" t="s">
        <v>90</v>
      </c>
      <c r="B37" s="11">
        <v>4</v>
      </c>
      <c r="C37" s="13">
        <v>0.6</v>
      </c>
      <c r="D37" s="13">
        <v>0.7</v>
      </c>
      <c r="E37" s="13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1ABA-FD32-4D8C-AAD6-063A5F7CAAF2}">
  <dimension ref="A1:L7"/>
  <sheetViews>
    <sheetView workbookViewId="0">
      <selection activeCell="C7" sqref="C7"/>
    </sheetView>
  </sheetViews>
  <sheetFormatPr baseColWidth="10" defaultColWidth="11.44140625" defaultRowHeight="20.399999999999999" x14ac:dyDescent="0.7"/>
  <cols>
    <col min="1" max="1" width="30.33203125" style="4" customWidth="1"/>
    <col min="2" max="2" width="18" style="4" customWidth="1"/>
    <col min="3" max="3" width="18" style="60" customWidth="1"/>
    <col min="4" max="4" width="20.6640625" style="4" customWidth="1"/>
    <col min="5" max="5" width="11.5546875" style="4"/>
  </cols>
  <sheetData>
    <row r="1" spans="1:12" ht="40.799999999999997" x14ac:dyDescent="0.3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H1" s="45"/>
      <c r="I1" s="45"/>
      <c r="J1" s="81"/>
      <c r="K1" s="45"/>
      <c r="L1" s="45"/>
    </row>
    <row r="2" spans="1:12" ht="81.599999999999994" x14ac:dyDescent="0.3">
      <c r="A2" s="1" t="s">
        <v>96</v>
      </c>
      <c r="B2" s="1" t="s">
        <v>97</v>
      </c>
      <c r="C2" s="59">
        <v>1000</v>
      </c>
      <c r="D2" s="57">
        <v>45970</v>
      </c>
      <c r="E2" s="1" t="s">
        <v>98</v>
      </c>
      <c r="H2" s="46"/>
      <c r="I2" s="44"/>
      <c r="J2" s="81"/>
      <c r="K2" s="56"/>
      <c r="L2" s="46"/>
    </row>
    <row r="3" spans="1:12" ht="61.2" x14ac:dyDescent="0.3">
      <c r="A3" s="1" t="s">
        <v>99</v>
      </c>
      <c r="B3" s="1" t="s">
        <v>100</v>
      </c>
      <c r="C3" s="59">
        <v>4200</v>
      </c>
      <c r="D3" s="57">
        <v>45970</v>
      </c>
      <c r="E3" s="1" t="s">
        <v>101</v>
      </c>
      <c r="F3" s="46"/>
      <c r="H3" s="46"/>
      <c r="I3" s="44"/>
      <c r="J3" s="81"/>
      <c r="K3" s="56"/>
      <c r="L3" s="46"/>
    </row>
    <row r="4" spans="1:12" ht="40.799999999999997" x14ac:dyDescent="0.3">
      <c r="A4" s="1" t="s">
        <v>102</v>
      </c>
      <c r="B4" s="1" t="s">
        <v>103</v>
      </c>
      <c r="C4" s="65">
        <v>18.5</v>
      </c>
      <c r="D4" s="57">
        <v>45970</v>
      </c>
      <c r="E4" s="1" t="s">
        <v>104</v>
      </c>
      <c r="H4" s="46"/>
      <c r="I4" s="44"/>
      <c r="J4" s="81"/>
      <c r="K4" s="56"/>
      <c r="L4" s="46"/>
    </row>
    <row r="5" spans="1:12" ht="40.799999999999997" x14ac:dyDescent="0.3">
      <c r="A5" s="1" t="s">
        <v>105</v>
      </c>
      <c r="B5" s="1" t="s">
        <v>106</v>
      </c>
      <c r="C5" s="65">
        <v>3.8</v>
      </c>
      <c r="D5" s="57">
        <v>45970</v>
      </c>
      <c r="E5" s="1" t="s">
        <v>107</v>
      </c>
      <c r="H5" s="46"/>
      <c r="I5" s="44"/>
      <c r="J5" s="81"/>
      <c r="K5" s="56"/>
      <c r="L5" s="46"/>
    </row>
    <row r="6" spans="1:12" ht="40.799999999999997" x14ac:dyDescent="0.7">
      <c r="A6" s="4" t="s">
        <v>108</v>
      </c>
      <c r="B6" s="4" t="s">
        <v>109</v>
      </c>
      <c r="C6" s="82">
        <v>2.4E-2</v>
      </c>
      <c r="D6" s="57">
        <v>45971</v>
      </c>
      <c r="E6" s="1" t="s">
        <v>110</v>
      </c>
      <c r="H6" s="46"/>
      <c r="I6" s="44"/>
      <c r="J6" s="81"/>
      <c r="K6" s="56"/>
      <c r="L6" s="46"/>
    </row>
    <row r="7" spans="1:12" ht="40.799999999999997" x14ac:dyDescent="0.3">
      <c r="A7" s="1" t="s">
        <v>111</v>
      </c>
      <c r="B7" s="32" t="s">
        <v>112</v>
      </c>
      <c r="C7" s="58">
        <v>1</v>
      </c>
      <c r="D7" s="57">
        <v>45971</v>
      </c>
      <c r="E7" s="1" t="s">
        <v>113</v>
      </c>
      <c r="H7" s="46"/>
      <c r="I7" s="44"/>
      <c r="J7" s="81"/>
      <c r="K7" s="56"/>
      <c r="L7" s="46"/>
    </row>
  </sheetData>
  <conditionalFormatting sqref="D2:D7">
    <cfRule type="expression" dxfId="1" priority="1">
      <formula>AND(D2&lt;&gt;"", (TODAY()-D2)&gt;30)</formula>
    </cfRule>
  </conditionalFormatting>
  <conditionalFormatting sqref="D2:D7">
    <cfRule type="expression" dxfId="0" priority="2">
      <formula>AND(D2&lt;&gt;"", (TODAY()-D2)&lt;=30)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DA88-CDA7-410E-A34B-F25590974267}">
  <dimension ref="A1:C9"/>
  <sheetViews>
    <sheetView workbookViewId="0">
      <selection activeCell="C9" sqref="C9"/>
    </sheetView>
  </sheetViews>
  <sheetFormatPr baseColWidth="10" defaultColWidth="11.44140625" defaultRowHeight="14.4" x14ac:dyDescent="0.3"/>
  <cols>
    <col min="1" max="1" width="26.88671875" customWidth="1"/>
    <col min="2" max="2" width="28.109375" customWidth="1"/>
    <col min="3" max="3" width="39.44140625" customWidth="1"/>
  </cols>
  <sheetData>
    <row r="1" spans="1:3" ht="26.4" x14ac:dyDescent="0.9">
      <c r="A1" s="90" t="s">
        <v>114</v>
      </c>
      <c r="B1" s="91"/>
      <c r="C1" s="91"/>
    </row>
    <row r="2" spans="1:3" ht="20.399999999999999" x14ac:dyDescent="0.7">
      <c r="A2" s="4"/>
      <c r="B2" s="4"/>
      <c r="C2" s="4"/>
    </row>
    <row r="3" spans="1:3" ht="24" x14ac:dyDescent="0.85">
      <c r="A3" s="14" t="s">
        <v>115</v>
      </c>
      <c r="B3" s="14" t="s">
        <v>116</v>
      </c>
      <c r="C3" s="14" t="s">
        <v>117</v>
      </c>
    </row>
    <row r="4" spans="1:3" ht="20.399999999999999" x14ac:dyDescent="0.7">
      <c r="A4" s="11" t="s">
        <v>118</v>
      </c>
      <c r="B4" s="11" t="s">
        <v>119</v>
      </c>
      <c r="C4" s="11" t="s">
        <v>120</v>
      </c>
    </row>
    <row r="5" spans="1:3" ht="20.399999999999999" x14ac:dyDescent="0.7">
      <c r="A5" s="11" t="s">
        <v>121</v>
      </c>
      <c r="B5" s="11" t="s">
        <v>122</v>
      </c>
      <c r="C5" s="11" t="s">
        <v>123</v>
      </c>
    </row>
    <row r="6" spans="1:3" ht="20.399999999999999" x14ac:dyDescent="0.7">
      <c r="A6" s="11" t="s">
        <v>124</v>
      </c>
      <c r="B6" s="11" t="s">
        <v>125</v>
      </c>
      <c r="C6" s="11" t="s">
        <v>126</v>
      </c>
    </row>
    <row r="7" spans="1:3" ht="20.399999999999999" x14ac:dyDescent="0.7">
      <c r="A7" s="11" t="s">
        <v>127</v>
      </c>
      <c r="B7" s="11" t="s">
        <v>128</v>
      </c>
      <c r="C7" s="11" t="s">
        <v>129</v>
      </c>
    </row>
    <row r="8" spans="1:3" ht="20.399999999999999" x14ac:dyDescent="0.7">
      <c r="A8" s="11" t="s">
        <v>130</v>
      </c>
      <c r="B8" s="11" t="s">
        <v>131</v>
      </c>
      <c r="C8" s="11" t="s">
        <v>132</v>
      </c>
    </row>
    <row r="9" spans="1:3" ht="20.399999999999999" x14ac:dyDescent="0.7">
      <c r="A9" s="11" t="s">
        <v>133</v>
      </c>
      <c r="B9" s="11" t="s">
        <v>134</v>
      </c>
      <c r="C9" s="11" t="s">
        <v>135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5334-62F5-49B5-9089-0DDFE88621C1}">
  <dimension ref="A1:C5"/>
  <sheetViews>
    <sheetView workbookViewId="0">
      <selection activeCell="C3" sqref="C3"/>
    </sheetView>
  </sheetViews>
  <sheetFormatPr baseColWidth="10" defaultColWidth="11.44140625" defaultRowHeight="20.399999999999999" x14ac:dyDescent="0.3"/>
  <cols>
    <col min="1" max="1" width="9.109375" style="25" customWidth="1"/>
    <col min="2" max="2" width="18.44140625" style="25" customWidth="1"/>
    <col min="3" max="3" width="30.33203125" style="25" customWidth="1"/>
  </cols>
  <sheetData>
    <row r="1" spans="1:3" ht="40.799999999999997" x14ac:dyDescent="0.3">
      <c r="A1" s="3" t="s">
        <v>49</v>
      </c>
      <c r="B1" s="3" t="s">
        <v>136</v>
      </c>
      <c r="C1" s="3" t="s">
        <v>137</v>
      </c>
    </row>
    <row r="2" spans="1:3" ht="40.799999999999997" x14ac:dyDescent="0.3">
      <c r="A2" s="1" t="s">
        <v>138</v>
      </c>
      <c r="B2" s="27">
        <v>0.4</v>
      </c>
      <c r="C2" s="1" t="s">
        <v>139</v>
      </c>
    </row>
    <row r="3" spans="1:3" ht="40.799999999999997" x14ac:dyDescent="0.3">
      <c r="A3" s="1" t="s">
        <v>140</v>
      </c>
      <c r="B3" s="27">
        <v>0.45</v>
      </c>
      <c r="C3" s="1" t="s">
        <v>141</v>
      </c>
    </row>
    <row r="4" spans="1:3" ht="40.799999999999997" x14ac:dyDescent="0.3">
      <c r="A4" s="1" t="s">
        <v>142</v>
      </c>
      <c r="B4" s="27">
        <v>0.5</v>
      </c>
      <c r="C4" s="1" t="s">
        <v>143</v>
      </c>
    </row>
    <row r="5" spans="1:3" ht="40.799999999999997" x14ac:dyDescent="0.3">
      <c r="A5" s="1" t="s">
        <v>144</v>
      </c>
      <c r="B5" s="27">
        <v>0.55000000000000004</v>
      </c>
      <c r="C5" s="1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CBA9-855D-4479-BE0E-D5A5D7566561}">
  <dimension ref="A1:C5"/>
  <sheetViews>
    <sheetView workbookViewId="0">
      <selection activeCell="B5" sqref="B5"/>
    </sheetView>
  </sheetViews>
  <sheetFormatPr baseColWidth="10" defaultColWidth="11.44140625" defaultRowHeight="20.399999999999999" x14ac:dyDescent="0.7"/>
  <cols>
    <col min="1" max="3" width="23.6640625" style="4" customWidth="1"/>
  </cols>
  <sheetData>
    <row r="1" spans="1:3" x14ac:dyDescent="0.7">
      <c r="A1" s="47" t="s">
        <v>146</v>
      </c>
      <c r="B1" s="47" t="s">
        <v>147</v>
      </c>
      <c r="C1" s="47" t="s">
        <v>137</v>
      </c>
    </row>
    <row r="2" spans="1:3" ht="40.799999999999997" x14ac:dyDescent="0.7">
      <c r="A2" s="29" t="s">
        <v>148</v>
      </c>
      <c r="B2" s="48">
        <v>0</v>
      </c>
      <c r="C2" s="29" t="s">
        <v>149</v>
      </c>
    </row>
    <row r="3" spans="1:3" ht="61.2" x14ac:dyDescent="0.7">
      <c r="A3" s="29" t="s">
        <v>150</v>
      </c>
      <c r="B3" s="48">
        <v>0.1</v>
      </c>
      <c r="C3" s="29" t="s">
        <v>151</v>
      </c>
    </row>
    <row r="4" spans="1:3" ht="40.799999999999997" x14ac:dyDescent="0.7">
      <c r="A4" s="29" t="s">
        <v>152</v>
      </c>
      <c r="B4" s="48">
        <v>0.05</v>
      </c>
      <c r="C4" s="29" t="s">
        <v>153</v>
      </c>
    </row>
    <row r="5" spans="1:3" ht="61.2" x14ac:dyDescent="0.7">
      <c r="A5" s="29" t="s">
        <v>154</v>
      </c>
      <c r="B5" s="48">
        <v>0.15</v>
      </c>
      <c r="C5" s="29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7566-8C95-467C-A324-F3A0238B30A4}">
  <dimension ref="A1:D12"/>
  <sheetViews>
    <sheetView topLeftCell="A5" workbookViewId="0">
      <selection activeCell="D9" sqref="D9"/>
    </sheetView>
  </sheetViews>
  <sheetFormatPr baseColWidth="10" defaultColWidth="11.44140625" defaultRowHeight="14.4" x14ac:dyDescent="0.3"/>
  <cols>
    <col min="1" max="1" width="15.88671875" customWidth="1"/>
    <col min="2" max="2" width="14.33203125" customWidth="1"/>
    <col min="3" max="3" width="15.6640625" customWidth="1"/>
    <col min="4" max="4" width="27.44140625" customWidth="1"/>
  </cols>
  <sheetData>
    <row r="1" spans="1:4" ht="40.799999999999997" x14ac:dyDescent="0.3">
      <c r="A1" s="3" t="s">
        <v>156</v>
      </c>
      <c r="B1" s="3" t="s">
        <v>157</v>
      </c>
      <c r="C1" s="3" t="s">
        <v>158</v>
      </c>
      <c r="D1" s="3" t="s">
        <v>159</v>
      </c>
    </row>
    <row r="2" spans="1:4" ht="61.2" x14ac:dyDescent="0.3">
      <c r="A2" s="18">
        <v>0.1</v>
      </c>
      <c r="B2" s="1" t="s">
        <v>160</v>
      </c>
      <c r="C2" s="1" t="s">
        <v>161</v>
      </c>
      <c r="D2" s="1" t="s">
        <v>162</v>
      </c>
    </row>
    <row r="3" spans="1:4" ht="40.799999999999997" x14ac:dyDescent="0.3">
      <c r="A3" s="18">
        <v>0.2</v>
      </c>
      <c r="B3" s="1" t="s">
        <v>163</v>
      </c>
      <c r="C3" s="1" t="s">
        <v>164</v>
      </c>
      <c r="D3" s="1" t="s">
        <v>165</v>
      </c>
    </row>
    <row r="4" spans="1:4" ht="40.799999999999997" x14ac:dyDescent="0.3">
      <c r="A4" s="18">
        <v>0.25</v>
      </c>
      <c r="B4" s="1" t="s">
        <v>166</v>
      </c>
      <c r="C4" s="1" t="s">
        <v>167</v>
      </c>
      <c r="D4" s="1" t="s">
        <v>168</v>
      </c>
    </row>
    <row r="5" spans="1:4" ht="40.799999999999997" x14ac:dyDescent="0.3">
      <c r="A5" s="18">
        <v>0.3</v>
      </c>
      <c r="B5" s="1" t="s">
        <v>169</v>
      </c>
      <c r="C5" s="1" t="s">
        <v>170</v>
      </c>
      <c r="D5" s="1" t="s">
        <v>171</v>
      </c>
    </row>
    <row r="6" spans="1:4" ht="40.799999999999997" x14ac:dyDescent="0.3">
      <c r="A6" s="18">
        <v>0.4</v>
      </c>
      <c r="B6" s="1" t="s">
        <v>172</v>
      </c>
      <c r="C6" s="1" t="s">
        <v>173</v>
      </c>
      <c r="D6" s="1" t="s">
        <v>174</v>
      </c>
    </row>
    <row r="7" spans="1:4" ht="40.799999999999997" x14ac:dyDescent="0.3">
      <c r="A7" s="18">
        <v>0.5</v>
      </c>
      <c r="B7" s="1" t="s">
        <v>175</v>
      </c>
      <c r="C7" s="1" t="s">
        <v>176</v>
      </c>
      <c r="D7" s="1" t="s">
        <v>177</v>
      </c>
    </row>
    <row r="8" spans="1:4" ht="40.799999999999997" x14ac:dyDescent="0.3">
      <c r="A8" s="18">
        <v>0.6</v>
      </c>
      <c r="B8" s="1" t="s">
        <v>178</v>
      </c>
      <c r="C8" s="1" t="s">
        <v>179</v>
      </c>
      <c r="D8" s="1" t="s">
        <v>180</v>
      </c>
    </row>
    <row r="9" spans="1:4" ht="61.2" x14ac:dyDescent="0.3">
      <c r="A9" s="18">
        <v>0.7</v>
      </c>
      <c r="B9" s="1" t="s">
        <v>181</v>
      </c>
      <c r="C9" s="1" t="s">
        <v>182</v>
      </c>
      <c r="D9" s="1" t="s">
        <v>183</v>
      </c>
    </row>
    <row r="10" spans="1:4" ht="61.2" x14ac:dyDescent="0.3">
      <c r="A10" s="18">
        <v>0.8</v>
      </c>
      <c r="B10" s="1" t="s">
        <v>184</v>
      </c>
      <c r="C10" s="1" t="s">
        <v>185</v>
      </c>
      <c r="D10" s="1" t="s">
        <v>186</v>
      </c>
    </row>
    <row r="11" spans="1:4" ht="40.799999999999997" x14ac:dyDescent="0.3">
      <c r="A11" s="18">
        <v>0.9</v>
      </c>
      <c r="B11" s="1" t="s">
        <v>187</v>
      </c>
      <c r="C11" s="1" t="s">
        <v>188</v>
      </c>
      <c r="D11" s="1" t="s">
        <v>189</v>
      </c>
    </row>
    <row r="12" spans="1:4" ht="40.799999999999997" x14ac:dyDescent="0.3">
      <c r="A12" s="18">
        <v>1</v>
      </c>
      <c r="B12" s="1" t="s">
        <v>190</v>
      </c>
      <c r="C12" s="1" t="s">
        <v>191</v>
      </c>
      <c r="D12" s="1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74A-B76B-418C-82FB-29908AAAF6DD}">
  <sheetPr>
    <tabColor theme="8" tint="-0.499984740745262"/>
  </sheetPr>
  <dimension ref="A1:J132"/>
  <sheetViews>
    <sheetView topLeftCell="D1" zoomScale="90" zoomScaleNormal="90" workbookViewId="0">
      <pane ySplit="1" topLeftCell="A3" activePane="bottomLeft" state="frozen"/>
      <selection pane="bottomLeft" activeCell="J9" sqref="J9"/>
    </sheetView>
  </sheetViews>
  <sheetFormatPr baseColWidth="10" defaultColWidth="11.44140625" defaultRowHeight="20.399999999999999" x14ac:dyDescent="0.7"/>
  <cols>
    <col min="1" max="1" width="15" style="29" customWidth="1"/>
    <col min="2" max="2" width="26.6640625" style="29" customWidth="1"/>
    <col min="3" max="3" width="24.44140625" style="29" customWidth="1"/>
    <col min="4" max="4" width="39.33203125" style="29" customWidth="1"/>
    <col min="5" max="5" width="11" style="29" customWidth="1"/>
    <col min="6" max="6" width="39.33203125" style="29" customWidth="1"/>
    <col min="7" max="7" width="10.6640625" style="29" customWidth="1"/>
    <col min="8" max="10" width="21.33203125" style="29" customWidth="1"/>
  </cols>
  <sheetData>
    <row r="1" spans="1:10" ht="40.799999999999997" x14ac:dyDescent="0.3">
      <c r="A1" s="3" t="s">
        <v>193</v>
      </c>
      <c r="B1" s="3" t="s">
        <v>194</v>
      </c>
      <c r="C1" s="3" t="s">
        <v>195</v>
      </c>
      <c r="D1" s="3" t="s">
        <v>9</v>
      </c>
      <c r="E1" s="3" t="s">
        <v>196</v>
      </c>
      <c r="F1" s="3" t="s">
        <v>20</v>
      </c>
      <c r="G1" s="3" t="s">
        <v>197</v>
      </c>
      <c r="H1" s="3" t="s">
        <v>198</v>
      </c>
      <c r="I1" s="3" t="s">
        <v>199</v>
      </c>
      <c r="J1" s="3" t="s">
        <v>200</v>
      </c>
    </row>
    <row r="2" spans="1:10" ht="40.799999999999997" x14ac:dyDescent="0.7">
      <c r="A2" s="43" t="str">
        <f>IF(B2="","",INDEX('Precios Servicios'!$A:$A,MATCH(B2,'Precios Servicios'!$C:$C,0)))</f>
        <v>EFG-001</v>
      </c>
      <c r="B2" s="43" t="s">
        <v>201</v>
      </c>
      <c r="C2" s="29" t="s">
        <v>9</v>
      </c>
      <c r="D2" s="92" t="s">
        <v>88</v>
      </c>
      <c r="E2" s="29">
        <v>4</v>
      </c>
      <c r="H2" s="68">
        <f>IF(C2="Rol",
    VLOOKUP(D2,'Precios personal'!$C:$N,12,FALSE),
IF(C2="Herramienta",
    VLOOKUP(F2,Herramientas!$C:$K,8,FALSE),
""))</f>
        <v>62.355555555555554</v>
      </c>
      <c r="I2" s="68">
        <f>IF(C2="Rol",E2*H2,IF(C2="Herramienta",G2*H2,""))</f>
        <v>249.42222222222222</v>
      </c>
    </row>
    <row r="3" spans="1:10" ht="40.950000000000003" customHeight="1" x14ac:dyDescent="0.7">
      <c r="A3" s="43" t="str">
        <f>IF(B3="","",INDEX('Precios Servicios'!$A:$A,MATCH(B3,'Precios Servicios'!$C:$C,0)))</f>
        <v>EFG-001</v>
      </c>
      <c r="B3" s="43" t="s">
        <v>201</v>
      </c>
      <c r="C3" s="29" t="s">
        <v>20</v>
      </c>
      <c r="D3" s="92"/>
      <c r="F3" s="29" t="s">
        <v>202</v>
      </c>
      <c r="G3" s="29">
        <v>1</v>
      </c>
      <c r="H3" s="68">
        <f>IF(C3="Rol",
    VLOOKUP(D3,'Precios personal'!$C:$N,12,FALSE),
IF(C3="Herramienta",
    VLOOKUP(F3,Herramientas!$C:$K,8,FALSE),
""))</f>
        <v>24</v>
      </c>
      <c r="I3" s="68">
        <f t="shared" ref="I3:I51" si="0">IF(C3="Rol",E3*H3,IF(C3="Herramienta",G3*H3,""))</f>
        <v>24</v>
      </c>
    </row>
    <row r="4" spans="1:10" ht="40.950000000000003" customHeight="1" x14ac:dyDescent="0.7">
      <c r="A4" s="43" t="str">
        <f>IF(B4="","",INDEX('Precios Servicios'!$A:$A,MATCH(B4,'Precios Servicios'!$C:$C,0)))</f>
        <v>EFG-001</v>
      </c>
      <c r="B4" s="43" t="s">
        <v>201</v>
      </c>
      <c r="C4" s="29" t="s">
        <v>20</v>
      </c>
      <c r="D4" s="92"/>
      <c r="F4" s="29" t="s">
        <v>203</v>
      </c>
      <c r="G4" s="29">
        <v>1</v>
      </c>
      <c r="H4" s="68">
        <f>IF(C4="Rol",
    VLOOKUP(D4,'Precios personal'!$C:$N,12,FALSE),
IF(C4="Herramienta",
    VLOOKUP(F4,Herramientas!$C:$K,8,FALSE),
""))</f>
        <v>16</v>
      </c>
      <c r="I4" s="68">
        <f t="shared" si="0"/>
        <v>16</v>
      </c>
    </row>
    <row r="5" spans="1:10" ht="40.950000000000003" customHeight="1" x14ac:dyDescent="0.7">
      <c r="A5" s="43" t="str">
        <f>IF(B5="","",INDEX('Precios Servicios'!$A:$A,MATCH(B5,'Precios Servicios'!$C:$C,0)))</f>
        <v>EFG-001</v>
      </c>
      <c r="B5" s="43" t="s">
        <v>201</v>
      </c>
      <c r="C5" s="29" t="s">
        <v>20</v>
      </c>
      <c r="D5" s="92"/>
      <c r="F5" s="29" t="s">
        <v>204</v>
      </c>
      <c r="G5" s="29">
        <v>1</v>
      </c>
      <c r="H5" s="68">
        <f>IF(C5="Rol",
    VLOOKUP(D5,'Precios personal'!$C:$N,12,FALSE),
IF(C5="Herramienta",
    VLOOKUP(F5,Herramientas!$C:$K,8,FALSE),
""))</f>
        <v>5</v>
      </c>
      <c r="I5" s="68">
        <f t="shared" si="0"/>
        <v>5</v>
      </c>
    </row>
    <row r="6" spans="1:10" ht="40.799999999999997" x14ac:dyDescent="0.7">
      <c r="A6" s="43" t="str">
        <f>IF(B6="","",INDEX('Precios Servicios'!$A:$A,MATCH(B6,'Precios Servicios'!$C:$C,0)))</f>
        <v>EFG-001</v>
      </c>
      <c r="B6" s="43" t="s">
        <v>201</v>
      </c>
      <c r="C6" s="29" t="s">
        <v>9</v>
      </c>
      <c r="D6" s="92" t="s">
        <v>84</v>
      </c>
      <c r="E6" s="29">
        <v>18</v>
      </c>
      <c r="H6" s="68">
        <f>IF(C6="Rol",
    VLOOKUP(D6,'Precios personal'!$C:$N,12,FALSE),
IF(C6="Herramienta",
    VLOOKUP(F6,Herramientas!$C:$K,8,FALSE),
""))</f>
        <v>43.605555555555554</v>
      </c>
      <c r="I6" s="68">
        <f t="shared" si="0"/>
        <v>784.9</v>
      </c>
    </row>
    <row r="7" spans="1:10" ht="40.799999999999997" x14ac:dyDescent="0.7">
      <c r="A7" s="43" t="str">
        <f>IF(B7="","",INDEX('Precios Servicios'!$A:$A,MATCH(B7,'Precios Servicios'!$C:$C,0)))</f>
        <v>EFG-001</v>
      </c>
      <c r="B7" s="43" t="s">
        <v>201</v>
      </c>
      <c r="C7" s="29" t="s">
        <v>20</v>
      </c>
      <c r="D7" s="92"/>
      <c r="F7" s="29" t="s">
        <v>203</v>
      </c>
      <c r="G7" s="29">
        <v>1</v>
      </c>
      <c r="H7" s="68">
        <f>IF(C7="Rol",
    VLOOKUP(D7,'Precios personal'!$C:$N,12,FALSE),
IF(C7="Herramienta",
    VLOOKUP(F7,Herramientas!$C:$K,8,FALSE),
""))</f>
        <v>16</v>
      </c>
      <c r="I7" s="68">
        <f t="shared" si="0"/>
        <v>16</v>
      </c>
    </row>
    <row r="8" spans="1:10" ht="40.799999999999997" x14ac:dyDescent="0.7">
      <c r="A8" s="66" t="str">
        <f>IF(B8="","",INDEX('Precios Servicios'!$A:$A,MATCH(B8,'Precios Servicios'!$C:$C,0)))</f>
        <v>EFG-001</v>
      </c>
      <c r="B8" s="66" t="s">
        <v>201</v>
      </c>
      <c r="C8" s="67" t="s">
        <v>20</v>
      </c>
      <c r="D8" s="93"/>
      <c r="E8" s="67"/>
      <c r="F8" s="67" t="s">
        <v>202</v>
      </c>
      <c r="G8" s="67">
        <v>1</v>
      </c>
      <c r="H8" s="69">
        <f>IF(C8="Rol",
    VLOOKUP(D8,'Precios personal'!$C:$N,12,FALSE),
IF(C8="Herramienta",
    VLOOKUP(F8,Herramientas!$C:$K,8,FALSE),
""))</f>
        <v>24</v>
      </c>
      <c r="I8" s="68">
        <f t="shared" si="0"/>
        <v>24</v>
      </c>
      <c r="J8" s="67"/>
    </row>
    <row r="9" spans="1:10" ht="40.799999999999997" x14ac:dyDescent="0.7">
      <c r="A9" s="112" t="s">
        <v>595</v>
      </c>
      <c r="B9" s="113" t="s">
        <v>592</v>
      </c>
      <c r="C9"/>
      <c r="D9"/>
      <c r="E9"/>
      <c r="F9"/>
      <c r="G9"/>
      <c r="H9" s="116"/>
      <c r="I9" s="114">
        <f>SUM(I2:I8)</f>
        <v>1119.3222222222221</v>
      </c>
      <c r="J9"/>
    </row>
    <row r="10" spans="1:10" ht="40.799999999999997" x14ac:dyDescent="0.7">
      <c r="A10" s="43" t="str">
        <f>IF(B10="","",INDEX('Precios Servicios'!$A:$A,MATCH(B10,'Precios Servicios'!$C:$C,0)))</f>
        <v>EFG-002</v>
      </c>
      <c r="B10" s="29" t="s">
        <v>205</v>
      </c>
      <c r="C10" s="29" t="s">
        <v>9</v>
      </c>
      <c r="D10" s="29" t="s">
        <v>75</v>
      </c>
      <c r="E10" s="29">
        <v>180</v>
      </c>
      <c r="H10" s="68">
        <f>IF(C10="Rol",
    VLOOKUP(D10,'Precios personal'!$C:$N,12,FALSE),
IF(C10="Herramienta",
    VLOOKUP(F10,Herramientas!$C:$K,8,FALSE),
""))</f>
        <v>10.827777777777778</v>
      </c>
      <c r="I10" s="68">
        <f t="shared" si="0"/>
        <v>1949</v>
      </c>
    </row>
    <row r="11" spans="1:10" ht="40.799999999999997" x14ac:dyDescent="0.7">
      <c r="A11" s="43" t="str">
        <f>IF(B11="","",INDEX('Precios Servicios'!$A:$A,MATCH(B11,'Precios Servicios'!$C:$C,0)))</f>
        <v>EFG-002</v>
      </c>
      <c r="B11" s="29" t="s">
        <v>205</v>
      </c>
      <c r="C11" s="29" t="s">
        <v>9</v>
      </c>
      <c r="D11" s="29" t="s">
        <v>63</v>
      </c>
      <c r="E11" s="29">
        <v>180</v>
      </c>
      <c r="H11" s="68">
        <f>IF(C11="Rol",
    VLOOKUP(D11,'Precios personal'!$C:$N,12,FALSE),
IF(C11="Herramienta",
    VLOOKUP(F11,Herramientas!$C:$K,8,FALSE),
""))</f>
        <v>7.55</v>
      </c>
      <c r="I11" s="68">
        <f t="shared" si="0"/>
        <v>1359</v>
      </c>
    </row>
    <row r="12" spans="1:10" ht="40.799999999999997" x14ac:dyDescent="0.7">
      <c r="A12" s="43" t="str">
        <f>IF(B12="","",INDEX('Precios Servicios'!$A:$A,MATCH(B12,'Precios Servicios'!$C:$C,0)))</f>
        <v>EFG-002</v>
      </c>
      <c r="B12" s="29" t="s">
        <v>205</v>
      </c>
      <c r="C12" s="29" t="s">
        <v>9</v>
      </c>
      <c r="D12" s="29" t="s">
        <v>63</v>
      </c>
      <c r="E12" s="29">
        <v>180</v>
      </c>
      <c r="H12" s="68">
        <f>IF(C12="Rol",
    VLOOKUP(D12,'Precios personal'!$C:$N,12,FALSE),
IF(C12="Herramienta",
    VLOOKUP(F12,Herramientas!$C:$K,8,FALSE),
""))</f>
        <v>7.55</v>
      </c>
      <c r="I12" s="68">
        <f t="shared" si="0"/>
        <v>1359</v>
      </c>
    </row>
    <row r="13" spans="1:10" ht="40.799999999999997" x14ac:dyDescent="0.7">
      <c r="A13" s="43" t="str">
        <f>IF(B13="","",INDEX('Precios Servicios'!$A:$A,MATCH(B13,'Precios Servicios'!$C:$C,0)))</f>
        <v>EFG-002</v>
      </c>
      <c r="B13" s="29" t="s">
        <v>205</v>
      </c>
      <c r="C13" s="29" t="s">
        <v>20</v>
      </c>
      <c r="F13" s="29" t="s">
        <v>206</v>
      </c>
      <c r="G13" s="29">
        <v>1</v>
      </c>
      <c r="H13" s="68">
        <f>IF(C13="Rol",
    VLOOKUP(D13,'Precios personal'!$C:$N,12,FALSE),
IF(C13="Herramienta",
    VLOOKUP(F13,Herramientas!$C:$K,8,FALSE),
""))</f>
        <v>8.25</v>
      </c>
      <c r="I13" s="68">
        <f t="shared" si="0"/>
        <v>8.25</v>
      </c>
    </row>
    <row r="14" spans="1:10" ht="40.799999999999997" x14ac:dyDescent="0.7">
      <c r="A14" s="43" t="str">
        <f>IF(B14="","",INDEX('Precios Servicios'!$A:$A,MATCH(B14,'Precios Servicios'!$C:$C,0)))</f>
        <v>EFG-002</v>
      </c>
      <c r="B14" s="29" t="s">
        <v>205</v>
      </c>
      <c r="C14" s="29" t="s">
        <v>20</v>
      </c>
      <c r="F14" s="29" t="s">
        <v>207</v>
      </c>
      <c r="G14" s="29">
        <v>3</v>
      </c>
      <c r="H14" s="68">
        <f>IF(C14="Rol",
    VLOOKUP(D14,'Precios personal'!$C:$N,12,FALSE),
IF(C14="Herramienta",
    VLOOKUP(F14,Herramientas!$C:$K,8,FALSE),
""))</f>
        <v>20</v>
      </c>
      <c r="I14" s="68">
        <f t="shared" si="0"/>
        <v>60</v>
      </c>
    </row>
    <row r="15" spans="1:10" ht="40.799999999999997" x14ac:dyDescent="0.7">
      <c r="A15" s="43" t="str">
        <f>IF(B15="","",INDEX('Precios Servicios'!$A:$A,MATCH(B15,'Precios Servicios'!$C:$C,0)))</f>
        <v>EFG-002</v>
      </c>
      <c r="B15" s="29" t="s">
        <v>205</v>
      </c>
      <c r="C15" s="29" t="s">
        <v>20</v>
      </c>
      <c r="F15" s="29" t="s">
        <v>208</v>
      </c>
      <c r="G15" s="29">
        <v>1</v>
      </c>
      <c r="H15" s="68">
        <f>IF(C15="Rol",
    VLOOKUP(D15,'Precios personal'!$C:$N,12,FALSE),
IF(C15="Herramienta",
    VLOOKUP(F15,Herramientas!$C:$K,8,FALSE),
""))</f>
        <v>8.25</v>
      </c>
      <c r="I15" s="68">
        <f t="shared" si="0"/>
        <v>8.25</v>
      </c>
    </row>
    <row r="16" spans="1:10" ht="40.799999999999997" x14ac:dyDescent="0.7">
      <c r="A16" s="43" t="str">
        <f>IF(B16="","",INDEX('Precios Servicios'!$A:$A,MATCH(B16,'Precios Servicios'!$C:$C,0)))</f>
        <v>EFG-002</v>
      </c>
      <c r="B16" s="29" t="s">
        <v>205</v>
      </c>
      <c r="C16" s="29" t="s">
        <v>20</v>
      </c>
      <c r="F16" s="29" t="s">
        <v>202</v>
      </c>
      <c r="G16" s="29">
        <v>3</v>
      </c>
      <c r="H16" s="68">
        <f>IF(C16="Rol",
    VLOOKUP(D16,'Precios personal'!$C:$N,12,FALSE),
IF(C16="Herramienta",
    VLOOKUP(F16,Herramientas!$C:$K,8,FALSE),
""))</f>
        <v>24</v>
      </c>
      <c r="I16" s="68">
        <f t="shared" si="0"/>
        <v>72</v>
      </c>
    </row>
    <row r="17" spans="1:10" ht="40.799999999999997" x14ac:dyDescent="0.7">
      <c r="A17" s="43" t="str">
        <f>IF(B17="","",INDEX('Precios Servicios'!$A:$A,MATCH(B17,'Precios Servicios'!$C:$C,0)))</f>
        <v>EFG-002</v>
      </c>
      <c r="B17" s="29" t="s">
        <v>205</v>
      </c>
      <c r="C17" s="29" t="s">
        <v>20</v>
      </c>
      <c r="F17" s="29" t="s">
        <v>203</v>
      </c>
      <c r="G17" s="29">
        <v>3</v>
      </c>
      <c r="H17" s="68">
        <f>IF(C17="Rol",
    VLOOKUP(D17,'Precios personal'!$C:$N,12,FALSE),
IF(C17="Herramienta",
    VLOOKUP(F17,Herramientas!$C:$K,8,FALSE),
""))</f>
        <v>16</v>
      </c>
      <c r="I17" s="68">
        <f t="shared" si="0"/>
        <v>48</v>
      </c>
    </row>
    <row r="18" spans="1:10" ht="40.799999999999997" x14ac:dyDescent="0.7">
      <c r="A18" s="66" t="str">
        <f>IF(B18="","",INDEX('Precios Servicios'!$A:$A,MATCH(B18,'Precios Servicios'!$C:$C,0)))</f>
        <v>EFG-002</v>
      </c>
      <c r="B18" s="67" t="s">
        <v>205</v>
      </c>
      <c r="C18" s="67" t="s">
        <v>20</v>
      </c>
      <c r="D18" s="67"/>
      <c r="E18" s="67"/>
      <c r="F18" s="67" t="s">
        <v>209</v>
      </c>
      <c r="G18" s="67">
        <v>3</v>
      </c>
      <c r="H18" s="69">
        <f>IF(C18="Rol",
    VLOOKUP(D18,'Precios personal'!$C:$N,12,FALSE),
IF(C18="Herramienta",
    VLOOKUP(F18,Herramientas!$C:$K,8,FALSE),
""))</f>
        <v>12.25</v>
      </c>
      <c r="I18" s="68">
        <f t="shared" si="0"/>
        <v>36.75</v>
      </c>
      <c r="J18" s="67"/>
    </row>
    <row r="19" spans="1:10" ht="40.799999999999997" x14ac:dyDescent="0.7">
      <c r="A19" s="112" t="s">
        <v>595</v>
      </c>
      <c r="B19" s="113" t="s">
        <v>593</v>
      </c>
      <c r="C19"/>
      <c r="D19"/>
      <c r="E19"/>
      <c r="F19"/>
      <c r="G19"/>
      <c r="H19" s="116"/>
      <c r="I19" s="114">
        <f>SUM(I10:I18)</f>
        <v>4900.25</v>
      </c>
      <c r="J19"/>
    </row>
    <row r="20" spans="1:10" ht="40.799999999999997" x14ac:dyDescent="0.7">
      <c r="A20" s="43" t="str">
        <f>IF(B20="","",INDEX('Precios Servicios'!$A:$A,MATCH(B20,'Precios Servicios'!$C:$C,0)))</f>
        <v>EFG-003</v>
      </c>
      <c r="B20" s="29" t="s">
        <v>210</v>
      </c>
      <c r="C20" s="29" t="s">
        <v>9</v>
      </c>
      <c r="D20" s="29" t="s">
        <v>211</v>
      </c>
      <c r="E20" s="29">
        <v>54</v>
      </c>
      <c r="H20" s="68">
        <f>IF(C20="Rol",
    VLOOKUP(D20,'Precios personal'!$C:$N,12,FALSE),
IF(C20="Herramienta",
    VLOOKUP(F20,Herramientas!$C:$K,8,FALSE),
""))</f>
        <v>17.494444444444444</v>
      </c>
      <c r="I20" s="68">
        <f t="shared" si="0"/>
        <v>944.69999999999993</v>
      </c>
    </row>
    <row r="21" spans="1:10" ht="40.799999999999997" x14ac:dyDescent="0.7">
      <c r="A21" s="43" t="str">
        <f>IF(B21="","",INDEX('Precios Servicios'!$A:$A,MATCH(B21,'Precios Servicios'!$C:$C,0)))</f>
        <v>EFG-003</v>
      </c>
      <c r="B21" s="29" t="s">
        <v>210</v>
      </c>
      <c r="C21" s="29" t="s">
        <v>9</v>
      </c>
      <c r="D21" s="29" t="s">
        <v>212</v>
      </c>
      <c r="E21" s="29">
        <v>36</v>
      </c>
      <c r="H21" s="68">
        <f>IF(C21="Rol",
    VLOOKUP(D21,'Precios personal'!$C:$N,12,FALSE),
IF(C21="Herramienta",
    VLOOKUP(F21,Herramientas!$C:$K,8,FALSE),
""))</f>
        <v>5.7444444444444445</v>
      </c>
      <c r="I21" s="68">
        <f t="shared" si="0"/>
        <v>206.8</v>
      </c>
    </row>
    <row r="22" spans="1:10" ht="40.799999999999997" x14ac:dyDescent="0.7">
      <c r="A22" s="43" t="str">
        <f>IF(B22="","",INDEX('Precios Servicios'!$A:$A,MATCH(B22,'Precios Servicios'!$C:$C,0)))</f>
        <v>EFG-003</v>
      </c>
      <c r="B22" s="29" t="s">
        <v>210</v>
      </c>
      <c r="C22" s="29" t="s">
        <v>20</v>
      </c>
      <c r="F22" s="29" t="s">
        <v>202</v>
      </c>
      <c r="G22" s="29">
        <v>2</v>
      </c>
      <c r="H22" s="68">
        <f>IF(C22="Rol",
    VLOOKUP(D22,'Precios personal'!$C:$N,12,FALSE),
IF(C22="Herramienta",
    VLOOKUP(F22,Herramientas!$C:$K,8,FALSE),
""))</f>
        <v>24</v>
      </c>
      <c r="I22" s="68">
        <f t="shared" si="0"/>
        <v>48</v>
      </c>
    </row>
    <row r="23" spans="1:10" ht="40.799999999999997" x14ac:dyDescent="0.7">
      <c r="A23" s="43" t="str">
        <f>IF(B23="","",INDEX('Precios Servicios'!$A:$A,MATCH(B23,'Precios Servicios'!$C:$C,0)))</f>
        <v>EFG-003</v>
      </c>
      <c r="B23" s="29" t="s">
        <v>210</v>
      </c>
      <c r="C23" s="29" t="s">
        <v>20</v>
      </c>
      <c r="F23" s="29" t="s">
        <v>203</v>
      </c>
      <c r="G23" s="29">
        <v>2</v>
      </c>
      <c r="H23" s="68">
        <f>IF(C23="Rol",
    VLOOKUP(D23,'Precios personal'!$C:$N,12,FALSE),
IF(C23="Herramienta",
    VLOOKUP(F23,Herramientas!$C:$K,8,FALSE),
""))</f>
        <v>16</v>
      </c>
      <c r="I23" s="68">
        <f t="shared" si="0"/>
        <v>32</v>
      </c>
    </row>
    <row r="24" spans="1:10" ht="40.799999999999997" x14ac:dyDescent="0.7">
      <c r="A24" s="43" t="str">
        <f>IF(B24="","",INDEX('Precios Servicios'!$A:$A,MATCH(B24,'Precios Servicios'!$C:$C,0)))</f>
        <v>EFG-003</v>
      </c>
      <c r="B24" s="29" t="s">
        <v>210</v>
      </c>
      <c r="C24" s="29" t="s">
        <v>20</v>
      </c>
      <c r="F24" s="29" t="s">
        <v>207</v>
      </c>
      <c r="G24" s="29">
        <v>1</v>
      </c>
      <c r="H24" s="68">
        <f>IF(C24="Rol",
    VLOOKUP(D24,'Precios personal'!$C:$N,12,FALSE),
IF(C24="Herramienta",
    VLOOKUP(F24,Herramientas!$C:$K,8,FALSE),
""))</f>
        <v>20</v>
      </c>
      <c r="I24" s="68">
        <f t="shared" si="0"/>
        <v>20</v>
      </c>
    </row>
    <row r="25" spans="1:10" ht="40.799999999999997" x14ac:dyDescent="0.7">
      <c r="A25" s="112" t="s">
        <v>595</v>
      </c>
      <c r="B25" s="115" t="s">
        <v>594</v>
      </c>
      <c r="C25"/>
      <c r="D25"/>
      <c r="E25"/>
      <c r="F25"/>
      <c r="G25"/>
      <c r="H25" s="116"/>
      <c r="I25" s="114">
        <f>SUM(I20:I24)</f>
        <v>1251.5</v>
      </c>
      <c r="J25"/>
    </row>
    <row r="26" spans="1:10" x14ac:dyDescent="0.7">
      <c r="A26" s="43" t="str">
        <f>IF(B26="","",INDEX('Precios Servicios'!$A:$A,MATCH(B26,'Precios Servicios'!$C:$C,0)))</f>
        <v/>
      </c>
      <c r="H26" s="68" t="str">
        <f>IF(C26="Rol",
    VLOOKUP(D26,'Precios personal'!$C:$N,12,FALSE),
IF(C26="Herramienta",
    VLOOKUP(F26,Herramientas!$C:$K,8,FALSE),
""))</f>
        <v/>
      </c>
      <c r="I26" s="68" t="str">
        <f t="shared" si="0"/>
        <v/>
      </c>
    </row>
    <row r="27" spans="1:10" x14ac:dyDescent="0.7">
      <c r="A27" s="43" t="str">
        <f>IF(B27="","",INDEX('Precios Servicios'!$A:$A,MATCH(B27,'Precios Servicios'!$C:$C,0)))</f>
        <v/>
      </c>
      <c r="H27" s="68" t="str">
        <f>IF(C27="Rol",
    VLOOKUP(D27,'Precios personal'!$C:$N,12,FALSE),
IF(C27="Herramienta",
    VLOOKUP(F27,Herramientas!$C:$K,8,FALSE),
""))</f>
        <v/>
      </c>
      <c r="I27" s="68" t="str">
        <f t="shared" si="0"/>
        <v/>
      </c>
    </row>
    <row r="28" spans="1:10" x14ac:dyDescent="0.7">
      <c r="A28" s="43" t="str">
        <f>IF(B28="","",INDEX('Precios Servicios'!$A:$A,MATCH(B28,'Precios Servicios'!$C:$C,0)))</f>
        <v/>
      </c>
      <c r="H28" s="68" t="str">
        <f>IF(C28="Rol",
    VLOOKUP(D28,'Precios personal'!$C:$N,12,FALSE),
IF(C28="Herramienta",
    VLOOKUP(F28,Herramientas!$C:$K,8,FALSE),
""))</f>
        <v/>
      </c>
      <c r="I28" s="68" t="str">
        <f t="shared" si="0"/>
        <v/>
      </c>
    </row>
    <row r="29" spans="1:10" x14ac:dyDescent="0.7">
      <c r="A29" s="43" t="str">
        <f>IF(B29="","",INDEX('Precios Servicios'!$A:$A,MATCH(B29,'Precios Servicios'!$C:$C,0)))</f>
        <v/>
      </c>
      <c r="H29" s="68" t="str">
        <f>IF(C29="Rol",
    VLOOKUP(D29,'Precios personal'!$C:$N,12,FALSE),
IF(C29="Herramienta",
    VLOOKUP(F29,Herramientas!$C:$K,8,FALSE),
""))</f>
        <v/>
      </c>
      <c r="I29" s="68" t="str">
        <f t="shared" si="0"/>
        <v/>
      </c>
    </row>
    <row r="30" spans="1:10" x14ac:dyDescent="0.7">
      <c r="A30" s="43" t="str">
        <f>IF(B30="","",INDEX('Precios Servicios'!$A:$A,MATCH(B30,'Precios Servicios'!$C:$C,0)))</f>
        <v/>
      </c>
      <c r="H30" s="68" t="str">
        <f>IF(C30="Rol",
    VLOOKUP(D30,'Precios personal'!$C:$N,12,FALSE),
IF(C30="Herramienta",
    VLOOKUP(F30,Herramientas!$C:$K,8,FALSE),
""))</f>
        <v/>
      </c>
      <c r="I30" s="68" t="str">
        <f t="shared" si="0"/>
        <v/>
      </c>
    </row>
    <row r="31" spans="1:10" x14ac:dyDescent="0.7">
      <c r="A31" s="43" t="str">
        <f>IF(B31="","",INDEX('Precios Servicios'!$A:$A,MATCH(B31,'Precios Servicios'!$C:$C,0)))</f>
        <v/>
      </c>
      <c r="H31" s="68" t="str">
        <f>IF(C31="Rol",
    VLOOKUP(D31,'Precios personal'!$C:$N,12,FALSE),
IF(C31="Herramienta",
    VLOOKUP(F31,Herramientas!$C:$K,8,FALSE),
""))</f>
        <v/>
      </c>
      <c r="I31" s="68" t="str">
        <f t="shared" si="0"/>
        <v/>
      </c>
    </row>
    <row r="32" spans="1:10" x14ac:dyDescent="0.7">
      <c r="A32" s="43" t="str">
        <f>IF(B32="","",INDEX('Precios Servicios'!$A:$A,MATCH(B32,'Precios Servicios'!$C:$C,0)))</f>
        <v/>
      </c>
      <c r="H32" s="68"/>
      <c r="I32" s="68" t="str">
        <f t="shared" si="0"/>
        <v/>
      </c>
    </row>
    <row r="33" spans="1:9" x14ac:dyDescent="0.7">
      <c r="A33" s="43" t="str">
        <f>IF(B33="","",INDEX('Precios Servicios'!$A:$A,MATCH(B33,'Precios Servicios'!$C:$C,0)))</f>
        <v/>
      </c>
      <c r="H33" s="68"/>
      <c r="I33" s="68" t="str">
        <f t="shared" si="0"/>
        <v/>
      </c>
    </row>
    <row r="34" spans="1:9" x14ac:dyDescent="0.7">
      <c r="A34" s="43" t="str">
        <f>IF(B34="","",INDEX('Precios Servicios'!$A:$A,MATCH(B34,'Precios Servicios'!$C:$C,0)))</f>
        <v/>
      </c>
      <c r="H34" s="68"/>
      <c r="I34" s="68" t="str">
        <f t="shared" si="0"/>
        <v/>
      </c>
    </row>
    <row r="35" spans="1:9" x14ac:dyDescent="0.7">
      <c r="A35" s="43" t="str">
        <f>IF(B35="","",INDEX('Precios Servicios'!$A:$A,MATCH(B35,'Precios Servicios'!$C:$C,0)))</f>
        <v/>
      </c>
      <c r="H35" s="68"/>
      <c r="I35" s="68" t="str">
        <f t="shared" si="0"/>
        <v/>
      </c>
    </row>
    <row r="36" spans="1:9" x14ac:dyDescent="0.7">
      <c r="A36" s="43" t="str">
        <f>IF(B36="","",INDEX('Precios Servicios'!$A:$A,MATCH(B36,'Precios Servicios'!$C:$C,0)))</f>
        <v/>
      </c>
      <c r="H36" s="68"/>
      <c r="I36" s="68" t="str">
        <f t="shared" si="0"/>
        <v/>
      </c>
    </row>
    <row r="37" spans="1:9" x14ac:dyDescent="0.7">
      <c r="A37" s="43" t="str">
        <f>IF(B37="","",INDEX('Precios Servicios'!$A:$A,MATCH(B37,'Precios Servicios'!$C:$C,0)))</f>
        <v/>
      </c>
      <c r="H37" s="68"/>
      <c r="I37" s="68" t="str">
        <f t="shared" si="0"/>
        <v/>
      </c>
    </row>
    <row r="38" spans="1:9" x14ac:dyDescent="0.7">
      <c r="A38" s="43" t="str">
        <f>IF(B38="","",INDEX('Precios Servicios'!$A:$A,MATCH(B38,'Precios Servicios'!$C:$C,0)))</f>
        <v/>
      </c>
      <c r="H38" s="68"/>
      <c r="I38" s="68" t="str">
        <f t="shared" si="0"/>
        <v/>
      </c>
    </row>
    <row r="39" spans="1:9" x14ac:dyDescent="0.7">
      <c r="A39" s="43" t="str">
        <f>IF(B39="","",INDEX('Precios Servicios'!$A:$A,MATCH(B39,'Precios Servicios'!$C:$C,0)))</f>
        <v/>
      </c>
      <c r="H39" s="68"/>
      <c r="I39" s="68" t="str">
        <f t="shared" si="0"/>
        <v/>
      </c>
    </row>
    <row r="40" spans="1:9" x14ac:dyDescent="0.7">
      <c r="A40" s="43" t="str">
        <f>IF(B40="","",INDEX('Precios Servicios'!$A:$A,MATCH(B40,'Precios Servicios'!$C:$C,0)))</f>
        <v/>
      </c>
      <c r="H40" s="68"/>
      <c r="I40" s="68" t="str">
        <f t="shared" si="0"/>
        <v/>
      </c>
    </row>
    <row r="41" spans="1:9" x14ac:dyDescent="0.7">
      <c r="A41" s="43" t="str">
        <f>IF(B41="","",INDEX('Precios Servicios'!$A:$A,MATCH(B41,'Precios Servicios'!$C:$C,0)))</f>
        <v/>
      </c>
      <c r="H41" s="68"/>
      <c r="I41" s="68" t="str">
        <f t="shared" si="0"/>
        <v/>
      </c>
    </row>
    <row r="42" spans="1:9" x14ac:dyDescent="0.7">
      <c r="A42" s="43" t="str">
        <f>IF(B42="","",INDEX('Precios Servicios'!$A:$A,MATCH(B42,'Precios Servicios'!$C:$C,0)))</f>
        <v/>
      </c>
      <c r="H42" s="68"/>
      <c r="I42" s="68" t="str">
        <f t="shared" si="0"/>
        <v/>
      </c>
    </row>
    <row r="43" spans="1:9" x14ac:dyDescent="0.7">
      <c r="A43" s="43" t="str">
        <f>IF(B43="","",INDEX('Precios Servicios'!$A:$A,MATCH(B43,'Precios Servicios'!$C:$C,0)))</f>
        <v/>
      </c>
      <c r="H43" s="68"/>
      <c r="I43" s="68" t="str">
        <f t="shared" si="0"/>
        <v/>
      </c>
    </row>
    <row r="44" spans="1:9" x14ac:dyDescent="0.7">
      <c r="A44" s="43" t="str">
        <f>IF(B44="","",INDEX('Precios Servicios'!$A:$A,MATCH(B44,'Precios Servicios'!$C:$C,0)))</f>
        <v/>
      </c>
      <c r="H44" s="68"/>
      <c r="I44" s="68" t="str">
        <f t="shared" si="0"/>
        <v/>
      </c>
    </row>
    <row r="45" spans="1:9" x14ac:dyDescent="0.7">
      <c r="A45" s="43" t="str">
        <f>IF(B45="","",INDEX('Precios Servicios'!$A:$A,MATCH(B45,'Precios Servicios'!$C:$C,0)))</f>
        <v/>
      </c>
      <c r="H45" s="68"/>
      <c r="I45" s="68" t="str">
        <f t="shared" si="0"/>
        <v/>
      </c>
    </row>
    <row r="46" spans="1:9" x14ac:dyDescent="0.7">
      <c r="A46" s="43" t="str">
        <f>IF(B46="","",INDEX('Precios Servicios'!$A:$A,MATCH(B46,'Precios Servicios'!$C:$C,0)))</f>
        <v/>
      </c>
      <c r="H46" s="68"/>
      <c r="I46" s="68" t="str">
        <f t="shared" si="0"/>
        <v/>
      </c>
    </row>
    <row r="47" spans="1:9" x14ac:dyDescent="0.7">
      <c r="A47" s="43" t="str">
        <f>IF(B47="","",INDEX('Precios Servicios'!$A:$A,MATCH(B47,'Precios Servicios'!$C:$C,0)))</f>
        <v/>
      </c>
      <c r="H47" s="68"/>
      <c r="I47" s="68" t="str">
        <f t="shared" si="0"/>
        <v/>
      </c>
    </row>
    <row r="48" spans="1:9" x14ac:dyDescent="0.7">
      <c r="A48" s="43" t="str">
        <f>IF(B48="","",INDEX('Precios Servicios'!$A:$A,MATCH(B48,'Precios Servicios'!$C:$C,0)))</f>
        <v/>
      </c>
      <c r="H48" s="68"/>
      <c r="I48" s="68" t="str">
        <f t="shared" si="0"/>
        <v/>
      </c>
    </row>
    <row r="49" spans="1:9" x14ac:dyDescent="0.7">
      <c r="A49" s="43" t="str">
        <f>IF(B49="","",INDEX('Precios Servicios'!$A:$A,MATCH(B49,'Precios Servicios'!$C:$C,0)))</f>
        <v/>
      </c>
      <c r="H49" s="68"/>
      <c r="I49" s="68" t="str">
        <f t="shared" si="0"/>
        <v/>
      </c>
    </row>
    <row r="50" spans="1:9" x14ac:dyDescent="0.7">
      <c r="A50" s="43" t="str">
        <f>IF(B50="","",INDEX('Precios Servicios'!$A:$A,MATCH(B50,'Precios Servicios'!$C:$C,0)))</f>
        <v/>
      </c>
      <c r="H50" s="68"/>
      <c r="I50" s="68" t="str">
        <f t="shared" si="0"/>
        <v/>
      </c>
    </row>
    <row r="51" spans="1:9" x14ac:dyDescent="0.7">
      <c r="A51" s="43" t="str">
        <f>IF(B51="","",INDEX('Precios Servicios'!$A:$A,MATCH(B51,'Precios Servicios'!$C:$C,0)))</f>
        <v/>
      </c>
      <c r="H51" s="68"/>
      <c r="I51" s="68" t="str">
        <f t="shared" si="0"/>
        <v/>
      </c>
    </row>
    <row r="52" spans="1:9" x14ac:dyDescent="0.7">
      <c r="A52" s="43"/>
      <c r="H52" s="42"/>
    </row>
    <row r="53" spans="1:9" x14ac:dyDescent="0.7">
      <c r="A53" s="43"/>
      <c r="H53" s="42"/>
    </row>
    <row r="54" spans="1:9" x14ac:dyDescent="0.7">
      <c r="A54" s="43"/>
      <c r="H54" s="42"/>
    </row>
    <row r="55" spans="1:9" x14ac:dyDescent="0.7">
      <c r="A55" s="43"/>
      <c r="H55" s="42"/>
    </row>
    <row r="56" spans="1:9" x14ac:dyDescent="0.7">
      <c r="A56" s="43"/>
      <c r="H56" s="42"/>
    </row>
    <row r="57" spans="1:9" x14ac:dyDescent="0.7">
      <c r="A57" s="43"/>
    </row>
    <row r="58" spans="1:9" x14ac:dyDescent="0.7">
      <c r="A58" s="43"/>
    </row>
    <row r="59" spans="1:9" x14ac:dyDescent="0.7">
      <c r="A59" s="43"/>
    </row>
    <row r="60" spans="1:9" x14ac:dyDescent="0.7">
      <c r="A60" s="43"/>
    </row>
    <row r="61" spans="1:9" x14ac:dyDescent="0.7">
      <c r="A61" s="43"/>
    </row>
    <row r="62" spans="1:9" x14ac:dyDescent="0.7">
      <c r="A62" s="43"/>
    </row>
    <row r="63" spans="1:9" x14ac:dyDescent="0.7">
      <c r="A63" s="43"/>
    </row>
    <row r="64" spans="1:9" x14ac:dyDescent="0.7">
      <c r="A64" s="43"/>
    </row>
    <row r="65" spans="1:1" x14ac:dyDescent="0.7">
      <c r="A65" s="43"/>
    </row>
    <row r="66" spans="1:1" x14ac:dyDescent="0.7">
      <c r="A66" s="43"/>
    </row>
    <row r="67" spans="1:1" x14ac:dyDescent="0.7">
      <c r="A67" s="43"/>
    </row>
    <row r="68" spans="1:1" x14ac:dyDescent="0.7">
      <c r="A68" s="43"/>
    </row>
    <row r="69" spans="1:1" x14ac:dyDescent="0.7">
      <c r="A69" s="43"/>
    </row>
    <row r="70" spans="1:1" x14ac:dyDescent="0.7">
      <c r="A70" s="43"/>
    </row>
    <row r="71" spans="1:1" x14ac:dyDescent="0.7">
      <c r="A71" s="43"/>
    </row>
    <row r="72" spans="1:1" x14ac:dyDescent="0.7">
      <c r="A72" s="43"/>
    </row>
    <row r="73" spans="1:1" x14ac:dyDescent="0.7">
      <c r="A73" s="43"/>
    </row>
    <row r="74" spans="1:1" x14ac:dyDescent="0.7">
      <c r="A74" s="43"/>
    </row>
    <row r="75" spans="1:1" x14ac:dyDescent="0.7">
      <c r="A75" s="43"/>
    </row>
    <row r="76" spans="1:1" x14ac:dyDescent="0.7">
      <c r="A76" s="43"/>
    </row>
    <row r="77" spans="1:1" x14ac:dyDescent="0.7">
      <c r="A77" s="43"/>
    </row>
    <row r="78" spans="1:1" x14ac:dyDescent="0.7">
      <c r="A78" s="43"/>
    </row>
    <row r="79" spans="1:1" x14ac:dyDescent="0.7">
      <c r="A79" s="43"/>
    </row>
    <row r="80" spans="1:1" x14ac:dyDescent="0.7">
      <c r="A80" s="43"/>
    </row>
    <row r="81" spans="1:1" x14ac:dyDescent="0.7">
      <c r="A81" s="43"/>
    </row>
    <row r="82" spans="1:1" x14ac:dyDescent="0.7">
      <c r="A82" s="43"/>
    </row>
    <row r="83" spans="1:1" x14ac:dyDescent="0.7">
      <c r="A83" s="43"/>
    </row>
    <row r="84" spans="1:1" x14ac:dyDescent="0.7">
      <c r="A84" s="43"/>
    </row>
    <row r="85" spans="1:1" x14ac:dyDescent="0.7">
      <c r="A85" s="43"/>
    </row>
    <row r="86" spans="1:1" x14ac:dyDescent="0.7">
      <c r="A86" s="43"/>
    </row>
    <row r="87" spans="1:1" x14ac:dyDescent="0.7">
      <c r="A87" s="43"/>
    </row>
    <row r="88" spans="1:1" x14ac:dyDescent="0.7">
      <c r="A88" s="43"/>
    </row>
    <row r="89" spans="1:1" x14ac:dyDescent="0.7">
      <c r="A89" s="43"/>
    </row>
    <row r="90" spans="1:1" x14ac:dyDescent="0.7">
      <c r="A90" s="43"/>
    </row>
    <row r="91" spans="1:1" x14ac:dyDescent="0.7">
      <c r="A91" s="43"/>
    </row>
    <row r="92" spans="1:1" x14ac:dyDescent="0.7">
      <c r="A92" s="43"/>
    </row>
    <row r="93" spans="1:1" x14ac:dyDescent="0.7">
      <c r="A93" s="43"/>
    </row>
    <row r="94" spans="1:1" x14ac:dyDescent="0.7">
      <c r="A94" s="43"/>
    </row>
    <row r="95" spans="1:1" x14ac:dyDescent="0.7">
      <c r="A95" s="43"/>
    </row>
    <row r="96" spans="1:1" x14ac:dyDescent="0.7">
      <c r="A96" s="43"/>
    </row>
    <row r="97" spans="1:1" x14ac:dyDescent="0.7">
      <c r="A97" s="43"/>
    </row>
    <row r="98" spans="1:1" x14ac:dyDescent="0.7">
      <c r="A98" s="43"/>
    </row>
    <row r="99" spans="1:1" x14ac:dyDescent="0.7">
      <c r="A99" s="43"/>
    </row>
    <row r="100" spans="1:1" x14ac:dyDescent="0.7">
      <c r="A100" s="43"/>
    </row>
    <row r="101" spans="1:1" x14ac:dyDescent="0.7">
      <c r="A101" s="43"/>
    </row>
    <row r="102" spans="1:1" x14ac:dyDescent="0.7">
      <c r="A102" s="43"/>
    </row>
    <row r="103" spans="1:1" x14ac:dyDescent="0.7">
      <c r="A103" s="43"/>
    </row>
    <row r="104" spans="1:1" x14ac:dyDescent="0.7">
      <c r="A104" s="43"/>
    </row>
    <row r="105" spans="1:1" x14ac:dyDescent="0.7">
      <c r="A105" s="43"/>
    </row>
    <row r="106" spans="1:1" x14ac:dyDescent="0.7">
      <c r="A106" s="43"/>
    </row>
    <row r="107" spans="1:1" x14ac:dyDescent="0.7">
      <c r="A107" s="43"/>
    </row>
    <row r="108" spans="1:1" x14ac:dyDescent="0.7">
      <c r="A108" s="43"/>
    </row>
    <row r="109" spans="1:1" x14ac:dyDescent="0.7">
      <c r="A109" s="43"/>
    </row>
    <row r="110" spans="1:1" x14ac:dyDescent="0.7">
      <c r="A110" s="43"/>
    </row>
    <row r="111" spans="1:1" x14ac:dyDescent="0.7">
      <c r="A111" s="43"/>
    </row>
    <row r="112" spans="1:1" x14ac:dyDescent="0.7">
      <c r="A112" s="43"/>
    </row>
    <row r="113" spans="1:1" x14ac:dyDescent="0.7">
      <c r="A113" s="43"/>
    </row>
    <row r="114" spans="1:1" x14ac:dyDescent="0.7">
      <c r="A114" s="43"/>
    </row>
    <row r="115" spans="1:1" x14ac:dyDescent="0.7">
      <c r="A115" s="43"/>
    </row>
    <row r="116" spans="1:1" x14ac:dyDescent="0.7">
      <c r="A116" s="43"/>
    </row>
    <row r="117" spans="1:1" x14ac:dyDescent="0.7">
      <c r="A117" s="43"/>
    </row>
    <row r="118" spans="1:1" x14ac:dyDescent="0.7">
      <c r="A118" s="43"/>
    </row>
    <row r="119" spans="1:1" x14ac:dyDescent="0.7">
      <c r="A119" s="43"/>
    </row>
    <row r="120" spans="1:1" x14ac:dyDescent="0.7">
      <c r="A120" s="43"/>
    </row>
    <row r="121" spans="1:1" x14ac:dyDescent="0.7">
      <c r="A121" s="43"/>
    </row>
    <row r="122" spans="1:1" x14ac:dyDescent="0.7">
      <c r="A122" s="43"/>
    </row>
    <row r="123" spans="1:1" x14ac:dyDescent="0.7">
      <c r="A123" s="43"/>
    </row>
    <row r="124" spans="1:1" x14ac:dyDescent="0.7">
      <c r="A124" s="43"/>
    </row>
    <row r="125" spans="1:1" x14ac:dyDescent="0.7">
      <c r="A125" s="43"/>
    </row>
    <row r="126" spans="1:1" x14ac:dyDescent="0.7">
      <c r="A126" s="43"/>
    </row>
    <row r="127" spans="1:1" x14ac:dyDescent="0.7">
      <c r="A127" s="43"/>
    </row>
    <row r="128" spans="1:1" x14ac:dyDescent="0.7">
      <c r="A128" s="43"/>
    </row>
    <row r="129" spans="1:1" x14ac:dyDescent="0.7">
      <c r="A129" s="43"/>
    </row>
    <row r="130" spans="1:1" x14ac:dyDescent="0.7">
      <c r="A130" s="43"/>
    </row>
    <row r="131" spans="1:1" x14ac:dyDescent="0.7">
      <c r="A131" s="43"/>
    </row>
    <row r="132" spans="1:1" x14ac:dyDescent="0.7">
      <c r="A132" s="43"/>
    </row>
  </sheetData>
  <mergeCells count="2">
    <mergeCell ref="D2:D5"/>
    <mergeCell ref="D6:D8"/>
  </mergeCells>
  <phoneticPr fontId="12" type="noConversion"/>
  <dataValidations count="1">
    <dataValidation type="list" errorStyle="warning" allowBlank="1" showInputMessage="1" showErrorMessage="1" errorTitle="Tipo inválido" error="Selecciona: Rol o Herramienta" sqref="C2:C51" xr:uid="{85C463DA-14FB-4E17-B341-22C6DF1C1C0D}">
      <formula1>"Rol, Herramienta"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1033DBB-97C1-46F6-A61A-6F75052C8FAF}">
          <x14:formula1>
            <xm:f>Datos!$K$2:$K$3</xm:f>
          </x14:formula1>
          <xm:sqref>C52:C164</xm:sqref>
        </x14:dataValidation>
        <x14:dataValidation type="list" allowBlank="1" showInputMessage="1" showErrorMessage="1" xr:uid="{E5F777E5-0E87-4507-858E-BCEF79A9042E}">
          <x14:formula1>
            <xm:f>'Precios personal'!$C$2:$C$88</xm:f>
          </x14:formula1>
          <xm:sqref>E37:E540 D2 D6 D10:D18 D20:D24 D26:D540</xm:sqref>
        </x14:dataValidation>
        <x14:dataValidation type="list" allowBlank="1" showInputMessage="1" showErrorMessage="1" xr:uid="{69B32EFC-8ACD-47B0-9FD2-80CCB283FDDA}">
          <x14:formula1>
            <xm:f>Herramientas!$C$2:$C$88</xm:f>
          </x14:formula1>
          <xm:sqref>G89:G838 F2:F8 F10:F18 F20:F24 F26:F838</xm:sqref>
        </x14:dataValidation>
        <x14:dataValidation type="list" allowBlank="1" showInputMessage="1" showErrorMessage="1" xr:uid="{A0CA5AA1-7834-4E1F-B3AC-FDB173AFD8E9}">
          <x14:formula1>
            <xm:f>'Precios Servicios'!$A$2:$A$51</xm:f>
          </x14:formula1>
          <xm:sqref>A2:A8 A10:A18 A20:A24 A26:A51</xm:sqref>
        </x14:dataValidation>
        <x14:dataValidation type="list" allowBlank="1" showInputMessage="1" showErrorMessage="1" xr:uid="{552B32DD-2042-46FD-BFD7-16FAF947E7BB}">
          <x14:formula1>
            <xm:f>'Precios Servicios'!$C$2:$C$51</xm:f>
          </x14:formula1>
          <xm:sqref>B2:B8 B10:B18 B20:B24 B26:B61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1781-B505-40EA-8C4E-77E76E235E48}">
  <sheetPr>
    <tabColor rgb="FF002060"/>
  </sheetPr>
  <dimension ref="A1:AB97"/>
  <sheetViews>
    <sheetView tabSelected="1" workbookViewId="0">
      <pane xSplit="3" ySplit="1" topLeftCell="P14" activePane="bottomRight" state="frozen"/>
      <selection pane="topRight" activeCell="D1" sqref="D1"/>
      <selection pane="bottomLeft" activeCell="A2" sqref="A2"/>
      <selection pane="bottomRight" activeCell="N33" sqref="N33"/>
    </sheetView>
  </sheetViews>
  <sheetFormatPr baseColWidth="10" defaultColWidth="11.44140625" defaultRowHeight="20.399999999999999" x14ac:dyDescent="0.3"/>
  <cols>
    <col min="1" max="1" width="11.5546875" style="25"/>
    <col min="2" max="2" width="15.6640625" style="25" customWidth="1"/>
    <col min="3" max="3" width="30.6640625" style="30" customWidth="1"/>
    <col min="4" max="5" width="22.44140625" style="25" customWidth="1"/>
    <col min="6" max="9" width="16.33203125" style="25" customWidth="1"/>
    <col min="10" max="10" width="21.5546875" style="25" customWidth="1"/>
    <col min="11" max="13" width="16.33203125" style="25" customWidth="1"/>
    <col min="14" max="15" width="17.6640625" style="70" customWidth="1"/>
    <col min="16" max="16" width="19.5546875" style="73" customWidth="1"/>
    <col min="17" max="17" width="19.5546875" style="74" customWidth="1"/>
    <col min="18" max="18" width="14" style="77" bestFit="1" customWidth="1"/>
    <col min="19" max="19" width="14" style="77" customWidth="1"/>
    <col min="20" max="20" width="11.5546875" style="89"/>
    <col min="21" max="22" width="11.5546875" style="64"/>
    <col min="23" max="23" width="13.33203125" style="86" customWidth="1"/>
    <col min="24" max="24" width="16.33203125" style="87" customWidth="1"/>
    <col min="25" max="25" width="11.5546875" style="87"/>
    <col min="26" max="26" width="16.44140625" style="88" customWidth="1"/>
    <col min="27" max="28" width="11.5546875" style="88"/>
  </cols>
  <sheetData>
    <row r="1" spans="1:28" s="8" customFormat="1" ht="59.4" x14ac:dyDescent="0.3">
      <c r="A1" s="7" t="s">
        <v>213</v>
      </c>
      <c r="B1" s="7" t="s">
        <v>214</v>
      </c>
      <c r="C1" s="7" t="s">
        <v>9</v>
      </c>
      <c r="D1" s="7" t="s">
        <v>215</v>
      </c>
      <c r="E1" s="7" t="s">
        <v>49</v>
      </c>
      <c r="F1" s="7" t="s">
        <v>216</v>
      </c>
      <c r="G1" s="7" t="s">
        <v>217</v>
      </c>
      <c r="H1" s="7" t="s">
        <v>218</v>
      </c>
      <c r="I1" s="7" t="s">
        <v>219</v>
      </c>
      <c r="J1" s="7" t="s">
        <v>220</v>
      </c>
      <c r="K1" s="7" t="s">
        <v>221</v>
      </c>
      <c r="L1" s="7" t="s">
        <v>222</v>
      </c>
      <c r="M1" s="7" t="s">
        <v>223</v>
      </c>
      <c r="N1" s="7" t="s">
        <v>224</v>
      </c>
      <c r="O1" s="7" t="s">
        <v>225</v>
      </c>
      <c r="P1" s="19" t="s">
        <v>226</v>
      </c>
      <c r="Q1" s="85" t="s">
        <v>227</v>
      </c>
      <c r="R1" s="75" t="s">
        <v>228</v>
      </c>
      <c r="S1" s="75" t="s">
        <v>229</v>
      </c>
      <c r="T1" s="76" t="s">
        <v>230</v>
      </c>
      <c r="U1" s="83" t="s">
        <v>231</v>
      </c>
      <c r="V1" s="83" t="s">
        <v>232</v>
      </c>
      <c r="W1" s="84" t="s">
        <v>233</v>
      </c>
      <c r="X1" s="75" t="s">
        <v>234</v>
      </c>
      <c r="Y1" s="75" t="s">
        <v>235</v>
      </c>
      <c r="Z1" s="83" t="s">
        <v>236</v>
      </c>
      <c r="AA1" s="83" t="s">
        <v>237</v>
      </c>
      <c r="AB1" s="83" t="s">
        <v>238</v>
      </c>
    </row>
    <row r="2" spans="1:28" x14ac:dyDescent="0.3">
      <c r="A2" s="25" t="s">
        <v>239</v>
      </c>
      <c r="B2" s="25" t="s">
        <v>0</v>
      </c>
      <c r="C2" s="9" t="s">
        <v>75</v>
      </c>
      <c r="D2" s="1" t="s">
        <v>1</v>
      </c>
      <c r="E2" s="1" t="s">
        <v>23</v>
      </c>
      <c r="F2" s="6">
        <v>1400</v>
      </c>
      <c r="G2" s="6">
        <v>200</v>
      </c>
      <c r="H2" s="6">
        <v>100</v>
      </c>
      <c r="I2" s="6">
        <v>50</v>
      </c>
      <c r="J2" s="6">
        <v>150</v>
      </c>
      <c r="K2" s="6">
        <v>0</v>
      </c>
      <c r="L2" s="6">
        <v>49</v>
      </c>
      <c r="M2" s="5">
        <f xml:space="preserve"> (F2 + G2 + H2 + I2 + J2 + K2 + L2)</f>
        <v>1949</v>
      </c>
      <c r="N2" s="97">
        <f>M2/Datos!$O$3</f>
        <v>10.827777777777778</v>
      </c>
      <c r="O2" s="20">
        <f>N2*Datos!$O$3</f>
        <v>1949</v>
      </c>
      <c r="P2" s="99">
        <f>N2*(1+VLOOKUP(E2,'Tier Datos'!$A$2:$B$5,2,FALSE))</f>
        <v>16.241666666666667</v>
      </c>
      <c r="Q2" s="111">
        <f>IFERROR(VLOOKUP(E2,'Tier Datos'!$A$2:$B$5,2,FALSE),"")</f>
        <v>0.5</v>
      </c>
      <c r="R2" s="101">
        <f>P2*VLOOKUP("CLP",'Tipos de Cambio'!$B:$C,2,FALSE)</f>
        <v>16241.666666666668</v>
      </c>
      <c r="S2" s="102">
        <f>P2*VLOOKUP("CLF",'Tipos de Cambio'!$B:$C,2,FALSE)</f>
        <v>0.38980000000000004</v>
      </c>
      <c r="T2" s="103">
        <f>P2*VLOOKUP("COP",'Tipos de Cambio'!$B:$C,2,FALSE)</f>
        <v>68215</v>
      </c>
      <c r="U2" s="105">
        <f>P2*VLOOKUP("MXN",'Tipos de Cambio'!$B:$C,2,FALSE)</f>
        <v>300.47083333333336</v>
      </c>
      <c r="V2" s="105">
        <f>P2*VLOOKUP("PEN",'Tipos de Cambio'!$B:$C,2,FALSE)</f>
        <v>61.718333333333334</v>
      </c>
      <c r="W2" s="106">
        <f>P2*Datos!$O$3</f>
        <v>2923.5</v>
      </c>
      <c r="X2" s="107">
        <f>W2*VLOOKUP("CLP",'Tipos de Cambio'!$B:$C,2,FALSE)</f>
        <v>2923500</v>
      </c>
      <c r="Y2" s="108">
        <f>W2*VLOOKUP("CLF",'Tipos de Cambio'!$B:$C,2,FALSE)</f>
        <v>70.164000000000001</v>
      </c>
      <c r="Z2" s="109">
        <f>W2*VLOOKUP("COP",'Tipos de Cambio'!$B:$C,2,FALSE)</f>
        <v>12278700</v>
      </c>
      <c r="AA2" s="110">
        <f>W2*VLOOKUP("MXN",'Tipos de Cambio'!$B:$C,2,FALSE)</f>
        <v>54084.75</v>
      </c>
      <c r="AB2" s="110">
        <f>W2*VLOOKUP("PEN",'Tipos de Cambio'!$B:$C,2,FALSE)</f>
        <v>11109.3</v>
      </c>
    </row>
    <row r="3" spans="1:28" x14ac:dyDescent="0.3">
      <c r="A3" s="25" t="s">
        <v>240</v>
      </c>
      <c r="B3" s="25" t="s">
        <v>0</v>
      </c>
      <c r="C3" s="9" t="s">
        <v>63</v>
      </c>
      <c r="D3" s="1" t="s">
        <v>1</v>
      </c>
      <c r="E3" s="1" t="s">
        <v>13</v>
      </c>
      <c r="F3" s="6">
        <v>950</v>
      </c>
      <c r="G3" s="6">
        <v>150</v>
      </c>
      <c r="H3" s="6">
        <v>75</v>
      </c>
      <c r="I3" s="6">
        <v>35</v>
      </c>
      <c r="J3" s="6">
        <v>100</v>
      </c>
      <c r="K3" s="6">
        <v>0</v>
      </c>
      <c r="L3" s="6">
        <v>49</v>
      </c>
      <c r="M3" s="5">
        <f t="shared" ref="M3:M32" si="0" xml:space="preserve"> (F3 + G3 + H3 + I3 + J3 + K3 + L3)</f>
        <v>1359</v>
      </c>
      <c r="N3" s="97">
        <f>M3/Datos!$O$3</f>
        <v>7.55</v>
      </c>
      <c r="O3" s="20">
        <f>N3*Datos!$O$3</f>
        <v>1359</v>
      </c>
      <c r="P3" s="99">
        <f>N3*(1+VLOOKUP(E3,'Tier Datos'!$A$2:$B$5,2,FALSE))</f>
        <v>9.8149999999999995</v>
      </c>
      <c r="Q3" s="111">
        <f>IFERROR(VLOOKUP(E3,'Tier Datos'!$A$2:$B$5,2,FALSE),"")</f>
        <v>0.3</v>
      </c>
      <c r="R3" s="101">
        <f>P3*VLOOKUP("CLP",'Tipos de Cambio'!$B:$C,2,FALSE)</f>
        <v>9815</v>
      </c>
      <c r="S3" s="102">
        <f>P3*VLOOKUP("CLF",'Tipos de Cambio'!$B:$C,2,FALSE)</f>
        <v>0.23555999999999999</v>
      </c>
      <c r="T3" s="103">
        <f>P3*VLOOKUP("COP",'Tipos de Cambio'!$B:$C,2,FALSE)</f>
        <v>41223</v>
      </c>
      <c r="U3" s="105">
        <f>P3*VLOOKUP("MXN",'Tipos de Cambio'!$B:$C,2,FALSE)</f>
        <v>181.57749999999999</v>
      </c>
      <c r="V3" s="105">
        <f>P3*VLOOKUP("PEN",'Tipos de Cambio'!$B:$C,2,FALSE)</f>
        <v>37.296999999999997</v>
      </c>
      <c r="W3" s="106">
        <f>P3*Datos!$O$3</f>
        <v>1766.6999999999998</v>
      </c>
      <c r="X3" s="107">
        <f>W3*VLOOKUP("CLP",'Tipos de Cambio'!$B:$C,2,FALSE)</f>
        <v>1766699.9999999998</v>
      </c>
      <c r="Y3" s="108">
        <f>W3*VLOOKUP("CLF",'Tipos de Cambio'!$B:$C,2,FALSE)</f>
        <v>42.400799999999997</v>
      </c>
      <c r="Z3" s="109">
        <f>W3*VLOOKUP("COP",'Tipos de Cambio'!$B:$C,2,FALSE)</f>
        <v>7420139.9999999991</v>
      </c>
      <c r="AA3" s="110">
        <f>W3*VLOOKUP("MXN",'Tipos de Cambio'!$B:$C,2,FALSE)</f>
        <v>32683.949999999997</v>
      </c>
      <c r="AB3" s="110">
        <f>W3*VLOOKUP("PEN",'Tipos de Cambio'!$B:$C,2,FALSE)</f>
        <v>6713.4599999999991</v>
      </c>
    </row>
    <row r="4" spans="1:28" ht="40.799999999999997" x14ac:dyDescent="0.3">
      <c r="A4" s="25" t="s">
        <v>241</v>
      </c>
      <c r="B4" s="25" t="s">
        <v>0</v>
      </c>
      <c r="C4" s="9" t="s">
        <v>212</v>
      </c>
      <c r="D4" s="1" t="s">
        <v>1</v>
      </c>
      <c r="E4" s="1" t="s">
        <v>2</v>
      </c>
      <c r="F4" s="6">
        <v>675</v>
      </c>
      <c r="G4" s="6">
        <v>150</v>
      </c>
      <c r="H4" s="6">
        <v>50</v>
      </c>
      <c r="I4" s="6">
        <v>35</v>
      </c>
      <c r="J4" s="6">
        <v>75</v>
      </c>
      <c r="K4" s="6">
        <v>0</v>
      </c>
      <c r="L4" s="6">
        <v>49</v>
      </c>
      <c r="M4" s="5">
        <f t="shared" si="0"/>
        <v>1034</v>
      </c>
      <c r="N4" s="97">
        <f>M4/Datos!$O$3</f>
        <v>5.7444444444444445</v>
      </c>
      <c r="O4" s="20">
        <f>N4*Datos!$O$3</f>
        <v>1034</v>
      </c>
      <c r="P4" s="99">
        <f>N4*(1+VLOOKUP(E4,'Tier Datos'!$A$2:$B$5,2,FALSE))</f>
        <v>7.1805555555555554</v>
      </c>
      <c r="Q4" s="111">
        <f>IFERROR(VLOOKUP(E4,'Tier Datos'!$A$2:$B$5,2,FALSE),"")</f>
        <v>0.25</v>
      </c>
      <c r="R4" s="101">
        <f>P4*VLOOKUP("CLP",'Tipos de Cambio'!$B:$C,2,FALSE)</f>
        <v>7180.5555555555557</v>
      </c>
      <c r="S4" s="102">
        <f>P4*VLOOKUP("CLF",'Tipos de Cambio'!$B:$C,2,FALSE)</f>
        <v>0.17233333333333334</v>
      </c>
      <c r="T4" s="103">
        <f>P4*VLOOKUP("COP",'Tipos de Cambio'!$B:$C,2,FALSE)</f>
        <v>30158.333333333332</v>
      </c>
      <c r="U4" s="105">
        <f>P4*VLOOKUP("MXN",'Tipos de Cambio'!$B:$C,2,FALSE)</f>
        <v>132.84027777777777</v>
      </c>
      <c r="V4" s="105">
        <f>P4*VLOOKUP("PEN",'Tipos de Cambio'!$B:$C,2,FALSE)</f>
        <v>27.286111111111108</v>
      </c>
      <c r="W4" s="106">
        <f>P4*Datos!$O$3</f>
        <v>1292.5</v>
      </c>
      <c r="X4" s="107">
        <f>W4*VLOOKUP("CLP",'Tipos de Cambio'!$B:$C,2,FALSE)</f>
        <v>1292500</v>
      </c>
      <c r="Y4" s="108">
        <f>W4*VLOOKUP("CLF",'Tipos de Cambio'!$B:$C,2,FALSE)</f>
        <v>31.02</v>
      </c>
      <c r="Z4" s="109">
        <f>W4*VLOOKUP("COP",'Tipos de Cambio'!$B:$C,2,FALSE)</f>
        <v>5428500</v>
      </c>
      <c r="AA4" s="110">
        <f>W4*VLOOKUP("MXN",'Tipos de Cambio'!$B:$C,2,FALSE)</f>
        <v>23911.25</v>
      </c>
      <c r="AB4" s="110">
        <f>W4*VLOOKUP("PEN",'Tipos de Cambio'!$B:$C,2,FALSE)</f>
        <v>4911.5</v>
      </c>
    </row>
    <row r="5" spans="1:28" x14ac:dyDescent="0.3">
      <c r="A5" s="25" t="s">
        <v>242</v>
      </c>
      <c r="B5" s="25" t="s">
        <v>37</v>
      </c>
      <c r="C5" s="9" t="s">
        <v>72</v>
      </c>
      <c r="D5" s="1" t="s">
        <v>1</v>
      </c>
      <c r="E5" s="1" t="s">
        <v>23</v>
      </c>
      <c r="F5" s="6">
        <v>550</v>
      </c>
      <c r="G5" s="6">
        <v>0</v>
      </c>
      <c r="H5" s="6">
        <v>0</v>
      </c>
      <c r="I5" s="6">
        <v>150</v>
      </c>
      <c r="J5" s="6">
        <v>100</v>
      </c>
      <c r="K5" s="6">
        <v>150</v>
      </c>
      <c r="L5" s="6">
        <v>49</v>
      </c>
      <c r="M5" s="5">
        <f t="shared" si="0"/>
        <v>999</v>
      </c>
      <c r="N5" s="97">
        <f>M5/Datos!$O$3</f>
        <v>5.55</v>
      </c>
      <c r="O5" s="20">
        <f>N5*Datos!$O$3</f>
        <v>999</v>
      </c>
      <c r="P5" s="99">
        <f>N5*(1+VLOOKUP(E5,'Tier Datos'!$A$2:$B$5,2,FALSE))</f>
        <v>8.3249999999999993</v>
      </c>
      <c r="Q5" s="111">
        <f>IFERROR(VLOOKUP(E5,'Tier Datos'!$A$2:$B$5,2,FALSE),"")</f>
        <v>0.5</v>
      </c>
      <c r="R5" s="101">
        <f>P5*VLOOKUP("CLP",'Tipos de Cambio'!$B:$C,2,FALSE)</f>
        <v>8325</v>
      </c>
      <c r="S5" s="102">
        <f>P5*VLOOKUP("CLF",'Tipos de Cambio'!$B:$C,2,FALSE)</f>
        <v>0.19979999999999998</v>
      </c>
      <c r="T5" s="103">
        <f>P5*VLOOKUP("COP",'Tipos de Cambio'!$B:$C,2,FALSE)</f>
        <v>34965</v>
      </c>
      <c r="U5" s="105">
        <f>P5*VLOOKUP("MXN",'Tipos de Cambio'!$B:$C,2,FALSE)</f>
        <v>154.01249999999999</v>
      </c>
      <c r="V5" s="105">
        <f>P5*VLOOKUP("PEN",'Tipos de Cambio'!$B:$C,2,FALSE)</f>
        <v>31.634999999999994</v>
      </c>
      <c r="W5" s="106">
        <f>P5*Datos!$O$3</f>
        <v>1498.4999999999998</v>
      </c>
      <c r="X5" s="107">
        <f>W5*VLOOKUP("CLP",'Tipos de Cambio'!$B:$C,2,FALSE)</f>
        <v>1498499.9999999998</v>
      </c>
      <c r="Y5" s="108">
        <f>W5*VLOOKUP("CLF",'Tipos de Cambio'!$B:$C,2,FALSE)</f>
        <v>35.963999999999999</v>
      </c>
      <c r="Z5" s="109">
        <f>W5*VLOOKUP("COP",'Tipos de Cambio'!$B:$C,2,FALSE)</f>
        <v>6293699.9999999991</v>
      </c>
      <c r="AA5" s="110">
        <f>W5*VLOOKUP("MXN",'Tipos de Cambio'!$B:$C,2,FALSE)</f>
        <v>27722.249999999996</v>
      </c>
      <c r="AB5" s="110">
        <f>W5*VLOOKUP("PEN",'Tipos de Cambio'!$B:$C,2,FALSE)</f>
        <v>5694.2999999999993</v>
      </c>
    </row>
    <row r="6" spans="1:28" x14ac:dyDescent="0.3">
      <c r="A6" s="25" t="s">
        <v>243</v>
      </c>
      <c r="B6" s="25" t="s">
        <v>0</v>
      </c>
      <c r="C6" s="9" t="s">
        <v>76</v>
      </c>
      <c r="D6" s="1" t="s">
        <v>12</v>
      </c>
      <c r="E6" s="1" t="s">
        <v>23</v>
      </c>
      <c r="F6" s="6">
        <v>1300</v>
      </c>
      <c r="G6" s="6">
        <v>250</v>
      </c>
      <c r="H6" s="6">
        <v>150</v>
      </c>
      <c r="I6" s="6">
        <v>50</v>
      </c>
      <c r="J6" s="6">
        <v>150</v>
      </c>
      <c r="K6" s="6">
        <v>0</v>
      </c>
      <c r="L6" s="6">
        <v>49</v>
      </c>
      <c r="M6" s="5">
        <f t="shared" si="0"/>
        <v>1949</v>
      </c>
      <c r="N6" s="97">
        <f>M6/Datos!$O$3</f>
        <v>10.827777777777778</v>
      </c>
      <c r="O6" s="20">
        <f>N6*Datos!$O$3</f>
        <v>1949</v>
      </c>
      <c r="P6" s="99">
        <f>N6*(1+VLOOKUP(E6,'Tier Datos'!$A$2:$B$5,2,FALSE))</f>
        <v>16.241666666666667</v>
      </c>
      <c r="Q6" s="111">
        <f>IFERROR(VLOOKUP(E6,'Tier Datos'!$A$2:$B$5,2,FALSE),"")</f>
        <v>0.5</v>
      </c>
      <c r="R6" s="101">
        <f>P6*VLOOKUP("CLP",'Tipos de Cambio'!$B:$C,2,FALSE)</f>
        <v>16241.666666666668</v>
      </c>
      <c r="S6" s="102">
        <f>P6*VLOOKUP("CLF",'Tipos de Cambio'!$B:$C,2,FALSE)</f>
        <v>0.38980000000000004</v>
      </c>
      <c r="T6" s="103">
        <f>P6*VLOOKUP("COP",'Tipos de Cambio'!$B:$C,2,FALSE)</f>
        <v>68215</v>
      </c>
      <c r="U6" s="105">
        <f>P6*VLOOKUP("MXN",'Tipos de Cambio'!$B:$C,2,FALSE)</f>
        <v>300.47083333333336</v>
      </c>
      <c r="V6" s="105">
        <f>P6*VLOOKUP("PEN",'Tipos de Cambio'!$B:$C,2,FALSE)</f>
        <v>61.718333333333334</v>
      </c>
      <c r="W6" s="106">
        <f>P6*Datos!$O$3</f>
        <v>2923.5</v>
      </c>
      <c r="X6" s="107">
        <f>W6*VLOOKUP("CLP",'Tipos de Cambio'!$B:$C,2,FALSE)</f>
        <v>2923500</v>
      </c>
      <c r="Y6" s="108">
        <f>W6*VLOOKUP("CLF",'Tipos de Cambio'!$B:$C,2,FALSE)</f>
        <v>70.164000000000001</v>
      </c>
      <c r="Z6" s="109">
        <f>W6*VLOOKUP("COP",'Tipos de Cambio'!$B:$C,2,FALSE)</f>
        <v>12278700</v>
      </c>
      <c r="AA6" s="110">
        <f>W6*VLOOKUP("MXN",'Tipos de Cambio'!$B:$C,2,FALSE)</f>
        <v>54084.75</v>
      </c>
      <c r="AB6" s="110">
        <f>W6*VLOOKUP("PEN",'Tipos de Cambio'!$B:$C,2,FALSE)</f>
        <v>11109.3</v>
      </c>
    </row>
    <row r="7" spans="1:28" ht="40.799999999999997" x14ac:dyDescent="0.3">
      <c r="A7" s="25" t="s">
        <v>244</v>
      </c>
      <c r="B7" s="25" t="s">
        <v>0</v>
      </c>
      <c r="C7" s="9" t="s">
        <v>57</v>
      </c>
      <c r="D7" s="1" t="s">
        <v>12</v>
      </c>
      <c r="E7" s="1" t="s">
        <v>2</v>
      </c>
      <c r="F7" s="6">
        <v>1000</v>
      </c>
      <c r="G7" s="1">
        <v>200</v>
      </c>
      <c r="H7" s="1">
        <v>100</v>
      </c>
      <c r="I7" s="1">
        <v>50</v>
      </c>
      <c r="J7" s="1">
        <v>150</v>
      </c>
      <c r="K7" s="9">
        <v>0</v>
      </c>
      <c r="L7" s="6">
        <v>49</v>
      </c>
      <c r="M7" s="5">
        <f t="shared" si="0"/>
        <v>1549</v>
      </c>
      <c r="N7" s="97">
        <f>M7/Datos!$O$3</f>
        <v>8.6055555555555561</v>
      </c>
      <c r="O7" s="20">
        <f>N7*Datos!$O$3</f>
        <v>1549</v>
      </c>
      <c r="P7" s="99">
        <f>N7*(1+VLOOKUP(E7,'Tier Datos'!$A$2:$B$5,2,FALSE))</f>
        <v>10.756944444444445</v>
      </c>
      <c r="Q7" s="111">
        <f>IFERROR(VLOOKUP(E7,'Tier Datos'!$A$2:$B$5,2,FALSE),"")</f>
        <v>0.25</v>
      </c>
      <c r="R7" s="101">
        <f>P7*VLOOKUP("CLP",'Tipos de Cambio'!$B:$C,2,FALSE)</f>
        <v>10756.944444444445</v>
      </c>
      <c r="S7" s="102">
        <f>P7*VLOOKUP("CLF",'Tipos de Cambio'!$B:$C,2,FALSE)</f>
        <v>0.25816666666666666</v>
      </c>
      <c r="T7" s="103">
        <f>P7*VLOOKUP("COP",'Tipos de Cambio'!$B:$C,2,FALSE)</f>
        <v>45179.166666666664</v>
      </c>
      <c r="U7" s="105">
        <f>P7*VLOOKUP("MXN",'Tipos de Cambio'!$B:$C,2,FALSE)</f>
        <v>199.00347222222223</v>
      </c>
      <c r="V7" s="105">
        <f>P7*VLOOKUP("PEN",'Tipos de Cambio'!$B:$C,2,FALSE)</f>
        <v>40.87638888888889</v>
      </c>
      <c r="W7" s="106">
        <f>P7*Datos!$O$3</f>
        <v>1936.25</v>
      </c>
      <c r="X7" s="107">
        <f>W7*VLOOKUP("CLP",'Tipos de Cambio'!$B:$C,2,FALSE)</f>
        <v>1936250</v>
      </c>
      <c r="Y7" s="108">
        <f>W7*VLOOKUP("CLF",'Tipos de Cambio'!$B:$C,2,FALSE)</f>
        <v>46.47</v>
      </c>
      <c r="Z7" s="109">
        <f>W7*VLOOKUP("COP",'Tipos de Cambio'!$B:$C,2,FALSE)</f>
        <v>8132250</v>
      </c>
      <c r="AA7" s="110">
        <f>W7*VLOOKUP("MXN",'Tipos de Cambio'!$B:$C,2,FALSE)</f>
        <v>35820.625</v>
      </c>
      <c r="AB7" s="110">
        <f>W7*VLOOKUP("PEN",'Tipos de Cambio'!$B:$C,2,FALSE)</f>
        <v>7357.75</v>
      </c>
    </row>
    <row r="8" spans="1:28" ht="40.799999999999997" x14ac:dyDescent="0.3">
      <c r="A8" s="25" t="s">
        <v>245</v>
      </c>
      <c r="B8" s="25" t="s">
        <v>22</v>
      </c>
      <c r="C8" s="9" t="s">
        <v>56</v>
      </c>
      <c r="D8" s="1" t="s">
        <v>12</v>
      </c>
      <c r="E8" s="1" t="s">
        <v>2</v>
      </c>
      <c r="F8" s="6">
        <v>900</v>
      </c>
      <c r="G8" s="1">
        <v>200</v>
      </c>
      <c r="H8" s="1">
        <v>100</v>
      </c>
      <c r="I8" s="1">
        <v>50</v>
      </c>
      <c r="J8" s="1">
        <v>150</v>
      </c>
      <c r="K8" s="9">
        <v>0</v>
      </c>
      <c r="L8" s="6">
        <v>49</v>
      </c>
      <c r="M8" s="5">
        <f t="shared" si="0"/>
        <v>1449</v>
      </c>
      <c r="N8" s="97">
        <f>M8/Datos!$O$3</f>
        <v>8.0500000000000007</v>
      </c>
      <c r="O8" s="20">
        <f>N8*Datos!$O$3</f>
        <v>1449.0000000000002</v>
      </c>
      <c r="P8" s="99">
        <f>N8*(1+VLOOKUP(E8,'Tier Datos'!$A$2:$B$5,2,FALSE))</f>
        <v>10.0625</v>
      </c>
      <c r="Q8" s="111">
        <f>IFERROR(VLOOKUP(E8,'Tier Datos'!$A$2:$B$5,2,FALSE),"")</f>
        <v>0.25</v>
      </c>
      <c r="R8" s="101">
        <f>P8*VLOOKUP("CLP",'Tipos de Cambio'!$B:$C,2,FALSE)</f>
        <v>10062.5</v>
      </c>
      <c r="S8" s="102">
        <f>P8*VLOOKUP("CLF",'Tipos de Cambio'!$B:$C,2,FALSE)</f>
        <v>0.24149999999999999</v>
      </c>
      <c r="T8" s="103">
        <f>P8*VLOOKUP("COP",'Tipos de Cambio'!$B:$C,2,FALSE)</f>
        <v>42262.5</v>
      </c>
      <c r="U8" s="105">
        <f>P8*VLOOKUP("MXN",'Tipos de Cambio'!$B:$C,2,FALSE)</f>
        <v>186.15625</v>
      </c>
      <c r="V8" s="105">
        <f>P8*VLOOKUP("PEN",'Tipos de Cambio'!$B:$C,2,FALSE)</f>
        <v>38.237499999999997</v>
      </c>
      <c r="W8" s="106">
        <f>P8*Datos!$O$3</f>
        <v>1811.25</v>
      </c>
      <c r="X8" s="107">
        <f>W8*VLOOKUP("CLP",'Tipos de Cambio'!$B:$C,2,FALSE)</f>
        <v>1811250</v>
      </c>
      <c r="Y8" s="108">
        <f>W8*VLOOKUP("CLF",'Tipos de Cambio'!$B:$C,2,FALSE)</f>
        <v>43.47</v>
      </c>
      <c r="Z8" s="109">
        <f>W8*VLOOKUP("COP",'Tipos de Cambio'!$B:$C,2,FALSE)</f>
        <v>7607250</v>
      </c>
      <c r="AA8" s="110">
        <f>W8*VLOOKUP("MXN",'Tipos de Cambio'!$B:$C,2,FALSE)</f>
        <v>33508.125</v>
      </c>
      <c r="AB8" s="110">
        <f>W8*VLOOKUP("PEN",'Tipos de Cambio'!$B:$C,2,FALSE)</f>
        <v>6882.75</v>
      </c>
    </row>
    <row r="9" spans="1:28" x14ac:dyDescent="0.3">
      <c r="A9" s="25" t="s">
        <v>246</v>
      </c>
      <c r="B9" s="25" t="s">
        <v>22</v>
      </c>
      <c r="C9" s="9" t="s">
        <v>211</v>
      </c>
      <c r="D9" s="1" t="s">
        <v>12</v>
      </c>
      <c r="E9" s="1" t="s">
        <v>13</v>
      </c>
      <c r="F9" s="6">
        <v>2500</v>
      </c>
      <c r="G9" s="1">
        <v>250</v>
      </c>
      <c r="H9" s="1">
        <v>150</v>
      </c>
      <c r="I9" s="1">
        <v>50</v>
      </c>
      <c r="J9" s="1">
        <v>150</v>
      </c>
      <c r="K9" s="9">
        <v>0</v>
      </c>
      <c r="L9" s="6">
        <v>49</v>
      </c>
      <c r="M9" s="5">
        <f t="shared" si="0"/>
        <v>3149</v>
      </c>
      <c r="N9" s="97">
        <f>M9/Datos!$O$3</f>
        <v>17.494444444444444</v>
      </c>
      <c r="O9" s="20">
        <f>N9*Datos!$O$3</f>
        <v>3149</v>
      </c>
      <c r="P9" s="99">
        <f>N9*(1+VLOOKUP(E9,'Tier Datos'!$A$2:$B$5,2,FALSE))</f>
        <v>22.742777777777778</v>
      </c>
      <c r="Q9" s="111">
        <f>IFERROR(VLOOKUP(E9,'Tier Datos'!$A$2:$B$5,2,FALSE),"")</f>
        <v>0.3</v>
      </c>
      <c r="R9" s="101">
        <f>P9*VLOOKUP("CLP",'Tipos de Cambio'!$B:$C,2,FALSE)</f>
        <v>22742.777777777777</v>
      </c>
      <c r="S9" s="102">
        <f>P9*VLOOKUP("CLF",'Tipos de Cambio'!$B:$C,2,FALSE)</f>
        <v>0.54582666666666668</v>
      </c>
      <c r="T9" s="103">
        <f>P9*VLOOKUP("COP",'Tipos de Cambio'!$B:$C,2,FALSE)</f>
        <v>95519.666666666672</v>
      </c>
      <c r="U9" s="105">
        <f>P9*VLOOKUP("MXN",'Tipos de Cambio'!$B:$C,2,FALSE)</f>
        <v>420.74138888888888</v>
      </c>
      <c r="V9" s="105">
        <f>P9*VLOOKUP("PEN",'Tipos de Cambio'!$B:$C,2,FALSE)</f>
        <v>86.422555555555547</v>
      </c>
      <c r="W9" s="106">
        <f>P9*Datos!$O$3</f>
        <v>4093.7000000000003</v>
      </c>
      <c r="X9" s="107">
        <f>W9*VLOOKUP("CLP",'Tipos de Cambio'!$B:$C,2,FALSE)</f>
        <v>4093700.0000000005</v>
      </c>
      <c r="Y9" s="108">
        <f>W9*VLOOKUP("CLF",'Tipos de Cambio'!$B:$C,2,FALSE)</f>
        <v>98.248800000000003</v>
      </c>
      <c r="Z9" s="109">
        <f>W9*VLOOKUP("COP",'Tipos de Cambio'!$B:$C,2,FALSE)</f>
        <v>17193540</v>
      </c>
      <c r="AA9" s="110">
        <f>W9*VLOOKUP("MXN",'Tipos de Cambio'!$B:$C,2,FALSE)</f>
        <v>75733.450000000012</v>
      </c>
      <c r="AB9" s="110">
        <f>W9*VLOOKUP("PEN",'Tipos de Cambio'!$B:$C,2,FALSE)</f>
        <v>15556.06</v>
      </c>
    </row>
    <row r="10" spans="1:28" ht="40.799999999999997" x14ac:dyDescent="0.3">
      <c r="A10" s="25" t="s">
        <v>247</v>
      </c>
      <c r="B10" s="25" t="s">
        <v>22</v>
      </c>
      <c r="C10" s="9" t="s">
        <v>69</v>
      </c>
      <c r="D10" s="1" t="s">
        <v>12</v>
      </c>
      <c r="E10" s="1" t="s">
        <v>2</v>
      </c>
      <c r="F10" s="6">
        <v>1300</v>
      </c>
      <c r="G10" s="1">
        <v>200</v>
      </c>
      <c r="H10" s="1">
        <v>100</v>
      </c>
      <c r="I10" s="1">
        <v>50</v>
      </c>
      <c r="J10" s="1">
        <v>150</v>
      </c>
      <c r="K10" s="9">
        <v>0</v>
      </c>
      <c r="L10" s="6">
        <v>49</v>
      </c>
      <c r="M10" s="5">
        <f t="shared" si="0"/>
        <v>1849</v>
      </c>
      <c r="N10" s="97">
        <f>M10/Datos!$O$3</f>
        <v>10.272222222222222</v>
      </c>
      <c r="O10" s="20">
        <f>N10*Datos!$O$3</f>
        <v>1849</v>
      </c>
      <c r="P10" s="99">
        <f>N10*(1+VLOOKUP(E10,'Tier Datos'!$A$2:$B$5,2,FALSE))</f>
        <v>12.840277777777779</v>
      </c>
      <c r="Q10" s="111">
        <f>IFERROR(VLOOKUP(E10,'Tier Datos'!$A$2:$B$5,2,FALSE),"")</f>
        <v>0.25</v>
      </c>
      <c r="R10" s="101">
        <f>P10*VLOOKUP("CLP",'Tipos de Cambio'!$B:$C,2,FALSE)</f>
        <v>12840.277777777779</v>
      </c>
      <c r="S10" s="102">
        <f>P10*VLOOKUP("CLF",'Tipos de Cambio'!$B:$C,2,FALSE)</f>
        <v>0.3081666666666667</v>
      </c>
      <c r="T10" s="103">
        <f>P10*VLOOKUP("COP",'Tipos de Cambio'!$B:$C,2,FALSE)</f>
        <v>53929.166666666672</v>
      </c>
      <c r="U10" s="105">
        <f>P10*VLOOKUP("MXN",'Tipos de Cambio'!$B:$C,2,FALSE)</f>
        <v>237.54513888888891</v>
      </c>
      <c r="V10" s="105">
        <f>P10*VLOOKUP("PEN",'Tipos de Cambio'!$B:$C,2,FALSE)</f>
        <v>48.793055555555554</v>
      </c>
      <c r="W10" s="106">
        <f>P10*Datos!$O$3</f>
        <v>2311.25</v>
      </c>
      <c r="X10" s="107">
        <f>W10*VLOOKUP("CLP",'Tipos de Cambio'!$B:$C,2,FALSE)</f>
        <v>2311250</v>
      </c>
      <c r="Y10" s="108">
        <f>W10*VLOOKUP("CLF",'Tipos de Cambio'!$B:$C,2,FALSE)</f>
        <v>55.47</v>
      </c>
      <c r="Z10" s="109">
        <f>W10*VLOOKUP("COP",'Tipos de Cambio'!$B:$C,2,FALSE)</f>
        <v>9707250</v>
      </c>
      <c r="AA10" s="110">
        <f>W10*VLOOKUP("MXN",'Tipos de Cambio'!$B:$C,2,FALSE)</f>
        <v>42758.125</v>
      </c>
      <c r="AB10" s="110">
        <f>W10*VLOOKUP("PEN",'Tipos de Cambio'!$B:$C,2,FALSE)</f>
        <v>8782.75</v>
      </c>
    </row>
    <row r="11" spans="1:28" ht="40.799999999999997" x14ac:dyDescent="0.3">
      <c r="A11" s="25" t="s">
        <v>248</v>
      </c>
      <c r="B11" s="25" t="s">
        <v>0</v>
      </c>
      <c r="C11" s="9" t="s">
        <v>73</v>
      </c>
      <c r="D11" s="1" t="s">
        <v>12</v>
      </c>
      <c r="E11" s="1" t="s">
        <v>2</v>
      </c>
      <c r="F11" s="6">
        <v>1200</v>
      </c>
      <c r="G11" s="1">
        <v>200</v>
      </c>
      <c r="H11" s="1">
        <v>100</v>
      </c>
      <c r="I11" s="1">
        <v>50</v>
      </c>
      <c r="J11" s="1">
        <v>150</v>
      </c>
      <c r="K11" s="9">
        <v>0</v>
      </c>
      <c r="L11" s="6">
        <v>49</v>
      </c>
      <c r="M11" s="5">
        <f t="shared" si="0"/>
        <v>1749</v>
      </c>
      <c r="N11" s="97">
        <f>M11/Datos!$O$3</f>
        <v>9.7166666666666668</v>
      </c>
      <c r="O11" s="20">
        <f>N11*Datos!$O$3</f>
        <v>1749</v>
      </c>
      <c r="P11" s="99">
        <f>N11*(1+VLOOKUP(E11,'Tier Datos'!$A$2:$B$5,2,FALSE))</f>
        <v>12.145833333333334</v>
      </c>
      <c r="Q11" s="111">
        <f>IFERROR(VLOOKUP(E11,'Tier Datos'!$A$2:$B$5,2,FALSE),"")</f>
        <v>0.25</v>
      </c>
      <c r="R11" s="101">
        <f>P11*VLOOKUP("CLP",'Tipos de Cambio'!$B:$C,2,FALSE)</f>
        <v>12145.833333333334</v>
      </c>
      <c r="S11" s="102">
        <f>P11*VLOOKUP("CLF",'Tipos de Cambio'!$B:$C,2,FALSE)</f>
        <v>0.29150000000000004</v>
      </c>
      <c r="T11" s="103">
        <f>P11*VLOOKUP("COP",'Tipos de Cambio'!$B:$C,2,FALSE)</f>
        <v>51012.5</v>
      </c>
      <c r="U11" s="105">
        <f>P11*VLOOKUP("MXN",'Tipos de Cambio'!$B:$C,2,FALSE)</f>
        <v>224.69791666666669</v>
      </c>
      <c r="V11" s="105">
        <f>P11*VLOOKUP("PEN",'Tipos de Cambio'!$B:$C,2,FALSE)</f>
        <v>46.154166666666669</v>
      </c>
      <c r="W11" s="106">
        <f>P11*Datos!$O$3</f>
        <v>2186.25</v>
      </c>
      <c r="X11" s="107">
        <f>W11*VLOOKUP("CLP",'Tipos de Cambio'!$B:$C,2,FALSE)</f>
        <v>2186250</v>
      </c>
      <c r="Y11" s="108">
        <f>W11*VLOOKUP("CLF",'Tipos de Cambio'!$B:$C,2,FALSE)</f>
        <v>52.47</v>
      </c>
      <c r="Z11" s="109">
        <f>W11*VLOOKUP("COP",'Tipos de Cambio'!$B:$C,2,FALSE)</f>
        <v>9182250</v>
      </c>
      <c r="AA11" s="110">
        <f>W11*VLOOKUP("MXN",'Tipos de Cambio'!$B:$C,2,FALSE)</f>
        <v>40445.625</v>
      </c>
      <c r="AB11" s="110">
        <f>W11*VLOOKUP("PEN",'Tipos de Cambio'!$B:$C,2,FALSE)</f>
        <v>8307.75</v>
      </c>
    </row>
    <row r="12" spans="1:28" ht="40.799999999999997" x14ac:dyDescent="0.3">
      <c r="A12" s="25" t="s">
        <v>249</v>
      </c>
      <c r="B12" s="25" t="s">
        <v>0</v>
      </c>
      <c r="C12" s="9" t="s">
        <v>62</v>
      </c>
      <c r="D12" s="1" t="s">
        <v>12</v>
      </c>
      <c r="E12" s="1" t="s">
        <v>2</v>
      </c>
      <c r="F12" s="6">
        <v>1000</v>
      </c>
      <c r="G12" s="1">
        <v>200</v>
      </c>
      <c r="H12" s="1">
        <v>100</v>
      </c>
      <c r="I12" s="1">
        <v>50</v>
      </c>
      <c r="J12" s="1">
        <v>150</v>
      </c>
      <c r="K12" s="9">
        <v>0</v>
      </c>
      <c r="L12" s="6">
        <v>49</v>
      </c>
      <c r="M12" s="5">
        <f t="shared" si="0"/>
        <v>1549</v>
      </c>
      <c r="N12" s="97">
        <f>M12/Datos!$O$3</f>
        <v>8.6055555555555561</v>
      </c>
      <c r="O12" s="20">
        <f>N12*Datos!$O$3</f>
        <v>1549</v>
      </c>
      <c r="P12" s="99">
        <f>N12*(1+VLOOKUP(E12,'Tier Datos'!$A$2:$B$5,2,FALSE))</f>
        <v>10.756944444444445</v>
      </c>
      <c r="Q12" s="111">
        <f>IFERROR(VLOOKUP(E12,'Tier Datos'!$A$2:$B$5,2,FALSE),"")</f>
        <v>0.25</v>
      </c>
      <c r="R12" s="101">
        <f>P12*VLOOKUP("CLP",'Tipos de Cambio'!$B:$C,2,FALSE)</f>
        <v>10756.944444444445</v>
      </c>
      <c r="S12" s="102">
        <f>P12*VLOOKUP("CLF",'Tipos de Cambio'!$B:$C,2,FALSE)</f>
        <v>0.25816666666666666</v>
      </c>
      <c r="T12" s="103">
        <f>P12*VLOOKUP("COP",'Tipos de Cambio'!$B:$C,2,FALSE)</f>
        <v>45179.166666666664</v>
      </c>
      <c r="U12" s="105">
        <f>P12*VLOOKUP("MXN",'Tipos de Cambio'!$B:$C,2,FALSE)</f>
        <v>199.00347222222223</v>
      </c>
      <c r="V12" s="105">
        <f>P12*VLOOKUP("PEN",'Tipos de Cambio'!$B:$C,2,FALSE)</f>
        <v>40.87638888888889</v>
      </c>
      <c r="W12" s="106">
        <f>P12*Datos!$O$3</f>
        <v>1936.25</v>
      </c>
      <c r="X12" s="107">
        <f>W12*VLOOKUP("CLP",'Tipos de Cambio'!$B:$C,2,FALSE)</f>
        <v>1936250</v>
      </c>
      <c r="Y12" s="108">
        <f>W12*VLOOKUP("CLF",'Tipos de Cambio'!$B:$C,2,FALSE)</f>
        <v>46.47</v>
      </c>
      <c r="Z12" s="109">
        <f>W12*VLOOKUP("COP",'Tipos de Cambio'!$B:$C,2,FALSE)</f>
        <v>8132250</v>
      </c>
      <c r="AA12" s="110">
        <f>W12*VLOOKUP("MXN",'Tipos de Cambio'!$B:$C,2,FALSE)</f>
        <v>35820.625</v>
      </c>
      <c r="AB12" s="110">
        <f>W12*VLOOKUP("PEN",'Tipos de Cambio'!$B:$C,2,FALSE)</f>
        <v>7357.75</v>
      </c>
    </row>
    <row r="13" spans="1:28" x14ac:dyDescent="0.3">
      <c r="A13" s="25" t="s">
        <v>250</v>
      </c>
      <c r="B13" s="25" t="s">
        <v>29</v>
      </c>
      <c r="C13" s="9" t="s">
        <v>66</v>
      </c>
      <c r="D13" s="1" t="s">
        <v>1</v>
      </c>
      <c r="E13" s="1" t="s">
        <v>23</v>
      </c>
      <c r="F13" s="6">
        <v>1100</v>
      </c>
      <c r="G13" s="1">
        <v>200</v>
      </c>
      <c r="H13" s="1">
        <v>100</v>
      </c>
      <c r="I13" s="1">
        <v>50</v>
      </c>
      <c r="J13" s="1">
        <v>150</v>
      </c>
      <c r="K13" s="9">
        <v>0</v>
      </c>
      <c r="L13" s="6">
        <v>49</v>
      </c>
      <c r="M13" s="5">
        <f t="shared" si="0"/>
        <v>1649</v>
      </c>
      <c r="N13" s="97">
        <f>M13/Datos!$O$3</f>
        <v>9.1611111111111114</v>
      </c>
      <c r="O13" s="20">
        <f>N13*Datos!$O$3</f>
        <v>1649</v>
      </c>
      <c r="P13" s="99">
        <f>N13*(1+VLOOKUP(E13,'Tier Datos'!$A$2:$B$5,2,FALSE))</f>
        <v>13.741666666666667</v>
      </c>
      <c r="Q13" s="111">
        <f>IFERROR(VLOOKUP(E13,'Tier Datos'!$A$2:$B$5,2,FALSE),"")</f>
        <v>0.5</v>
      </c>
      <c r="R13" s="101">
        <f>P13*VLOOKUP("CLP",'Tipos de Cambio'!$B:$C,2,FALSE)</f>
        <v>13741.666666666668</v>
      </c>
      <c r="S13" s="102">
        <f>P13*VLOOKUP("CLF",'Tipos de Cambio'!$B:$C,2,FALSE)</f>
        <v>0.32980000000000004</v>
      </c>
      <c r="T13" s="103">
        <f>P13*VLOOKUP("COP",'Tipos de Cambio'!$B:$C,2,FALSE)</f>
        <v>57715</v>
      </c>
      <c r="U13" s="105">
        <f>P13*VLOOKUP("MXN",'Tipos de Cambio'!$B:$C,2,FALSE)</f>
        <v>254.22083333333333</v>
      </c>
      <c r="V13" s="105">
        <f>P13*VLOOKUP("PEN",'Tipos de Cambio'!$B:$C,2,FALSE)</f>
        <v>52.218333333333334</v>
      </c>
      <c r="W13" s="106">
        <f>P13*Datos!$O$3</f>
        <v>2473.5</v>
      </c>
      <c r="X13" s="107">
        <f>W13*VLOOKUP("CLP",'Tipos de Cambio'!$B:$C,2,FALSE)</f>
        <v>2473500</v>
      </c>
      <c r="Y13" s="108">
        <f>W13*VLOOKUP("CLF",'Tipos de Cambio'!$B:$C,2,FALSE)</f>
        <v>59.364000000000004</v>
      </c>
      <c r="Z13" s="109">
        <f>W13*VLOOKUP("COP",'Tipos de Cambio'!$B:$C,2,FALSE)</f>
        <v>10388700</v>
      </c>
      <c r="AA13" s="110">
        <f>W13*VLOOKUP("MXN",'Tipos de Cambio'!$B:$C,2,FALSE)</f>
        <v>45759.75</v>
      </c>
      <c r="AB13" s="110">
        <f>W13*VLOOKUP("PEN",'Tipos de Cambio'!$B:$C,2,FALSE)</f>
        <v>9399.2999999999993</v>
      </c>
    </row>
    <row r="14" spans="1:28" ht="40.799999999999997" x14ac:dyDescent="0.3">
      <c r="A14" s="25" t="s">
        <v>251</v>
      </c>
      <c r="B14" s="25" t="s">
        <v>29</v>
      </c>
      <c r="C14" s="9" t="s">
        <v>252</v>
      </c>
      <c r="D14" s="1" t="s">
        <v>12</v>
      </c>
      <c r="E14" s="1" t="s">
        <v>13</v>
      </c>
      <c r="F14" s="6">
        <v>900</v>
      </c>
      <c r="G14" s="1">
        <v>200</v>
      </c>
      <c r="H14" s="1">
        <v>100</v>
      </c>
      <c r="I14" s="1">
        <v>50</v>
      </c>
      <c r="J14" s="1">
        <v>150</v>
      </c>
      <c r="K14" s="9">
        <v>0</v>
      </c>
      <c r="L14" s="6">
        <v>49</v>
      </c>
      <c r="M14" s="5">
        <f t="shared" si="0"/>
        <v>1449</v>
      </c>
      <c r="N14" s="97">
        <f>M14/Datos!$O$3</f>
        <v>8.0500000000000007</v>
      </c>
      <c r="O14" s="20">
        <f>N14*Datos!$O$3</f>
        <v>1449.0000000000002</v>
      </c>
      <c r="P14" s="99">
        <f>N14*(1+VLOOKUP(E14,'Tier Datos'!$A$2:$B$5,2,FALSE))</f>
        <v>10.465000000000002</v>
      </c>
      <c r="Q14" s="111">
        <f>IFERROR(VLOOKUP(E14,'Tier Datos'!$A$2:$B$5,2,FALSE),"")</f>
        <v>0.3</v>
      </c>
      <c r="R14" s="101">
        <f>P14*VLOOKUP("CLP",'Tipos de Cambio'!$B:$C,2,FALSE)</f>
        <v>10465.000000000002</v>
      </c>
      <c r="S14" s="102">
        <f>P14*VLOOKUP("CLF",'Tipos de Cambio'!$B:$C,2,FALSE)</f>
        <v>0.25116000000000005</v>
      </c>
      <c r="T14" s="103">
        <f>P14*VLOOKUP("COP",'Tipos de Cambio'!$B:$C,2,FALSE)</f>
        <v>43953.000000000007</v>
      </c>
      <c r="U14" s="105">
        <f>P14*VLOOKUP("MXN",'Tipos de Cambio'!$B:$C,2,FALSE)</f>
        <v>193.60250000000002</v>
      </c>
      <c r="V14" s="105">
        <f>P14*VLOOKUP("PEN",'Tipos de Cambio'!$B:$C,2,FALSE)</f>
        <v>39.767000000000003</v>
      </c>
      <c r="W14" s="106">
        <f>P14*Datos!$O$3</f>
        <v>1883.7000000000003</v>
      </c>
      <c r="X14" s="107">
        <f>W14*VLOOKUP("CLP",'Tipos de Cambio'!$B:$C,2,FALSE)</f>
        <v>1883700.0000000002</v>
      </c>
      <c r="Y14" s="108">
        <f>W14*VLOOKUP("CLF",'Tipos de Cambio'!$B:$C,2,FALSE)</f>
        <v>45.208800000000011</v>
      </c>
      <c r="Z14" s="109">
        <f>W14*VLOOKUP("COP",'Tipos de Cambio'!$B:$C,2,FALSE)</f>
        <v>7911540.0000000009</v>
      </c>
      <c r="AA14" s="110">
        <f>W14*VLOOKUP("MXN",'Tipos de Cambio'!$B:$C,2,FALSE)</f>
        <v>34848.450000000004</v>
      </c>
      <c r="AB14" s="110">
        <f>W14*VLOOKUP("PEN",'Tipos de Cambio'!$B:$C,2,FALSE)</f>
        <v>7158.06</v>
      </c>
    </row>
    <row r="15" spans="1:28" ht="40.799999999999997" x14ac:dyDescent="0.3">
      <c r="A15" s="25" t="s">
        <v>253</v>
      </c>
      <c r="B15" s="25" t="s">
        <v>29</v>
      </c>
      <c r="C15" s="9" t="s">
        <v>254</v>
      </c>
      <c r="D15" s="1" t="s">
        <v>12</v>
      </c>
      <c r="E15" s="1" t="s">
        <v>2</v>
      </c>
      <c r="F15" s="2">
        <v>1100</v>
      </c>
      <c r="G15" s="1">
        <v>250</v>
      </c>
      <c r="H15" s="1">
        <v>150</v>
      </c>
      <c r="I15" s="1">
        <v>50</v>
      </c>
      <c r="J15" s="1">
        <v>150</v>
      </c>
      <c r="K15" s="9">
        <v>0</v>
      </c>
      <c r="L15" s="6">
        <v>49</v>
      </c>
      <c r="M15" s="5">
        <f t="shared" si="0"/>
        <v>1749</v>
      </c>
      <c r="N15" s="97">
        <f>M15/Datos!$O$3</f>
        <v>9.7166666666666668</v>
      </c>
      <c r="O15" s="20">
        <f>N15*Datos!$O$3</f>
        <v>1749</v>
      </c>
      <c r="P15" s="99">
        <f>N15*(1+VLOOKUP(E15,'Tier Datos'!$A$2:$B$5,2,FALSE))</f>
        <v>12.145833333333334</v>
      </c>
      <c r="Q15" s="111">
        <f>IFERROR(VLOOKUP(E15,'Tier Datos'!$A$2:$B$5,2,FALSE),"")</f>
        <v>0.25</v>
      </c>
      <c r="R15" s="101">
        <f>P15*VLOOKUP("CLP",'Tipos de Cambio'!$B:$C,2,FALSE)</f>
        <v>12145.833333333334</v>
      </c>
      <c r="S15" s="102">
        <f>P15*VLOOKUP("CLF",'Tipos de Cambio'!$B:$C,2,FALSE)</f>
        <v>0.29150000000000004</v>
      </c>
      <c r="T15" s="103">
        <f>P15*VLOOKUP("COP",'Tipos de Cambio'!$B:$C,2,FALSE)</f>
        <v>51012.5</v>
      </c>
      <c r="U15" s="105">
        <f>P15*VLOOKUP("MXN",'Tipos de Cambio'!$B:$C,2,FALSE)</f>
        <v>224.69791666666669</v>
      </c>
      <c r="V15" s="105">
        <f>P15*VLOOKUP("PEN",'Tipos de Cambio'!$B:$C,2,FALSE)</f>
        <v>46.154166666666669</v>
      </c>
      <c r="W15" s="106">
        <f>P15*Datos!$O$3</f>
        <v>2186.25</v>
      </c>
      <c r="X15" s="107">
        <f>W15*VLOOKUP("CLP",'Tipos de Cambio'!$B:$C,2,FALSE)</f>
        <v>2186250</v>
      </c>
      <c r="Y15" s="108">
        <f>W15*VLOOKUP("CLF",'Tipos de Cambio'!$B:$C,2,FALSE)</f>
        <v>52.47</v>
      </c>
      <c r="Z15" s="109">
        <f>W15*VLOOKUP("COP",'Tipos de Cambio'!$B:$C,2,FALSE)</f>
        <v>9182250</v>
      </c>
      <c r="AA15" s="110">
        <f>W15*VLOOKUP("MXN",'Tipos de Cambio'!$B:$C,2,FALSE)</f>
        <v>40445.625</v>
      </c>
      <c r="AB15" s="110">
        <f>W15*VLOOKUP("PEN",'Tipos de Cambio'!$B:$C,2,FALSE)</f>
        <v>8307.75</v>
      </c>
    </row>
    <row r="16" spans="1:28" ht="40.799999999999997" x14ac:dyDescent="0.3">
      <c r="A16" s="25" t="s">
        <v>255</v>
      </c>
      <c r="B16" s="25" t="s">
        <v>29</v>
      </c>
      <c r="C16" s="9" t="s">
        <v>83</v>
      </c>
      <c r="D16" s="1" t="s">
        <v>12</v>
      </c>
      <c r="E16" s="1" t="s">
        <v>13</v>
      </c>
      <c r="F16" s="2">
        <v>1500</v>
      </c>
      <c r="G16" s="1">
        <v>250</v>
      </c>
      <c r="H16" s="1">
        <v>150</v>
      </c>
      <c r="I16" s="1">
        <v>75</v>
      </c>
      <c r="J16" s="1">
        <v>150</v>
      </c>
      <c r="K16" s="1">
        <v>0</v>
      </c>
      <c r="L16" s="6">
        <v>49</v>
      </c>
      <c r="M16" s="5">
        <f t="shared" si="0"/>
        <v>2174</v>
      </c>
      <c r="N16" s="97">
        <f>M16/Datos!$O$3</f>
        <v>12.077777777777778</v>
      </c>
      <c r="O16" s="20">
        <f>N16*Datos!$O$3</f>
        <v>2174</v>
      </c>
      <c r="P16" s="99">
        <f>N16*(1+VLOOKUP(E16,'Tier Datos'!$A$2:$B$5,2,FALSE))</f>
        <v>15.701111111111111</v>
      </c>
      <c r="Q16" s="111">
        <f>IFERROR(VLOOKUP(E16,'Tier Datos'!$A$2:$B$5,2,FALSE),"")</f>
        <v>0.3</v>
      </c>
      <c r="R16" s="101">
        <f>P16*VLOOKUP("CLP",'Tipos de Cambio'!$B:$C,2,FALSE)</f>
        <v>15701.111111111111</v>
      </c>
      <c r="S16" s="102">
        <f>P16*VLOOKUP("CLF",'Tipos de Cambio'!$B:$C,2,FALSE)</f>
        <v>0.37682666666666664</v>
      </c>
      <c r="T16" s="103">
        <f>P16*VLOOKUP("COP",'Tipos de Cambio'!$B:$C,2,FALSE)</f>
        <v>65944.666666666672</v>
      </c>
      <c r="U16" s="105">
        <f>P16*VLOOKUP("MXN",'Tipos de Cambio'!$B:$C,2,FALSE)</f>
        <v>290.47055555555556</v>
      </c>
      <c r="V16" s="105">
        <f>P16*VLOOKUP("PEN",'Tipos de Cambio'!$B:$C,2,FALSE)</f>
        <v>59.664222222222214</v>
      </c>
      <c r="W16" s="106">
        <f>P16*Datos!$O$3</f>
        <v>2826.2</v>
      </c>
      <c r="X16" s="107">
        <f>W16*VLOOKUP("CLP",'Tipos de Cambio'!$B:$C,2,FALSE)</f>
        <v>2826200</v>
      </c>
      <c r="Y16" s="108">
        <f>W16*VLOOKUP("CLF",'Tipos de Cambio'!$B:$C,2,FALSE)</f>
        <v>67.828800000000001</v>
      </c>
      <c r="Z16" s="109">
        <f>W16*VLOOKUP("COP",'Tipos de Cambio'!$B:$C,2,FALSE)</f>
        <v>11870040</v>
      </c>
      <c r="AA16" s="110">
        <f>W16*VLOOKUP("MXN",'Tipos de Cambio'!$B:$C,2,FALSE)</f>
        <v>52284.7</v>
      </c>
      <c r="AB16" s="110">
        <f>W16*VLOOKUP("PEN",'Tipos de Cambio'!$B:$C,2,FALSE)</f>
        <v>10739.56</v>
      </c>
    </row>
    <row r="17" spans="1:28" ht="40.799999999999997" x14ac:dyDescent="0.3">
      <c r="A17" s="25" t="s">
        <v>256</v>
      </c>
      <c r="B17" s="25" t="s">
        <v>11</v>
      </c>
      <c r="C17" s="9" t="s">
        <v>257</v>
      </c>
      <c r="D17" s="1" t="s">
        <v>12</v>
      </c>
      <c r="E17" s="1" t="s">
        <v>23</v>
      </c>
      <c r="F17" s="2">
        <v>1500</v>
      </c>
      <c r="G17" s="1">
        <v>250</v>
      </c>
      <c r="H17" s="1">
        <v>150</v>
      </c>
      <c r="I17" s="1">
        <v>75</v>
      </c>
      <c r="J17" s="1">
        <v>150</v>
      </c>
      <c r="K17" s="1">
        <v>0</v>
      </c>
      <c r="L17" s="6">
        <v>49</v>
      </c>
      <c r="M17" s="5">
        <f t="shared" si="0"/>
        <v>2174</v>
      </c>
      <c r="N17" s="97">
        <f>M17/Datos!$O$3</f>
        <v>12.077777777777778</v>
      </c>
      <c r="O17" s="20">
        <f>N17*Datos!$O$3</f>
        <v>2174</v>
      </c>
      <c r="P17" s="99">
        <f>N17*(1+VLOOKUP(E17,'Tier Datos'!$A$2:$B$5,2,FALSE))</f>
        <v>18.116666666666667</v>
      </c>
      <c r="Q17" s="111">
        <f>IFERROR(VLOOKUP(E17,'Tier Datos'!$A$2:$B$5,2,FALSE),"")</f>
        <v>0.5</v>
      </c>
      <c r="R17" s="101">
        <f>P17*VLOOKUP("CLP",'Tipos de Cambio'!$B:$C,2,FALSE)</f>
        <v>18116.666666666668</v>
      </c>
      <c r="S17" s="102">
        <f>P17*VLOOKUP("CLF",'Tipos de Cambio'!$B:$C,2,FALSE)</f>
        <v>0.43480000000000002</v>
      </c>
      <c r="T17" s="103">
        <f>P17*VLOOKUP("COP",'Tipos de Cambio'!$B:$C,2,FALSE)</f>
        <v>76090</v>
      </c>
      <c r="U17" s="105">
        <f>P17*VLOOKUP("MXN",'Tipos de Cambio'!$B:$C,2,FALSE)</f>
        <v>335.15833333333336</v>
      </c>
      <c r="V17" s="105">
        <f>P17*VLOOKUP("PEN",'Tipos de Cambio'!$B:$C,2,FALSE)</f>
        <v>68.843333333333334</v>
      </c>
      <c r="W17" s="106">
        <f>P17*Datos!$O$3</f>
        <v>3261</v>
      </c>
      <c r="X17" s="107">
        <f>W17*VLOOKUP("CLP",'Tipos de Cambio'!$B:$C,2,FALSE)</f>
        <v>3261000</v>
      </c>
      <c r="Y17" s="108">
        <f>W17*VLOOKUP("CLF",'Tipos de Cambio'!$B:$C,2,FALSE)</f>
        <v>78.263999999999996</v>
      </c>
      <c r="Z17" s="109">
        <f>W17*VLOOKUP("COP",'Tipos de Cambio'!$B:$C,2,FALSE)</f>
        <v>13696200</v>
      </c>
      <c r="AA17" s="110">
        <f>W17*VLOOKUP("MXN",'Tipos de Cambio'!$B:$C,2,FALSE)</f>
        <v>60328.5</v>
      </c>
      <c r="AB17" s="110">
        <f>W17*VLOOKUP("PEN",'Tipos de Cambio'!$B:$C,2,FALSE)</f>
        <v>12391.8</v>
      </c>
    </row>
    <row r="18" spans="1:28" x14ac:dyDescent="0.3">
      <c r="A18" s="25" t="s">
        <v>258</v>
      </c>
      <c r="B18" s="25" t="s">
        <v>29</v>
      </c>
      <c r="C18" s="9" t="s">
        <v>65</v>
      </c>
      <c r="D18" s="1" t="s">
        <v>1</v>
      </c>
      <c r="E18" s="1" t="s">
        <v>13</v>
      </c>
      <c r="F18" s="2">
        <v>1300</v>
      </c>
      <c r="G18" s="1">
        <v>200</v>
      </c>
      <c r="H18" s="1">
        <v>100</v>
      </c>
      <c r="I18" s="1">
        <v>50</v>
      </c>
      <c r="J18" s="1">
        <v>150</v>
      </c>
      <c r="K18" s="1">
        <v>100</v>
      </c>
      <c r="L18" s="6">
        <v>49</v>
      </c>
      <c r="M18" s="5">
        <f t="shared" si="0"/>
        <v>1949</v>
      </c>
      <c r="N18" s="97">
        <f>M18/Datos!$O$3</f>
        <v>10.827777777777778</v>
      </c>
      <c r="O18" s="20">
        <f>N18*Datos!$O$3</f>
        <v>1949</v>
      </c>
      <c r="P18" s="99">
        <f>N18*(1+VLOOKUP(E18,'Tier Datos'!$A$2:$B$5,2,FALSE))</f>
        <v>14.076111111111111</v>
      </c>
      <c r="Q18" s="111">
        <f>IFERROR(VLOOKUP(E18,'Tier Datos'!$A$2:$B$5,2,FALSE),"")</f>
        <v>0.3</v>
      </c>
      <c r="R18" s="101">
        <f>P18*VLOOKUP("CLP",'Tipos de Cambio'!$B:$C,2,FALSE)</f>
        <v>14076.111111111111</v>
      </c>
      <c r="S18" s="102">
        <f>P18*VLOOKUP("CLF",'Tipos de Cambio'!$B:$C,2,FALSE)</f>
        <v>0.33782666666666666</v>
      </c>
      <c r="T18" s="103">
        <f>P18*VLOOKUP("COP",'Tipos de Cambio'!$B:$C,2,FALSE)</f>
        <v>59119.666666666664</v>
      </c>
      <c r="U18" s="105">
        <f>P18*VLOOKUP("MXN",'Tipos de Cambio'!$B:$C,2,FALSE)</f>
        <v>260.40805555555556</v>
      </c>
      <c r="V18" s="105">
        <f>P18*VLOOKUP("PEN",'Tipos de Cambio'!$B:$C,2,FALSE)</f>
        <v>53.489222222222217</v>
      </c>
      <c r="W18" s="106">
        <f>P18*Datos!$O$3</f>
        <v>2533.6999999999998</v>
      </c>
      <c r="X18" s="107">
        <f>W18*VLOOKUP("CLP",'Tipos de Cambio'!$B:$C,2,FALSE)</f>
        <v>2533700</v>
      </c>
      <c r="Y18" s="108">
        <f>W18*VLOOKUP("CLF",'Tipos de Cambio'!$B:$C,2,FALSE)</f>
        <v>60.808799999999998</v>
      </c>
      <c r="Z18" s="109">
        <f>W18*VLOOKUP("COP",'Tipos de Cambio'!$B:$C,2,FALSE)</f>
        <v>10641540</v>
      </c>
      <c r="AA18" s="110">
        <f>W18*VLOOKUP("MXN",'Tipos de Cambio'!$B:$C,2,FALSE)</f>
        <v>46873.45</v>
      </c>
      <c r="AB18" s="110">
        <f>W18*VLOOKUP("PEN",'Tipos de Cambio'!$B:$C,2,FALSE)</f>
        <v>9628.06</v>
      </c>
    </row>
    <row r="19" spans="1:28" ht="40.799999999999997" x14ac:dyDescent="0.3">
      <c r="A19" s="25" t="s">
        <v>259</v>
      </c>
      <c r="B19" s="25" t="s">
        <v>0</v>
      </c>
      <c r="C19" s="9" t="s">
        <v>260</v>
      </c>
      <c r="D19" s="1" t="s">
        <v>1</v>
      </c>
      <c r="E19" s="1" t="s">
        <v>2</v>
      </c>
      <c r="F19" s="2">
        <v>1200</v>
      </c>
      <c r="G19" s="1">
        <v>200</v>
      </c>
      <c r="H19" s="1">
        <v>100</v>
      </c>
      <c r="I19" s="1">
        <v>50</v>
      </c>
      <c r="J19" s="1">
        <v>150</v>
      </c>
      <c r="K19" s="1">
        <v>100</v>
      </c>
      <c r="L19" s="6">
        <v>49</v>
      </c>
      <c r="M19" s="5">
        <f t="shared" si="0"/>
        <v>1849</v>
      </c>
      <c r="N19" s="97">
        <f>M19/Datos!$O$3</f>
        <v>10.272222222222222</v>
      </c>
      <c r="O19" s="20">
        <f>N19*Datos!$O$3</f>
        <v>1849</v>
      </c>
      <c r="P19" s="99">
        <f>N19*(1+VLOOKUP(E19,'Tier Datos'!$A$2:$B$5,2,FALSE))</f>
        <v>12.840277777777779</v>
      </c>
      <c r="Q19" s="111">
        <f>IFERROR(VLOOKUP(E19,'Tier Datos'!$A$2:$B$5,2,FALSE),"")</f>
        <v>0.25</v>
      </c>
      <c r="R19" s="101">
        <f>P19*VLOOKUP("CLP",'Tipos de Cambio'!$B:$C,2,FALSE)</f>
        <v>12840.277777777779</v>
      </c>
      <c r="S19" s="102">
        <f>P19*VLOOKUP("CLF",'Tipos de Cambio'!$B:$C,2,FALSE)</f>
        <v>0.3081666666666667</v>
      </c>
      <c r="T19" s="103">
        <f>P19*VLOOKUP("COP",'Tipos de Cambio'!$B:$C,2,FALSE)</f>
        <v>53929.166666666672</v>
      </c>
      <c r="U19" s="105">
        <f>P19*VLOOKUP("MXN",'Tipos de Cambio'!$B:$C,2,FALSE)</f>
        <v>237.54513888888891</v>
      </c>
      <c r="V19" s="105">
        <f>P19*VLOOKUP("PEN",'Tipos de Cambio'!$B:$C,2,FALSE)</f>
        <v>48.793055555555554</v>
      </c>
      <c r="W19" s="106">
        <f>P19*Datos!$O$3</f>
        <v>2311.25</v>
      </c>
      <c r="X19" s="107">
        <f>W19*VLOOKUP("CLP",'Tipos de Cambio'!$B:$C,2,FALSE)</f>
        <v>2311250</v>
      </c>
      <c r="Y19" s="108">
        <f>W19*VLOOKUP("CLF",'Tipos de Cambio'!$B:$C,2,FALSE)</f>
        <v>55.47</v>
      </c>
      <c r="Z19" s="109">
        <f>W19*VLOOKUP("COP",'Tipos de Cambio'!$B:$C,2,FALSE)</f>
        <v>9707250</v>
      </c>
      <c r="AA19" s="110">
        <f>W19*VLOOKUP("MXN",'Tipos de Cambio'!$B:$C,2,FALSE)</f>
        <v>42758.125</v>
      </c>
      <c r="AB19" s="110">
        <f>W19*VLOOKUP("PEN",'Tipos de Cambio'!$B:$C,2,FALSE)</f>
        <v>8782.75</v>
      </c>
    </row>
    <row r="20" spans="1:28" x14ac:dyDescent="0.3">
      <c r="A20" s="25" t="s">
        <v>261</v>
      </c>
      <c r="B20" s="25" t="s">
        <v>22</v>
      </c>
      <c r="C20" s="9" t="s">
        <v>78</v>
      </c>
      <c r="D20" s="1" t="s">
        <v>12</v>
      </c>
      <c r="E20" s="1" t="s">
        <v>13</v>
      </c>
      <c r="F20" s="2">
        <v>1400</v>
      </c>
      <c r="G20" s="1">
        <v>250</v>
      </c>
      <c r="H20" s="1">
        <v>150</v>
      </c>
      <c r="I20" s="1">
        <v>50</v>
      </c>
      <c r="J20" s="1">
        <v>150</v>
      </c>
      <c r="K20" s="1">
        <v>0</v>
      </c>
      <c r="L20" s="6">
        <v>49</v>
      </c>
      <c r="M20" s="5">
        <f t="shared" si="0"/>
        <v>2049</v>
      </c>
      <c r="N20" s="97">
        <f>M20/Datos!$O$3</f>
        <v>11.383333333333333</v>
      </c>
      <c r="O20" s="20">
        <f>N20*Datos!$O$3</f>
        <v>2049</v>
      </c>
      <c r="P20" s="99">
        <f>N20*(1+VLOOKUP(E20,'Tier Datos'!$A$2:$B$5,2,FALSE))</f>
        <v>14.798333333333334</v>
      </c>
      <c r="Q20" s="111">
        <f>IFERROR(VLOOKUP(E20,'Tier Datos'!$A$2:$B$5,2,FALSE),"")</f>
        <v>0.3</v>
      </c>
      <c r="R20" s="101">
        <f>P20*VLOOKUP("CLP",'Tipos de Cambio'!$B:$C,2,FALSE)</f>
        <v>14798.333333333334</v>
      </c>
      <c r="S20" s="102">
        <f>P20*VLOOKUP("CLF",'Tipos de Cambio'!$B:$C,2,FALSE)</f>
        <v>0.35516000000000003</v>
      </c>
      <c r="T20" s="103">
        <f>P20*VLOOKUP("COP",'Tipos de Cambio'!$B:$C,2,FALSE)</f>
        <v>62153</v>
      </c>
      <c r="U20" s="105">
        <f>P20*VLOOKUP("MXN",'Tipos de Cambio'!$B:$C,2,FALSE)</f>
        <v>273.76916666666665</v>
      </c>
      <c r="V20" s="105">
        <f>P20*VLOOKUP("PEN",'Tipos de Cambio'!$B:$C,2,FALSE)</f>
        <v>56.233666666666664</v>
      </c>
      <c r="W20" s="106">
        <f>P20*Datos!$O$3</f>
        <v>2663.7000000000003</v>
      </c>
      <c r="X20" s="107">
        <f>W20*VLOOKUP("CLP",'Tipos de Cambio'!$B:$C,2,FALSE)</f>
        <v>2663700.0000000005</v>
      </c>
      <c r="Y20" s="108">
        <f>W20*VLOOKUP("CLF",'Tipos de Cambio'!$B:$C,2,FALSE)</f>
        <v>63.92880000000001</v>
      </c>
      <c r="Z20" s="109">
        <f>W20*VLOOKUP("COP",'Tipos de Cambio'!$B:$C,2,FALSE)</f>
        <v>11187540.000000002</v>
      </c>
      <c r="AA20" s="110">
        <f>W20*VLOOKUP("MXN",'Tipos de Cambio'!$B:$C,2,FALSE)</f>
        <v>49278.450000000004</v>
      </c>
      <c r="AB20" s="110">
        <f>W20*VLOOKUP("PEN",'Tipos de Cambio'!$B:$C,2,FALSE)</f>
        <v>10122.060000000001</v>
      </c>
    </row>
    <row r="21" spans="1:28" x14ac:dyDescent="0.3">
      <c r="A21" s="25" t="s">
        <v>262</v>
      </c>
      <c r="B21" s="25" t="s">
        <v>22</v>
      </c>
      <c r="C21" s="9" t="s">
        <v>70</v>
      </c>
      <c r="D21" s="1" t="s">
        <v>12</v>
      </c>
      <c r="E21" s="1" t="s">
        <v>30</v>
      </c>
      <c r="F21" s="2">
        <v>1300</v>
      </c>
      <c r="G21" s="1">
        <v>200</v>
      </c>
      <c r="H21" s="1">
        <v>100</v>
      </c>
      <c r="I21" s="1">
        <v>50</v>
      </c>
      <c r="J21" s="1">
        <v>150</v>
      </c>
      <c r="K21" s="1">
        <v>0</v>
      </c>
      <c r="L21" s="6">
        <v>49</v>
      </c>
      <c r="M21" s="5">
        <f t="shared" si="0"/>
        <v>1849</v>
      </c>
      <c r="N21" s="97">
        <f>M21/Datos!$O$3</f>
        <v>10.272222222222222</v>
      </c>
      <c r="O21" s="20">
        <f>N21*Datos!$O$3</f>
        <v>1849</v>
      </c>
      <c r="P21" s="99">
        <f>N21*(1+VLOOKUP(E21,'Tier Datos'!$A$2:$B$5,2,FALSE))</f>
        <v>16.435555555555556</v>
      </c>
      <c r="Q21" s="111">
        <f>IFERROR(VLOOKUP(E21,'Tier Datos'!$A$2:$B$5,2,FALSE),"")</f>
        <v>0.6</v>
      </c>
      <c r="R21" s="101">
        <f>P21*VLOOKUP("CLP",'Tipos de Cambio'!$B:$C,2,FALSE)</f>
        <v>16435.555555555555</v>
      </c>
      <c r="S21" s="102">
        <f>P21*VLOOKUP("CLF",'Tipos de Cambio'!$B:$C,2,FALSE)</f>
        <v>0.39445333333333338</v>
      </c>
      <c r="T21" s="103">
        <f>P21*VLOOKUP("COP",'Tipos de Cambio'!$B:$C,2,FALSE)</f>
        <v>69029.333333333343</v>
      </c>
      <c r="U21" s="105">
        <f>P21*VLOOKUP("MXN",'Tipos de Cambio'!$B:$C,2,FALSE)</f>
        <v>304.0577777777778</v>
      </c>
      <c r="V21" s="105">
        <f>P21*VLOOKUP("PEN",'Tipos de Cambio'!$B:$C,2,FALSE)</f>
        <v>62.455111111111108</v>
      </c>
      <c r="W21" s="106">
        <f>P21*Datos!$O$3</f>
        <v>2958.4</v>
      </c>
      <c r="X21" s="107">
        <f>W21*VLOOKUP("CLP",'Tipos de Cambio'!$B:$C,2,FALSE)</f>
        <v>2958400</v>
      </c>
      <c r="Y21" s="108">
        <f>W21*VLOOKUP("CLF",'Tipos de Cambio'!$B:$C,2,FALSE)</f>
        <v>71.00160000000001</v>
      </c>
      <c r="Z21" s="109">
        <f>W21*VLOOKUP("COP",'Tipos de Cambio'!$B:$C,2,FALSE)</f>
        <v>12425280</v>
      </c>
      <c r="AA21" s="110">
        <f>W21*VLOOKUP("MXN",'Tipos de Cambio'!$B:$C,2,FALSE)</f>
        <v>54730.400000000001</v>
      </c>
      <c r="AB21" s="110">
        <f>W21*VLOOKUP("PEN",'Tipos de Cambio'!$B:$C,2,FALSE)</f>
        <v>11241.92</v>
      </c>
    </row>
    <row r="22" spans="1:28" ht="40.799999999999997" x14ac:dyDescent="0.3">
      <c r="A22" s="25" t="s">
        <v>263</v>
      </c>
      <c r="B22" s="25" t="s">
        <v>29</v>
      </c>
      <c r="C22" s="9" t="s">
        <v>81</v>
      </c>
      <c r="D22" s="1" t="s">
        <v>12</v>
      </c>
      <c r="E22" s="1" t="s">
        <v>30</v>
      </c>
      <c r="F22" s="2">
        <v>1400</v>
      </c>
      <c r="G22" s="1">
        <v>250</v>
      </c>
      <c r="H22" s="1">
        <v>150</v>
      </c>
      <c r="I22" s="1">
        <v>50</v>
      </c>
      <c r="J22" s="1">
        <v>150</v>
      </c>
      <c r="K22" s="1">
        <v>0</v>
      </c>
      <c r="L22" s="6">
        <v>49</v>
      </c>
      <c r="M22" s="5">
        <f t="shared" si="0"/>
        <v>2049</v>
      </c>
      <c r="N22" s="97">
        <f>M22/Datos!$O$3</f>
        <v>11.383333333333333</v>
      </c>
      <c r="O22" s="20">
        <f>N22*Datos!$O$3</f>
        <v>2049</v>
      </c>
      <c r="P22" s="99">
        <f>N22*(1+VLOOKUP(E22,'Tier Datos'!$A$2:$B$5,2,FALSE))</f>
        <v>18.213333333333335</v>
      </c>
      <c r="Q22" s="111">
        <f>IFERROR(VLOOKUP(E22,'Tier Datos'!$A$2:$B$5,2,FALSE),"")</f>
        <v>0.6</v>
      </c>
      <c r="R22" s="101">
        <f>P22*VLOOKUP("CLP",'Tipos de Cambio'!$B:$C,2,FALSE)</f>
        <v>18213.333333333336</v>
      </c>
      <c r="S22" s="102">
        <f>P22*VLOOKUP("CLF",'Tipos de Cambio'!$B:$C,2,FALSE)</f>
        <v>0.43712000000000006</v>
      </c>
      <c r="T22" s="103">
        <f>P22*VLOOKUP("COP",'Tipos de Cambio'!$B:$C,2,FALSE)</f>
        <v>76496</v>
      </c>
      <c r="U22" s="105">
        <f>P22*VLOOKUP("MXN",'Tipos de Cambio'!$B:$C,2,FALSE)</f>
        <v>336.94666666666672</v>
      </c>
      <c r="V22" s="105">
        <f>P22*VLOOKUP("PEN",'Tipos de Cambio'!$B:$C,2,FALSE)</f>
        <v>69.210666666666668</v>
      </c>
      <c r="W22" s="106">
        <f>P22*Datos!$O$3</f>
        <v>3278.4</v>
      </c>
      <c r="X22" s="107">
        <f>W22*VLOOKUP("CLP",'Tipos de Cambio'!$B:$C,2,FALSE)</f>
        <v>3278400</v>
      </c>
      <c r="Y22" s="108">
        <f>W22*VLOOKUP("CLF",'Tipos de Cambio'!$B:$C,2,FALSE)</f>
        <v>78.681600000000003</v>
      </c>
      <c r="Z22" s="109">
        <f>W22*VLOOKUP("COP",'Tipos de Cambio'!$B:$C,2,FALSE)</f>
        <v>13769280</v>
      </c>
      <c r="AA22" s="110">
        <f>W22*VLOOKUP("MXN",'Tipos de Cambio'!$B:$C,2,FALSE)</f>
        <v>60650.400000000001</v>
      </c>
      <c r="AB22" s="110">
        <f>W22*VLOOKUP("PEN",'Tipos de Cambio'!$B:$C,2,FALSE)</f>
        <v>12457.92</v>
      </c>
    </row>
    <row r="23" spans="1:28" x14ac:dyDescent="0.3">
      <c r="A23" s="25" t="s">
        <v>264</v>
      </c>
      <c r="B23" s="25" t="s">
        <v>22</v>
      </c>
      <c r="C23" s="9" t="s">
        <v>80</v>
      </c>
      <c r="D23" s="1" t="s">
        <v>12</v>
      </c>
      <c r="E23" s="1" t="s">
        <v>13</v>
      </c>
      <c r="F23" s="2">
        <v>1500</v>
      </c>
      <c r="G23" s="1">
        <v>250</v>
      </c>
      <c r="H23" s="1">
        <v>150</v>
      </c>
      <c r="I23" s="1">
        <v>75</v>
      </c>
      <c r="J23" s="1">
        <v>150</v>
      </c>
      <c r="K23" s="1">
        <v>0</v>
      </c>
      <c r="L23" s="6">
        <v>49</v>
      </c>
      <c r="M23" s="5">
        <f t="shared" si="0"/>
        <v>2174</v>
      </c>
      <c r="N23" s="97">
        <f>M23/Datos!$O$3</f>
        <v>12.077777777777778</v>
      </c>
      <c r="O23" s="20">
        <f>N23*Datos!$O$3</f>
        <v>2174</v>
      </c>
      <c r="P23" s="99">
        <f>N23*(1+VLOOKUP(E23,'Tier Datos'!$A$2:$B$5,2,FALSE))</f>
        <v>15.701111111111111</v>
      </c>
      <c r="Q23" s="111">
        <f>IFERROR(VLOOKUP(E23,'Tier Datos'!$A$2:$B$5,2,FALSE),"")</f>
        <v>0.3</v>
      </c>
      <c r="R23" s="101">
        <f>P23*VLOOKUP("CLP",'Tipos de Cambio'!$B:$C,2,FALSE)</f>
        <v>15701.111111111111</v>
      </c>
      <c r="S23" s="102">
        <f>P23*VLOOKUP("CLF",'Tipos de Cambio'!$B:$C,2,FALSE)</f>
        <v>0.37682666666666664</v>
      </c>
      <c r="T23" s="103">
        <f>P23*VLOOKUP("COP",'Tipos de Cambio'!$B:$C,2,FALSE)</f>
        <v>65944.666666666672</v>
      </c>
      <c r="U23" s="105">
        <f>P23*VLOOKUP("MXN",'Tipos de Cambio'!$B:$C,2,FALSE)</f>
        <v>290.47055555555556</v>
      </c>
      <c r="V23" s="105">
        <f>P23*VLOOKUP("PEN",'Tipos de Cambio'!$B:$C,2,FALSE)</f>
        <v>59.664222222222214</v>
      </c>
      <c r="W23" s="106">
        <f>P23*Datos!$O$3</f>
        <v>2826.2</v>
      </c>
      <c r="X23" s="107">
        <f>W23*VLOOKUP("CLP",'Tipos de Cambio'!$B:$C,2,FALSE)</f>
        <v>2826200</v>
      </c>
      <c r="Y23" s="108">
        <f>W23*VLOOKUP("CLF",'Tipos de Cambio'!$B:$C,2,FALSE)</f>
        <v>67.828800000000001</v>
      </c>
      <c r="Z23" s="109">
        <f>W23*VLOOKUP("COP",'Tipos de Cambio'!$B:$C,2,FALSE)</f>
        <v>11870040</v>
      </c>
      <c r="AA23" s="110">
        <f>W23*VLOOKUP("MXN",'Tipos de Cambio'!$B:$C,2,FALSE)</f>
        <v>52284.7</v>
      </c>
      <c r="AB23" s="110">
        <f>W23*VLOOKUP("PEN",'Tipos de Cambio'!$B:$C,2,FALSE)</f>
        <v>10739.56</v>
      </c>
    </row>
    <row r="24" spans="1:28" ht="40.799999999999997" x14ac:dyDescent="0.3">
      <c r="A24" s="25" t="s">
        <v>265</v>
      </c>
      <c r="B24" s="25" t="s">
        <v>22</v>
      </c>
      <c r="C24" s="9" t="s">
        <v>71</v>
      </c>
      <c r="D24" s="1" t="s">
        <v>12</v>
      </c>
      <c r="E24" s="1" t="s">
        <v>2</v>
      </c>
      <c r="F24" s="2">
        <v>1200</v>
      </c>
      <c r="G24" s="1">
        <v>200</v>
      </c>
      <c r="H24" s="1">
        <v>100</v>
      </c>
      <c r="I24" s="1">
        <v>50</v>
      </c>
      <c r="J24" s="1">
        <v>150</v>
      </c>
      <c r="K24" s="1">
        <v>0</v>
      </c>
      <c r="L24" s="6">
        <v>49</v>
      </c>
      <c r="M24" s="5">
        <f t="shared" si="0"/>
        <v>1749</v>
      </c>
      <c r="N24" s="97">
        <f>M24/Datos!$O$3</f>
        <v>9.7166666666666668</v>
      </c>
      <c r="O24" s="20">
        <f>N24*Datos!$O$3</f>
        <v>1749</v>
      </c>
      <c r="P24" s="99">
        <f>N24*(1+VLOOKUP(E24,'Tier Datos'!$A$2:$B$5,2,FALSE))</f>
        <v>12.145833333333334</v>
      </c>
      <c r="Q24" s="111">
        <f>IFERROR(VLOOKUP(E24,'Tier Datos'!$A$2:$B$5,2,FALSE),"")</f>
        <v>0.25</v>
      </c>
      <c r="R24" s="101">
        <f>P24*VLOOKUP("CLP",'Tipos de Cambio'!$B:$C,2,FALSE)</f>
        <v>12145.833333333334</v>
      </c>
      <c r="S24" s="102">
        <f>P24*VLOOKUP("CLF",'Tipos de Cambio'!$B:$C,2,FALSE)</f>
        <v>0.29150000000000004</v>
      </c>
      <c r="T24" s="103">
        <f>P24*VLOOKUP("COP",'Tipos de Cambio'!$B:$C,2,FALSE)</f>
        <v>51012.5</v>
      </c>
      <c r="U24" s="105">
        <f>P24*VLOOKUP("MXN",'Tipos de Cambio'!$B:$C,2,FALSE)</f>
        <v>224.69791666666669</v>
      </c>
      <c r="V24" s="105">
        <f>P24*VLOOKUP("PEN",'Tipos de Cambio'!$B:$C,2,FALSE)</f>
        <v>46.154166666666669</v>
      </c>
      <c r="W24" s="106">
        <f>P24*Datos!$O$3</f>
        <v>2186.25</v>
      </c>
      <c r="X24" s="107">
        <f>W24*VLOOKUP("CLP",'Tipos de Cambio'!$B:$C,2,FALSE)</f>
        <v>2186250</v>
      </c>
      <c r="Y24" s="108">
        <f>W24*VLOOKUP("CLF",'Tipos de Cambio'!$B:$C,2,FALSE)</f>
        <v>52.47</v>
      </c>
      <c r="Z24" s="109">
        <f>W24*VLOOKUP("COP",'Tipos de Cambio'!$B:$C,2,FALSE)</f>
        <v>9182250</v>
      </c>
      <c r="AA24" s="110">
        <f>W24*VLOOKUP("MXN",'Tipos de Cambio'!$B:$C,2,FALSE)</f>
        <v>40445.625</v>
      </c>
      <c r="AB24" s="110">
        <f>W24*VLOOKUP("PEN",'Tipos de Cambio'!$B:$C,2,FALSE)</f>
        <v>8307.75</v>
      </c>
    </row>
    <row r="25" spans="1:28" ht="40.799999999999997" x14ac:dyDescent="0.3">
      <c r="A25" s="25" t="s">
        <v>266</v>
      </c>
      <c r="B25" s="25" t="s">
        <v>11</v>
      </c>
      <c r="C25" s="9" t="s">
        <v>267</v>
      </c>
      <c r="D25" s="1" t="s">
        <v>12</v>
      </c>
      <c r="E25" s="1" t="s">
        <v>2</v>
      </c>
      <c r="F25" s="2">
        <v>1300</v>
      </c>
      <c r="G25" s="1">
        <v>200</v>
      </c>
      <c r="H25" s="1">
        <v>100</v>
      </c>
      <c r="I25" s="1">
        <v>50</v>
      </c>
      <c r="J25" s="1">
        <v>150</v>
      </c>
      <c r="K25" s="1">
        <v>0</v>
      </c>
      <c r="L25" s="6">
        <v>49</v>
      </c>
      <c r="M25" s="5">
        <f t="shared" si="0"/>
        <v>1849</v>
      </c>
      <c r="N25" s="97">
        <f>M25/Datos!$O$3</f>
        <v>10.272222222222222</v>
      </c>
      <c r="O25" s="20">
        <f>N25*Datos!$O$3</f>
        <v>1849</v>
      </c>
      <c r="P25" s="99">
        <f>N25*(1+VLOOKUP(E25,'Tier Datos'!$A$2:$B$5,2,FALSE))</f>
        <v>12.840277777777779</v>
      </c>
      <c r="Q25" s="111">
        <f>IFERROR(VLOOKUP(E25,'Tier Datos'!$A$2:$B$5,2,FALSE),"")</f>
        <v>0.25</v>
      </c>
      <c r="R25" s="101">
        <f>P25*VLOOKUP("CLP",'Tipos de Cambio'!$B:$C,2,FALSE)</f>
        <v>12840.277777777779</v>
      </c>
      <c r="S25" s="102">
        <f>P25*VLOOKUP("CLF",'Tipos de Cambio'!$B:$C,2,FALSE)</f>
        <v>0.3081666666666667</v>
      </c>
      <c r="T25" s="103">
        <f>P25*VLOOKUP("COP",'Tipos de Cambio'!$B:$C,2,FALSE)</f>
        <v>53929.166666666672</v>
      </c>
      <c r="U25" s="105">
        <f>P25*VLOOKUP("MXN",'Tipos de Cambio'!$B:$C,2,FALSE)</f>
        <v>237.54513888888891</v>
      </c>
      <c r="V25" s="105">
        <f>P25*VLOOKUP("PEN",'Tipos de Cambio'!$B:$C,2,FALSE)</f>
        <v>48.793055555555554</v>
      </c>
      <c r="W25" s="106">
        <f>P25*Datos!$O$3</f>
        <v>2311.25</v>
      </c>
      <c r="X25" s="107">
        <f>W25*VLOOKUP("CLP",'Tipos de Cambio'!$B:$C,2,FALSE)</f>
        <v>2311250</v>
      </c>
      <c r="Y25" s="108">
        <f>W25*VLOOKUP("CLF",'Tipos de Cambio'!$B:$C,2,FALSE)</f>
        <v>55.47</v>
      </c>
      <c r="Z25" s="109">
        <f>W25*VLOOKUP("COP",'Tipos de Cambio'!$B:$C,2,FALSE)</f>
        <v>9707250</v>
      </c>
      <c r="AA25" s="110">
        <f>W25*VLOOKUP("MXN",'Tipos de Cambio'!$B:$C,2,FALSE)</f>
        <v>42758.125</v>
      </c>
      <c r="AB25" s="110">
        <f>W25*VLOOKUP("PEN",'Tipos de Cambio'!$B:$C,2,FALSE)</f>
        <v>8782.75</v>
      </c>
    </row>
    <row r="26" spans="1:28" x14ac:dyDescent="0.3">
      <c r="A26" s="25" t="s">
        <v>268</v>
      </c>
      <c r="B26" s="25" t="s">
        <v>11</v>
      </c>
      <c r="C26" s="9" t="s">
        <v>84</v>
      </c>
      <c r="D26" s="1" t="s">
        <v>12</v>
      </c>
      <c r="E26" s="1" t="s">
        <v>30</v>
      </c>
      <c r="F26" s="2">
        <v>7200</v>
      </c>
      <c r="G26" s="1">
        <v>250</v>
      </c>
      <c r="H26" s="1">
        <v>150</v>
      </c>
      <c r="I26" s="1">
        <v>50</v>
      </c>
      <c r="J26" s="1">
        <v>150</v>
      </c>
      <c r="K26" s="1">
        <v>0</v>
      </c>
      <c r="L26" s="6">
        <v>49</v>
      </c>
      <c r="M26" s="5">
        <f t="shared" si="0"/>
        <v>7849</v>
      </c>
      <c r="N26" s="97">
        <f>M26/Datos!$O$3</f>
        <v>43.605555555555554</v>
      </c>
      <c r="O26" s="20">
        <f>N26*Datos!$O$3</f>
        <v>7849</v>
      </c>
      <c r="P26" s="99">
        <f>N26*(1+VLOOKUP(E26,'Tier Datos'!$A$2:$B$5,2,FALSE))</f>
        <v>69.768888888888895</v>
      </c>
      <c r="Q26" s="111">
        <f>IFERROR(VLOOKUP(E26,'Tier Datos'!$A$2:$B$5,2,FALSE),"")</f>
        <v>0.6</v>
      </c>
      <c r="R26" s="101">
        <f>P26*VLOOKUP("CLP",'Tipos de Cambio'!$B:$C,2,FALSE)</f>
        <v>69768.888888888891</v>
      </c>
      <c r="S26" s="102">
        <f>P26*VLOOKUP("CLF",'Tipos de Cambio'!$B:$C,2,FALSE)</f>
        <v>1.6744533333333336</v>
      </c>
      <c r="T26" s="103">
        <f>P26*VLOOKUP("COP",'Tipos de Cambio'!$B:$C,2,FALSE)</f>
        <v>293029.33333333337</v>
      </c>
      <c r="U26" s="105">
        <f>P26*VLOOKUP("MXN",'Tipos de Cambio'!$B:$C,2,FALSE)</f>
        <v>1290.7244444444445</v>
      </c>
      <c r="V26" s="105">
        <f>P26*VLOOKUP("PEN",'Tipos de Cambio'!$B:$C,2,FALSE)</f>
        <v>265.12177777777777</v>
      </c>
      <c r="W26" s="106">
        <f>P26*Datos!$O$3</f>
        <v>12558.400000000001</v>
      </c>
      <c r="X26" s="107">
        <f>W26*VLOOKUP("CLP",'Tipos de Cambio'!$B:$C,2,FALSE)</f>
        <v>12558400.000000002</v>
      </c>
      <c r="Y26" s="108">
        <f>W26*VLOOKUP("CLF",'Tipos de Cambio'!$B:$C,2,FALSE)</f>
        <v>301.40160000000003</v>
      </c>
      <c r="Z26" s="109">
        <f>W26*VLOOKUP("COP",'Tipos de Cambio'!$B:$C,2,FALSE)</f>
        <v>52745280.000000007</v>
      </c>
      <c r="AA26" s="110">
        <f>W26*VLOOKUP("MXN",'Tipos de Cambio'!$B:$C,2,FALSE)</f>
        <v>232330.40000000002</v>
      </c>
      <c r="AB26" s="110">
        <f>W26*VLOOKUP("PEN",'Tipos de Cambio'!$B:$C,2,FALSE)</f>
        <v>47721.920000000006</v>
      </c>
    </row>
    <row r="27" spans="1:28" x14ac:dyDescent="0.3">
      <c r="A27" s="25" t="s">
        <v>269</v>
      </c>
      <c r="B27" s="25" t="s">
        <v>29</v>
      </c>
      <c r="C27" s="9" t="s">
        <v>85</v>
      </c>
      <c r="D27" s="1" t="s">
        <v>12</v>
      </c>
      <c r="E27" s="1" t="s">
        <v>30</v>
      </c>
      <c r="F27" s="2">
        <v>3000</v>
      </c>
      <c r="G27" s="1">
        <v>250</v>
      </c>
      <c r="H27" s="1">
        <v>150</v>
      </c>
      <c r="I27" s="1">
        <v>75</v>
      </c>
      <c r="J27" s="1">
        <v>150</v>
      </c>
      <c r="K27" s="1">
        <v>0</v>
      </c>
      <c r="L27" s="6">
        <v>49</v>
      </c>
      <c r="M27" s="5">
        <f t="shared" si="0"/>
        <v>3674</v>
      </c>
      <c r="N27" s="97">
        <f>M27/Datos!$O$3</f>
        <v>20.411111111111111</v>
      </c>
      <c r="O27" s="20">
        <f>N27*Datos!$O$3</f>
        <v>3674</v>
      </c>
      <c r="P27" s="99">
        <f>N27*(1+VLOOKUP(E27,'Tier Datos'!$A$2:$B$5,2,FALSE))</f>
        <v>32.657777777777781</v>
      </c>
      <c r="Q27" s="111">
        <f>IFERROR(VLOOKUP(E27,'Tier Datos'!$A$2:$B$5,2,FALSE),"")</f>
        <v>0.6</v>
      </c>
      <c r="R27" s="101">
        <f>P27*VLOOKUP("CLP",'Tipos de Cambio'!$B:$C,2,FALSE)</f>
        <v>32657.777777777781</v>
      </c>
      <c r="S27" s="102">
        <f>P27*VLOOKUP("CLF",'Tipos de Cambio'!$B:$C,2,FALSE)</f>
        <v>0.78378666666666674</v>
      </c>
      <c r="T27" s="103">
        <f>P27*VLOOKUP("COP",'Tipos de Cambio'!$B:$C,2,FALSE)</f>
        <v>137162.66666666669</v>
      </c>
      <c r="U27" s="105">
        <f>P27*VLOOKUP("MXN",'Tipos de Cambio'!$B:$C,2,FALSE)</f>
        <v>604.168888888889</v>
      </c>
      <c r="V27" s="105">
        <f>P27*VLOOKUP("PEN",'Tipos de Cambio'!$B:$C,2,FALSE)</f>
        <v>124.09955555555557</v>
      </c>
      <c r="W27" s="106">
        <f>P27*Datos!$O$3</f>
        <v>5878.4000000000005</v>
      </c>
      <c r="X27" s="107">
        <f>W27*VLOOKUP("CLP",'Tipos de Cambio'!$B:$C,2,FALSE)</f>
        <v>5878400.0000000009</v>
      </c>
      <c r="Y27" s="108">
        <f>W27*VLOOKUP("CLF",'Tipos de Cambio'!$B:$C,2,FALSE)</f>
        <v>141.08160000000001</v>
      </c>
      <c r="Z27" s="109">
        <f>W27*VLOOKUP("COP",'Tipos de Cambio'!$B:$C,2,FALSE)</f>
        <v>24689280.000000004</v>
      </c>
      <c r="AA27" s="110">
        <f>W27*VLOOKUP("MXN",'Tipos de Cambio'!$B:$C,2,FALSE)</f>
        <v>108750.40000000001</v>
      </c>
      <c r="AB27" s="110">
        <f>W27*VLOOKUP("PEN",'Tipos de Cambio'!$B:$C,2,FALSE)</f>
        <v>22337.920000000002</v>
      </c>
    </row>
    <row r="28" spans="1:28" x14ac:dyDescent="0.3">
      <c r="A28" s="25" t="s">
        <v>270</v>
      </c>
      <c r="B28" s="25" t="s">
        <v>11</v>
      </c>
      <c r="C28" s="9" t="s">
        <v>88</v>
      </c>
      <c r="D28" s="1" t="s">
        <v>12</v>
      </c>
      <c r="E28" s="1" t="s">
        <v>30</v>
      </c>
      <c r="F28" s="2">
        <v>10400</v>
      </c>
      <c r="G28" s="1">
        <v>300</v>
      </c>
      <c r="H28" s="1">
        <v>200</v>
      </c>
      <c r="I28" s="1">
        <v>75</v>
      </c>
      <c r="J28" s="1">
        <v>200</v>
      </c>
      <c r="K28" s="1">
        <v>0</v>
      </c>
      <c r="L28" s="6">
        <v>49</v>
      </c>
      <c r="M28" s="5">
        <f t="shared" si="0"/>
        <v>11224</v>
      </c>
      <c r="N28" s="97">
        <f>M28/Datos!$O$3</f>
        <v>62.355555555555554</v>
      </c>
      <c r="O28" s="20">
        <f>N28*Datos!$O$3</f>
        <v>11224</v>
      </c>
      <c r="P28" s="99">
        <f>N28*(1+VLOOKUP(E28,'Tier Datos'!$A$2:$B$5,2,FALSE))</f>
        <v>99.768888888888895</v>
      </c>
      <c r="Q28" s="111">
        <f>IFERROR(VLOOKUP(E28,'Tier Datos'!$A$2:$B$5,2,FALSE),"")</f>
        <v>0.6</v>
      </c>
      <c r="R28" s="101">
        <f>P28*VLOOKUP("CLP",'Tipos de Cambio'!$B:$C,2,FALSE)</f>
        <v>99768.888888888891</v>
      </c>
      <c r="S28" s="102">
        <f>P28*VLOOKUP("CLF",'Tipos de Cambio'!$B:$C,2,FALSE)</f>
        <v>2.3944533333333333</v>
      </c>
      <c r="T28" s="103">
        <f>P28*VLOOKUP("COP",'Tipos de Cambio'!$B:$C,2,FALSE)</f>
        <v>419029.33333333337</v>
      </c>
      <c r="U28" s="105">
        <f>P28*VLOOKUP("MXN",'Tipos de Cambio'!$B:$C,2,FALSE)</f>
        <v>1845.7244444444445</v>
      </c>
      <c r="V28" s="105">
        <f>P28*VLOOKUP("PEN",'Tipos de Cambio'!$B:$C,2,FALSE)</f>
        <v>379.12177777777777</v>
      </c>
      <c r="W28" s="106">
        <f>P28*Datos!$O$3</f>
        <v>17958.400000000001</v>
      </c>
      <c r="X28" s="107">
        <f>W28*VLOOKUP("CLP",'Tipos de Cambio'!$B:$C,2,FALSE)</f>
        <v>17958400</v>
      </c>
      <c r="Y28" s="108">
        <f>W28*VLOOKUP("CLF",'Tipos de Cambio'!$B:$C,2,FALSE)</f>
        <v>431.00160000000005</v>
      </c>
      <c r="Z28" s="109">
        <f>W28*VLOOKUP("COP",'Tipos de Cambio'!$B:$C,2,FALSE)</f>
        <v>75425280</v>
      </c>
      <c r="AA28" s="110">
        <f>W28*VLOOKUP("MXN",'Tipos de Cambio'!$B:$C,2,FALSE)</f>
        <v>332230.40000000002</v>
      </c>
      <c r="AB28" s="110">
        <f>W28*VLOOKUP("PEN",'Tipos de Cambio'!$B:$C,2,FALSE)</f>
        <v>68241.919999999998</v>
      </c>
    </row>
    <row r="29" spans="1:28" ht="40.799999999999997" x14ac:dyDescent="0.3">
      <c r="A29" s="25" t="s">
        <v>271</v>
      </c>
      <c r="B29" s="25" t="s">
        <v>0</v>
      </c>
      <c r="C29" s="9" t="s">
        <v>58</v>
      </c>
      <c r="D29" s="1" t="s">
        <v>12</v>
      </c>
      <c r="E29" s="1" t="s">
        <v>2</v>
      </c>
      <c r="F29" s="2">
        <v>1100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6">
        <v>49</v>
      </c>
      <c r="M29" s="5">
        <f t="shared" si="0"/>
        <v>1149</v>
      </c>
      <c r="N29" s="97">
        <f>M29/Datos!$O$3</f>
        <v>6.3833333333333337</v>
      </c>
      <c r="O29" s="20">
        <f>N29*Datos!$O$3</f>
        <v>1149</v>
      </c>
      <c r="P29" s="99">
        <f>N29*(1+VLOOKUP(E29,'Tier Datos'!$A$2:$B$5,2,FALSE))</f>
        <v>7.979166666666667</v>
      </c>
      <c r="Q29" s="111">
        <f>IFERROR(VLOOKUP(E29,'Tier Datos'!$A$2:$B$5,2,FALSE),"")</f>
        <v>0.25</v>
      </c>
      <c r="R29" s="101">
        <f>P29*VLOOKUP("CLP",'Tipos de Cambio'!$B:$C,2,FALSE)</f>
        <v>7979.166666666667</v>
      </c>
      <c r="S29" s="102">
        <f>P29*VLOOKUP("CLF",'Tipos de Cambio'!$B:$C,2,FALSE)</f>
        <v>0.1915</v>
      </c>
      <c r="T29" s="103">
        <f>P29*VLOOKUP("COP",'Tipos de Cambio'!$B:$C,2,FALSE)</f>
        <v>33512.5</v>
      </c>
      <c r="U29" s="105">
        <f>P29*VLOOKUP("MXN",'Tipos de Cambio'!$B:$C,2,FALSE)</f>
        <v>147.61458333333334</v>
      </c>
      <c r="V29" s="105">
        <f>P29*VLOOKUP("PEN",'Tipos de Cambio'!$B:$C,2,FALSE)</f>
        <v>30.320833333333333</v>
      </c>
      <c r="W29" s="106">
        <f>P29*Datos!$O$3</f>
        <v>1436.25</v>
      </c>
      <c r="X29" s="107">
        <f>W29*VLOOKUP("CLP",'Tipos de Cambio'!$B:$C,2,FALSE)</f>
        <v>1436250</v>
      </c>
      <c r="Y29" s="108">
        <f>W29*VLOOKUP("CLF",'Tipos de Cambio'!$B:$C,2,FALSE)</f>
        <v>34.47</v>
      </c>
      <c r="Z29" s="109">
        <f>W29*VLOOKUP("COP",'Tipos de Cambio'!$B:$C,2,FALSE)</f>
        <v>6032250</v>
      </c>
      <c r="AA29" s="110">
        <f>W29*VLOOKUP("MXN",'Tipos de Cambio'!$B:$C,2,FALSE)</f>
        <v>26570.625</v>
      </c>
      <c r="AB29" s="110">
        <f>W29*VLOOKUP("PEN",'Tipos de Cambio'!$B:$C,2,FALSE)</f>
        <v>5457.75</v>
      </c>
    </row>
    <row r="30" spans="1:28" ht="40.799999999999997" x14ac:dyDescent="0.3">
      <c r="A30" s="25" t="s">
        <v>272</v>
      </c>
      <c r="B30" s="25" t="s">
        <v>0</v>
      </c>
      <c r="C30" s="9" t="s">
        <v>59</v>
      </c>
      <c r="D30" s="1" t="s">
        <v>12</v>
      </c>
      <c r="E30" s="1" t="s">
        <v>2</v>
      </c>
      <c r="F30" s="2">
        <v>1000</v>
      </c>
      <c r="G30" s="1">
        <v>150</v>
      </c>
      <c r="H30" s="1">
        <v>75</v>
      </c>
      <c r="I30" s="1">
        <v>35</v>
      </c>
      <c r="J30" s="1">
        <v>100</v>
      </c>
      <c r="K30" s="1">
        <v>0</v>
      </c>
      <c r="L30" s="6">
        <v>49</v>
      </c>
      <c r="M30" s="5">
        <f t="shared" si="0"/>
        <v>1409</v>
      </c>
      <c r="N30" s="97">
        <f>M30/Datos!$O$3</f>
        <v>7.8277777777777775</v>
      </c>
      <c r="O30" s="20">
        <f>N30*Datos!$O$3</f>
        <v>1409</v>
      </c>
      <c r="P30" s="99">
        <f>N30*(1+VLOOKUP(E30,'Tier Datos'!$A$2:$B$5,2,FALSE))</f>
        <v>9.7847222222222214</v>
      </c>
      <c r="Q30" s="111">
        <f>IFERROR(VLOOKUP(E30,'Tier Datos'!$A$2:$B$5,2,FALSE),"")</f>
        <v>0.25</v>
      </c>
      <c r="R30" s="101">
        <f>P30*VLOOKUP("CLP",'Tipos de Cambio'!$B:$C,2,FALSE)</f>
        <v>9784.7222222222208</v>
      </c>
      <c r="S30" s="102">
        <f>P30*VLOOKUP("CLF",'Tipos de Cambio'!$B:$C,2,FALSE)</f>
        <v>0.23483333333333331</v>
      </c>
      <c r="T30" s="103">
        <f>P30*VLOOKUP("COP",'Tipos de Cambio'!$B:$C,2,FALSE)</f>
        <v>41095.833333333328</v>
      </c>
      <c r="U30" s="105">
        <f>P30*VLOOKUP("MXN",'Tipos de Cambio'!$B:$C,2,FALSE)</f>
        <v>181.01736111111109</v>
      </c>
      <c r="V30" s="105">
        <f>P30*VLOOKUP("PEN",'Tipos de Cambio'!$B:$C,2,FALSE)</f>
        <v>37.18194444444444</v>
      </c>
      <c r="W30" s="106">
        <f>P30*Datos!$O$3</f>
        <v>1761.2499999999998</v>
      </c>
      <c r="X30" s="107">
        <f>W30*VLOOKUP("CLP",'Tipos de Cambio'!$B:$C,2,FALSE)</f>
        <v>1761249.9999999998</v>
      </c>
      <c r="Y30" s="108">
        <f>W30*VLOOKUP("CLF",'Tipos de Cambio'!$B:$C,2,FALSE)</f>
        <v>42.269999999999996</v>
      </c>
      <c r="Z30" s="109">
        <f>W30*VLOOKUP("COP",'Tipos de Cambio'!$B:$C,2,FALSE)</f>
        <v>7397249.9999999991</v>
      </c>
      <c r="AA30" s="110">
        <f>W30*VLOOKUP("MXN",'Tipos de Cambio'!$B:$C,2,FALSE)</f>
        <v>32583.124999999996</v>
      </c>
      <c r="AB30" s="110">
        <f>W30*VLOOKUP("PEN",'Tipos de Cambio'!$B:$C,2,FALSE)</f>
        <v>6692.7499999999991</v>
      </c>
    </row>
    <row r="31" spans="1:28" x14ac:dyDescent="0.3">
      <c r="A31" s="25" t="s">
        <v>273</v>
      </c>
      <c r="B31" s="25" t="s">
        <v>22</v>
      </c>
      <c r="C31" s="9" t="s">
        <v>79</v>
      </c>
      <c r="D31" s="1" t="s">
        <v>12</v>
      </c>
      <c r="E31" s="1" t="s">
        <v>13</v>
      </c>
      <c r="F31" s="2">
        <v>1400</v>
      </c>
      <c r="G31" s="1">
        <v>250</v>
      </c>
      <c r="H31" s="1">
        <v>150</v>
      </c>
      <c r="I31" s="1">
        <v>50</v>
      </c>
      <c r="J31" s="1">
        <v>150</v>
      </c>
      <c r="K31" s="1">
        <v>0</v>
      </c>
      <c r="L31" s="6">
        <v>49</v>
      </c>
      <c r="M31" s="5">
        <f t="shared" si="0"/>
        <v>2049</v>
      </c>
      <c r="N31" s="97">
        <f>M31/Datos!$O$3</f>
        <v>11.383333333333333</v>
      </c>
      <c r="O31" s="20">
        <f>N31*Datos!$O$3</f>
        <v>2049</v>
      </c>
      <c r="P31" s="99">
        <f>N31*(1+VLOOKUP(E31,'Tier Datos'!$A$2:$B$5,2,FALSE))</f>
        <v>14.798333333333334</v>
      </c>
      <c r="Q31" s="111">
        <f>IFERROR(VLOOKUP(E31,'Tier Datos'!$A$2:$B$5,2,FALSE),"")</f>
        <v>0.3</v>
      </c>
      <c r="R31" s="101">
        <f>P31*VLOOKUP("CLP",'Tipos de Cambio'!$B:$C,2,FALSE)</f>
        <v>14798.333333333334</v>
      </c>
      <c r="S31" s="102">
        <f>P31*VLOOKUP("CLF",'Tipos de Cambio'!$B:$C,2,FALSE)</f>
        <v>0.35516000000000003</v>
      </c>
      <c r="T31" s="103">
        <f>P31*VLOOKUP("COP",'Tipos de Cambio'!$B:$C,2,FALSE)</f>
        <v>62153</v>
      </c>
      <c r="U31" s="105">
        <f>P31*VLOOKUP("MXN",'Tipos de Cambio'!$B:$C,2,FALSE)</f>
        <v>273.76916666666665</v>
      </c>
      <c r="V31" s="105">
        <f>P31*VLOOKUP("PEN",'Tipos de Cambio'!$B:$C,2,FALSE)</f>
        <v>56.233666666666664</v>
      </c>
      <c r="W31" s="106">
        <f>P31*Datos!$O$3</f>
        <v>2663.7000000000003</v>
      </c>
      <c r="X31" s="107">
        <f>W31*VLOOKUP("CLP",'Tipos de Cambio'!$B:$C,2,FALSE)</f>
        <v>2663700.0000000005</v>
      </c>
      <c r="Y31" s="108">
        <f>W31*VLOOKUP("CLF",'Tipos de Cambio'!$B:$C,2,FALSE)</f>
        <v>63.92880000000001</v>
      </c>
      <c r="Z31" s="109">
        <f>W31*VLOOKUP("COP",'Tipos de Cambio'!$B:$C,2,FALSE)</f>
        <v>11187540.000000002</v>
      </c>
      <c r="AA31" s="110">
        <f>W31*VLOOKUP("MXN",'Tipos de Cambio'!$B:$C,2,FALSE)</f>
        <v>49278.450000000004</v>
      </c>
      <c r="AB31" s="110">
        <f>W31*VLOOKUP("PEN",'Tipos de Cambio'!$B:$C,2,FALSE)</f>
        <v>10122.060000000001</v>
      </c>
    </row>
    <row r="32" spans="1:28" ht="40.799999999999997" x14ac:dyDescent="0.3">
      <c r="A32" s="25" t="s">
        <v>274</v>
      </c>
      <c r="B32" s="25" t="s">
        <v>22</v>
      </c>
      <c r="C32" s="9" t="s">
        <v>275</v>
      </c>
      <c r="D32" s="1" t="s">
        <v>12</v>
      </c>
      <c r="E32" s="1" t="s">
        <v>13</v>
      </c>
      <c r="F32" s="2">
        <v>1300</v>
      </c>
      <c r="G32" s="1">
        <v>200</v>
      </c>
      <c r="H32" s="1">
        <v>100</v>
      </c>
      <c r="I32" s="1">
        <v>50</v>
      </c>
      <c r="J32" s="1">
        <v>150</v>
      </c>
      <c r="K32" s="1">
        <v>0</v>
      </c>
      <c r="L32" s="6">
        <v>49</v>
      </c>
      <c r="M32" s="5">
        <f t="shared" si="0"/>
        <v>1849</v>
      </c>
      <c r="N32" s="97">
        <f>M32/Datos!$O$3</f>
        <v>10.272222222222222</v>
      </c>
      <c r="O32" s="20">
        <f>N32*Datos!$O$3</f>
        <v>1849</v>
      </c>
      <c r="P32" s="99">
        <f>N32*(1+VLOOKUP(E32,'Tier Datos'!$A$2:$B$5,2,FALSE))</f>
        <v>13.353888888888889</v>
      </c>
      <c r="Q32" s="111">
        <f>IFERROR(VLOOKUP(E32,'Tier Datos'!$A$2:$B$5,2,FALSE),"")</f>
        <v>0.3</v>
      </c>
      <c r="R32" s="101">
        <f>P32*VLOOKUP("CLP",'Tipos de Cambio'!$B:$C,2,FALSE)</f>
        <v>13353.888888888889</v>
      </c>
      <c r="S32" s="102">
        <f>P32*VLOOKUP("CLF",'Tipos de Cambio'!$B:$C,2,FALSE)</f>
        <v>0.32049333333333335</v>
      </c>
      <c r="T32" s="103">
        <f>P32*VLOOKUP("COP",'Tipos de Cambio'!$B:$C,2,FALSE)</f>
        <v>56086.333333333336</v>
      </c>
      <c r="U32" s="105">
        <f>P32*VLOOKUP("MXN",'Tipos de Cambio'!$B:$C,2,FALSE)</f>
        <v>247.04694444444445</v>
      </c>
      <c r="V32" s="105">
        <f>P32*VLOOKUP("PEN",'Tipos de Cambio'!$B:$C,2,FALSE)</f>
        <v>50.744777777777777</v>
      </c>
      <c r="W32" s="106">
        <f>P32*Datos!$O$3</f>
        <v>2403.6999999999998</v>
      </c>
      <c r="X32" s="107">
        <f>W32*VLOOKUP("CLP",'Tipos de Cambio'!$B:$C,2,FALSE)</f>
        <v>2403700</v>
      </c>
      <c r="Y32" s="108">
        <f>W32*VLOOKUP("CLF",'Tipos de Cambio'!$B:$C,2,FALSE)</f>
        <v>57.688799999999993</v>
      </c>
      <c r="Z32" s="109">
        <f>W32*VLOOKUP("COP",'Tipos de Cambio'!$B:$C,2,FALSE)</f>
        <v>10095540</v>
      </c>
      <c r="AA32" s="110">
        <f>W32*VLOOKUP("MXN",'Tipos de Cambio'!$B:$C,2,FALSE)</f>
        <v>44468.45</v>
      </c>
      <c r="AB32" s="110">
        <f>W32*VLOOKUP("PEN",'Tipos de Cambio'!$B:$C,2,FALSE)</f>
        <v>9134.06</v>
      </c>
    </row>
    <row r="33" spans="1:28" x14ac:dyDescent="0.3">
      <c r="A33" s="25" t="s">
        <v>276</v>
      </c>
      <c r="B33" s="25" t="s">
        <v>11</v>
      </c>
      <c r="C33" s="9" t="s">
        <v>277</v>
      </c>
      <c r="D33" s="1" t="s">
        <v>12</v>
      </c>
      <c r="E33" s="25" t="s">
        <v>30</v>
      </c>
      <c r="F33" s="2">
        <v>23140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M33" s="5">
        <f t="shared" ref="M33" si="1" xml:space="preserve"> (F33 + G33 + H33 + I33 + J33 + K33 + L33)</f>
        <v>23140</v>
      </c>
      <c r="N33" s="97">
        <f>M33/Datos!$O$3</f>
        <v>128.55555555555554</v>
      </c>
      <c r="O33" s="20">
        <f>N33*Datos!$O$3</f>
        <v>23139.999999999996</v>
      </c>
      <c r="P33" s="99">
        <f>N33*(1+VLOOKUP(E33,'Tier Datos'!$A$2:$B$5,2,FALSE))</f>
        <v>205.68888888888887</v>
      </c>
      <c r="Q33" s="111">
        <f>IFERROR(VLOOKUP(E33,'Tier Datos'!$A$2:$B$5,2,FALSE),"")</f>
        <v>0.6</v>
      </c>
      <c r="R33" s="101">
        <f>P33*VLOOKUP("CLP",'Tipos de Cambio'!$B:$C,2,FALSE)</f>
        <v>205688.88888888888</v>
      </c>
      <c r="S33" s="102">
        <f>P33*VLOOKUP("CLF",'Tipos de Cambio'!$B:$C,2,FALSE)</f>
        <v>4.9365333333333332</v>
      </c>
      <c r="T33" s="103">
        <f>P33*VLOOKUP("COP",'Tipos de Cambio'!$B:$C,2,FALSE)</f>
        <v>863893.33333333326</v>
      </c>
      <c r="U33" s="105">
        <f>P33*VLOOKUP("MXN",'Tipos de Cambio'!$B:$C,2,FALSE)</f>
        <v>3805.2444444444441</v>
      </c>
      <c r="V33" s="105">
        <f>P33*VLOOKUP("PEN",'Tipos de Cambio'!$B:$C,2,FALSE)</f>
        <v>781.61777777777763</v>
      </c>
      <c r="W33" s="106">
        <f>P33*Datos!$O$3</f>
        <v>37024</v>
      </c>
      <c r="X33" s="107">
        <f>W33*VLOOKUP("CLP",'Tipos de Cambio'!$B:$C,2,FALSE)</f>
        <v>37024000</v>
      </c>
      <c r="Y33" s="108">
        <f>W33*VLOOKUP("CLF",'Tipos de Cambio'!$B:$C,2,FALSE)</f>
        <v>888.57600000000002</v>
      </c>
      <c r="Z33" s="109">
        <f>W33*VLOOKUP("COP",'Tipos de Cambio'!$B:$C,2,FALSE)</f>
        <v>155500800</v>
      </c>
      <c r="AA33" s="110">
        <f>W33*VLOOKUP("MXN",'Tipos de Cambio'!$B:$C,2,FALSE)</f>
        <v>684944</v>
      </c>
      <c r="AB33" s="110">
        <f>W33*VLOOKUP("PEN",'Tipos de Cambio'!$B:$C,2,FALSE)</f>
        <v>140691.19999999998</v>
      </c>
    </row>
    <row r="34" spans="1:28" x14ac:dyDescent="0.3">
      <c r="A34" s="25" t="s">
        <v>278</v>
      </c>
      <c r="B34" s="25" t="s">
        <v>11</v>
      </c>
      <c r="D34" s="1" t="s">
        <v>12</v>
      </c>
      <c r="N34" s="98"/>
      <c r="O34" s="20">
        <f>N34*Datos!$O$3</f>
        <v>0</v>
      </c>
      <c r="P34" s="100"/>
      <c r="Q34" s="111" t="str">
        <f>IFERROR(VLOOKUP(E34,'Tier Datos'!$A$2:$B$5,2,FALSE),"")</f>
        <v/>
      </c>
      <c r="R34" s="101">
        <f>P34*VLOOKUP("CLP",'Tipos de Cambio'!$B:$C,2,FALSE)</f>
        <v>0</v>
      </c>
      <c r="S34" s="102">
        <f>P34*VLOOKUP("CLF",'Tipos de Cambio'!$B:$C,2,FALSE)</f>
        <v>0</v>
      </c>
      <c r="T34" s="103">
        <f>P34*VLOOKUP("COP",'Tipos de Cambio'!$B:$C,2,FALSE)</f>
        <v>0</v>
      </c>
      <c r="U34" s="105">
        <f>P34*VLOOKUP("MXN",'Tipos de Cambio'!$B:$C,2,FALSE)</f>
        <v>0</v>
      </c>
      <c r="V34" s="105">
        <f>P34*VLOOKUP("PEN",'Tipos de Cambio'!$B:$C,2,FALSE)</f>
        <v>0</v>
      </c>
      <c r="W34" s="106">
        <f>P34*Datos!$O$3</f>
        <v>0</v>
      </c>
      <c r="X34" s="107">
        <f>W34*VLOOKUP("CLP",'Tipos de Cambio'!$B:$C,2,FALSE)</f>
        <v>0</v>
      </c>
      <c r="Y34" s="108">
        <f>W34*VLOOKUP("CLF",'Tipos de Cambio'!$B:$C,2,FALSE)</f>
        <v>0</v>
      </c>
      <c r="Z34" s="109">
        <f>W34*VLOOKUP("COP",'Tipos de Cambio'!$B:$C,2,FALSE)</f>
        <v>0</v>
      </c>
      <c r="AA34" s="110">
        <f>W34*VLOOKUP("MXN",'Tipos de Cambio'!$B:$C,2,FALSE)</f>
        <v>0</v>
      </c>
      <c r="AB34" s="110">
        <f>W34*VLOOKUP("PEN",'Tipos de Cambio'!$B:$C,2,FALSE)</f>
        <v>0</v>
      </c>
    </row>
    <row r="35" spans="1:28" x14ac:dyDescent="0.3">
      <c r="A35" s="25" t="s">
        <v>279</v>
      </c>
      <c r="B35" s="25" t="s">
        <v>22</v>
      </c>
      <c r="D35" s="1" t="s">
        <v>12</v>
      </c>
      <c r="N35" s="98"/>
      <c r="O35" s="20">
        <f>N35*Datos!$O$3</f>
        <v>0</v>
      </c>
      <c r="P35" s="100"/>
      <c r="Q35" s="111" t="str">
        <f>IFERROR(VLOOKUP(E35,'Tier Datos'!$A$2:$B$5,2,FALSE),"")</f>
        <v/>
      </c>
      <c r="R35" s="101">
        <f>P35*VLOOKUP("CLP",'Tipos de Cambio'!$B:$C,2,FALSE)</f>
        <v>0</v>
      </c>
      <c r="S35" s="102">
        <f>P35*VLOOKUP("CLF",'Tipos de Cambio'!$B:$C,2,FALSE)</f>
        <v>0</v>
      </c>
      <c r="T35" s="103">
        <f>P35*VLOOKUP("COP",'Tipos de Cambio'!$B:$C,2,FALSE)</f>
        <v>0</v>
      </c>
      <c r="U35" s="105">
        <f>P35*VLOOKUP("MXN",'Tipos de Cambio'!$B:$C,2,FALSE)</f>
        <v>0</v>
      </c>
      <c r="V35" s="105">
        <f>P35*VLOOKUP("PEN",'Tipos de Cambio'!$B:$C,2,FALSE)</f>
        <v>0</v>
      </c>
      <c r="W35" s="106">
        <f>P35*Datos!$O$3</f>
        <v>0</v>
      </c>
      <c r="X35" s="107">
        <f>W35*VLOOKUP("CLP",'Tipos de Cambio'!$B:$C,2,FALSE)</f>
        <v>0</v>
      </c>
      <c r="Y35" s="108">
        <f>W35*VLOOKUP("CLF",'Tipos de Cambio'!$B:$C,2,FALSE)</f>
        <v>0</v>
      </c>
      <c r="Z35" s="109">
        <f>W35*VLOOKUP("COP",'Tipos de Cambio'!$B:$C,2,FALSE)</f>
        <v>0</v>
      </c>
      <c r="AA35" s="110">
        <f>W35*VLOOKUP("MXN",'Tipos de Cambio'!$B:$C,2,FALSE)</f>
        <v>0</v>
      </c>
      <c r="AB35" s="110">
        <f>W35*VLOOKUP("PEN",'Tipos de Cambio'!$B:$C,2,FALSE)</f>
        <v>0</v>
      </c>
    </row>
    <row r="36" spans="1:28" x14ac:dyDescent="0.3">
      <c r="A36" s="25" t="s">
        <v>280</v>
      </c>
      <c r="B36" s="25" t="s">
        <v>22</v>
      </c>
      <c r="D36" s="1" t="s">
        <v>12</v>
      </c>
      <c r="N36" s="98"/>
      <c r="O36" s="20">
        <f>N36*Datos!$O$3</f>
        <v>0</v>
      </c>
      <c r="P36" s="100"/>
      <c r="Q36" s="111" t="str">
        <f>IFERROR(VLOOKUP(E36,'Tier Datos'!$A$2:$B$5,2,FALSE),"")</f>
        <v/>
      </c>
      <c r="R36" s="101">
        <f>P36*VLOOKUP("CLP",'Tipos de Cambio'!$B:$C,2,FALSE)</f>
        <v>0</v>
      </c>
      <c r="S36" s="102">
        <f>P36*VLOOKUP("CLF",'Tipos de Cambio'!$B:$C,2,FALSE)</f>
        <v>0</v>
      </c>
      <c r="T36" s="103">
        <f>P36*VLOOKUP("COP",'Tipos de Cambio'!$B:$C,2,FALSE)</f>
        <v>0</v>
      </c>
      <c r="U36" s="105">
        <f>P36*VLOOKUP("MXN",'Tipos de Cambio'!$B:$C,2,FALSE)</f>
        <v>0</v>
      </c>
      <c r="V36" s="105">
        <f>P36*VLOOKUP("PEN",'Tipos de Cambio'!$B:$C,2,FALSE)</f>
        <v>0</v>
      </c>
      <c r="W36" s="106">
        <f>P36*Datos!$O$3</f>
        <v>0</v>
      </c>
      <c r="X36" s="107">
        <f>W36*VLOOKUP("CLP",'Tipos de Cambio'!$B:$C,2,FALSE)</f>
        <v>0</v>
      </c>
      <c r="Y36" s="108">
        <f>W36*VLOOKUP("CLF",'Tipos de Cambio'!$B:$C,2,FALSE)</f>
        <v>0</v>
      </c>
      <c r="Z36" s="109">
        <f>W36*VLOOKUP("COP",'Tipos de Cambio'!$B:$C,2,FALSE)</f>
        <v>0</v>
      </c>
      <c r="AA36" s="110">
        <f>W36*VLOOKUP("MXN",'Tipos de Cambio'!$B:$C,2,FALSE)</f>
        <v>0</v>
      </c>
      <c r="AB36" s="110">
        <f>W36*VLOOKUP("PEN",'Tipos de Cambio'!$B:$C,2,FALSE)</f>
        <v>0</v>
      </c>
    </row>
    <row r="37" spans="1:28" x14ac:dyDescent="0.3">
      <c r="A37" s="25" t="s">
        <v>281</v>
      </c>
      <c r="B37" s="25" t="s">
        <v>22</v>
      </c>
      <c r="D37" s="1" t="s">
        <v>12</v>
      </c>
      <c r="N37" s="98"/>
      <c r="O37" s="20">
        <f>N37*Datos!$O$3</f>
        <v>0</v>
      </c>
      <c r="P37" s="100"/>
      <c r="Q37" s="111" t="str">
        <f>IFERROR(VLOOKUP(E37,'Tier Datos'!$A$2:$B$5,2,FALSE),"")</f>
        <v/>
      </c>
      <c r="R37" s="101">
        <f>P37*VLOOKUP("CLP",'Tipos de Cambio'!$B:$C,2,FALSE)</f>
        <v>0</v>
      </c>
      <c r="S37" s="102">
        <f>P37*VLOOKUP("CLF",'Tipos de Cambio'!$B:$C,2,FALSE)</f>
        <v>0</v>
      </c>
      <c r="T37" s="103">
        <f>P37*VLOOKUP("COP",'Tipos de Cambio'!$B:$C,2,FALSE)</f>
        <v>0</v>
      </c>
      <c r="U37" s="105">
        <f>P37*VLOOKUP("MXN",'Tipos de Cambio'!$B:$C,2,FALSE)</f>
        <v>0</v>
      </c>
      <c r="V37" s="105">
        <f>P37*VLOOKUP("PEN",'Tipos de Cambio'!$B:$C,2,FALSE)</f>
        <v>0</v>
      </c>
      <c r="W37" s="106">
        <f>P37*Datos!$O$3</f>
        <v>0</v>
      </c>
      <c r="X37" s="107">
        <f>W37*VLOOKUP("CLP",'Tipos de Cambio'!$B:$C,2,FALSE)</f>
        <v>0</v>
      </c>
      <c r="Y37" s="108">
        <f>W37*VLOOKUP("CLF",'Tipos de Cambio'!$B:$C,2,FALSE)</f>
        <v>0</v>
      </c>
      <c r="Z37" s="109">
        <f>W37*VLOOKUP("COP",'Tipos de Cambio'!$B:$C,2,FALSE)</f>
        <v>0</v>
      </c>
      <c r="AA37" s="110">
        <f>W37*VLOOKUP("MXN",'Tipos de Cambio'!$B:$C,2,FALSE)</f>
        <v>0</v>
      </c>
      <c r="AB37" s="110">
        <f>W37*VLOOKUP("PEN",'Tipos de Cambio'!$B:$C,2,FALSE)</f>
        <v>0</v>
      </c>
    </row>
    <row r="38" spans="1:28" x14ac:dyDescent="0.3">
      <c r="A38" s="25" t="s">
        <v>282</v>
      </c>
      <c r="B38" s="25" t="s">
        <v>22</v>
      </c>
      <c r="D38" s="1" t="s">
        <v>12</v>
      </c>
      <c r="N38" s="98"/>
      <c r="O38" s="20">
        <f>N38*Datos!$O$3</f>
        <v>0</v>
      </c>
      <c r="P38" s="100"/>
      <c r="Q38" s="111" t="str">
        <f>IFERROR(VLOOKUP(E38,'Tier Datos'!$A$2:$B$5,2,FALSE),"")</f>
        <v/>
      </c>
      <c r="R38" s="101">
        <f>P38*VLOOKUP("CLP",'Tipos de Cambio'!$B:$C,2,FALSE)</f>
        <v>0</v>
      </c>
      <c r="S38" s="102">
        <f>P38*VLOOKUP("CLF",'Tipos de Cambio'!$B:$C,2,FALSE)</f>
        <v>0</v>
      </c>
      <c r="T38" s="103">
        <f>P38*VLOOKUP("COP",'Tipos de Cambio'!$B:$C,2,FALSE)</f>
        <v>0</v>
      </c>
      <c r="U38" s="105">
        <f>P38*VLOOKUP("MXN",'Tipos de Cambio'!$B:$C,2,FALSE)</f>
        <v>0</v>
      </c>
      <c r="V38" s="105">
        <f>P38*VLOOKUP("PEN",'Tipos de Cambio'!$B:$C,2,FALSE)</f>
        <v>0</v>
      </c>
      <c r="W38" s="106"/>
      <c r="X38" s="107">
        <f>W38*VLOOKUP("CLP",'Tipos de Cambio'!$B:$C,2,FALSE)</f>
        <v>0</v>
      </c>
      <c r="Y38" s="108">
        <f>W38*VLOOKUP("CLF",'Tipos de Cambio'!$B:$C,2,FALSE)</f>
        <v>0</v>
      </c>
      <c r="Z38" s="109">
        <f>W38*VLOOKUP("COP",'Tipos de Cambio'!$B:$C,2,FALSE)</f>
        <v>0</v>
      </c>
      <c r="AA38" s="110">
        <f>W38*VLOOKUP("MXN",'Tipos de Cambio'!$B:$C,2,FALSE)</f>
        <v>0</v>
      </c>
      <c r="AB38" s="110">
        <f>W38*VLOOKUP("PEN",'Tipos de Cambio'!$B:$C,2,FALSE)</f>
        <v>0</v>
      </c>
    </row>
    <row r="39" spans="1:28" x14ac:dyDescent="0.3">
      <c r="A39" s="25" t="s">
        <v>283</v>
      </c>
      <c r="B39" s="25" t="s">
        <v>22</v>
      </c>
      <c r="D39" s="1" t="s">
        <v>12</v>
      </c>
      <c r="N39" s="98"/>
      <c r="O39" s="20">
        <f>N39*Datos!$O$3</f>
        <v>0</v>
      </c>
      <c r="P39" s="100"/>
      <c r="Q39" s="111" t="str">
        <f>IFERROR(VLOOKUP(E39,'Tier Datos'!$A$2:$B$5,2,FALSE),"")</f>
        <v/>
      </c>
      <c r="R39" s="101">
        <f>P39*VLOOKUP("CLP",'Tipos de Cambio'!$B:$C,2,FALSE)</f>
        <v>0</v>
      </c>
      <c r="S39" s="102">
        <f>P39*VLOOKUP("CLF",'Tipos de Cambio'!$B:$C,2,FALSE)</f>
        <v>0</v>
      </c>
      <c r="T39" s="103">
        <f>P39*VLOOKUP("COP",'Tipos de Cambio'!$B:$C,2,FALSE)</f>
        <v>0</v>
      </c>
      <c r="U39" s="105">
        <f>P39*VLOOKUP("MXN",'Tipos de Cambio'!$B:$C,2,FALSE)</f>
        <v>0</v>
      </c>
      <c r="V39" s="105">
        <f>P39*VLOOKUP("PEN",'Tipos de Cambio'!$B:$C,2,FALSE)</f>
        <v>0</v>
      </c>
      <c r="W39" s="106"/>
      <c r="X39" s="107">
        <f>W39*VLOOKUP("CLP",'Tipos de Cambio'!$B:$C,2,FALSE)</f>
        <v>0</v>
      </c>
      <c r="Y39" s="108">
        <f>W39*VLOOKUP("CLF",'Tipos de Cambio'!$B:$C,2,FALSE)</f>
        <v>0</v>
      </c>
      <c r="Z39" s="109">
        <f>W39*VLOOKUP("COP",'Tipos de Cambio'!$B:$C,2,FALSE)</f>
        <v>0</v>
      </c>
      <c r="AA39" s="110">
        <f>W39*VLOOKUP("MXN",'Tipos de Cambio'!$B:$C,2,FALSE)</f>
        <v>0</v>
      </c>
      <c r="AB39" s="110">
        <f>W39*VLOOKUP("PEN",'Tipos de Cambio'!$B:$C,2,FALSE)</f>
        <v>0</v>
      </c>
    </row>
    <row r="40" spans="1:28" x14ac:dyDescent="0.3">
      <c r="A40" s="25" t="s">
        <v>284</v>
      </c>
      <c r="B40" s="25" t="s">
        <v>22</v>
      </c>
      <c r="D40" s="1" t="s">
        <v>12</v>
      </c>
      <c r="N40" s="98"/>
      <c r="O40" s="20">
        <f>N40*Datos!$O$3</f>
        <v>0</v>
      </c>
      <c r="P40" s="100"/>
      <c r="Q40" s="111" t="str">
        <f>IFERROR(VLOOKUP(E40,'Tier Datos'!$A$2:$B$5,2,FALSE),"")</f>
        <v/>
      </c>
      <c r="R40" s="101">
        <f>P40*VLOOKUP("CLP",'Tipos de Cambio'!$B:$C,2,FALSE)</f>
        <v>0</v>
      </c>
      <c r="S40" s="102">
        <f>P40*VLOOKUP("CLF",'Tipos de Cambio'!$B:$C,2,FALSE)</f>
        <v>0</v>
      </c>
      <c r="T40" s="103">
        <f>P40*VLOOKUP("COP",'Tipos de Cambio'!$B:$C,2,FALSE)</f>
        <v>0</v>
      </c>
      <c r="U40" s="105">
        <f>P40*VLOOKUP("MXN",'Tipos de Cambio'!$B:$C,2,FALSE)</f>
        <v>0</v>
      </c>
      <c r="V40" s="105">
        <f>P40*VLOOKUP("PEN",'Tipos de Cambio'!$B:$C,2,FALSE)</f>
        <v>0</v>
      </c>
      <c r="W40" s="106"/>
      <c r="X40" s="107">
        <f>W40*VLOOKUP("CLP",'Tipos de Cambio'!$B:$C,2,FALSE)</f>
        <v>0</v>
      </c>
      <c r="Y40" s="108">
        <f>W40*VLOOKUP("CLF",'Tipos de Cambio'!$B:$C,2,FALSE)</f>
        <v>0</v>
      </c>
      <c r="Z40" s="109">
        <f>W40*VLOOKUP("COP",'Tipos de Cambio'!$B:$C,2,FALSE)</f>
        <v>0</v>
      </c>
      <c r="AA40" s="110">
        <f>W40*VLOOKUP("MXN",'Tipos de Cambio'!$B:$C,2,FALSE)</f>
        <v>0</v>
      </c>
      <c r="AB40" s="110">
        <f>W40*VLOOKUP("PEN",'Tipos de Cambio'!$B:$C,2,FALSE)</f>
        <v>0</v>
      </c>
    </row>
    <row r="41" spans="1:28" x14ac:dyDescent="0.3">
      <c r="A41" s="25" t="s">
        <v>285</v>
      </c>
      <c r="B41" s="25" t="s">
        <v>22</v>
      </c>
      <c r="D41" s="1" t="s">
        <v>12</v>
      </c>
      <c r="N41" s="98"/>
      <c r="O41" s="20">
        <f>N41*Datos!$O$3</f>
        <v>0</v>
      </c>
      <c r="P41" s="100"/>
      <c r="Q41" s="111" t="str">
        <f>IFERROR(VLOOKUP(E41,'Tier Datos'!$A$2:$B$5,2,FALSE),"")</f>
        <v/>
      </c>
      <c r="R41" s="101">
        <f>P41*VLOOKUP("CLP",'Tipos de Cambio'!$B:$C,2,FALSE)</f>
        <v>0</v>
      </c>
      <c r="S41" s="102">
        <f>P41*VLOOKUP("CLF",'Tipos de Cambio'!$B:$C,2,FALSE)</f>
        <v>0</v>
      </c>
      <c r="T41" s="103">
        <f>P41*VLOOKUP("COP",'Tipos de Cambio'!$B:$C,2,FALSE)</f>
        <v>0</v>
      </c>
      <c r="U41" s="105">
        <f>P41*VLOOKUP("MXN",'Tipos de Cambio'!$B:$C,2,FALSE)</f>
        <v>0</v>
      </c>
      <c r="V41" s="105">
        <f>P41*VLOOKUP("PEN",'Tipos de Cambio'!$B:$C,2,FALSE)</f>
        <v>0</v>
      </c>
      <c r="W41" s="106"/>
      <c r="X41" s="107">
        <f>W41*VLOOKUP("CLP",'Tipos de Cambio'!$B:$C,2,FALSE)</f>
        <v>0</v>
      </c>
      <c r="Y41" s="108">
        <f>W41*VLOOKUP("CLF",'Tipos de Cambio'!$B:$C,2,FALSE)</f>
        <v>0</v>
      </c>
      <c r="Z41" s="109">
        <f>W41*VLOOKUP("COP",'Tipos de Cambio'!$B:$C,2,FALSE)</f>
        <v>0</v>
      </c>
      <c r="AA41" s="110">
        <f>W41*VLOOKUP("MXN",'Tipos de Cambio'!$B:$C,2,FALSE)</f>
        <v>0</v>
      </c>
      <c r="AB41" s="110">
        <f>W41*VLOOKUP("PEN",'Tipos de Cambio'!$B:$C,2,FALSE)</f>
        <v>0</v>
      </c>
    </row>
    <row r="42" spans="1:28" x14ac:dyDescent="0.3">
      <c r="A42" s="25" t="s">
        <v>286</v>
      </c>
      <c r="B42" s="25" t="s">
        <v>22</v>
      </c>
      <c r="D42" s="1" t="s">
        <v>12</v>
      </c>
      <c r="N42" s="98"/>
      <c r="O42" s="20">
        <f>N42*Datos!$O$3</f>
        <v>0</v>
      </c>
      <c r="P42" s="100"/>
      <c r="Q42" s="111" t="str">
        <f>IFERROR(VLOOKUP(E42,'Tier Datos'!$A$2:$B$5,2,FALSE),"")</f>
        <v/>
      </c>
      <c r="R42" s="101">
        <f>P42*VLOOKUP("CLP",'Tipos de Cambio'!$B:$C,2,FALSE)</f>
        <v>0</v>
      </c>
      <c r="S42" s="102">
        <f>P42*VLOOKUP("CLF",'Tipos de Cambio'!$B:$C,2,FALSE)</f>
        <v>0</v>
      </c>
      <c r="T42" s="103">
        <f>P42*VLOOKUP("COP",'Tipos de Cambio'!$B:$C,2,FALSE)</f>
        <v>0</v>
      </c>
      <c r="U42" s="105">
        <f>P42*VLOOKUP("MXN",'Tipos de Cambio'!$B:$C,2,FALSE)</f>
        <v>0</v>
      </c>
      <c r="V42" s="105">
        <f>P42*VLOOKUP("PEN",'Tipos de Cambio'!$B:$C,2,FALSE)</f>
        <v>0</v>
      </c>
      <c r="W42" s="106"/>
      <c r="X42" s="107">
        <f>W42*VLOOKUP("CLP",'Tipos de Cambio'!$B:$C,2,FALSE)</f>
        <v>0</v>
      </c>
      <c r="Y42" s="108">
        <f>W42*VLOOKUP("CLF",'Tipos de Cambio'!$B:$C,2,FALSE)</f>
        <v>0</v>
      </c>
      <c r="Z42" s="109">
        <f>W42*VLOOKUP("COP",'Tipos de Cambio'!$B:$C,2,FALSE)</f>
        <v>0</v>
      </c>
      <c r="AA42" s="110">
        <f>W42*VLOOKUP("MXN",'Tipos de Cambio'!$B:$C,2,FALSE)</f>
        <v>0</v>
      </c>
      <c r="AB42" s="110">
        <f>W42*VLOOKUP("PEN",'Tipos de Cambio'!$B:$C,2,FALSE)</f>
        <v>0</v>
      </c>
    </row>
    <row r="43" spans="1:28" x14ac:dyDescent="0.3">
      <c r="A43" s="25" t="s">
        <v>287</v>
      </c>
      <c r="B43" s="25" t="s">
        <v>22</v>
      </c>
      <c r="D43" s="1" t="s">
        <v>12</v>
      </c>
      <c r="N43" s="98"/>
      <c r="O43" s="20">
        <f>N43*Datos!$O$3</f>
        <v>0</v>
      </c>
      <c r="P43" s="100"/>
      <c r="Q43" s="111" t="str">
        <f>IFERROR(VLOOKUP(E43,'Tier Datos'!$A$2:$B$5,2,FALSE),"")</f>
        <v/>
      </c>
      <c r="R43" s="101">
        <f>P43*VLOOKUP("CLP",'Tipos de Cambio'!$B:$C,2,FALSE)</f>
        <v>0</v>
      </c>
      <c r="S43" s="102">
        <f>P43*VLOOKUP("CLF",'Tipos de Cambio'!$B:$C,2,FALSE)</f>
        <v>0</v>
      </c>
      <c r="T43" s="103">
        <f>P43*VLOOKUP("COP",'Tipos de Cambio'!$B:$C,2,FALSE)</f>
        <v>0</v>
      </c>
      <c r="U43" s="105">
        <f>P43*VLOOKUP("MXN",'Tipos de Cambio'!$B:$C,2,FALSE)</f>
        <v>0</v>
      </c>
      <c r="V43" s="105">
        <f>P43*VLOOKUP("PEN",'Tipos de Cambio'!$B:$C,2,FALSE)</f>
        <v>0</v>
      </c>
      <c r="W43" s="106"/>
      <c r="X43" s="107">
        <f>W43*VLOOKUP("CLP",'Tipos de Cambio'!$B:$C,2,FALSE)</f>
        <v>0</v>
      </c>
      <c r="Y43" s="108">
        <f>W43*VLOOKUP("CLF",'Tipos de Cambio'!$B:$C,2,FALSE)</f>
        <v>0</v>
      </c>
      <c r="Z43" s="109">
        <f>W43*VLOOKUP("COP",'Tipos de Cambio'!$B:$C,2,FALSE)</f>
        <v>0</v>
      </c>
      <c r="AA43" s="110">
        <f>W43*VLOOKUP("MXN",'Tipos de Cambio'!$B:$C,2,FALSE)</f>
        <v>0</v>
      </c>
      <c r="AB43" s="110">
        <f>W43*VLOOKUP("PEN",'Tipos de Cambio'!$B:$C,2,FALSE)</f>
        <v>0</v>
      </c>
    </row>
    <row r="44" spans="1:28" x14ac:dyDescent="0.3">
      <c r="A44" s="25" t="s">
        <v>288</v>
      </c>
      <c r="B44" s="25" t="s">
        <v>22</v>
      </c>
      <c r="D44" s="1" t="s">
        <v>12</v>
      </c>
      <c r="N44" s="98"/>
      <c r="O44" s="20">
        <f>N44*Datos!$O$3</f>
        <v>0</v>
      </c>
      <c r="P44" s="100"/>
      <c r="Q44" s="111" t="str">
        <f>IFERROR(VLOOKUP(E44,'Tier Datos'!$A$2:$B$5,2,FALSE),"")</f>
        <v/>
      </c>
      <c r="R44" s="101">
        <f>P44*VLOOKUP("CLP",'Tipos de Cambio'!$B:$C,2,FALSE)</f>
        <v>0</v>
      </c>
      <c r="S44" s="102">
        <f>P44*VLOOKUP("CLF",'Tipos de Cambio'!$B:$C,2,FALSE)</f>
        <v>0</v>
      </c>
      <c r="T44" s="103">
        <f>P44*VLOOKUP("COP",'Tipos de Cambio'!$B:$C,2,FALSE)</f>
        <v>0</v>
      </c>
      <c r="U44" s="105">
        <f>P44*VLOOKUP("MXN",'Tipos de Cambio'!$B:$C,2,FALSE)</f>
        <v>0</v>
      </c>
      <c r="V44" s="105">
        <f>P44*VLOOKUP("PEN",'Tipos de Cambio'!$B:$C,2,FALSE)</f>
        <v>0</v>
      </c>
      <c r="W44" s="106"/>
      <c r="X44" s="107">
        <f>W44*VLOOKUP("CLP",'Tipos de Cambio'!$B:$C,2,FALSE)</f>
        <v>0</v>
      </c>
      <c r="Y44" s="108">
        <f>W44*VLOOKUP("CLF",'Tipos de Cambio'!$B:$C,2,FALSE)</f>
        <v>0</v>
      </c>
      <c r="Z44" s="109">
        <f>W44*VLOOKUP("COP",'Tipos de Cambio'!$B:$C,2,FALSE)</f>
        <v>0</v>
      </c>
      <c r="AA44" s="110">
        <f>W44*VLOOKUP("MXN",'Tipos de Cambio'!$B:$C,2,FALSE)</f>
        <v>0</v>
      </c>
      <c r="AB44" s="110">
        <f>W44*VLOOKUP("PEN",'Tipos de Cambio'!$B:$C,2,FALSE)</f>
        <v>0</v>
      </c>
    </row>
    <row r="45" spans="1:28" x14ac:dyDescent="0.3">
      <c r="A45" s="25" t="s">
        <v>289</v>
      </c>
      <c r="B45" s="25" t="s">
        <v>22</v>
      </c>
      <c r="D45" s="1" t="s">
        <v>12</v>
      </c>
      <c r="N45" s="98"/>
      <c r="O45" s="20">
        <f>N45*Datos!$O$3</f>
        <v>0</v>
      </c>
      <c r="P45" s="100"/>
      <c r="Q45" s="111" t="str">
        <f>IFERROR(VLOOKUP(E45,'Tier Datos'!$A$2:$B$5,2,FALSE),"")</f>
        <v/>
      </c>
      <c r="R45" s="101">
        <f>P45*VLOOKUP("CLP",'Tipos de Cambio'!$B:$C,2,FALSE)</f>
        <v>0</v>
      </c>
      <c r="S45" s="102">
        <f>P45*VLOOKUP("CLF",'Tipos de Cambio'!$B:$C,2,FALSE)</f>
        <v>0</v>
      </c>
      <c r="T45" s="103">
        <f>P45*VLOOKUP("COP",'Tipos de Cambio'!$B:$C,2,FALSE)</f>
        <v>0</v>
      </c>
      <c r="U45" s="105">
        <f>P45*VLOOKUP("MXN",'Tipos de Cambio'!$B:$C,2,FALSE)</f>
        <v>0</v>
      </c>
      <c r="V45" s="105">
        <f>P45*VLOOKUP("PEN",'Tipos de Cambio'!$B:$C,2,FALSE)</f>
        <v>0</v>
      </c>
      <c r="W45" s="106"/>
      <c r="X45" s="107">
        <f>W45*VLOOKUP("CLP",'Tipos de Cambio'!$B:$C,2,FALSE)</f>
        <v>0</v>
      </c>
      <c r="Y45" s="108">
        <f>W45*VLOOKUP("CLF",'Tipos de Cambio'!$B:$C,2,FALSE)</f>
        <v>0</v>
      </c>
      <c r="Z45" s="109">
        <f>W45*VLOOKUP("COP",'Tipos de Cambio'!$B:$C,2,FALSE)</f>
        <v>0</v>
      </c>
      <c r="AA45" s="110">
        <f>W45*VLOOKUP("MXN",'Tipos de Cambio'!$B:$C,2,FALSE)</f>
        <v>0</v>
      </c>
      <c r="AB45" s="110">
        <f>W45*VLOOKUP("PEN",'Tipos de Cambio'!$B:$C,2,FALSE)</f>
        <v>0</v>
      </c>
    </row>
    <row r="46" spans="1:28" x14ac:dyDescent="0.3">
      <c r="A46" s="25" t="s">
        <v>290</v>
      </c>
      <c r="B46" s="25" t="s">
        <v>22</v>
      </c>
      <c r="D46" s="1" t="s">
        <v>12</v>
      </c>
      <c r="N46" s="98"/>
      <c r="O46" s="20">
        <f>N46*Datos!$O$3</f>
        <v>0</v>
      </c>
      <c r="P46" s="100"/>
      <c r="Q46" s="111" t="str">
        <f>IFERROR(VLOOKUP(E46,'Tier Datos'!$A$2:$B$5,2,FALSE),"")</f>
        <v/>
      </c>
      <c r="R46" s="101">
        <f>P46*VLOOKUP("CLP",'Tipos de Cambio'!$B:$C,2,FALSE)</f>
        <v>0</v>
      </c>
      <c r="S46" s="102">
        <f>P46*VLOOKUP("CLF",'Tipos de Cambio'!$B:$C,2,FALSE)</f>
        <v>0</v>
      </c>
      <c r="T46" s="103">
        <f>P46*VLOOKUP("COP",'Tipos de Cambio'!$B:$C,2,FALSE)</f>
        <v>0</v>
      </c>
      <c r="U46" s="105">
        <f>P46*VLOOKUP("MXN",'Tipos de Cambio'!$B:$C,2,FALSE)</f>
        <v>0</v>
      </c>
      <c r="V46" s="105">
        <f>P46*VLOOKUP("PEN",'Tipos de Cambio'!$B:$C,2,FALSE)</f>
        <v>0</v>
      </c>
      <c r="W46" s="106"/>
      <c r="X46" s="107">
        <f>W46*VLOOKUP("CLP",'Tipos de Cambio'!$B:$C,2,FALSE)</f>
        <v>0</v>
      </c>
      <c r="Y46" s="108">
        <f>W46*VLOOKUP("CLF",'Tipos de Cambio'!$B:$C,2,FALSE)</f>
        <v>0</v>
      </c>
      <c r="Z46" s="109">
        <f>W46*VLOOKUP("COP",'Tipos de Cambio'!$B:$C,2,FALSE)</f>
        <v>0</v>
      </c>
      <c r="AA46" s="110">
        <f>W46*VLOOKUP("MXN",'Tipos de Cambio'!$B:$C,2,FALSE)</f>
        <v>0</v>
      </c>
      <c r="AB46" s="110">
        <f>W46*VLOOKUP("PEN",'Tipos de Cambio'!$B:$C,2,FALSE)</f>
        <v>0</v>
      </c>
    </row>
    <row r="47" spans="1:28" x14ac:dyDescent="0.3">
      <c r="A47" s="25" t="s">
        <v>291</v>
      </c>
      <c r="B47" s="25" t="s">
        <v>22</v>
      </c>
      <c r="D47" s="1" t="s">
        <v>12</v>
      </c>
      <c r="N47" s="98"/>
      <c r="O47" s="20">
        <f>N47*Datos!$O$3</f>
        <v>0</v>
      </c>
      <c r="P47" s="100"/>
      <c r="Q47" s="111" t="str">
        <f>IFERROR(VLOOKUP(E47,'Tier Datos'!$A$2:$B$5,2,FALSE),"")</f>
        <v/>
      </c>
      <c r="R47" s="101">
        <f>P47*VLOOKUP("CLP",'Tipos de Cambio'!$B:$C,2,FALSE)</f>
        <v>0</v>
      </c>
      <c r="S47" s="102">
        <f>P47*VLOOKUP("CLF",'Tipos de Cambio'!$B:$C,2,FALSE)</f>
        <v>0</v>
      </c>
      <c r="T47" s="103">
        <f>P47*VLOOKUP("COP",'Tipos de Cambio'!$B:$C,2,FALSE)</f>
        <v>0</v>
      </c>
      <c r="U47" s="105">
        <f>P47*VLOOKUP("MXN",'Tipos de Cambio'!$B:$C,2,FALSE)</f>
        <v>0</v>
      </c>
      <c r="V47" s="105">
        <f>P47*VLOOKUP("PEN",'Tipos de Cambio'!$B:$C,2,FALSE)</f>
        <v>0</v>
      </c>
      <c r="W47" s="106"/>
      <c r="X47" s="107">
        <f>W47*VLOOKUP("CLP",'Tipos de Cambio'!$B:$C,2,FALSE)</f>
        <v>0</v>
      </c>
      <c r="Y47" s="108">
        <f>W47*VLOOKUP("CLF",'Tipos de Cambio'!$B:$C,2,FALSE)</f>
        <v>0</v>
      </c>
      <c r="Z47" s="109">
        <f>W47*VLOOKUP("COP",'Tipos de Cambio'!$B:$C,2,FALSE)</f>
        <v>0</v>
      </c>
      <c r="AA47" s="110">
        <f>W47*VLOOKUP("MXN",'Tipos de Cambio'!$B:$C,2,FALSE)</f>
        <v>0</v>
      </c>
      <c r="AB47" s="110">
        <f>W47*VLOOKUP("PEN",'Tipos de Cambio'!$B:$C,2,FALSE)</f>
        <v>0</v>
      </c>
    </row>
    <row r="48" spans="1:28" x14ac:dyDescent="0.3">
      <c r="A48" s="25" t="s">
        <v>292</v>
      </c>
      <c r="B48" s="25" t="s">
        <v>22</v>
      </c>
      <c r="D48" s="1" t="s">
        <v>12</v>
      </c>
      <c r="N48" s="98"/>
      <c r="O48" s="20">
        <f>N48*Datos!$O$3</f>
        <v>0</v>
      </c>
      <c r="P48" s="100"/>
      <c r="Q48" s="111" t="str">
        <f>IFERROR(VLOOKUP(E48,'Tier Datos'!$A$2:$B$5,2,FALSE),"")</f>
        <v/>
      </c>
      <c r="R48" s="101">
        <f>P48*VLOOKUP("CLP",'Tipos de Cambio'!$B:$C,2,FALSE)</f>
        <v>0</v>
      </c>
      <c r="S48" s="102">
        <f>P48*VLOOKUP("CLF",'Tipos de Cambio'!$B:$C,2,FALSE)</f>
        <v>0</v>
      </c>
      <c r="T48" s="103">
        <f>P48*VLOOKUP("COP",'Tipos de Cambio'!$B:$C,2,FALSE)</f>
        <v>0</v>
      </c>
      <c r="U48" s="105">
        <f>P48*VLOOKUP("MXN",'Tipos de Cambio'!$B:$C,2,FALSE)</f>
        <v>0</v>
      </c>
      <c r="V48" s="105">
        <f>P48*VLOOKUP("PEN",'Tipos de Cambio'!$B:$C,2,FALSE)</f>
        <v>0</v>
      </c>
      <c r="W48" s="106"/>
      <c r="X48" s="107">
        <f>W48*VLOOKUP("CLP",'Tipos de Cambio'!$B:$C,2,FALSE)</f>
        <v>0</v>
      </c>
      <c r="Y48" s="108">
        <f>W48*VLOOKUP("CLF",'Tipos de Cambio'!$B:$C,2,FALSE)</f>
        <v>0</v>
      </c>
      <c r="Z48" s="109">
        <f>W48*VLOOKUP("COP",'Tipos de Cambio'!$B:$C,2,FALSE)</f>
        <v>0</v>
      </c>
      <c r="AA48" s="110">
        <f>W48*VLOOKUP("MXN",'Tipos de Cambio'!$B:$C,2,FALSE)</f>
        <v>0</v>
      </c>
      <c r="AB48" s="110">
        <f>W48*VLOOKUP("PEN",'Tipos de Cambio'!$B:$C,2,FALSE)</f>
        <v>0</v>
      </c>
    </row>
    <row r="49" spans="1:28" x14ac:dyDescent="0.3">
      <c r="A49" s="25" t="s">
        <v>293</v>
      </c>
      <c r="B49" s="25" t="s">
        <v>22</v>
      </c>
      <c r="D49" s="1" t="s">
        <v>12</v>
      </c>
      <c r="N49" s="98"/>
      <c r="O49" s="20">
        <f>N49*Datos!$O$3</f>
        <v>0</v>
      </c>
      <c r="P49" s="100"/>
      <c r="Q49" s="111" t="str">
        <f>IFERROR(VLOOKUP(E49,'Tier Datos'!$A$2:$B$5,2,FALSE),"")</f>
        <v/>
      </c>
      <c r="R49" s="101">
        <f>P49*VLOOKUP("CLP",'Tipos de Cambio'!$B:$C,2,FALSE)</f>
        <v>0</v>
      </c>
      <c r="S49" s="102">
        <f>P49*VLOOKUP("CLF",'Tipos de Cambio'!$B:$C,2,FALSE)</f>
        <v>0</v>
      </c>
      <c r="T49" s="103">
        <f>P49*VLOOKUP("COP",'Tipos de Cambio'!$B:$C,2,FALSE)</f>
        <v>0</v>
      </c>
      <c r="U49" s="105">
        <f>P49*VLOOKUP("MXN",'Tipos de Cambio'!$B:$C,2,FALSE)</f>
        <v>0</v>
      </c>
      <c r="V49" s="105">
        <f>P49*VLOOKUP("PEN",'Tipos de Cambio'!$B:$C,2,FALSE)</f>
        <v>0</v>
      </c>
      <c r="W49" s="106"/>
      <c r="X49" s="107">
        <f>W49*VLOOKUP("CLP",'Tipos de Cambio'!$B:$C,2,FALSE)</f>
        <v>0</v>
      </c>
      <c r="Y49" s="108">
        <f>W49*VLOOKUP("CLF",'Tipos de Cambio'!$B:$C,2,FALSE)</f>
        <v>0</v>
      </c>
      <c r="Z49" s="109">
        <f>W49*VLOOKUP("COP",'Tipos de Cambio'!$B:$C,2,FALSE)</f>
        <v>0</v>
      </c>
      <c r="AA49" s="110">
        <f>W49*VLOOKUP("MXN",'Tipos de Cambio'!$B:$C,2,FALSE)</f>
        <v>0</v>
      </c>
      <c r="AB49" s="110">
        <f>W49*VLOOKUP("PEN",'Tipos de Cambio'!$B:$C,2,FALSE)</f>
        <v>0</v>
      </c>
    </row>
    <row r="50" spans="1:28" x14ac:dyDescent="0.3">
      <c r="A50" s="25" t="s">
        <v>294</v>
      </c>
      <c r="B50" s="25" t="s">
        <v>22</v>
      </c>
      <c r="D50" s="1" t="s">
        <v>12</v>
      </c>
      <c r="N50" s="98"/>
      <c r="O50" s="20">
        <f>N50*Datos!$O$3</f>
        <v>0</v>
      </c>
      <c r="P50" s="100"/>
      <c r="Q50" s="111" t="str">
        <f>IFERROR(VLOOKUP(E50,'Tier Datos'!$A$2:$B$5,2,FALSE),"")</f>
        <v/>
      </c>
      <c r="R50" s="101">
        <f>P50*VLOOKUP("CLP",'Tipos de Cambio'!$B:$C,2,FALSE)</f>
        <v>0</v>
      </c>
      <c r="S50" s="102">
        <f>P50*VLOOKUP("CLF",'Tipos de Cambio'!$B:$C,2,FALSE)</f>
        <v>0</v>
      </c>
      <c r="T50" s="103">
        <f>P50*VLOOKUP("COP",'Tipos de Cambio'!$B:$C,2,FALSE)</f>
        <v>0</v>
      </c>
      <c r="U50" s="105">
        <f>P50*VLOOKUP("MXN",'Tipos de Cambio'!$B:$C,2,FALSE)</f>
        <v>0</v>
      </c>
      <c r="V50" s="105">
        <f>P50*VLOOKUP("PEN",'Tipos de Cambio'!$B:$C,2,FALSE)</f>
        <v>0</v>
      </c>
      <c r="W50" s="106"/>
      <c r="X50" s="107">
        <f>W50*VLOOKUP("CLP",'Tipos de Cambio'!$B:$C,2,FALSE)</f>
        <v>0</v>
      </c>
      <c r="Y50" s="108">
        <f>W50*VLOOKUP("CLF",'Tipos de Cambio'!$B:$C,2,FALSE)</f>
        <v>0</v>
      </c>
      <c r="Z50" s="109">
        <f>W50*VLOOKUP("COP",'Tipos de Cambio'!$B:$C,2,FALSE)</f>
        <v>0</v>
      </c>
      <c r="AA50" s="110">
        <f>W50*VLOOKUP("MXN",'Tipos de Cambio'!$B:$C,2,FALSE)</f>
        <v>0</v>
      </c>
      <c r="AB50" s="110">
        <f>W50*VLOOKUP("PEN",'Tipos de Cambio'!$B:$C,2,FALSE)</f>
        <v>0</v>
      </c>
    </row>
    <row r="51" spans="1:28" x14ac:dyDescent="0.3">
      <c r="A51" s="25" t="s">
        <v>295</v>
      </c>
      <c r="B51" s="25" t="s">
        <v>22</v>
      </c>
      <c r="D51" s="1" t="s">
        <v>12</v>
      </c>
      <c r="N51" s="98"/>
      <c r="O51" s="20">
        <f>N51*Datos!$O$3</f>
        <v>0</v>
      </c>
      <c r="P51" s="100"/>
      <c r="Q51" s="111" t="str">
        <f>IFERROR(VLOOKUP(E51,'Tier Datos'!$A$2:$B$5,2,FALSE),"")</f>
        <v/>
      </c>
      <c r="R51" s="101">
        <f>P51*VLOOKUP("CLP",'Tipos de Cambio'!$B:$C,2,FALSE)</f>
        <v>0</v>
      </c>
      <c r="S51" s="102">
        <f>P51*VLOOKUP("CLF",'Tipos de Cambio'!$B:$C,2,FALSE)</f>
        <v>0</v>
      </c>
      <c r="T51" s="103">
        <f>P51*VLOOKUP("COP",'Tipos de Cambio'!$B:$C,2,FALSE)</f>
        <v>0</v>
      </c>
      <c r="U51" s="105">
        <f>P51*VLOOKUP("MXN",'Tipos de Cambio'!$B:$C,2,FALSE)</f>
        <v>0</v>
      </c>
      <c r="V51" s="105">
        <f>P51*VLOOKUP("PEN",'Tipos de Cambio'!$B:$C,2,FALSE)</f>
        <v>0</v>
      </c>
      <c r="W51" s="106"/>
      <c r="X51" s="107">
        <f>W51*VLOOKUP("CLP",'Tipos de Cambio'!$B:$C,2,FALSE)</f>
        <v>0</v>
      </c>
      <c r="Y51" s="108">
        <f>W51*VLOOKUP("CLF",'Tipos de Cambio'!$B:$C,2,FALSE)</f>
        <v>0</v>
      </c>
      <c r="Z51" s="109">
        <f>W51*VLOOKUP("COP",'Tipos de Cambio'!$B:$C,2,FALSE)</f>
        <v>0</v>
      </c>
      <c r="AA51" s="110">
        <f>W51*VLOOKUP("MXN",'Tipos de Cambio'!$B:$C,2,FALSE)</f>
        <v>0</v>
      </c>
      <c r="AB51" s="110">
        <f>W51*VLOOKUP("PEN",'Tipos de Cambio'!$B:$C,2,FALSE)</f>
        <v>0</v>
      </c>
    </row>
    <row r="52" spans="1:28" x14ac:dyDescent="0.3">
      <c r="A52" s="25" t="s">
        <v>296</v>
      </c>
      <c r="B52" s="25" t="s">
        <v>22</v>
      </c>
      <c r="D52" s="1" t="s">
        <v>12</v>
      </c>
      <c r="N52" s="98"/>
      <c r="O52" s="20">
        <f>N52*Datos!$O$3</f>
        <v>0</v>
      </c>
      <c r="P52" s="100"/>
      <c r="Q52" s="111" t="str">
        <f>IFERROR(VLOOKUP(E52,'Tier Datos'!$A$2:$B$5,2,FALSE),"")</f>
        <v/>
      </c>
      <c r="R52" s="101">
        <f>P52*VLOOKUP("CLP",'Tipos de Cambio'!$B:$C,2,FALSE)</f>
        <v>0</v>
      </c>
      <c r="S52" s="102">
        <f>P52*VLOOKUP("CLF",'Tipos de Cambio'!$B:$C,2,FALSE)</f>
        <v>0</v>
      </c>
      <c r="T52" s="103">
        <f>P52*VLOOKUP("COP",'Tipos de Cambio'!$B:$C,2,FALSE)</f>
        <v>0</v>
      </c>
      <c r="U52" s="105">
        <f>P52*VLOOKUP("MXN",'Tipos de Cambio'!$B:$C,2,FALSE)</f>
        <v>0</v>
      </c>
      <c r="V52" s="105">
        <f>P52*VLOOKUP("PEN",'Tipos de Cambio'!$B:$C,2,FALSE)</f>
        <v>0</v>
      </c>
      <c r="W52" s="106"/>
      <c r="X52" s="107">
        <f>W52*VLOOKUP("CLP",'Tipos de Cambio'!$B:$C,2,FALSE)</f>
        <v>0</v>
      </c>
      <c r="Y52" s="108">
        <f>W52*VLOOKUP("CLF",'Tipos de Cambio'!$B:$C,2,FALSE)</f>
        <v>0</v>
      </c>
      <c r="Z52" s="109">
        <f>W52*VLOOKUP("COP",'Tipos de Cambio'!$B:$C,2,FALSE)</f>
        <v>0</v>
      </c>
      <c r="AA52" s="110">
        <f>W52*VLOOKUP("MXN",'Tipos de Cambio'!$B:$C,2,FALSE)</f>
        <v>0</v>
      </c>
      <c r="AB52" s="110">
        <f>W52*VLOOKUP("PEN",'Tipos de Cambio'!$B:$C,2,FALSE)</f>
        <v>0</v>
      </c>
    </row>
    <row r="53" spans="1:28" x14ac:dyDescent="0.3">
      <c r="A53" s="25" t="s">
        <v>297</v>
      </c>
      <c r="B53" s="25" t="s">
        <v>22</v>
      </c>
      <c r="D53" s="1" t="s">
        <v>12</v>
      </c>
      <c r="N53" s="98"/>
      <c r="O53" s="20">
        <f>N53*Datos!$O$3</f>
        <v>0</v>
      </c>
      <c r="P53" s="100"/>
      <c r="Q53" s="111" t="str">
        <f>IFERROR(VLOOKUP(E53,'Tier Datos'!$A$2:$B$5,2,FALSE),"")</f>
        <v/>
      </c>
      <c r="R53" s="101">
        <f>P53*VLOOKUP("CLP",'Tipos de Cambio'!$B:$C,2,FALSE)</f>
        <v>0</v>
      </c>
      <c r="S53" s="102">
        <f>P53*VLOOKUP("CLF",'Tipos de Cambio'!$B:$C,2,FALSE)</f>
        <v>0</v>
      </c>
      <c r="T53" s="103">
        <f>P53*VLOOKUP("COP",'Tipos de Cambio'!$B:$C,2,FALSE)</f>
        <v>0</v>
      </c>
      <c r="U53" s="105">
        <f>P53*VLOOKUP("MXN",'Tipos de Cambio'!$B:$C,2,FALSE)</f>
        <v>0</v>
      </c>
      <c r="V53" s="105">
        <f>P53*VLOOKUP("PEN",'Tipos de Cambio'!$B:$C,2,FALSE)</f>
        <v>0</v>
      </c>
      <c r="W53" s="106"/>
      <c r="X53" s="107">
        <f>W53*VLOOKUP("CLP",'Tipos de Cambio'!$B:$C,2,FALSE)</f>
        <v>0</v>
      </c>
      <c r="Y53" s="108">
        <f>W53*VLOOKUP("CLF",'Tipos de Cambio'!$B:$C,2,FALSE)</f>
        <v>0</v>
      </c>
      <c r="Z53" s="109">
        <f>W53*VLOOKUP("COP",'Tipos de Cambio'!$B:$C,2,FALSE)</f>
        <v>0</v>
      </c>
      <c r="AA53" s="110">
        <f>W53*VLOOKUP("MXN",'Tipos de Cambio'!$B:$C,2,FALSE)</f>
        <v>0</v>
      </c>
      <c r="AB53" s="110">
        <f>W53*VLOOKUP("PEN",'Tipos de Cambio'!$B:$C,2,FALSE)</f>
        <v>0</v>
      </c>
    </row>
    <row r="54" spans="1:28" x14ac:dyDescent="0.3">
      <c r="A54" s="25" t="s">
        <v>298</v>
      </c>
      <c r="B54" s="25" t="s">
        <v>22</v>
      </c>
      <c r="D54" s="1" t="s">
        <v>12</v>
      </c>
      <c r="N54" s="98"/>
      <c r="O54" s="20">
        <f>N54*Datos!$O$3</f>
        <v>0</v>
      </c>
      <c r="P54" s="100"/>
      <c r="Q54" s="111" t="str">
        <f>IFERROR(VLOOKUP(E54,'Tier Datos'!$A$2:$B$5,2,FALSE),"")</f>
        <v/>
      </c>
      <c r="R54" s="101">
        <f>P54*VLOOKUP("CLP",'Tipos de Cambio'!$B:$C,2,FALSE)</f>
        <v>0</v>
      </c>
      <c r="S54" s="102">
        <f>P54*VLOOKUP("CLF",'Tipos de Cambio'!$B:$C,2,FALSE)</f>
        <v>0</v>
      </c>
      <c r="T54" s="103">
        <f>P54*VLOOKUP("COP",'Tipos de Cambio'!$B:$C,2,FALSE)</f>
        <v>0</v>
      </c>
      <c r="U54" s="105">
        <f>P54*VLOOKUP("MXN",'Tipos de Cambio'!$B:$C,2,FALSE)</f>
        <v>0</v>
      </c>
      <c r="V54" s="105">
        <f>P54*VLOOKUP("PEN",'Tipos de Cambio'!$B:$C,2,FALSE)</f>
        <v>0</v>
      </c>
      <c r="W54" s="106"/>
      <c r="X54" s="107">
        <f>W54*VLOOKUP("CLP",'Tipos de Cambio'!$B:$C,2,FALSE)</f>
        <v>0</v>
      </c>
      <c r="Y54" s="108">
        <f>W54*VLOOKUP("CLF",'Tipos de Cambio'!$B:$C,2,FALSE)</f>
        <v>0</v>
      </c>
      <c r="Z54" s="109">
        <f>W54*VLOOKUP("COP",'Tipos de Cambio'!$B:$C,2,FALSE)</f>
        <v>0</v>
      </c>
      <c r="AA54" s="110">
        <f>W54*VLOOKUP("MXN",'Tipos de Cambio'!$B:$C,2,FALSE)</f>
        <v>0</v>
      </c>
      <c r="AB54" s="110">
        <f>W54*VLOOKUP("PEN",'Tipos de Cambio'!$B:$C,2,FALSE)</f>
        <v>0</v>
      </c>
    </row>
    <row r="55" spans="1:28" x14ac:dyDescent="0.3">
      <c r="A55" s="25" t="s">
        <v>299</v>
      </c>
      <c r="B55" s="25" t="s">
        <v>22</v>
      </c>
      <c r="D55" s="1" t="s">
        <v>12</v>
      </c>
      <c r="N55" s="98"/>
      <c r="O55" s="20">
        <f>N55*Datos!$O$3</f>
        <v>0</v>
      </c>
      <c r="P55" s="100"/>
      <c r="Q55" s="111" t="str">
        <f>IFERROR(VLOOKUP(E55,'Tier Datos'!$A$2:$B$5,2,FALSE),"")</f>
        <v/>
      </c>
      <c r="R55" s="101">
        <f>P55*VLOOKUP("CLP",'Tipos de Cambio'!$B:$C,2,FALSE)</f>
        <v>0</v>
      </c>
      <c r="S55" s="102">
        <f>P55*VLOOKUP("CLF",'Tipos de Cambio'!$B:$C,2,FALSE)</f>
        <v>0</v>
      </c>
      <c r="T55" s="103">
        <f>P55*VLOOKUP("COP",'Tipos de Cambio'!$B:$C,2,FALSE)</f>
        <v>0</v>
      </c>
      <c r="U55" s="105">
        <f>P55*VLOOKUP("MXN",'Tipos de Cambio'!$B:$C,2,FALSE)</f>
        <v>0</v>
      </c>
      <c r="V55" s="105">
        <f>P55*VLOOKUP("PEN",'Tipos de Cambio'!$B:$C,2,FALSE)</f>
        <v>0</v>
      </c>
      <c r="W55" s="106"/>
      <c r="X55" s="107">
        <f>W55*VLOOKUP("CLP",'Tipos de Cambio'!$B:$C,2,FALSE)</f>
        <v>0</v>
      </c>
      <c r="Y55" s="108">
        <f>W55*VLOOKUP("CLF",'Tipos de Cambio'!$B:$C,2,FALSE)</f>
        <v>0</v>
      </c>
      <c r="Z55" s="109">
        <f>W55*VLOOKUP("COP",'Tipos de Cambio'!$B:$C,2,FALSE)</f>
        <v>0</v>
      </c>
      <c r="AA55" s="110">
        <f>W55*VLOOKUP("MXN",'Tipos de Cambio'!$B:$C,2,FALSE)</f>
        <v>0</v>
      </c>
      <c r="AB55" s="110">
        <f>W55*VLOOKUP("PEN",'Tipos de Cambio'!$B:$C,2,FALSE)</f>
        <v>0</v>
      </c>
    </row>
    <row r="56" spans="1:28" x14ac:dyDescent="0.3">
      <c r="A56" s="25" t="s">
        <v>300</v>
      </c>
      <c r="B56" s="25" t="s">
        <v>22</v>
      </c>
      <c r="D56" s="1" t="s">
        <v>12</v>
      </c>
      <c r="N56" s="98"/>
      <c r="O56" s="20">
        <f>N56*Datos!$O$3</f>
        <v>0</v>
      </c>
      <c r="P56" s="100"/>
      <c r="Q56" s="111" t="str">
        <f>IFERROR(VLOOKUP(E56,'Tier Datos'!$A$2:$B$5,2,FALSE),"")</f>
        <v/>
      </c>
      <c r="R56" s="101">
        <f>P56*VLOOKUP("CLP",'Tipos de Cambio'!$B:$C,2,FALSE)</f>
        <v>0</v>
      </c>
      <c r="S56" s="102">
        <f>P56*VLOOKUP("CLF",'Tipos de Cambio'!$B:$C,2,FALSE)</f>
        <v>0</v>
      </c>
      <c r="T56" s="103">
        <f>P56*VLOOKUP("COP",'Tipos de Cambio'!$B:$C,2,FALSE)</f>
        <v>0</v>
      </c>
      <c r="U56" s="105">
        <f>P56*VLOOKUP("MXN",'Tipos de Cambio'!$B:$C,2,FALSE)</f>
        <v>0</v>
      </c>
      <c r="V56" s="105">
        <f>P56*VLOOKUP("PEN",'Tipos de Cambio'!$B:$C,2,FALSE)</f>
        <v>0</v>
      </c>
      <c r="W56" s="106"/>
      <c r="X56" s="107">
        <f>W56*VLOOKUP("CLP",'Tipos de Cambio'!$B:$C,2,FALSE)</f>
        <v>0</v>
      </c>
      <c r="Y56" s="108">
        <f>W56*VLOOKUP("CLF",'Tipos de Cambio'!$B:$C,2,FALSE)</f>
        <v>0</v>
      </c>
      <c r="Z56" s="109">
        <f>W56*VLOOKUP("COP",'Tipos de Cambio'!$B:$C,2,FALSE)</f>
        <v>0</v>
      </c>
      <c r="AA56" s="110">
        <f>W56*VLOOKUP("MXN",'Tipos de Cambio'!$B:$C,2,FALSE)</f>
        <v>0</v>
      </c>
      <c r="AB56" s="110">
        <f>W56*VLOOKUP("PEN",'Tipos de Cambio'!$B:$C,2,FALSE)</f>
        <v>0</v>
      </c>
    </row>
    <row r="57" spans="1:28" x14ac:dyDescent="0.3">
      <c r="A57" s="25" t="s">
        <v>301</v>
      </c>
      <c r="B57" s="25" t="s">
        <v>22</v>
      </c>
      <c r="D57" s="1" t="s">
        <v>12</v>
      </c>
      <c r="N57" s="98"/>
      <c r="O57" s="20">
        <f>N57*Datos!$O$3</f>
        <v>0</v>
      </c>
      <c r="P57" s="100"/>
      <c r="Q57" s="111" t="str">
        <f>IFERROR(VLOOKUP(E57,'Tier Datos'!$A$2:$B$5,2,FALSE),"")</f>
        <v/>
      </c>
      <c r="R57" s="101">
        <f>P57*VLOOKUP("CLP",'Tipos de Cambio'!$B:$C,2,FALSE)</f>
        <v>0</v>
      </c>
      <c r="S57" s="102">
        <f>P57*VLOOKUP("CLF",'Tipos de Cambio'!$B:$C,2,FALSE)</f>
        <v>0</v>
      </c>
      <c r="T57" s="103">
        <f>P57*VLOOKUP("COP",'Tipos de Cambio'!$B:$C,2,FALSE)</f>
        <v>0</v>
      </c>
      <c r="U57" s="105">
        <f>P57*VLOOKUP("MXN",'Tipos de Cambio'!$B:$C,2,FALSE)</f>
        <v>0</v>
      </c>
      <c r="V57" s="105">
        <f>P57*VLOOKUP("PEN",'Tipos de Cambio'!$B:$C,2,FALSE)</f>
        <v>0</v>
      </c>
      <c r="W57" s="106"/>
      <c r="X57" s="107">
        <f>W57*VLOOKUP("CLP",'Tipos de Cambio'!$B:$C,2,FALSE)</f>
        <v>0</v>
      </c>
      <c r="Y57" s="108">
        <f>W57*VLOOKUP("CLF",'Tipos de Cambio'!$B:$C,2,FALSE)</f>
        <v>0</v>
      </c>
      <c r="Z57" s="109">
        <f>W57*VLOOKUP("COP",'Tipos de Cambio'!$B:$C,2,FALSE)</f>
        <v>0</v>
      </c>
      <c r="AA57" s="110">
        <f>W57*VLOOKUP("MXN",'Tipos de Cambio'!$B:$C,2,FALSE)</f>
        <v>0</v>
      </c>
      <c r="AB57" s="110">
        <f>W57*VLOOKUP("PEN",'Tipos de Cambio'!$B:$C,2,FALSE)</f>
        <v>0</v>
      </c>
    </row>
    <row r="58" spans="1:28" x14ac:dyDescent="0.3">
      <c r="A58" s="25" t="s">
        <v>302</v>
      </c>
      <c r="B58" s="25" t="s">
        <v>22</v>
      </c>
      <c r="D58" s="1" t="s">
        <v>12</v>
      </c>
      <c r="N58" s="98"/>
      <c r="O58" s="20">
        <f>N58*Datos!$O$3</f>
        <v>0</v>
      </c>
      <c r="P58" s="100"/>
      <c r="Q58" s="111" t="str">
        <f>IFERROR(VLOOKUP(E58,'Tier Datos'!$A$2:$B$5,2,FALSE),"")</f>
        <v/>
      </c>
      <c r="R58" s="101">
        <f>P58*VLOOKUP("CLP",'Tipos de Cambio'!$B:$C,2,FALSE)</f>
        <v>0</v>
      </c>
      <c r="S58" s="102">
        <f>P58*VLOOKUP("CLF",'Tipos de Cambio'!$B:$C,2,FALSE)</f>
        <v>0</v>
      </c>
      <c r="T58" s="103">
        <f>P58*VLOOKUP("COP",'Tipos de Cambio'!$B:$C,2,FALSE)</f>
        <v>0</v>
      </c>
      <c r="U58" s="105">
        <f>P58*VLOOKUP("MXN",'Tipos de Cambio'!$B:$C,2,FALSE)</f>
        <v>0</v>
      </c>
      <c r="V58" s="105">
        <f>P58*VLOOKUP("PEN",'Tipos de Cambio'!$B:$C,2,FALSE)</f>
        <v>0</v>
      </c>
      <c r="W58" s="106"/>
      <c r="X58" s="107"/>
      <c r="Y58" s="108"/>
      <c r="Z58" s="109">
        <f>W58*VLOOKUP("COP",'Tipos de Cambio'!$B:$C,2,FALSE)</f>
        <v>0</v>
      </c>
      <c r="AA58" s="110">
        <f>W58*VLOOKUP("MXN",'Tipos de Cambio'!$B:$C,2,FALSE)</f>
        <v>0</v>
      </c>
      <c r="AB58" s="110">
        <f>W58*VLOOKUP("PEN",'Tipos de Cambio'!$B:$C,2,FALSE)</f>
        <v>0</v>
      </c>
    </row>
    <row r="59" spans="1:28" x14ac:dyDescent="0.3">
      <c r="A59" s="25" t="s">
        <v>303</v>
      </c>
      <c r="B59" s="25" t="s">
        <v>22</v>
      </c>
      <c r="D59" s="1" t="s">
        <v>12</v>
      </c>
      <c r="N59" s="98"/>
      <c r="O59" s="20">
        <f>N59*Datos!$O$3</f>
        <v>0</v>
      </c>
      <c r="P59" s="100"/>
      <c r="Q59" s="111" t="str">
        <f>IFERROR(VLOOKUP(E59,'Tier Datos'!$A$2:$B$5,2,FALSE),"")</f>
        <v/>
      </c>
      <c r="R59" s="101">
        <f>P59*VLOOKUP("CLP",'Tipos de Cambio'!$B:$C,2,FALSE)</f>
        <v>0</v>
      </c>
      <c r="S59" s="102">
        <f>P59*VLOOKUP("CLF",'Tipos de Cambio'!$B:$C,2,FALSE)</f>
        <v>0</v>
      </c>
      <c r="T59" s="103">
        <f>P59*VLOOKUP("COP",'Tipos de Cambio'!$B:$C,2,FALSE)</f>
        <v>0</v>
      </c>
      <c r="U59" s="105">
        <f>P59*VLOOKUP("MXN",'Tipos de Cambio'!$B:$C,2,FALSE)</f>
        <v>0</v>
      </c>
      <c r="V59" s="105">
        <f>P59*VLOOKUP("PEN",'Tipos de Cambio'!$B:$C,2,FALSE)</f>
        <v>0</v>
      </c>
      <c r="W59" s="106"/>
      <c r="X59" s="107"/>
      <c r="Y59" s="108"/>
      <c r="Z59" s="109">
        <f>W59*VLOOKUP("COP",'Tipos de Cambio'!$B:$C,2,FALSE)</f>
        <v>0</v>
      </c>
      <c r="AA59" s="110">
        <f>W59*VLOOKUP("MXN",'Tipos de Cambio'!$B:$C,2,FALSE)</f>
        <v>0</v>
      </c>
      <c r="AB59" s="110">
        <f>W59*VLOOKUP("PEN",'Tipos de Cambio'!$B:$C,2,FALSE)</f>
        <v>0</v>
      </c>
    </row>
    <row r="60" spans="1:28" x14ac:dyDescent="0.3">
      <c r="A60" s="25" t="s">
        <v>304</v>
      </c>
      <c r="B60" s="25" t="s">
        <v>22</v>
      </c>
      <c r="D60" s="1" t="s">
        <v>12</v>
      </c>
      <c r="N60" s="98"/>
      <c r="O60" s="20">
        <f>N60*Datos!$O$3</f>
        <v>0</v>
      </c>
      <c r="P60" s="100"/>
      <c r="Q60" s="111" t="str">
        <f>IFERROR(VLOOKUP(E60,'Tier Datos'!$A$2:$B$5,2,FALSE),"")</f>
        <v/>
      </c>
      <c r="R60" s="101">
        <f>P60*VLOOKUP("CLP",'Tipos de Cambio'!$B:$C,2,FALSE)</f>
        <v>0</v>
      </c>
      <c r="S60" s="102">
        <f>P60*VLOOKUP("CLF",'Tipos de Cambio'!$B:$C,2,FALSE)</f>
        <v>0</v>
      </c>
      <c r="T60" s="103">
        <f>P60*VLOOKUP("COP",'Tipos de Cambio'!$B:$C,2,FALSE)</f>
        <v>0</v>
      </c>
      <c r="U60" s="105">
        <f>P60*VLOOKUP("MXN",'Tipos de Cambio'!$B:$C,2,FALSE)</f>
        <v>0</v>
      </c>
      <c r="V60" s="105">
        <f>P60*VLOOKUP("PEN",'Tipos de Cambio'!$B:$C,2,FALSE)</f>
        <v>0</v>
      </c>
      <c r="W60" s="106"/>
      <c r="X60" s="107"/>
      <c r="Y60" s="108"/>
      <c r="Z60" s="109">
        <f>W60*VLOOKUP("COP",'Tipos de Cambio'!$B:$C,2,FALSE)</f>
        <v>0</v>
      </c>
      <c r="AA60" s="110">
        <f>W60*VLOOKUP("MXN",'Tipos de Cambio'!$B:$C,2,FALSE)</f>
        <v>0</v>
      </c>
      <c r="AB60" s="110">
        <f>W60*VLOOKUP("PEN",'Tipos de Cambio'!$B:$C,2,FALSE)</f>
        <v>0</v>
      </c>
    </row>
    <row r="61" spans="1:28" x14ac:dyDescent="0.3">
      <c r="A61" s="25" t="s">
        <v>305</v>
      </c>
      <c r="B61" s="25" t="s">
        <v>22</v>
      </c>
      <c r="D61" s="1" t="s">
        <v>12</v>
      </c>
      <c r="N61" s="98"/>
      <c r="O61" s="20">
        <f>N61*Datos!$O$3</f>
        <v>0</v>
      </c>
      <c r="P61" s="100"/>
      <c r="Q61" s="111" t="str">
        <f>IFERROR(VLOOKUP(E61,'Tier Datos'!$A$2:$B$5,2,FALSE),"")</f>
        <v/>
      </c>
      <c r="R61" s="101">
        <f>P61*VLOOKUP("CLP",'Tipos de Cambio'!$B:$C,2,FALSE)</f>
        <v>0</v>
      </c>
      <c r="S61" s="102">
        <f>P61*VLOOKUP("CLF",'Tipos de Cambio'!$B:$C,2,FALSE)</f>
        <v>0</v>
      </c>
      <c r="T61" s="103">
        <f>P61*VLOOKUP("COP",'Tipos de Cambio'!$B:$C,2,FALSE)</f>
        <v>0</v>
      </c>
      <c r="U61" s="105">
        <f>P61*VLOOKUP("MXN",'Tipos de Cambio'!$B:$C,2,FALSE)</f>
        <v>0</v>
      </c>
      <c r="V61" s="105">
        <f>P61*VLOOKUP("PEN",'Tipos de Cambio'!$B:$C,2,FALSE)</f>
        <v>0</v>
      </c>
      <c r="W61" s="106"/>
      <c r="X61" s="107"/>
      <c r="Y61" s="108"/>
      <c r="Z61" s="109">
        <f>W61*VLOOKUP("COP",'Tipos de Cambio'!$B:$C,2,FALSE)</f>
        <v>0</v>
      </c>
      <c r="AA61" s="110">
        <f>W61*VLOOKUP("MXN",'Tipos de Cambio'!$B:$C,2,FALSE)</f>
        <v>0</v>
      </c>
      <c r="AB61" s="110">
        <f>W61*VLOOKUP("PEN",'Tipos de Cambio'!$B:$C,2,FALSE)</f>
        <v>0</v>
      </c>
    </row>
    <row r="62" spans="1:28" x14ac:dyDescent="0.3">
      <c r="A62" s="25" t="s">
        <v>306</v>
      </c>
      <c r="B62" s="25" t="s">
        <v>22</v>
      </c>
      <c r="D62" s="1" t="s">
        <v>12</v>
      </c>
      <c r="N62" s="98"/>
      <c r="O62" s="20">
        <f>N62*Datos!$O$3</f>
        <v>0</v>
      </c>
      <c r="P62" s="100"/>
      <c r="Q62" s="111" t="str">
        <f>IFERROR(VLOOKUP(E62,'Tier Datos'!$A$2:$B$5,2,FALSE),"")</f>
        <v/>
      </c>
      <c r="R62" s="101">
        <f>P62*VLOOKUP("CLP",'Tipos de Cambio'!$B:$C,2,FALSE)</f>
        <v>0</v>
      </c>
      <c r="S62" s="102">
        <f>P62*VLOOKUP("CLF",'Tipos de Cambio'!$B:$C,2,FALSE)</f>
        <v>0</v>
      </c>
      <c r="T62" s="103">
        <f>P62*VLOOKUP("COP",'Tipos de Cambio'!$B:$C,2,FALSE)</f>
        <v>0</v>
      </c>
      <c r="U62" s="105">
        <f>P62*VLOOKUP("MXN",'Tipos de Cambio'!$B:$C,2,FALSE)</f>
        <v>0</v>
      </c>
      <c r="V62" s="105">
        <f>P62*VLOOKUP("PEN",'Tipos de Cambio'!$B:$C,2,FALSE)</f>
        <v>0</v>
      </c>
      <c r="W62" s="106"/>
      <c r="X62" s="107"/>
      <c r="Y62" s="108"/>
      <c r="Z62" s="109">
        <f>W62*VLOOKUP("COP",'Tipos de Cambio'!$B:$C,2,FALSE)</f>
        <v>0</v>
      </c>
      <c r="AA62" s="110">
        <f>W62*VLOOKUP("MXN",'Tipos de Cambio'!$B:$C,2,FALSE)</f>
        <v>0</v>
      </c>
      <c r="AB62" s="110">
        <f>W62*VLOOKUP("PEN",'Tipos de Cambio'!$B:$C,2,FALSE)</f>
        <v>0</v>
      </c>
    </row>
    <row r="63" spans="1:28" x14ac:dyDescent="0.3">
      <c r="A63" s="25" t="s">
        <v>307</v>
      </c>
      <c r="B63" s="25" t="s">
        <v>22</v>
      </c>
      <c r="D63" s="1" t="s">
        <v>12</v>
      </c>
      <c r="N63" s="98"/>
      <c r="O63" s="20">
        <f>N63*Datos!$O$3</f>
        <v>0</v>
      </c>
      <c r="P63" s="100"/>
      <c r="Q63" s="111" t="str">
        <f>IFERROR(VLOOKUP(E63,'Tier Datos'!$A$2:$B$5,2,FALSE),"")</f>
        <v/>
      </c>
      <c r="R63" s="101">
        <f>P63*VLOOKUP("CLP",'Tipos de Cambio'!$B:$C,2,FALSE)</f>
        <v>0</v>
      </c>
      <c r="S63" s="102">
        <f>P63*VLOOKUP("CLF",'Tipos de Cambio'!$B:$C,2,FALSE)</f>
        <v>0</v>
      </c>
      <c r="T63" s="103">
        <f>P63*VLOOKUP("COP",'Tipos de Cambio'!$B:$C,2,FALSE)</f>
        <v>0</v>
      </c>
      <c r="U63" s="105">
        <f>P63*VLOOKUP("MXN",'Tipos de Cambio'!$B:$C,2,FALSE)</f>
        <v>0</v>
      </c>
      <c r="V63" s="105">
        <f>P63*VLOOKUP("PEN",'Tipos de Cambio'!$B:$C,2,FALSE)</f>
        <v>0</v>
      </c>
      <c r="W63" s="106"/>
      <c r="X63" s="107"/>
      <c r="Y63" s="108"/>
      <c r="Z63" s="109">
        <f>W63*VLOOKUP("COP",'Tipos de Cambio'!$B:$C,2,FALSE)</f>
        <v>0</v>
      </c>
      <c r="AA63" s="110">
        <f>W63*VLOOKUP("MXN",'Tipos de Cambio'!$B:$C,2,FALSE)</f>
        <v>0</v>
      </c>
      <c r="AB63" s="110">
        <f>W63*VLOOKUP("PEN",'Tipos de Cambio'!$B:$C,2,FALSE)</f>
        <v>0</v>
      </c>
    </row>
    <row r="64" spans="1:28" x14ac:dyDescent="0.3">
      <c r="A64" s="25" t="s">
        <v>308</v>
      </c>
      <c r="B64" s="25" t="s">
        <v>22</v>
      </c>
      <c r="D64" s="1" t="s">
        <v>12</v>
      </c>
      <c r="N64" s="98"/>
      <c r="O64" s="20">
        <f>N64*Datos!$O$3</f>
        <v>0</v>
      </c>
      <c r="P64" s="100"/>
      <c r="Q64" s="111" t="str">
        <f>IFERROR(VLOOKUP(E64,'Tier Datos'!$A$2:$B$5,2,FALSE),"")</f>
        <v/>
      </c>
      <c r="R64" s="101">
        <f>P64*VLOOKUP("CLP",'Tipos de Cambio'!$B:$C,2,FALSE)</f>
        <v>0</v>
      </c>
      <c r="S64" s="102">
        <f>P64*VLOOKUP("CLF",'Tipos de Cambio'!$B:$C,2,FALSE)</f>
        <v>0</v>
      </c>
      <c r="T64" s="103">
        <f>P64*VLOOKUP("COP",'Tipos de Cambio'!$B:$C,2,FALSE)</f>
        <v>0</v>
      </c>
      <c r="U64" s="105">
        <f>P64*VLOOKUP("MXN",'Tipos de Cambio'!$B:$C,2,FALSE)</f>
        <v>0</v>
      </c>
      <c r="V64" s="105">
        <f>P64*VLOOKUP("PEN",'Tipos de Cambio'!$B:$C,2,FALSE)</f>
        <v>0</v>
      </c>
      <c r="W64" s="106"/>
      <c r="X64" s="107"/>
      <c r="Y64" s="108"/>
      <c r="Z64" s="109">
        <f>W64*VLOOKUP("COP",'Tipos de Cambio'!$B:$C,2,FALSE)</f>
        <v>0</v>
      </c>
      <c r="AA64" s="110"/>
      <c r="AB64" s="110">
        <f>W64*VLOOKUP("PEN",'Tipos de Cambio'!$B:$C,2,FALSE)</f>
        <v>0</v>
      </c>
    </row>
    <row r="65" spans="1:28" x14ac:dyDescent="0.3">
      <c r="A65" s="25" t="s">
        <v>309</v>
      </c>
      <c r="B65" s="25" t="s">
        <v>22</v>
      </c>
      <c r="D65" s="1" t="s">
        <v>12</v>
      </c>
      <c r="N65" s="98"/>
      <c r="P65" s="100"/>
      <c r="Q65" s="111" t="str">
        <f>IFERROR(VLOOKUP(E65,'Tier Datos'!$A$2:$B$5,2,FALSE),"")</f>
        <v/>
      </c>
      <c r="R65" s="101">
        <f>P65*VLOOKUP("CLP",'Tipos de Cambio'!$B:$C,2,FALSE)</f>
        <v>0</v>
      </c>
      <c r="S65" s="102">
        <f>P65*VLOOKUP("CLF",'Tipos de Cambio'!$B:$C,2,FALSE)</f>
        <v>0</v>
      </c>
      <c r="T65" s="103">
        <f>P65*VLOOKUP("COP",'Tipos de Cambio'!$B:$C,2,FALSE)</f>
        <v>0</v>
      </c>
      <c r="U65" s="105">
        <f>P65*VLOOKUP("MXN",'Tipos de Cambio'!$B:$C,2,FALSE)</f>
        <v>0</v>
      </c>
      <c r="V65" s="105">
        <f>P65*VLOOKUP("PEN",'Tipos de Cambio'!$B:$C,2,FALSE)</f>
        <v>0</v>
      </c>
      <c r="W65" s="106"/>
      <c r="X65" s="107"/>
      <c r="Y65" s="108"/>
      <c r="Z65" s="109">
        <f>W65*VLOOKUP("COP",'Tipos de Cambio'!$B:$C,2,FALSE)</f>
        <v>0</v>
      </c>
      <c r="AA65" s="110"/>
      <c r="AB65" s="110">
        <f>W65*VLOOKUP("PEN",'Tipos de Cambio'!$B:$C,2,FALSE)</f>
        <v>0</v>
      </c>
    </row>
    <row r="66" spans="1:28" x14ac:dyDescent="0.3">
      <c r="A66" s="25" t="s">
        <v>310</v>
      </c>
      <c r="B66" s="25" t="s">
        <v>22</v>
      </c>
      <c r="D66" s="1" t="s">
        <v>12</v>
      </c>
      <c r="N66" s="98"/>
      <c r="P66" s="100"/>
      <c r="Q66" s="111" t="str">
        <f>IFERROR(VLOOKUP(E66,'Tier Datos'!$A$2:$B$5,2,FALSE),"")</f>
        <v/>
      </c>
      <c r="R66" s="101"/>
      <c r="S66" s="102"/>
      <c r="T66" s="104"/>
      <c r="U66" s="105"/>
      <c r="V66" s="105"/>
      <c r="W66" s="106"/>
      <c r="X66" s="107"/>
      <c r="Y66" s="108"/>
      <c r="Z66" s="109">
        <f>W66*VLOOKUP("COP",'Tipos de Cambio'!$B:$C,2,FALSE)</f>
        <v>0</v>
      </c>
      <c r="AA66" s="110"/>
      <c r="AB66" s="110">
        <f>W66*VLOOKUP("PEN",'Tipos de Cambio'!$B:$C,2,FALSE)</f>
        <v>0</v>
      </c>
    </row>
    <row r="67" spans="1:28" x14ac:dyDescent="0.3">
      <c r="A67" s="25" t="s">
        <v>311</v>
      </c>
      <c r="B67" s="25" t="s">
        <v>22</v>
      </c>
      <c r="D67" s="1" t="s">
        <v>12</v>
      </c>
      <c r="N67" s="98"/>
      <c r="P67" s="100"/>
      <c r="Q67" s="111" t="str">
        <f>IFERROR(VLOOKUP(E67,'Tier Datos'!$A$2:$B$5,2,FALSE),"")</f>
        <v/>
      </c>
      <c r="R67" s="101"/>
      <c r="S67" s="102"/>
      <c r="T67" s="104"/>
      <c r="U67" s="105"/>
      <c r="V67" s="105"/>
      <c r="W67" s="106"/>
      <c r="X67" s="107"/>
      <c r="Y67" s="108"/>
      <c r="Z67" s="109">
        <f>W67*VLOOKUP("COP",'Tipos de Cambio'!$B:$C,2,FALSE)</f>
        <v>0</v>
      </c>
      <c r="AA67" s="110"/>
      <c r="AB67" s="110">
        <f>W67*VLOOKUP("PEN",'Tipos de Cambio'!$B:$C,2,FALSE)</f>
        <v>0</v>
      </c>
    </row>
    <row r="68" spans="1:28" x14ac:dyDescent="0.3">
      <c r="A68" s="25" t="s">
        <v>312</v>
      </c>
      <c r="B68" s="25" t="s">
        <v>22</v>
      </c>
      <c r="D68" s="1" t="s">
        <v>12</v>
      </c>
      <c r="N68" s="98"/>
      <c r="P68" s="100"/>
      <c r="Q68" s="111" t="str">
        <f>IFERROR(VLOOKUP(E68,'Tier Datos'!$A$2:$B$5,2,FALSE),"")</f>
        <v/>
      </c>
      <c r="R68" s="101"/>
      <c r="S68" s="102"/>
      <c r="T68" s="104"/>
      <c r="U68" s="105"/>
      <c r="V68" s="105"/>
      <c r="W68" s="106"/>
      <c r="X68" s="107"/>
      <c r="Y68" s="108"/>
      <c r="Z68" s="109">
        <f>W68*VLOOKUP("COP",'Tipos de Cambio'!$B:$C,2,FALSE)</f>
        <v>0</v>
      </c>
      <c r="AA68" s="110"/>
      <c r="AB68" s="110">
        <f>W68*VLOOKUP("PEN",'Tipos de Cambio'!$B:$C,2,FALSE)</f>
        <v>0</v>
      </c>
    </row>
    <row r="69" spans="1:28" x14ac:dyDescent="0.3">
      <c r="A69" s="25" t="s">
        <v>313</v>
      </c>
      <c r="B69" s="25" t="s">
        <v>22</v>
      </c>
      <c r="D69" s="1" t="s">
        <v>12</v>
      </c>
      <c r="N69" s="98"/>
      <c r="P69" s="100"/>
      <c r="Q69" s="111" t="str">
        <f>IFERROR(VLOOKUP(E69,'Tier Datos'!$A$2:$B$5,2,FALSE),"")</f>
        <v/>
      </c>
      <c r="R69" s="101"/>
      <c r="S69" s="102"/>
      <c r="T69" s="104"/>
      <c r="U69" s="105"/>
      <c r="V69" s="105"/>
      <c r="W69" s="106"/>
      <c r="X69" s="107"/>
      <c r="Y69" s="108"/>
      <c r="Z69" s="109">
        <f>W69*VLOOKUP("COP",'Tipos de Cambio'!$B:$C,2,FALSE)</f>
        <v>0</v>
      </c>
      <c r="AA69" s="110"/>
      <c r="AB69" s="110">
        <f>W69*VLOOKUP("PEN",'Tipos de Cambio'!$B:$C,2,FALSE)</f>
        <v>0</v>
      </c>
    </row>
    <row r="70" spans="1:28" x14ac:dyDescent="0.3">
      <c r="A70" s="25" t="s">
        <v>314</v>
      </c>
      <c r="B70" s="25" t="s">
        <v>22</v>
      </c>
      <c r="D70" s="1" t="s">
        <v>12</v>
      </c>
      <c r="N70" s="98"/>
      <c r="P70" s="100"/>
      <c r="Q70" s="111" t="str">
        <f>IFERROR(VLOOKUP(E70,'Tier Datos'!$A$2:$B$5,2,FALSE),"")</f>
        <v/>
      </c>
      <c r="R70" s="101"/>
      <c r="S70" s="102"/>
      <c r="T70" s="104"/>
      <c r="U70" s="105"/>
      <c r="V70" s="105"/>
      <c r="W70" s="106"/>
      <c r="X70" s="107"/>
      <c r="Y70" s="108"/>
      <c r="Z70" s="109"/>
      <c r="AA70" s="110"/>
      <c r="AB70" s="110"/>
    </row>
    <row r="71" spans="1:28" x14ac:dyDescent="0.3">
      <c r="A71" s="25" t="s">
        <v>315</v>
      </c>
      <c r="B71" s="25" t="s">
        <v>22</v>
      </c>
      <c r="D71" s="1" t="s">
        <v>12</v>
      </c>
      <c r="N71" s="98"/>
      <c r="P71" s="100"/>
      <c r="Q71" s="111" t="str">
        <f>IFERROR(VLOOKUP(E71,'Tier Datos'!$A$2:$B$5,2,FALSE),"")</f>
        <v/>
      </c>
      <c r="R71" s="101"/>
      <c r="S71" s="102"/>
      <c r="T71" s="104"/>
      <c r="U71" s="105"/>
      <c r="V71" s="105"/>
      <c r="W71" s="106"/>
      <c r="X71" s="107"/>
      <c r="Y71" s="108"/>
      <c r="Z71" s="109"/>
      <c r="AA71" s="110"/>
      <c r="AB71" s="110"/>
    </row>
    <row r="72" spans="1:28" x14ac:dyDescent="0.3">
      <c r="A72" s="25" t="s">
        <v>316</v>
      </c>
      <c r="B72" s="25" t="s">
        <v>22</v>
      </c>
      <c r="D72" s="1" t="s">
        <v>12</v>
      </c>
      <c r="N72" s="98"/>
      <c r="P72" s="100"/>
      <c r="Q72" s="111" t="str">
        <f>IFERROR(VLOOKUP(E72,'Tier Datos'!$A$2:$B$5,2,FALSE),"")</f>
        <v/>
      </c>
      <c r="R72" s="101"/>
      <c r="S72" s="102"/>
      <c r="T72" s="104"/>
      <c r="U72" s="105"/>
      <c r="V72" s="105"/>
      <c r="W72" s="106"/>
      <c r="X72" s="107"/>
      <c r="Y72" s="108"/>
      <c r="Z72" s="109"/>
      <c r="AA72" s="110"/>
      <c r="AB72" s="110"/>
    </row>
    <row r="73" spans="1:28" x14ac:dyDescent="0.3">
      <c r="A73" s="25" t="s">
        <v>317</v>
      </c>
      <c r="B73" s="25" t="s">
        <v>22</v>
      </c>
      <c r="D73" s="1" t="s">
        <v>12</v>
      </c>
      <c r="N73" s="98"/>
      <c r="P73" s="100"/>
      <c r="Q73" s="111" t="str">
        <f>IFERROR(VLOOKUP(E73,'Tier Datos'!$A$2:$B$5,2,FALSE),"")</f>
        <v/>
      </c>
      <c r="R73" s="101"/>
      <c r="S73" s="102"/>
      <c r="T73" s="104"/>
      <c r="U73" s="105"/>
      <c r="V73" s="105"/>
      <c r="W73" s="106"/>
      <c r="X73" s="107"/>
      <c r="Y73" s="108"/>
      <c r="Z73" s="109"/>
      <c r="AA73" s="110"/>
      <c r="AB73" s="110"/>
    </row>
    <row r="74" spans="1:28" x14ac:dyDescent="0.3">
      <c r="A74" s="25" t="s">
        <v>318</v>
      </c>
      <c r="B74" s="25" t="s">
        <v>22</v>
      </c>
      <c r="D74" s="1" t="s">
        <v>12</v>
      </c>
      <c r="N74" s="98"/>
      <c r="P74" s="100"/>
      <c r="Q74" s="111" t="str">
        <f>IFERROR(VLOOKUP(E74,'Tier Datos'!$A$2:$B$5,2,FALSE),"")</f>
        <v/>
      </c>
      <c r="R74" s="101"/>
      <c r="S74" s="102"/>
      <c r="T74" s="104"/>
      <c r="U74" s="105"/>
      <c r="V74" s="105"/>
      <c r="W74" s="106"/>
      <c r="X74" s="107"/>
      <c r="Y74" s="108"/>
      <c r="Z74" s="109"/>
      <c r="AA74" s="110"/>
      <c r="AB74" s="110"/>
    </row>
    <row r="75" spans="1:28" x14ac:dyDescent="0.3">
      <c r="A75" s="25" t="s">
        <v>319</v>
      </c>
      <c r="B75" s="25" t="s">
        <v>22</v>
      </c>
      <c r="D75" s="1" t="s">
        <v>12</v>
      </c>
      <c r="N75" s="98"/>
      <c r="P75" s="100"/>
      <c r="Q75" s="111" t="str">
        <f>IFERROR(VLOOKUP(E75,'Tier Datos'!$A$2:$B$5,2,FALSE),"")</f>
        <v/>
      </c>
      <c r="R75" s="101"/>
      <c r="S75" s="102"/>
      <c r="T75" s="104"/>
      <c r="U75" s="105"/>
      <c r="V75" s="105"/>
      <c r="W75" s="106"/>
      <c r="X75" s="107"/>
      <c r="Y75" s="108"/>
      <c r="Z75" s="109"/>
      <c r="AA75" s="110"/>
      <c r="AB75" s="110"/>
    </row>
    <row r="76" spans="1:28" x14ac:dyDescent="0.3">
      <c r="A76" s="25" t="s">
        <v>320</v>
      </c>
      <c r="B76" s="25" t="s">
        <v>22</v>
      </c>
      <c r="D76" s="1" t="s">
        <v>12</v>
      </c>
      <c r="N76" s="98"/>
      <c r="P76" s="100"/>
      <c r="Q76" s="111" t="str">
        <f>IFERROR(VLOOKUP(E76,'Tier Datos'!$A$2:$B$5,2,FALSE),"")</f>
        <v/>
      </c>
      <c r="R76" s="101"/>
      <c r="S76" s="102"/>
      <c r="T76" s="104"/>
      <c r="U76" s="105"/>
      <c r="V76" s="105"/>
      <c r="W76" s="106"/>
      <c r="X76" s="107"/>
      <c r="Y76" s="108"/>
      <c r="Z76" s="109"/>
      <c r="AA76" s="110"/>
      <c r="AB76" s="110"/>
    </row>
    <row r="77" spans="1:28" x14ac:dyDescent="0.3">
      <c r="A77" s="25" t="s">
        <v>321</v>
      </c>
      <c r="B77" s="25" t="s">
        <v>22</v>
      </c>
      <c r="D77" s="1" t="s">
        <v>12</v>
      </c>
      <c r="N77" s="98"/>
      <c r="P77" s="100"/>
      <c r="Q77" s="111" t="str">
        <f>IFERROR(VLOOKUP(E77,'Tier Datos'!$A$2:$B$5,2,FALSE),"")</f>
        <v/>
      </c>
      <c r="R77" s="101"/>
      <c r="S77" s="102"/>
      <c r="T77" s="104"/>
      <c r="U77" s="105"/>
      <c r="V77" s="105"/>
      <c r="W77" s="106"/>
      <c r="X77" s="107"/>
      <c r="Y77" s="108"/>
      <c r="Z77" s="109"/>
      <c r="AA77" s="110"/>
      <c r="AB77" s="110"/>
    </row>
    <row r="78" spans="1:28" x14ac:dyDescent="0.3">
      <c r="A78" s="25" t="s">
        <v>322</v>
      </c>
      <c r="B78" s="25" t="s">
        <v>22</v>
      </c>
      <c r="D78" s="1" t="s">
        <v>12</v>
      </c>
      <c r="N78" s="98"/>
      <c r="P78" s="100"/>
      <c r="Q78" s="111" t="str">
        <f>IFERROR(VLOOKUP(E78,'Tier Datos'!$A$2:$B$5,2,FALSE),"")</f>
        <v/>
      </c>
      <c r="R78" s="101"/>
      <c r="S78" s="102"/>
      <c r="T78" s="104"/>
      <c r="U78" s="105"/>
      <c r="V78" s="105"/>
      <c r="W78" s="106"/>
      <c r="X78" s="107"/>
      <c r="Y78" s="108"/>
      <c r="Z78" s="109"/>
      <c r="AA78" s="110"/>
      <c r="AB78" s="110"/>
    </row>
    <row r="79" spans="1:28" x14ac:dyDescent="0.3">
      <c r="A79" s="25" t="s">
        <v>323</v>
      </c>
      <c r="B79" s="25" t="s">
        <v>22</v>
      </c>
      <c r="D79" s="1" t="s">
        <v>12</v>
      </c>
      <c r="N79" s="98"/>
      <c r="P79" s="100"/>
      <c r="Q79" s="111" t="str">
        <f>IFERROR(VLOOKUP(E79,'Tier Datos'!$A$2:$B$5,2,FALSE),"")</f>
        <v/>
      </c>
      <c r="R79" s="101"/>
      <c r="S79" s="102"/>
      <c r="T79" s="104"/>
      <c r="U79" s="105"/>
      <c r="V79" s="105"/>
      <c r="W79" s="106"/>
      <c r="X79" s="107"/>
      <c r="Y79" s="108"/>
      <c r="Z79" s="109"/>
      <c r="AA79" s="110"/>
      <c r="AB79" s="110"/>
    </row>
    <row r="80" spans="1:28" x14ac:dyDescent="0.3">
      <c r="A80" s="25" t="s">
        <v>324</v>
      </c>
      <c r="B80" s="25" t="s">
        <v>22</v>
      </c>
      <c r="D80" s="1" t="s">
        <v>12</v>
      </c>
      <c r="N80" s="98"/>
      <c r="P80" s="100"/>
      <c r="Q80" s="111" t="str">
        <f>IFERROR(VLOOKUP(E80,'Tier Datos'!$A$2:$B$5,2,FALSE),"")</f>
        <v/>
      </c>
      <c r="R80" s="101"/>
      <c r="S80" s="102"/>
      <c r="T80" s="104"/>
      <c r="U80" s="105"/>
      <c r="V80" s="105"/>
      <c r="W80" s="106"/>
      <c r="X80" s="107"/>
      <c r="Y80" s="108"/>
      <c r="Z80" s="109"/>
      <c r="AA80" s="110"/>
      <c r="AB80" s="110"/>
    </row>
    <row r="81" spans="1:28" x14ac:dyDescent="0.3">
      <c r="A81" s="25" t="s">
        <v>325</v>
      </c>
      <c r="B81" s="25" t="s">
        <v>22</v>
      </c>
      <c r="D81" s="1" t="s">
        <v>12</v>
      </c>
      <c r="N81" s="98"/>
      <c r="P81" s="100"/>
      <c r="Q81" s="111" t="str">
        <f>IFERROR(VLOOKUP(E81,'Tier Datos'!$A$2:$B$5,2,FALSE),"")</f>
        <v/>
      </c>
      <c r="R81" s="101"/>
      <c r="S81" s="102"/>
      <c r="T81" s="104"/>
      <c r="U81" s="105"/>
      <c r="V81" s="105"/>
      <c r="W81" s="106"/>
      <c r="X81" s="107"/>
      <c r="Y81" s="108"/>
      <c r="Z81" s="109"/>
      <c r="AA81" s="110"/>
      <c r="AB81" s="110"/>
    </row>
    <row r="82" spans="1:28" x14ac:dyDescent="0.3">
      <c r="A82" s="25" t="s">
        <v>326</v>
      </c>
      <c r="D82" s="1" t="s">
        <v>12</v>
      </c>
      <c r="N82" s="98"/>
      <c r="P82" s="100"/>
      <c r="Q82" s="111" t="str">
        <f>IFERROR(VLOOKUP(E82,'Tier Datos'!$A$2:$B$5,2,FALSE),"")</f>
        <v/>
      </c>
      <c r="R82" s="101"/>
      <c r="S82" s="102"/>
      <c r="T82" s="104"/>
      <c r="U82" s="105"/>
      <c r="V82" s="105"/>
      <c r="W82" s="106"/>
      <c r="X82" s="107"/>
      <c r="Y82" s="108"/>
      <c r="Z82" s="109"/>
      <c r="AA82" s="110"/>
      <c r="AB82" s="110"/>
    </row>
    <row r="83" spans="1:28" x14ac:dyDescent="0.3">
      <c r="A83" s="25" t="s">
        <v>327</v>
      </c>
      <c r="N83" s="98"/>
      <c r="P83" s="100"/>
      <c r="Q83" s="111" t="str">
        <f>IFERROR(VLOOKUP(E83,'Tier Datos'!$A$2:$B$5,2,FALSE),"")</f>
        <v/>
      </c>
      <c r="R83" s="101"/>
      <c r="S83" s="102"/>
      <c r="T83" s="104"/>
      <c r="U83" s="105"/>
      <c r="V83" s="105"/>
      <c r="W83" s="106"/>
      <c r="X83" s="107"/>
      <c r="Y83" s="108"/>
      <c r="Z83" s="109"/>
      <c r="AA83" s="110"/>
      <c r="AB83" s="110"/>
    </row>
    <row r="84" spans="1:28" x14ac:dyDescent="0.3">
      <c r="A84" s="25" t="s">
        <v>328</v>
      </c>
      <c r="N84" s="98"/>
      <c r="P84" s="100"/>
      <c r="Q84" s="111" t="str">
        <f>IFERROR(VLOOKUP(E84,'Tier Datos'!$A$2:$B$5,2,FALSE),"")</f>
        <v/>
      </c>
      <c r="R84" s="101"/>
      <c r="S84" s="102"/>
      <c r="T84" s="104"/>
      <c r="U84" s="105"/>
      <c r="V84" s="105"/>
      <c r="W84" s="106"/>
      <c r="X84" s="107"/>
      <c r="Y84" s="108"/>
      <c r="Z84" s="109"/>
      <c r="AA84" s="110"/>
      <c r="AB84" s="110"/>
    </row>
    <row r="85" spans="1:28" x14ac:dyDescent="0.3">
      <c r="A85" s="25" t="s">
        <v>329</v>
      </c>
      <c r="N85" s="98"/>
      <c r="P85" s="100"/>
      <c r="Q85" s="111" t="str">
        <f>IFERROR(VLOOKUP(E85,'Tier Datos'!$A$2:$B$5,2,FALSE),"")</f>
        <v/>
      </c>
      <c r="R85" s="101"/>
      <c r="S85" s="102"/>
      <c r="T85" s="104"/>
      <c r="U85" s="105"/>
      <c r="V85" s="105"/>
      <c r="W85" s="106"/>
      <c r="X85" s="107"/>
      <c r="Y85" s="108"/>
      <c r="Z85" s="109"/>
      <c r="AA85" s="110"/>
      <c r="AB85" s="110"/>
    </row>
    <row r="86" spans="1:28" x14ac:dyDescent="0.3">
      <c r="A86" s="25" t="s">
        <v>330</v>
      </c>
      <c r="N86" s="98"/>
      <c r="P86" s="100"/>
      <c r="Q86" s="111" t="str">
        <f>IFERROR(VLOOKUP(E86,'Tier Datos'!$A$2:$B$5,2,FALSE),"")</f>
        <v/>
      </c>
      <c r="R86" s="101"/>
      <c r="S86" s="102"/>
      <c r="T86" s="104"/>
      <c r="U86" s="105"/>
      <c r="V86" s="105"/>
      <c r="W86" s="106"/>
      <c r="X86" s="107"/>
      <c r="Y86" s="108"/>
      <c r="Z86" s="109"/>
      <c r="AA86" s="110"/>
      <c r="AB86" s="110"/>
    </row>
    <row r="87" spans="1:28" x14ac:dyDescent="0.3">
      <c r="A87" s="25" t="s">
        <v>331</v>
      </c>
      <c r="N87" s="98"/>
      <c r="P87" s="100"/>
      <c r="Q87" s="111" t="str">
        <f>IFERROR(VLOOKUP(E87,'Tier Datos'!$A$2:$B$5,2,FALSE),"")</f>
        <v/>
      </c>
      <c r="R87" s="101"/>
      <c r="S87" s="102"/>
      <c r="T87" s="104"/>
      <c r="U87" s="105"/>
      <c r="V87" s="105"/>
      <c r="W87" s="106"/>
      <c r="X87" s="107"/>
      <c r="Y87" s="108"/>
      <c r="Z87" s="109"/>
      <c r="AA87" s="110"/>
      <c r="AB87" s="110"/>
    </row>
    <row r="88" spans="1:28" x14ac:dyDescent="0.3">
      <c r="P88" s="71"/>
      <c r="Q88" s="72"/>
    </row>
    <row r="89" spans="1:28" x14ac:dyDescent="0.3">
      <c r="P89" s="71"/>
      <c r="Q89" s="72"/>
    </row>
    <row r="90" spans="1:28" x14ac:dyDescent="0.3">
      <c r="P90" s="71"/>
      <c r="Q90" s="72"/>
    </row>
    <row r="91" spans="1:28" x14ac:dyDescent="0.3">
      <c r="P91" s="71"/>
      <c r="Q91" s="72"/>
    </row>
    <row r="92" spans="1:28" x14ac:dyDescent="0.3">
      <c r="P92" s="71"/>
      <c r="Q92" s="72"/>
    </row>
    <row r="93" spans="1:28" x14ac:dyDescent="0.3">
      <c r="P93" s="71"/>
      <c r="Q93" s="72"/>
    </row>
    <row r="94" spans="1:28" x14ac:dyDescent="0.3">
      <c r="P94" s="71"/>
      <c r="Q94" s="72"/>
    </row>
    <row r="95" spans="1:28" x14ac:dyDescent="0.3">
      <c r="P95" s="71"/>
      <c r="Q95" s="72"/>
    </row>
    <row r="96" spans="1:28" x14ac:dyDescent="0.3">
      <c r="P96" s="71"/>
      <c r="Q96" s="72"/>
    </row>
    <row r="97" spans="16:17" x14ac:dyDescent="0.3">
      <c r="P97" s="71"/>
      <c r="Q97" s="72"/>
    </row>
  </sheetData>
  <phoneticPr fontId="12" type="noConversion"/>
  <dataValidations count="3">
    <dataValidation type="list" errorStyle="warning" allowBlank="1" showInputMessage="1" showErrorMessage="1" errorTitle="Categoría inválida" error="Selecciona una categoría válida: Creativo, Consultoria, Performance, Tech, PR" sqref="B2:B87" xr:uid="{E1BDD888-28B5-471B-B7EB-A3241CD67B0C}">
      <formula1>"Creativo, Consultoria, Performance, Tech, PR"</formula1>
    </dataValidation>
    <dataValidation type="list" errorStyle="warning" allowBlank="1" showInputMessage="1" showErrorMessage="1" errorTitle="Tipo inválido" error="Selecciona: Staff o Servicio" sqref="D2:D87" xr:uid="{7065C646-3CFA-4324-9B8F-16261757B4E4}">
      <formula1>"Staff, Servicio"</formula1>
    </dataValidation>
    <dataValidation type="list" errorStyle="warning" allowBlank="1" showInputMessage="1" showErrorMessage="1" errorTitle="Tier inválido" error="Selecciona un tier válido. Debe coincidir con los valores de 'Tier Datos'." sqref="E2:E87" xr:uid="{CF1085F0-44DC-4686-AF72-A8B015AF3BA9}">
      <formula1>"Tier 1: Commoditizado, Tier 2: Especializado, Tier 3: Estratégico, Tier 4: IP Propietaria"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7D5425-0517-47C5-80CE-622E6CC058B8}">
          <x14:formula1>
            <xm:f>Datos!$C$2:$C$5</xm:f>
          </x14:formula1>
          <xm:sqref>E88:E496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C883-842E-4311-8B82-936D890D32CF}">
  <sheetPr>
    <tabColor rgb="FFFFFF00"/>
  </sheetPr>
  <dimension ref="A1:S51"/>
  <sheetViews>
    <sheetView zoomScale="85" zoomScaleNormal="85"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G15" sqref="G15"/>
    </sheetView>
  </sheetViews>
  <sheetFormatPr baseColWidth="10" defaultColWidth="11.44140625" defaultRowHeight="20.399999999999999" x14ac:dyDescent="0.3"/>
  <cols>
    <col min="1" max="1" width="11.5546875" style="25"/>
    <col min="2" max="2" width="21.6640625" style="25" customWidth="1"/>
    <col min="3" max="3" width="23.109375" style="25" customWidth="1"/>
    <col min="4" max="4" width="13.6640625" style="33" customWidth="1"/>
    <col min="5" max="5" width="20.44140625" style="25" customWidth="1"/>
    <col min="6" max="6" width="18.5546875" style="25" customWidth="1"/>
    <col min="7" max="7" width="15" style="25" customWidth="1"/>
    <col min="8" max="8" width="16.33203125" style="54" customWidth="1"/>
    <col min="9" max="9" width="16.33203125" style="53" customWidth="1"/>
    <col min="10" max="10" width="24.88671875" style="49" customWidth="1"/>
    <col min="11" max="12" width="23.109375" style="77" customWidth="1"/>
    <col min="13" max="13" width="23.109375" style="64" customWidth="1"/>
    <col min="14" max="14" width="22.33203125" style="64" customWidth="1"/>
    <col min="15" max="15" width="23.109375" style="64" customWidth="1"/>
    <col min="16" max="16" width="25" style="25" customWidth="1"/>
    <col min="17" max="17" width="16.33203125" style="25" customWidth="1"/>
    <col min="18" max="18" width="14.88671875" style="25" customWidth="1"/>
    <col min="19" max="19" width="18.33203125" style="25" customWidth="1"/>
  </cols>
  <sheetData>
    <row r="1" spans="1:19" ht="40.799999999999997" x14ac:dyDescent="0.3">
      <c r="A1" s="3" t="s">
        <v>213</v>
      </c>
      <c r="B1" s="3" t="s">
        <v>214</v>
      </c>
      <c r="C1" s="3" t="s">
        <v>332</v>
      </c>
      <c r="D1" s="3" t="s">
        <v>333</v>
      </c>
      <c r="E1" s="3" t="s">
        <v>334</v>
      </c>
      <c r="F1" s="3" t="s">
        <v>146</v>
      </c>
      <c r="G1" s="3" t="s">
        <v>49</v>
      </c>
      <c r="H1" s="40" t="s">
        <v>335</v>
      </c>
      <c r="I1" s="50" t="s">
        <v>336</v>
      </c>
      <c r="J1" s="41" t="s">
        <v>337</v>
      </c>
      <c r="K1" s="55" t="s">
        <v>338</v>
      </c>
      <c r="L1" s="55" t="s">
        <v>339</v>
      </c>
      <c r="M1" s="63" t="s">
        <v>340</v>
      </c>
      <c r="N1" s="63" t="s">
        <v>341</v>
      </c>
      <c r="O1" s="63" t="s">
        <v>342</v>
      </c>
      <c r="P1" s="3" t="s">
        <v>343</v>
      </c>
      <c r="Q1" s="3" t="s">
        <v>344</v>
      </c>
      <c r="R1" s="3" t="s">
        <v>345</v>
      </c>
      <c r="S1" s="3" t="s">
        <v>346</v>
      </c>
    </row>
    <row r="2" spans="1:19" ht="94.2" customHeight="1" x14ac:dyDescent="0.3">
      <c r="A2" s="25" t="s">
        <v>347</v>
      </c>
      <c r="B2" s="9" t="s">
        <v>348</v>
      </c>
      <c r="C2" s="1" t="s">
        <v>201</v>
      </c>
      <c r="D2" s="32" t="s">
        <v>349</v>
      </c>
      <c r="E2" s="1" t="s">
        <v>10</v>
      </c>
      <c r="F2" s="1" t="s">
        <v>150</v>
      </c>
      <c r="G2" s="1" t="s">
        <v>144</v>
      </c>
      <c r="H2" s="51">
        <f>'Estructura de Servicios'!I9</f>
        <v>1119.3222222222221</v>
      </c>
      <c r="I2" s="52">
        <f>IFERROR(
   VLOOKUP(G2,'Tier Servicios'!$A:$C,2,FALSE),
   ""
)</f>
        <v>0.55000000000000004</v>
      </c>
      <c r="J2" s="61">
        <f>IFERROR(
   ROUNDUP(
      H2 * (
         1 +
         VLOOKUP(G2,'Tier Servicios'!$A:$C,2,FALSE) +
         VLOOKUP(F2,'Modelo comercial'!$A:$C,2,FALSE)
      ),
   -1),
"Verificar tier/modelo")</f>
        <v>1850</v>
      </c>
      <c r="K2" s="119">
        <f>IFERROR(J2*VLOOKUP("CLP",'Tipos de Cambio'!$B:$C,2,FALSE),"")</f>
        <v>1850000</v>
      </c>
      <c r="L2" s="120">
        <f>IFERROR(J2*VLOOKUP("CLF",'Tipos de Cambio'!$B:$C,2,FALSE),"")</f>
        <v>44.4</v>
      </c>
      <c r="M2" s="121">
        <f>IFERROR(J2*VLOOKUP("COP",'Tipos de Cambio'!$B:$C,2,FALSE),"")</f>
        <v>7770000</v>
      </c>
      <c r="N2" s="122">
        <f>IFERROR(J2*VLOOKUP("MXN",'Tipos de Cambio'!$B:$C,2,FALSE),"")</f>
        <v>34225</v>
      </c>
      <c r="O2" s="122">
        <f>IFERROR(J2*VLOOKUP("PEN",'Tipos de Cambio'!$B:$C,2,FALSE),"")</f>
        <v>7030</v>
      </c>
      <c r="P2" s="78" t="s">
        <v>350</v>
      </c>
      <c r="Q2" s="78" t="s">
        <v>351</v>
      </c>
      <c r="R2" s="79" t="s">
        <v>352</v>
      </c>
      <c r="S2" s="78" t="s">
        <v>353</v>
      </c>
    </row>
    <row r="3" spans="1:19" ht="40.799999999999997" x14ac:dyDescent="0.3">
      <c r="A3" s="25" t="s">
        <v>354</v>
      </c>
      <c r="B3" s="9" t="s">
        <v>355</v>
      </c>
      <c r="C3" s="1" t="s">
        <v>205</v>
      </c>
      <c r="D3" s="32" t="s">
        <v>349</v>
      </c>
      <c r="E3" s="1" t="s">
        <v>21</v>
      </c>
      <c r="F3" s="1" t="s">
        <v>150</v>
      </c>
      <c r="G3" s="1" t="s">
        <v>140</v>
      </c>
      <c r="H3" s="51">
        <f>'Estructura de Servicios'!I19</f>
        <v>4900.25</v>
      </c>
      <c r="I3" s="52">
        <f>IFERROR(
   VLOOKUP(G3,'Tier Servicios'!$A:$C,2,FALSE),
   ""
)</f>
        <v>0.45</v>
      </c>
      <c r="J3" s="61">
        <f>IFERROR(
   ROUNDUP(
      H3 * (
         1 +
         VLOOKUP(G3,'Tier Servicios'!$A:$C,2,FALSE) +
         VLOOKUP(F3,'Modelo comercial'!$A:$C,2,FALSE)
      ),
   -1),
"Verificar tier/modelo")</f>
        <v>7600</v>
      </c>
      <c r="K3" s="119">
        <f>IFERROR(J3*VLOOKUP("CLP",'Tipos de Cambio'!$B:$C,2,FALSE),"")</f>
        <v>7600000</v>
      </c>
      <c r="L3" s="120">
        <f>IFERROR(J3*VLOOKUP("CLF",'Tipos de Cambio'!$B:$C,2,FALSE),"")</f>
        <v>182.4</v>
      </c>
      <c r="M3" s="121">
        <f>IFERROR(J3*VLOOKUP("COP",'Tipos de Cambio'!$B:$C,2,FALSE),"")</f>
        <v>31920000</v>
      </c>
      <c r="N3" s="122">
        <f>IFERROR(J3*VLOOKUP("MXN",'Tipos de Cambio'!$B:$C,2,FALSE),"")</f>
        <v>140600</v>
      </c>
      <c r="O3" s="122">
        <f>IFERROR(J3*VLOOKUP("PEN",'Tipos de Cambio'!$B:$C,2,FALSE),"")</f>
        <v>28880</v>
      </c>
      <c r="P3" s="78" t="s">
        <v>356</v>
      </c>
      <c r="Q3" s="78" t="s">
        <v>7</v>
      </c>
      <c r="R3" s="79" t="s">
        <v>357</v>
      </c>
      <c r="S3" s="78" t="s">
        <v>358</v>
      </c>
    </row>
    <row r="4" spans="1:19" ht="61.2" x14ac:dyDescent="0.3">
      <c r="A4" s="25" t="s">
        <v>359</v>
      </c>
      <c r="B4" s="9" t="s">
        <v>360</v>
      </c>
      <c r="C4" s="1" t="s">
        <v>210</v>
      </c>
      <c r="D4" s="32" t="s">
        <v>4</v>
      </c>
      <c r="E4" s="1" t="s">
        <v>21</v>
      </c>
      <c r="F4" s="1" t="s">
        <v>148</v>
      </c>
      <c r="G4" s="1" t="s">
        <v>140</v>
      </c>
      <c r="H4" s="51">
        <f>'Estructura de Servicios'!I25</f>
        <v>1251.5</v>
      </c>
      <c r="I4" s="52">
        <f>IFERROR(
   VLOOKUP(G4,'Tier Servicios'!$A:$C,2,FALSE),
   ""
)</f>
        <v>0.45</v>
      </c>
      <c r="J4" s="61">
        <f>IFERROR(
   ROUNDUP(
      H4 * (
         1 +
         VLOOKUP(G4,'Tier Servicios'!$A:$C,2,FALSE) +
         VLOOKUP(F4,'Modelo comercial'!$A:$C,2,FALSE)
      ),
   -1),
"Verificar tier/modelo")</f>
        <v>1820</v>
      </c>
      <c r="K4" s="119">
        <f>IFERROR(J4*VLOOKUP("CLP",'Tipos de Cambio'!$B:$C,2,FALSE),"")</f>
        <v>1820000</v>
      </c>
      <c r="L4" s="120">
        <f>IFERROR(J4*VLOOKUP("CLF",'Tipos de Cambio'!$B:$C,2,FALSE),"")</f>
        <v>43.68</v>
      </c>
      <c r="M4" s="121">
        <f>IFERROR(J4*VLOOKUP("COP",'Tipos de Cambio'!$B:$C,2,FALSE),"")</f>
        <v>7644000</v>
      </c>
      <c r="N4" s="122">
        <f>IFERROR(J4*VLOOKUP("MXN",'Tipos de Cambio'!$B:$C,2,FALSE),"")</f>
        <v>33670</v>
      </c>
      <c r="O4" s="122">
        <f>IFERROR(J4*VLOOKUP("PEN",'Tipos de Cambio'!$B:$C,2,FALSE),"")</f>
        <v>6916</v>
      </c>
      <c r="P4" s="78" t="s">
        <v>361</v>
      </c>
      <c r="Q4" s="78" t="s">
        <v>7</v>
      </c>
      <c r="R4" s="79" t="s">
        <v>352</v>
      </c>
      <c r="S4" s="78" t="s">
        <v>362</v>
      </c>
    </row>
    <row r="5" spans="1:19" ht="81.599999999999994" x14ac:dyDescent="0.3">
      <c r="A5" s="25" t="s">
        <v>363</v>
      </c>
      <c r="B5" s="9" t="s">
        <v>28</v>
      </c>
      <c r="C5" s="1" t="s">
        <v>364</v>
      </c>
      <c r="D5" s="32" t="s">
        <v>349</v>
      </c>
      <c r="E5" s="1" t="s">
        <v>28</v>
      </c>
      <c r="F5" s="1" t="s">
        <v>150</v>
      </c>
      <c r="G5" s="1" t="s">
        <v>142</v>
      </c>
      <c r="H5" s="51">
        <f>SUMIF('Estructura de Servicios'!$A:$A,A5,'Estructura de Servicios'!$I:$I)</f>
        <v>0</v>
      </c>
      <c r="I5" s="52">
        <f>IFERROR(
   VLOOKUP(G5,'Tier Servicios'!$A:$C,2,FALSE),
   ""
)</f>
        <v>0.5</v>
      </c>
      <c r="J5" s="61">
        <f>IFERROR(
   ROUNDUP(
      H5 * (
         1 +
         VLOOKUP(G5,'Tier Servicios'!$A:$C,2,FALSE) +
         VLOOKUP(F5,'Modelo comercial'!$A:$C,2,FALSE)
      ),
   -1),
"Verificar tier/modelo")</f>
        <v>0</v>
      </c>
      <c r="K5" s="119">
        <f>IFERROR(J5*VLOOKUP("CLP",'Tipos de Cambio'!$B:$C,2,FALSE),"")</f>
        <v>0</v>
      </c>
      <c r="L5" s="120">
        <f>IFERROR(J5*VLOOKUP("CLF",'Tipos de Cambio'!$B:$C,2,FALSE),"")</f>
        <v>0</v>
      </c>
      <c r="M5" s="121">
        <f>IFERROR(J5*VLOOKUP("COP",'Tipos de Cambio'!$B:$C,2,FALSE),"")</f>
        <v>0</v>
      </c>
      <c r="N5" s="122">
        <f>IFERROR(J5*VLOOKUP("MXN",'Tipos de Cambio'!$B:$C,2,FALSE),"")</f>
        <v>0</v>
      </c>
      <c r="O5" s="122">
        <f>IFERROR(J5*VLOOKUP("PEN",'Tipos de Cambio'!$B:$C,2,FALSE),"")</f>
        <v>0</v>
      </c>
      <c r="P5" s="78" t="s">
        <v>365</v>
      </c>
      <c r="Q5" s="78" t="s">
        <v>366</v>
      </c>
      <c r="R5" s="79" t="s">
        <v>367</v>
      </c>
      <c r="S5" s="78" t="s">
        <v>368</v>
      </c>
    </row>
    <row r="6" spans="1:19" ht="81.599999999999994" x14ac:dyDescent="0.3">
      <c r="A6" s="25" t="s">
        <v>369</v>
      </c>
      <c r="B6" s="9" t="s">
        <v>370</v>
      </c>
      <c r="C6" s="1" t="s">
        <v>371</v>
      </c>
      <c r="D6" s="32" t="s">
        <v>349</v>
      </c>
      <c r="E6" s="1" t="s">
        <v>10</v>
      </c>
      <c r="F6" s="1" t="s">
        <v>150</v>
      </c>
      <c r="G6" s="1" t="s">
        <v>142</v>
      </c>
      <c r="H6" s="51">
        <f>SUMIF('Estructura de Servicios'!$A:$A,A6,'Estructura de Servicios'!$I:$I)</f>
        <v>0</v>
      </c>
      <c r="I6" s="52">
        <f>IFERROR(
   VLOOKUP(G6,'Tier Servicios'!$A:$C,2,FALSE),
   ""
)</f>
        <v>0.5</v>
      </c>
      <c r="J6" s="61">
        <f>IFERROR(
   ROUNDUP(
      H6 * (
         1 +
         VLOOKUP(G6,'Tier Servicios'!$A:$C,2,FALSE) +
         VLOOKUP(F6,'Modelo comercial'!$A:$C,2,FALSE)
      ),
   -1),
"Verificar tier/modelo")</f>
        <v>0</v>
      </c>
      <c r="K6" s="119">
        <f>IFERROR(J6*VLOOKUP("CLP",'Tipos de Cambio'!$B:$C,2,FALSE),"")</f>
        <v>0</v>
      </c>
      <c r="L6" s="120">
        <f>IFERROR(J6*VLOOKUP("CLF",'Tipos de Cambio'!$B:$C,2,FALSE),"")</f>
        <v>0</v>
      </c>
      <c r="M6" s="121">
        <f>IFERROR(J6*VLOOKUP("COP",'Tipos de Cambio'!$B:$C,2,FALSE),"")</f>
        <v>0</v>
      </c>
      <c r="N6" s="122">
        <f>IFERROR(J6*VLOOKUP("MXN",'Tipos de Cambio'!$B:$C,2,FALSE),"")</f>
        <v>0</v>
      </c>
      <c r="O6" s="122">
        <f>IFERROR(J6*VLOOKUP("PEN",'Tipos de Cambio'!$B:$C,2,FALSE),"")</f>
        <v>0</v>
      </c>
      <c r="P6" s="78" t="s">
        <v>372</v>
      </c>
      <c r="Q6" s="78" t="s">
        <v>373</v>
      </c>
      <c r="R6" s="79" t="s">
        <v>352</v>
      </c>
      <c r="S6" s="78" t="s">
        <v>374</v>
      </c>
    </row>
    <row r="7" spans="1:19" ht="61.2" x14ac:dyDescent="0.3">
      <c r="A7" s="25" t="s">
        <v>375</v>
      </c>
      <c r="B7" s="9" t="s">
        <v>376</v>
      </c>
      <c r="C7" s="1" t="s">
        <v>377</v>
      </c>
      <c r="D7" s="32" t="s">
        <v>349</v>
      </c>
      <c r="E7" s="1" t="s">
        <v>36</v>
      </c>
      <c r="F7" s="1" t="s">
        <v>150</v>
      </c>
      <c r="G7" s="1" t="s">
        <v>140</v>
      </c>
      <c r="H7" s="51">
        <f>SUMIF('Estructura de Servicios'!$A:$A,A7,'Estructura de Servicios'!$I:$I)</f>
        <v>0</v>
      </c>
      <c r="I7" s="52">
        <f>IFERROR(
   VLOOKUP(G7,'Tier Servicios'!$A:$C,2,FALSE),
   ""
)</f>
        <v>0.45</v>
      </c>
      <c r="J7" s="61">
        <f>IFERROR(
   ROUNDUP(
      H7 * (
         1 +
         VLOOKUP(G7,'Tier Servicios'!$A:$C,2,FALSE) +
         VLOOKUP(F7,'Modelo comercial'!$A:$C,2,FALSE)
      ),
   -1),
"Verificar tier/modelo")</f>
        <v>0</v>
      </c>
      <c r="K7" s="119">
        <f>IFERROR(J7*VLOOKUP("CLP",'Tipos de Cambio'!$B:$C,2,FALSE),"")</f>
        <v>0</v>
      </c>
      <c r="L7" s="120">
        <f>IFERROR(J7*VLOOKUP("CLF",'Tipos de Cambio'!$B:$C,2,FALSE),"")</f>
        <v>0</v>
      </c>
      <c r="M7" s="121">
        <f>IFERROR(J7*VLOOKUP("COP",'Tipos de Cambio'!$B:$C,2,FALSE),"")</f>
        <v>0</v>
      </c>
      <c r="N7" s="122">
        <f>IFERROR(J7*VLOOKUP("MXN",'Tipos de Cambio'!$B:$C,2,FALSE),"")</f>
        <v>0</v>
      </c>
      <c r="O7" s="122">
        <f>IFERROR(J7*VLOOKUP("PEN",'Tipos de Cambio'!$B:$C,2,FALSE),"")</f>
        <v>0</v>
      </c>
      <c r="P7" s="78" t="s">
        <v>378</v>
      </c>
      <c r="Q7" s="78" t="s">
        <v>366</v>
      </c>
      <c r="R7" s="79" t="s">
        <v>352</v>
      </c>
      <c r="S7" s="78" t="s">
        <v>379</v>
      </c>
    </row>
    <row r="8" spans="1:19" ht="61.2" x14ac:dyDescent="0.3">
      <c r="A8" s="25" t="s">
        <v>380</v>
      </c>
      <c r="B8" s="9" t="s">
        <v>381</v>
      </c>
      <c r="C8" s="1" t="s">
        <v>382</v>
      </c>
      <c r="D8" s="32" t="s">
        <v>4</v>
      </c>
      <c r="E8" s="1" t="s">
        <v>21</v>
      </c>
      <c r="F8" s="1" t="s">
        <v>148</v>
      </c>
      <c r="G8" s="1" t="s">
        <v>142</v>
      </c>
      <c r="H8" s="51">
        <f>SUMIF('Estructura de Servicios'!$A:$A,A8,'Estructura de Servicios'!$I:$I)</f>
        <v>0</v>
      </c>
      <c r="I8" s="52">
        <f>IFERROR(
   VLOOKUP(G8,'Tier Servicios'!$A:$C,2,FALSE),
   ""
)</f>
        <v>0.5</v>
      </c>
      <c r="J8" s="61">
        <f>IFERROR(
   ROUNDUP(
      H8 * (
         1 +
         VLOOKUP(G8,'Tier Servicios'!$A:$C,2,FALSE) +
         VLOOKUP(F8,'Modelo comercial'!$A:$C,2,FALSE)
      ),
   -1),
"Verificar tier/modelo")</f>
        <v>0</v>
      </c>
      <c r="K8" s="119">
        <f>IFERROR(J8*VLOOKUP("CLP",'Tipos de Cambio'!$B:$C,2,FALSE),"")</f>
        <v>0</v>
      </c>
      <c r="L8" s="120">
        <f>IFERROR(J8*VLOOKUP("CLF",'Tipos de Cambio'!$B:$C,2,FALSE),"")</f>
        <v>0</v>
      </c>
      <c r="M8" s="121">
        <f>IFERROR(J8*VLOOKUP("COP",'Tipos de Cambio'!$B:$C,2,FALSE),"")</f>
        <v>0</v>
      </c>
      <c r="N8" s="122">
        <f>IFERROR(J8*VLOOKUP("MXN",'Tipos de Cambio'!$B:$C,2,FALSE),"")</f>
        <v>0</v>
      </c>
      <c r="O8" s="122">
        <f>IFERROR(J8*VLOOKUP("PEN",'Tipos de Cambio'!$B:$C,2,FALSE),"")</f>
        <v>0</v>
      </c>
      <c r="P8" s="78" t="s">
        <v>383</v>
      </c>
      <c r="Q8" s="78" t="s">
        <v>7</v>
      </c>
      <c r="R8" s="79" t="s">
        <v>384</v>
      </c>
      <c r="S8" s="78" t="s">
        <v>385</v>
      </c>
    </row>
    <row r="9" spans="1:19" x14ac:dyDescent="0.3">
      <c r="A9" s="25" t="s">
        <v>386</v>
      </c>
      <c r="H9" s="51">
        <f>SUMIF('Estructura de Servicios'!$A:$A,A9,'Estructura de Servicios'!$I:$I)</f>
        <v>0</v>
      </c>
      <c r="I9" s="52" t="str">
        <f>IFERROR(
   VLOOKUP(G9,'Tier Servicios'!$A:$C,2,FALSE),
   ""
)</f>
        <v/>
      </c>
      <c r="J9" s="61" t="str">
        <f>IFERROR(
   ROUNDUP(
      H9 * (
         1 +
         VLOOKUP(G9,'Tier Servicios'!$A:$C,2,FALSE) +
         VLOOKUP(F9,'Modelo comercial'!$A:$C,2,FALSE)
      ),
   -1),
"Verificar tier/modelo")</f>
        <v>Verificar tier/modelo</v>
      </c>
      <c r="K9" s="119" t="str">
        <f>IFERROR(J9*VLOOKUP("CLP",'Tipos de Cambio'!$B:$C,2,FALSE),"")</f>
        <v/>
      </c>
      <c r="L9" s="120" t="str">
        <f>IFERROR(J9*VLOOKUP("CLF",'Tipos de Cambio'!$B:$C,2,FALSE),"")</f>
        <v/>
      </c>
      <c r="M9" s="121" t="str">
        <f>IFERROR(J9*VLOOKUP("COP",'Tipos de Cambio'!$B:$C,2,FALSE),"")</f>
        <v/>
      </c>
      <c r="N9" s="122" t="str">
        <f>IFERROR(J9*VLOOKUP("MXN",'Tipos de Cambio'!$B:$C,2,FALSE),"")</f>
        <v/>
      </c>
      <c r="O9" s="122" t="str">
        <f>IFERROR(J9*VLOOKUP("PEN",'Tipos de Cambio'!$B:$C,2,FALSE),"")</f>
        <v/>
      </c>
      <c r="P9" s="80"/>
      <c r="Q9" s="80"/>
      <c r="R9" s="80"/>
      <c r="S9" s="80"/>
    </row>
    <row r="10" spans="1:19" x14ac:dyDescent="0.3">
      <c r="A10" s="25" t="s">
        <v>387</v>
      </c>
      <c r="H10" s="51">
        <f>SUMIF('Estructura de Servicios'!$A:$A,A10,'Estructura de Servicios'!$I:$I)</f>
        <v>0</v>
      </c>
      <c r="I10" s="52" t="str">
        <f>IFERROR(
   VLOOKUP(G10,'Tier Servicios'!$A:$C,2,FALSE),
   ""
)</f>
        <v/>
      </c>
      <c r="J10" s="61" t="str">
        <f>IFERROR(
   ROUNDUP(
      H10 * (
         1 +
         VLOOKUP(G10,'Tier Servicios'!$A:$C,2,FALSE) +
         VLOOKUP(F10,'Modelo comercial'!$A:$C,2,FALSE)
      ),
   -1),
"Verificar tier/modelo")</f>
        <v>Verificar tier/modelo</v>
      </c>
      <c r="K10" s="119" t="str">
        <f>IFERROR(J10*VLOOKUP("CLP",'Tipos de Cambio'!$B:$C,2,FALSE),"")</f>
        <v/>
      </c>
      <c r="L10" s="120" t="str">
        <f>IFERROR(J10*VLOOKUP("CLF",'Tipos de Cambio'!$B:$C,2,FALSE),"")</f>
        <v/>
      </c>
      <c r="M10" s="121" t="str">
        <f>IFERROR(J10*VLOOKUP("COP",'Tipos de Cambio'!$B:$C,2,FALSE),"")</f>
        <v/>
      </c>
      <c r="N10" s="122" t="str">
        <f>IFERROR(J10*VLOOKUP("MXN",'Tipos de Cambio'!$B:$C,2,FALSE),"")</f>
        <v/>
      </c>
      <c r="O10" s="122" t="str">
        <f>IFERROR(J10*VLOOKUP("PEN",'Tipos de Cambio'!$B:$C,2,FALSE),"")</f>
        <v/>
      </c>
      <c r="P10" s="80"/>
      <c r="Q10" s="80"/>
      <c r="R10" s="80"/>
      <c r="S10" s="80"/>
    </row>
    <row r="11" spans="1:19" x14ac:dyDescent="0.3">
      <c r="A11" s="25" t="s">
        <v>388</v>
      </c>
      <c r="H11" s="51">
        <f>SUMIF('Estructura de Servicios'!$A:$A,A11,'Estructura de Servicios'!$I:$I)</f>
        <v>0</v>
      </c>
      <c r="I11" s="52" t="str">
        <f>IFERROR(
   VLOOKUP(G11,'Tier Servicios'!$A:$C,2,FALSE),
   ""
)</f>
        <v/>
      </c>
      <c r="J11" s="61" t="str">
        <f>IFERROR(
   ROUNDUP(
      H11 * (
         1 +
         VLOOKUP(G11,'Tier Servicios'!$A:$C,2,FALSE) +
         VLOOKUP(F11,'Modelo comercial'!$A:$C,2,FALSE)
      ),
   -1),
"Verificar tier/modelo")</f>
        <v>Verificar tier/modelo</v>
      </c>
      <c r="K11" s="119" t="str">
        <f>IFERROR(J11*VLOOKUP("CLP",'Tipos de Cambio'!$B:$C,2,FALSE),"")</f>
        <v/>
      </c>
      <c r="L11" s="120" t="str">
        <f>IFERROR(J11*VLOOKUP("CLF",'Tipos de Cambio'!$B:$C,2,FALSE),"")</f>
        <v/>
      </c>
      <c r="M11" s="121" t="str">
        <f>IFERROR(J11*VLOOKUP("COP",'Tipos de Cambio'!$B:$C,2,FALSE),"")</f>
        <v/>
      </c>
      <c r="N11" s="122" t="str">
        <f>IFERROR(J11*VLOOKUP("MXN",'Tipos de Cambio'!$B:$C,2,FALSE),"")</f>
        <v/>
      </c>
      <c r="O11" s="122" t="str">
        <f>IFERROR(J11*VLOOKUP("PEN",'Tipos de Cambio'!$B:$C,2,FALSE),"")</f>
        <v/>
      </c>
      <c r="P11" s="80"/>
      <c r="Q11" s="80"/>
      <c r="R11" s="80"/>
      <c r="S11" s="80"/>
    </row>
    <row r="12" spans="1:19" x14ac:dyDescent="0.3">
      <c r="A12" s="25" t="s">
        <v>389</v>
      </c>
      <c r="H12" s="51">
        <f>SUMIF('Estructura de Servicios'!$A:$A,A12,'Estructura de Servicios'!$I:$I)</f>
        <v>0</v>
      </c>
      <c r="I12" s="52" t="str">
        <f>IFERROR(
   VLOOKUP(G12,'Tier Servicios'!$A:$C,2,FALSE),
   ""
)</f>
        <v/>
      </c>
      <c r="J12" s="61" t="str">
        <f>IFERROR(
   ROUNDUP(
      H12 * (
         1 +
         VLOOKUP(G12,'Tier Servicios'!$A:$C,2,FALSE) +
         VLOOKUP(F12,'Modelo comercial'!$A:$C,2,FALSE)
      ),
   -1),
"Verificar tier/modelo")</f>
        <v>Verificar tier/modelo</v>
      </c>
      <c r="K12" s="119" t="str">
        <f>IFERROR(J12*VLOOKUP("CLP",'Tipos de Cambio'!$B:$C,2,FALSE),"")</f>
        <v/>
      </c>
      <c r="L12" s="120" t="str">
        <f>IFERROR(J12*VLOOKUP("CLF",'Tipos de Cambio'!$B:$C,2,FALSE),"")</f>
        <v/>
      </c>
      <c r="M12" s="121" t="str">
        <f>IFERROR(J12*VLOOKUP("COP",'Tipos de Cambio'!$B:$C,2,FALSE),"")</f>
        <v/>
      </c>
      <c r="N12" s="122" t="str">
        <f>IFERROR(J12*VLOOKUP("MXN",'Tipos de Cambio'!$B:$C,2,FALSE),"")</f>
        <v/>
      </c>
      <c r="O12" s="122" t="str">
        <f>IFERROR(J12*VLOOKUP("PEN",'Tipos de Cambio'!$B:$C,2,FALSE),"")</f>
        <v/>
      </c>
      <c r="P12" s="80"/>
      <c r="Q12" s="80"/>
      <c r="R12" s="80"/>
      <c r="S12" s="80"/>
    </row>
    <row r="13" spans="1:19" x14ac:dyDescent="0.3">
      <c r="A13" s="25" t="s">
        <v>390</v>
      </c>
      <c r="H13" s="51">
        <f>SUMIF('Estructura de Servicios'!$A:$A,A13,'Estructura de Servicios'!$I:$I)</f>
        <v>0</v>
      </c>
      <c r="I13" s="52" t="str">
        <f>IFERROR(
   VLOOKUP(G13,'Tier Servicios'!$A:$C,2,FALSE),
   ""
)</f>
        <v/>
      </c>
      <c r="J13" s="61" t="str">
        <f>IFERROR(
   ROUNDUP(
      H13 * (
         1 +
         VLOOKUP(G13,'Tier Servicios'!$A:$C,2,FALSE) +
         VLOOKUP(F13,'Modelo comercial'!$A:$C,2,FALSE)
      ),
   -1),
"Verificar tier/modelo")</f>
        <v>Verificar tier/modelo</v>
      </c>
      <c r="K13" s="119" t="str">
        <f>IFERROR(J13*VLOOKUP("CLP",'Tipos de Cambio'!$B:$C,2,FALSE),"")</f>
        <v/>
      </c>
      <c r="L13" s="120" t="str">
        <f>IFERROR(J13*VLOOKUP("CLF",'Tipos de Cambio'!$B:$C,2,FALSE),"")</f>
        <v/>
      </c>
      <c r="M13" s="121" t="str">
        <f>IFERROR(J13*VLOOKUP("COP",'Tipos de Cambio'!$B:$C,2,FALSE),"")</f>
        <v/>
      </c>
      <c r="N13" s="122" t="str">
        <f>IFERROR(J13*VLOOKUP("MXN",'Tipos de Cambio'!$B:$C,2,FALSE),"")</f>
        <v/>
      </c>
      <c r="O13" s="122" t="str">
        <f>IFERROR(J13*VLOOKUP("PEN",'Tipos de Cambio'!$B:$C,2,FALSE),"")</f>
        <v/>
      </c>
      <c r="P13" s="80"/>
      <c r="Q13" s="80"/>
      <c r="R13" s="80"/>
      <c r="S13" s="80"/>
    </row>
    <row r="14" spans="1:19" x14ac:dyDescent="0.3">
      <c r="A14" s="25" t="s">
        <v>391</v>
      </c>
      <c r="H14" s="51">
        <f>SUMIF('Estructura de Servicios'!$A:$A,A14,'Estructura de Servicios'!$I:$I)</f>
        <v>0</v>
      </c>
      <c r="I14" s="52" t="str">
        <f>IFERROR(
   VLOOKUP(G14,'Tier Servicios'!$A:$C,2,FALSE),
   ""
)</f>
        <v/>
      </c>
      <c r="J14" s="61" t="str">
        <f>IFERROR(
   ROUNDUP(
      H14 * (
         1 +
         VLOOKUP(G14,'Tier Servicios'!$A:$C,2,FALSE) +
         VLOOKUP(F14,'Modelo comercial'!$A:$C,2,FALSE)
      ),
   -1),
"Verificar tier/modelo")</f>
        <v>Verificar tier/modelo</v>
      </c>
      <c r="K14" s="119" t="str">
        <f>IFERROR(J14*VLOOKUP("CLP",'Tipos de Cambio'!$B:$C,2,FALSE),"")</f>
        <v/>
      </c>
      <c r="L14" s="120" t="str">
        <f>IFERROR(J14*VLOOKUP("CLF",'Tipos de Cambio'!$B:$C,2,FALSE),"")</f>
        <v/>
      </c>
      <c r="M14" s="121" t="str">
        <f>IFERROR(J14*VLOOKUP("COP",'Tipos de Cambio'!$B:$C,2,FALSE),"")</f>
        <v/>
      </c>
      <c r="N14" s="122" t="str">
        <f>IFERROR(J14*VLOOKUP("MXN",'Tipos de Cambio'!$B:$C,2,FALSE),"")</f>
        <v/>
      </c>
      <c r="O14" s="122" t="str">
        <f>IFERROR(J14*VLOOKUP("PEN",'Tipos de Cambio'!$B:$C,2,FALSE),"")</f>
        <v/>
      </c>
      <c r="P14" s="80"/>
      <c r="Q14" s="80"/>
      <c r="R14" s="80"/>
      <c r="S14" s="80"/>
    </row>
    <row r="15" spans="1:19" x14ac:dyDescent="0.3">
      <c r="A15" s="25" t="s">
        <v>392</v>
      </c>
      <c r="H15" s="51">
        <f>SUMIF('Estructura de Servicios'!$A:$A,A15,'Estructura de Servicios'!$I:$I)</f>
        <v>0</v>
      </c>
      <c r="I15" s="52" t="str">
        <f>IFERROR(
   VLOOKUP(G15,'Tier Servicios'!$A:$C,2,FALSE),
   ""
)</f>
        <v/>
      </c>
      <c r="J15" s="61" t="str">
        <f>IFERROR(
   ROUNDUP(
      H15 * (
         1 +
         VLOOKUP(G15,'Tier Servicios'!$A:$C,2,FALSE) +
         VLOOKUP(F15,'Modelo comercial'!$A:$C,2,FALSE)
      ),
   -1),
"Verificar tier/modelo")</f>
        <v>Verificar tier/modelo</v>
      </c>
      <c r="K15" s="119" t="str">
        <f>IFERROR(J15*VLOOKUP("CLP",'Tipos de Cambio'!$B:$C,2,FALSE),"")</f>
        <v/>
      </c>
      <c r="L15" s="120" t="str">
        <f>IFERROR(J15*VLOOKUP("CLF",'Tipos de Cambio'!$B:$C,2,FALSE),"")</f>
        <v/>
      </c>
      <c r="M15" s="121" t="str">
        <f>IFERROR(J15*VLOOKUP("COP",'Tipos de Cambio'!$B:$C,2,FALSE),"")</f>
        <v/>
      </c>
      <c r="N15" s="122" t="str">
        <f>IFERROR(J15*VLOOKUP("MXN",'Tipos de Cambio'!$B:$C,2,FALSE),"")</f>
        <v/>
      </c>
      <c r="O15" s="122" t="str">
        <f>IFERROR(J15*VLOOKUP("PEN",'Tipos de Cambio'!$B:$C,2,FALSE),"")</f>
        <v/>
      </c>
      <c r="P15" s="80"/>
      <c r="Q15" s="80"/>
      <c r="R15" s="80"/>
      <c r="S15" s="80"/>
    </row>
    <row r="16" spans="1:19" x14ac:dyDescent="0.3">
      <c r="A16" s="25" t="s">
        <v>393</v>
      </c>
      <c r="H16" s="51">
        <f>SUMIF('Estructura de Servicios'!$A:$A,A16,'Estructura de Servicios'!$I:$I)</f>
        <v>0</v>
      </c>
      <c r="I16" s="52" t="str">
        <f>IFERROR(
   VLOOKUP(G16,'Tier Servicios'!$A:$C,2,FALSE),
   ""
)</f>
        <v/>
      </c>
      <c r="J16" s="61" t="str">
        <f>IFERROR(
   ROUNDUP(
      H16 * (
         1 +
         VLOOKUP(G16,'Tier Servicios'!$A:$C,2,FALSE) +
         VLOOKUP(F16,'Modelo comercial'!$A:$C,2,FALSE)
      ),
   -1),
"Verificar tier/modelo")</f>
        <v>Verificar tier/modelo</v>
      </c>
      <c r="K16" s="119" t="str">
        <f>IFERROR(J16*VLOOKUP("CLP",'Tipos de Cambio'!$B:$C,2,FALSE),"")</f>
        <v/>
      </c>
      <c r="L16" s="120" t="str">
        <f>IFERROR(J16*VLOOKUP("CLF",'Tipos de Cambio'!$B:$C,2,FALSE),"")</f>
        <v/>
      </c>
      <c r="M16" s="121" t="str">
        <f>IFERROR(J16*VLOOKUP("COP",'Tipos de Cambio'!$B:$C,2,FALSE),"")</f>
        <v/>
      </c>
      <c r="N16" s="122" t="str">
        <f>IFERROR(J16*VLOOKUP("MXN",'Tipos de Cambio'!$B:$C,2,FALSE),"")</f>
        <v/>
      </c>
      <c r="O16" s="122" t="str">
        <f>IFERROR(J16*VLOOKUP("PEN",'Tipos de Cambio'!$B:$C,2,FALSE),"")</f>
        <v/>
      </c>
      <c r="P16" s="80"/>
      <c r="Q16" s="80"/>
      <c r="R16" s="80"/>
      <c r="S16" s="80"/>
    </row>
    <row r="17" spans="1:19" x14ac:dyDescent="0.3">
      <c r="A17" s="25" t="s">
        <v>394</v>
      </c>
      <c r="H17" s="51">
        <f>SUMIF('Estructura de Servicios'!$A:$A,A17,'Estructura de Servicios'!$I:$I)</f>
        <v>0</v>
      </c>
      <c r="I17" s="52" t="str">
        <f>IFERROR(
   VLOOKUP(G17,'Tier Servicios'!$A:$C,2,FALSE),
   ""
)</f>
        <v/>
      </c>
      <c r="J17" s="61" t="str">
        <f>IFERROR(
   ROUNDUP(
      H17 * (
         1 +
         VLOOKUP(G17,'Tier Servicios'!$A:$C,2,FALSE) +
         VLOOKUP(F17,'Modelo comercial'!$A:$C,2,FALSE)
      ),
   -1),
"Verificar tier/modelo")</f>
        <v>Verificar tier/modelo</v>
      </c>
      <c r="K17" s="119" t="str">
        <f>IFERROR(J17*VLOOKUP("CLP",'Tipos de Cambio'!$B:$C,2,FALSE),"")</f>
        <v/>
      </c>
      <c r="L17" s="120" t="str">
        <f>IFERROR(J17*VLOOKUP("CLF",'Tipos de Cambio'!$B:$C,2,FALSE),"")</f>
        <v/>
      </c>
      <c r="M17" s="121" t="str">
        <f>IFERROR(J17*VLOOKUP("COP",'Tipos de Cambio'!$B:$C,2,FALSE),"")</f>
        <v/>
      </c>
      <c r="N17" s="122" t="str">
        <f>IFERROR(J17*VLOOKUP("MXN",'Tipos de Cambio'!$B:$C,2,FALSE),"")</f>
        <v/>
      </c>
      <c r="O17" s="122" t="str">
        <f>IFERROR(J17*VLOOKUP("PEN",'Tipos de Cambio'!$B:$C,2,FALSE),"")</f>
        <v/>
      </c>
      <c r="P17" s="80"/>
      <c r="Q17" s="80"/>
      <c r="R17" s="80"/>
      <c r="S17" s="80"/>
    </row>
    <row r="18" spans="1:19" x14ac:dyDescent="0.3">
      <c r="A18" s="25" t="s">
        <v>395</v>
      </c>
      <c r="H18" s="51">
        <f>SUMIF('Estructura de Servicios'!$A:$A,A18,'Estructura de Servicios'!$I:$I)</f>
        <v>0</v>
      </c>
      <c r="I18" s="52" t="str">
        <f>IFERROR(
   VLOOKUP(G18,'Tier Servicios'!$A:$C,2,FALSE),
   ""
)</f>
        <v/>
      </c>
      <c r="J18" s="61" t="str">
        <f>IFERROR(
   ROUNDUP(
      H18 * (
         1 +
         VLOOKUP(G18,'Tier Servicios'!$A:$C,2,FALSE) +
         VLOOKUP(F18,'Modelo comercial'!$A:$C,2,FALSE)
      ),
   -1),
"Verificar tier/modelo")</f>
        <v>Verificar tier/modelo</v>
      </c>
      <c r="K18" s="119" t="str">
        <f>IFERROR(J18*VLOOKUP("CLP",'Tipos de Cambio'!$B:$C,2,FALSE),"")</f>
        <v/>
      </c>
      <c r="L18" s="120" t="str">
        <f>IFERROR(J18*VLOOKUP("CLF",'Tipos de Cambio'!$B:$C,2,FALSE),"")</f>
        <v/>
      </c>
      <c r="M18" s="121" t="str">
        <f>IFERROR(J18*VLOOKUP("COP",'Tipos de Cambio'!$B:$C,2,FALSE),"")</f>
        <v/>
      </c>
      <c r="N18" s="122" t="str">
        <f>IFERROR(J18*VLOOKUP("MXN",'Tipos de Cambio'!$B:$C,2,FALSE),"")</f>
        <v/>
      </c>
      <c r="O18" s="122" t="str">
        <f>IFERROR(J18*VLOOKUP("PEN",'Tipos de Cambio'!$B:$C,2,FALSE),"")</f>
        <v/>
      </c>
      <c r="P18" s="80"/>
      <c r="Q18" s="80"/>
      <c r="R18" s="80"/>
      <c r="S18" s="80"/>
    </row>
    <row r="19" spans="1:19" x14ac:dyDescent="0.3">
      <c r="A19" s="25" t="s">
        <v>396</v>
      </c>
      <c r="H19" s="51">
        <f>SUMIF('Estructura de Servicios'!$A:$A,A19,'Estructura de Servicios'!$I:$I)</f>
        <v>0</v>
      </c>
      <c r="I19" s="52" t="str">
        <f>IFERROR(
   VLOOKUP(G19,'Tier Servicios'!$A:$C,2,FALSE),
   ""
)</f>
        <v/>
      </c>
      <c r="J19" s="61" t="str">
        <f>IFERROR(
   ROUNDUP(
      H19 * (
         1 +
         VLOOKUP(G19,'Tier Servicios'!$A:$C,2,FALSE) +
         VLOOKUP(F19,'Modelo comercial'!$A:$C,2,FALSE)
      ),
   -1),
"Verificar tier/modelo")</f>
        <v>Verificar tier/modelo</v>
      </c>
      <c r="K19" s="119" t="str">
        <f>IFERROR(J19*VLOOKUP("CLP",'Tipos de Cambio'!$B:$C,2,FALSE),"")</f>
        <v/>
      </c>
      <c r="L19" s="120" t="str">
        <f>IFERROR(J19*VLOOKUP("CLF",'Tipos de Cambio'!$B:$C,2,FALSE),"")</f>
        <v/>
      </c>
      <c r="M19" s="121" t="str">
        <f>IFERROR(J19*VLOOKUP("COP",'Tipos de Cambio'!$B:$C,2,FALSE),"")</f>
        <v/>
      </c>
      <c r="N19" s="122" t="str">
        <f>IFERROR(J19*VLOOKUP("MXN",'Tipos de Cambio'!$B:$C,2,FALSE),"")</f>
        <v/>
      </c>
      <c r="O19" s="122" t="str">
        <f>IFERROR(J19*VLOOKUP("PEN",'Tipos de Cambio'!$B:$C,2,FALSE),"")</f>
        <v/>
      </c>
      <c r="P19" s="80"/>
      <c r="Q19" s="80"/>
      <c r="R19" s="80"/>
      <c r="S19" s="80"/>
    </row>
    <row r="20" spans="1:19" x14ac:dyDescent="0.3">
      <c r="A20" s="25" t="s">
        <v>397</v>
      </c>
      <c r="H20" s="51">
        <f>SUMIF('Estructura de Servicios'!$A:$A,A20,'Estructura de Servicios'!$I:$I)</f>
        <v>0</v>
      </c>
      <c r="I20" s="52" t="str">
        <f>IFERROR(
   VLOOKUP(G20,'Tier Servicios'!$A:$C,2,FALSE),
   ""
)</f>
        <v/>
      </c>
      <c r="J20" s="61" t="str">
        <f>IFERROR(
   ROUNDUP(
      H20 * (
         1 +
         VLOOKUP(G20,'Tier Servicios'!$A:$C,2,FALSE) +
         VLOOKUP(F20,'Modelo comercial'!$A:$C,2,FALSE)
      ),
   -1),
"Verificar tier/modelo")</f>
        <v>Verificar tier/modelo</v>
      </c>
      <c r="K20" s="119" t="str">
        <f>IFERROR(J20*VLOOKUP("CLP",'Tipos de Cambio'!$B:$C,2,FALSE),"")</f>
        <v/>
      </c>
      <c r="L20" s="120" t="str">
        <f>IFERROR(J20*VLOOKUP("CLF",'Tipos de Cambio'!$B:$C,2,FALSE),"")</f>
        <v/>
      </c>
      <c r="M20" s="121" t="str">
        <f>IFERROR(J20*VLOOKUP("COP",'Tipos de Cambio'!$B:$C,2,FALSE),"")</f>
        <v/>
      </c>
      <c r="N20" s="122" t="str">
        <f>IFERROR(J20*VLOOKUP("MXN",'Tipos de Cambio'!$B:$C,2,FALSE),"")</f>
        <v/>
      </c>
      <c r="O20" s="122" t="str">
        <f>IFERROR(J20*VLOOKUP("PEN",'Tipos de Cambio'!$B:$C,2,FALSE),"")</f>
        <v/>
      </c>
      <c r="P20" s="80"/>
      <c r="Q20" s="80"/>
      <c r="R20" s="80"/>
      <c r="S20" s="80"/>
    </row>
    <row r="21" spans="1:19" x14ac:dyDescent="0.3">
      <c r="A21" s="25" t="s">
        <v>398</v>
      </c>
      <c r="H21" s="51">
        <f>SUMIF('Estructura de Servicios'!$A:$A,A21,'Estructura de Servicios'!$I:$I)</f>
        <v>0</v>
      </c>
      <c r="I21" s="52" t="str">
        <f>IFERROR(
   VLOOKUP(G21,'Tier Servicios'!$A:$C,2,FALSE),
   ""
)</f>
        <v/>
      </c>
      <c r="J21" s="61" t="str">
        <f>IFERROR(
   ROUNDUP(
      H21 * (
         1 +
         VLOOKUP(G21,'Tier Servicios'!$A:$C,2,FALSE) +
         VLOOKUP(F21,'Modelo comercial'!$A:$C,2,FALSE)
      ),
   -1),
"Verificar tier/modelo")</f>
        <v>Verificar tier/modelo</v>
      </c>
      <c r="K21" s="119" t="str">
        <f>IFERROR(J21*VLOOKUP("CLP",'Tipos de Cambio'!$B:$C,2,FALSE),"")</f>
        <v/>
      </c>
      <c r="L21" s="120" t="str">
        <f>IFERROR(J21*VLOOKUP("CLF",'Tipos de Cambio'!$B:$C,2,FALSE),"")</f>
        <v/>
      </c>
      <c r="M21" s="121" t="str">
        <f>IFERROR(J21*VLOOKUP("COP",'Tipos de Cambio'!$B:$C,2,FALSE),"")</f>
        <v/>
      </c>
      <c r="N21" s="122" t="str">
        <f>IFERROR(J21*VLOOKUP("MXN",'Tipos de Cambio'!$B:$C,2,FALSE),"")</f>
        <v/>
      </c>
      <c r="O21" s="122" t="str">
        <f>IFERROR(J21*VLOOKUP("PEN",'Tipos de Cambio'!$B:$C,2,FALSE),"")</f>
        <v/>
      </c>
      <c r="P21" s="80"/>
      <c r="Q21" s="80"/>
      <c r="R21" s="80"/>
      <c r="S21" s="80"/>
    </row>
    <row r="22" spans="1:19" x14ac:dyDescent="0.3">
      <c r="A22" s="25" t="s">
        <v>399</v>
      </c>
      <c r="H22" s="51">
        <f>SUMIF('Estructura de Servicios'!$A:$A,A22,'Estructura de Servicios'!$I:$I)</f>
        <v>0</v>
      </c>
      <c r="I22" s="52" t="str">
        <f>IFERROR(
   VLOOKUP(G22,'Tier Servicios'!$A:$C,2,FALSE),
   ""
)</f>
        <v/>
      </c>
      <c r="J22" s="61" t="str">
        <f>IFERROR(
   ROUNDUP(
      H22 * (
         1 +
         VLOOKUP(G22,'Tier Servicios'!$A:$C,2,FALSE) +
         VLOOKUP(F22,'Modelo comercial'!$A:$C,2,FALSE)
      ),
   -1),
"Verificar tier/modelo")</f>
        <v>Verificar tier/modelo</v>
      </c>
      <c r="K22" s="119" t="str">
        <f>IFERROR(J22*VLOOKUP("CLP",'Tipos de Cambio'!$B:$C,2,FALSE),"")</f>
        <v/>
      </c>
      <c r="L22" s="120" t="str">
        <f>IFERROR(J22*VLOOKUP("CLF",'Tipos de Cambio'!$B:$C,2,FALSE),"")</f>
        <v/>
      </c>
      <c r="M22" s="121" t="str">
        <f>IFERROR(J22*VLOOKUP("COP",'Tipos de Cambio'!$B:$C,2,FALSE),"")</f>
        <v/>
      </c>
      <c r="N22" s="122" t="str">
        <f>IFERROR(J22*VLOOKUP("MXN",'Tipos de Cambio'!$B:$C,2,FALSE),"")</f>
        <v/>
      </c>
      <c r="O22" s="122" t="str">
        <f>IFERROR(J22*VLOOKUP("PEN",'Tipos de Cambio'!$B:$C,2,FALSE),"")</f>
        <v/>
      </c>
      <c r="P22" s="80"/>
      <c r="Q22" s="80"/>
      <c r="R22" s="80"/>
      <c r="S22" s="80"/>
    </row>
    <row r="23" spans="1:19" x14ac:dyDescent="0.3">
      <c r="A23" s="25" t="s">
        <v>400</v>
      </c>
      <c r="H23" s="51">
        <f>SUMIF('Estructura de Servicios'!$A:$A,A23,'Estructura de Servicios'!$I:$I)</f>
        <v>0</v>
      </c>
      <c r="I23" s="52" t="str">
        <f>IFERROR(
   VLOOKUP(G23,'Tier Servicios'!$A:$C,2,FALSE),
   ""
)</f>
        <v/>
      </c>
      <c r="J23" s="61" t="str">
        <f>IFERROR(
   ROUNDUP(
      H23 * (
         1 +
         VLOOKUP(G23,'Tier Servicios'!$A:$C,2,FALSE) +
         VLOOKUP(F23,'Modelo comercial'!$A:$C,2,FALSE)
      ),
   -1),
"Verificar tier/modelo")</f>
        <v>Verificar tier/modelo</v>
      </c>
      <c r="K23" s="119" t="str">
        <f>IFERROR(J23*VLOOKUP("CLP",'Tipos de Cambio'!$B:$C,2,FALSE),"")</f>
        <v/>
      </c>
      <c r="L23" s="120" t="str">
        <f>IFERROR(J23*VLOOKUP("CLF",'Tipos de Cambio'!$B:$C,2,FALSE),"")</f>
        <v/>
      </c>
      <c r="M23" s="121" t="str">
        <f>IFERROR(J23*VLOOKUP("COP",'Tipos de Cambio'!$B:$C,2,FALSE),"")</f>
        <v/>
      </c>
      <c r="N23" s="122" t="str">
        <f>IFERROR(J23*VLOOKUP("MXN",'Tipos de Cambio'!$B:$C,2,FALSE),"")</f>
        <v/>
      </c>
      <c r="O23" s="122" t="str">
        <f>IFERROR(J23*VLOOKUP("PEN",'Tipos de Cambio'!$B:$C,2,FALSE),"")</f>
        <v/>
      </c>
      <c r="P23" s="80"/>
      <c r="Q23" s="80"/>
      <c r="R23" s="80"/>
      <c r="S23" s="80"/>
    </row>
    <row r="24" spans="1:19" x14ac:dyDescent="0.3">
      <c r="A24" s="25" t="s">
        <v>401</v>
      </c>
      <c r="H24" s="51">
        <f>SUMIF('Estructura de Servicios'!$A:$A,A24,'Estructura de Servicios'!$I:$I)</f>
        <v>0</v>
      </c>
      <c r="I24" s="52" t="str">
        <f>IFERROR(
   VLOOKUP(G24,'Tier Servicios'!$A:$C,2,FALSE),
   ""
)</f>
        <v/>
      </c>
      <c r="J24" s="61" t="str">
        <f>IFERROR(
   ROUNDUP(
      H24 * (
         1 +
         VLOOKUP(G24,'Tier Servicios'!$A:$C,2,FALSE) +
         VLOOKUP(F24,'Modelo comercial'!$A:$C,2,FALSE)
      ),
   -1),
"Verificar tier/modelo")</f>
        <v>Verificar tier/modelo</v>
      </c>
      <c r="K24" s="119" t="str">
        <f>IFERROR(J24*VLOOKUP("CLP",'Tipos de Cambio'!$B:$C,2,FALSE),"")</f>
        <v/>
      </c>
      <c r="L24" s="120" t="str">
        <f>IFERROR(J24*VLOOKUP("CLF",'Tipos de Cambio'!$B:$C,2,FALSE),"")</f>
        <v/>
      </c>
      <c r="M24" s="121" t="str">
        <f>IFERROR(J24*VLOOKUP("COP",'Tipos de Cambio'!$B:$C,2,FALSE),"")</f>
        <v/>
      </c>
      <c r="N24" s="122" t="str">
        <f>IFERROR(J24*VLOOKUP("MXN",'Tipos de Cambio'!$B:$C,2,FALSE),"")</f>
        <v/>
      </c>
      <c r="O24" s="122" t="str">
        <f>IFERROR(J24*VLOOKUP("PEN",'Tipos de Cambio'!$B:$C,2,FALSE),"")</f>
        <v/>
      </c>
      <c r="P24" s="80"/>
      <c r="Q24" s="80"/>
      <c r="R24" s="80"/>
      <c r="S24" s="80"/>
    </row>
    <row r="25" spans="1:19" x14ac:dyDescent="0.3">
      <c r="A25" s="25" t="s">
        <v>402</v>
      </c>
      <c r="H25" s="51">
        <f>SUMIF('Estructura de Servicios'!$A:$A,A25,'Estructura de Servicios'!$I:$I)</f>
        <v>0</v>
      </c>
      <c r="I25" s="52" t="str">
        <f>IFERROR(
   VLOOKUP(G25,'Tier Servicios'!$A:$C,2,FALSE),
   ""
)</f>
        <v/>
      </c>
      <c r="J25" s="61" t="str">
        <f>IFERROR(
   ROUNDUP(
      H25 * (
         1 +
         VLOOKUP(G25,'Tier Servicios'!$A:$C,2,FALSE) +
         VLOOKUP(F25,'Modelo comercial'!$A:$C,2,FALSE)
      ),
   -1),
"Verificar tier/modelo")</f>
        <v>Verificar tier/modelo</v>
      </c>
      <c r="K25" s="119" t="str">
        <f>IFERROR(J25*VLOOKUP("CLP",'Tipos de Cambio'!$B:$C,2,FALSE),"")</f>
        <v/>
      </c>
      <c r="L25" s="120" t="str">
        <f>IFERROR(J25*VLOOKUP("CLF",'Tipos de Cambio'!$B:$C,2,FALSE),"")</f>
        <v/>
      </c>
      <c r="M25" s="121" t="str">
        <f>IFERROR(J25*VLOOKUP("COP",'Tipos de Cambio'!$B:$C,2,FALSE),"")</f>
        <v/>
      </c>
      <c r="N25" s="122" t="str">
        <f>IFERROR(J25*VLOOKUP("MXN",'Tipos de Cambio'!$B:$C,2,FALSE),"")</f>
        <v/>
      </c>
      <c r="O25" s="122" t="str">
        <f>IFERROR(J25*VLOOKUP("PEN",'Tipos de Cambio'!$B:$C,2,FALSE),"")</f>
        <v/>
      </c>
      <c r="P25" s="80"/>
      <c r="Q25" s="80"/>
      <c r="R25" s="80"/>
      <c r="S25" s="80"/>
    </row>
    <row r="26" spans="1:19" x14ac:dyDescent="0.3">
      <c r="A26" s="25" t="s">
        <v>403</v>
      </c>
      <c r="H26" s="51">
        <f>SUMIF('Estructura de Servicios'!$A:$A,A26,'Estructura de Servicios'!$I:$I)</f>
        <v>0</v>
      </c>
      <c r="I26" s="52" t="str">
        <f>IFERROR(
   VLOOKUP(G26,'Tier Servicios'!$A:$C,2,FALSE),
   ""
)</f>
        <v/>
      </c>
      <c r="J26" s="61" t="str">
        <f>IFERROR(
   ROUNDUP(
      H26 * (
         1 +
         VLOOKUP(G26,'Tier Servicios'!$A:$C,2,FALSE) +
         VLOOKUP(F26,'Modelo comercial'!$A:$C,2,FALSE)
      ),
   -1),
"Verificar tier/modelo")</f>
        <v>Verificar tier/modelo</v>
      </c>
      <c r="K26" s="119" t="str">
        <f>IFERROR(J26*VLOOKUP("CLP",'Tipos de Cambio'!$B:$C,2,FALSE),"")</f>
        <v/>
      </c>
      <c r="L26" s="120" t="str">
        <f>IFERROR(J26*VLOOKUP("CLF",'Tipos de Cambio'!$B:$C,2,FALSE),"")</f>
        <v/>
      </c>
      <c r="M26" s="121" t="str">
        <f>IFERROR(J26*VLOOKUP("COP",'Tipos de Cambio'!$B:$C,2,FALSE),"")</f>
        <v/>
      </c>
      <c r="N26" s="122" t="str">
        <f>IFERROR(J26*VLOOKUP("MXN",'Tipos de Cambio'!$B:$C,2,FALSE),"")</f>
        <v/>
      </c>
      <c r="O26" s="122" t="str">
        <f>IFERROR(J26*VLOOKUP("PEN",'Tipos de Cambio'!$B:$C,2,FALSE),"")</f>
        <v/>
      </c>
      <c r="P26" s="80"/>
      <c r="Q26" s="80"/>
      <c r="R26" s="80"/>
      <c r="S26" s="80"/>
    </row>
    <row r="27" spans="1:19" x14ac:dyDescent="0.3">
      <c r="A27" s="25" t="s">
        <v>404</v>
      </c>
      <c r="H27" s="51">
        <f>SUMIF('Estructura de Servicios'!$A:$A,A27,'Estructura de Servicios'!$I:$I)</f>
        <v>0</v>
      </c>
      <c r="I27" s="52" t="str">
        <f>IFERROR(
   VLOOKUP(G27,'Tier Servicios'!$A:$C,2,FALSE),
   ""
)</f>
        <v/>
      </c>
      <c r="J27" s="61" t="str">
        <f>IFERROR(
   ROUNDUP(
      H27 * (
         1 +
         VLOOKUP(G27,'Tier Servicios'!$A:$C,2,FALSE) +
         VLOOKUP(F27,'Modelo comercial'!$A:$C,2,FALSE)
      ),
   -1),
"Verificar tier/modelo")</f>
        <v>Verificar tier/modelo</v>
      </c>
      <c r="K27" s="119" t="str">
        <f>IFERROR(J27*VLOOKUP("CLP",'Tipos de Cambio'!$B:$C,2,FALSE),"")</f>
        <v/>
      </c>
      <c r="L27" s="120" t="str">
        <f>IFERROR(J27*VLOOKUP("CLF",'Tipos de Cambio'!$B:$C,2,FALSE),"")</f>
        <v/>
      </c>
      <c r="M27" s="121" t="str">
        <f>IFERROR(J27*VLOOKUP("COP",'Tipos de Cambio'!$B:$C,2,FALSE),"")</f>
        <v/>
      </c>
      <c r="N27" s="122" t="str">
        <f>IFERROR(J27*VLOOKUP("MXN",'Tipos de Cambio'!$B:$C,2,FALSE),"")</f>
        <v/>
      </c>
      <c r="O27" s="122" t="str">
        <f>IFERROR(J27*VLOOKUP("PEN",'Tipos de Cambio'!$B:$C,2,FALSE),"")</f>
        <v/>
      </c>
      <c r="P27" s="80"/>
      <c r="Q27" s="80"/>
      <c r="R27" s="80"/>
      <c r="S27" s="80"/>
    </row>
    <row r="28" spans="1:19" x14ac:dyDescent="0.3">
      <c r="A28" s="25" t="s">
        <v>405</v>
      </c>
      <c r="H28" s="51">
        <f>SUMIF('Estructura de Servicios'!$A:$A,A28,'Estructura de Servicios'!$I:$I)</f>
        <v>0</v>
      </c>
      <c r="I28" s="52" t="str">
        <f>IFERROR(
   VLOOKUP(G28,'Tier Servicios'!$A:$C,2,FALSE),
   ""
)</f>
        <v/>
      </c>
      <c r="J28" s="61" t="str">
        <f>IFERROR(
   ROUNDUP(
      H28 * (
         1 +
         VLOOKUP(G28,'Tier Servicios'!$A:$C,2,FALSE) +
         VLOOKUP(F28,'Modelo comercial'!$A:$C,2,FALSE)
      ),
   -1),
"Verificar tier/modelo")</f>
        <v>Verificar tier/modelo</v>
      </c>
      <c r="K28" s="119" t="str">
        <f>IFERROR(J28*VLOOKUP("CLP",'Tipos de Cambio'!$B:$C,2,FALSE),"")</f>
        <v/>
      </c>
      <c r="L28" s="120" t="str">
        <f>IFERROR(J28*VLOOKUP("CLF",'Tipos de Cambio'!$B:$C,2,FALSE),"")</f>
        <v/>
      </c>
      <c r="M28" s="121" t="str">
        <f>IFERROR(J28*VLOOKUP("COP",'Tipos de Cambio'!$B:$C,2,FALSE),"")</f>
        <v/>
      </c>
      <c r="N28" s="122" t="str">
        <f>IFERROR(J28*VLOOKUP("MXN",'Tipos de Cambio'!$B:$C,2,FALSE),"")</f>
        <v/>
      </c>
      <c r="O28" s="122" t="str">
        <f>IFERROR(J28*VLOOKUP("PEN",'Tipos de Cambio'!$B:$C,2,FALSE),"")</f>
        <v/>
      </c>
      <c r="P28" s="80"/>
      <c r="Q28" s="80"/>
      <c r="R28" s="80"/>
      <c r="S28" s="80"/>
    </row>
    <row r="29" spans="1:19" x14ac:dyDescent="0.3">
      <c r="A29" s="25" t="s">
        <v>406</v>
      </c>
      <c r="H29" s="51">
        <f>SUMIF('Estructura de Servicios'!$A:$A,A29,'Estructura de Servicios'!$I:$I)</f>
        <v>0</v>
      </c>
      <c r="I29" s="52" t="str">
        <f>IFERROR(
   VLOOKUP(G29,'Tier Servicios'!$A:$C,2,FALSE),
   ""
)</f>
        <v/>
      </c>
      <c r="J29" s="61" t="str">
        <f>IFERROR(
   ROUNDUP(
      H29 * (
         1 +
         VLOOKUP(G29,'Tier Servicios'!$A:$C,2,FALSE) +
         VLOOKUP(F29,'Modelo comercial'!$A:$C,2,FALSE)
      ),
   -1),
"Verificar tier/modelo")</f>
        <v>Verificar tier/modelo</v>
      </c>
      <c r="K29" s="119" t="str">
        <f>IFERROR(J29*VLOOKUP("CLP",'Tipos de Cambio'!$B:$C,2,FALSE),"")</f>
        <v/>
      </c>
      <c r="L29" s="120" t="str">
        <f>IFERROR(J29*VLOOKUP("CLF",'Tipos de Cambio'!$B:$C,2,FALSE),"")</f>
        <v/>
      </c>
      <c r="M29" s="121" t="str">
        <f>IFERROR(J29*VLOOKUP("COP",'Tipos de Cambio'!$B:$C,2,FALSE),"")</f>
        <v/>
      </c>
      <c r="N29" s="122" t="str">
        <f>IFERROR(J29*VLOOKUP("MXN",'Tipos de Cambio'!$B:$C,2,FALSE),"")</f>
        <v/>
      </c>
      <c r="O29" s="122" t="str">
        <f>IFERROR(J29*VLOOKUP("PEN",'Tipos de Cambio'!$B:$C,2,FALSE),"")</f>
        <v/>
      </c>
      <c r="P29" s="80"/>
      <c r="Q29" s="80"/>
      <c r="R29" s="80"/>
      <c r="S29" s="80"/>
    </row>
    <row r="30" spans="1:19" x14ac:dyDescent="0.3">
      <c r="A30" s="25" t="s">
        <v>407</v>
      </c>
      <c r="H30" s="51">
        <f>SUMIF('Estructura de Servicios'!$A:$A,A30,'Estructura de Servicios'!$I:$I)</f>
        <v>0</v>
      </c>
      <c r="I30" s="52" t="str">
        <f>IFERROR(
   VLOOKUP(G30,'Tier Servicios'!$A:$C,2,FALSE),
   ""
)</f>
        <v/>
      </c>
      <c r="J30" s="61" t="str">
        <f>IFERROR(
   ROUNDUP(
      H30 * (
         1 +
         VLOOKUP(G30,'Tier Servicios'!$A:$C,2,FALSE) +
         VLOOKUP(F30,'Modelo comercial'!$A:$C,2,FALSE)
      ),
   -1),
"Verificar tier/modelo")</f>
        <v>Verificar tier/modelo</v>
      </c>
      <c r="K30" s="119" t="str">
        <f>IFERROR(J30*VLOOKUP("CLP",'Tipos de Cambio'!$B:$C,2,FALSE),"")</f>
        <v/>
      </c>
      <c r="L30" s="120" t="str">
        <f>IFERROR(J30*VLOOKUP("CLF",'Tipos de Cambio'!$B:$C,2,FALSE),"")</f>
        <v/>
      </c>
      <c r="M30" s="121" t="str">
        <f>IFERROR(J30*VLOOKUP("COP",'Tipos de Cambio'!$B:$C,2,FALSE),"")</f>
        <v/>
      </c>
      <c r="N30" s="122" t="str">
        <f>IFERROR(J30*VLOOKUP("MXN",'Tipos de Cambio'!$B:$C,2,FALSE),"")</f>
        <v/>
      </c>
      <c r="O30" s="122" t="str">
        <f>IFERROR(J30*VLOOKUP("PEN",'Tipos de Cambio'!$B:$C,2,FALSE),"")</f>
        <v/>
      </c>
      <c r="P30" s="80"/>
      <c r="Q30" s="80"/>
      <c r="R30" s="80"/>
      <c r="S30" s="80"/>
    </row>
    <row r="31" spans="1:19" x14ac:dyDescent="0.3">
      <c r="A31" s="25" t="s">
        <v>408</v>
      </c>
      <c r="H31" s="51">
        <f>SUMIF('Estructura de Servicios'!$A:$A,A31,'Estructura de Servicios'!$I:$I)</f>
        <v>0</v>
      </c>
      <c r="I31" s="52" t="str">
        <f>IFERROR(
   VLOOKUP(G31,'Tier Servicios'!$A:$C,2,FALSE),
   ""
)</f>
        <v/>
      </c>
      <c r="J31" s="61" t="str">
        <f>IFERROR(
   ROUNDUP(
      H31 * (
         1 +
         VLOOKUP(G31,'Tier Servicios'!$A:$C,2,FALSE) +
         VLOOKUP(F31,'Modelo comercial'!$A:$C,2,FALSE)
      ),
   -1),
"Verificar tier/modelo")</f>
        <v>Verificar tier/modelo</v>
      </c>
      <c r="K31" s="119" t="str">
        <f>IFERROR(J31*VLOOKUP("CLP",'Tipos de Cambio'!$B:$C,2,FALSE),"")</f>
        <v/>
      </c>
      <c r="L31" s="120" t="str">
        <f>IFERROR(J31*VLOOKUP("CLF",'Tipos de Cambio'!$B:$C,2,FALSE),"")</f>
        <v/>
      </c>
      <c r="M31" s="121" t="str">
        <f>IFERROR(J31*VLOOKUP("COP",'Tipos de Cambio'!$B:$C,2,FALSE),"")</f>
        <v/>
      </c>
      <c r="N31" s="122" t="str">
        <f>IFERROR(J31*VLOOKUP("MXN",'Tipos de Cambio'!$B:$C,2,FALSE),"")</f>
        <v/>
      </c>
      <c r="O31" s="122" t="str">
        <f>IFERROR(J31*VLOOKUP("PEN",'Tipos de Cambio'!$B:$C,2,FALSE),"")</f>
        <v/>
      </c>
      <c r="P31" s="80"/>
      <c r="Q31" s="80"/>
      <c r="R31" s="80"/>
      <c r="S31" s="80"/>
    </row>
    <row r="32" spans="1:19" x14ac:dyDescent="0.3">
      <c r="A32" s="25" t="s">
        <v>409</v>
      </c>
      <c r="H32" s="51">
        <f>SUMIF('Estructura de Servicios'!$A:$A,A32,'Estructura de Servicios'!$I:$I)</f>
        <v>0</v>
      </c>
      <c r="I32" s="52" t="str">
        <f>IFERROR(
   VLOOKUP(G32,'Tier Servicios'!$A:$C,2,FALSE),
   ""
)</f>
        <v/>
      </c>
      <c r="J32" s="61" t="str">
        <f>IFERROR(
   ROUNDUP(
      H32 * (
         1 +
         VLOOKUP(G32,'Tier Servicios'!$A:$C,2,FALSE) +
         VLOOKUP(F32,'Modelo comercial'!$A:$C,2,FALSE)
      ),
   -1),
"Verificar tier/modelo")</f>
        <v>Verificar tier/modelo</v>
      </c>
      <c r="K32" s="119" t="str">
        <f>IFERROR(J32*VLOOKUP("CLP",'Tipos de Cambio'!$B:$C,2,FALSE),"")</f>
        <v/>
      </c>
      <c r="L32" s="120" t="str">
        <f>IFERROR(J32*VLOOKUP("CLF",'Tipos de Cambio'!$B:$C,2,FALSE),"")</f>
        <v/>
      </c>
      <c r="M32" s="121" t="str">
        <f>IFERROR(J32*VLOOKUP("COP",'Tipos de Cambio'!$B:$C,2,FALSE),"")</f>
        <v/>
      </c>
      <c r="N32" s="122" t="str">
        <f>IFERROR(J32*VLOOKUP("MXN",'Tipos de Cambio'!$B:$C,2,FALSE),"")</f>
        <v/>
      </c>
      <c r="O32" s="122" t="str">
        <f>IFERROR(J32*VLOOKUP("PEN",'Tipos de Cambio'!$B:$C,2,FALSE),"")</f>
        <v/>
      </c>
      <c r="P32" s="80"/>
      <c r="Q32" s="80"/>
      <c r="R32" s="80"/>
      <c r="S32" s="80"/>
    </row>
    <row r="33" spans="1:19" x14ac:dyDescent="0.3">
      <c r="A33" s="25" t="s">
        <v>410</v>
      </c>
      <c r="H33" s="51">
        <f>SUMIF('Estructura de Servicios'!$A:$A,A33,'Estructura de Servicios'!$I:$I)</f>
        <v>0</v>
      </c>
      <c r="I33" s="52" t="str">
        <f>IFERROR(
   VLOOKUP(G33,'Tier Servicios'!$A:$C,2,FALSE),
   ""
)</f>
        <v/>
      </c>
      <c r="J33" s="61" t="str">
        <f>IFERROR(
   ROUNDUP(
      H33 * (
         1 +
         VLOOKUP(G33,'Tier Servicios'!$A:$C,2,FALSE) +
         VLOOKUP(F33,'Modelo comercial'!$A:$C,2,FALSE)
      ),
   -1),
"Verificar tier/modelo")</f>
        <v>Verificar tier/modelo</v>
      </c>
      <c r="K33" s="119" t="str">
        <f>IFERROR(J33*VLOOKUP("CLP",'Tipos de Cambio'!$B:$C,2,FALSE),"")</f>
        <v/>
      </c>
      <c r="L33" s="120" t="str">
        <f>IFERROR(J33*VLOOKUP("CLF",'Tipos de Cambio'!$B:$C,2,FALSE),"")</f>
        <v/>
      </c>
      <c r="M33" s="121" t="str">
        <f>IFERROR(J33*VLOOKUP("COP",'Tipos de Cambio'!$B:$C,2,FALSE),"")</f>
        <v/>
      </c>
      <c r="N33" s="122" t="str">
        <f>IFERROR(J33*VLOOKUP("MXN",'Tipos de Cambio'!$B:$C,2,FALSE),"")</f>
        <v/>
      </c>
      <c r="O33" s="122" t="str">
        <f>IFERROR(J33*VLOOKUP("PEN",'Tipos de Cambio'!$B:$C,2,FALSE),"")</f>
        <v/>
      </c>
      <c r="P33" s="80"/>
      <c r="Q33" s="80"/>
      <c r="R33" s="80"/>
      <c r="S33" s="80"/>
    </row>
    <row r="34" spans="1:19" x14ac:dyDescent="0.3">
      <c r="A34" s="25" t="s">
        <v>411</v>
      </c>
      <c r="H34" s="51">
        <f>SUMIF('Estructura de Servicios'!$A:$A,A34,'Estructura de Servicios'!$I:$I)</f>
        <v>0</v>
      </c>
      <c r="I34" s="52" t="str">
        <f>IFERROR(
   VLOOKUP(G34,'Tier Servicios'!$A:$C,2,FALSE),
   ""
)</f>
        <v/>
      </c>
      <c r="J34" s="61" t="str">
        <f>IFERROR(
   ROUNDUP(
      H34 * (
         1 +
         VLOOKUP(G34,'Tier Servicios'!$A:$C,2,FALSE) +
         VLOOKUP(F34,'Modelo comercial'!$A:$C,2,FALSE)
      ),
   -1),
"Verificar tier/modelo")</f>
        <v>Verificar tier/modelo</v>
      </c>
      <c r="K34" s="119" t="str">
        <f>IFERROR(J34*VLOOKUP("CLP",'Tipos de Cambio'!$B:$C,2,FALSE),"")</f>
        <v/>
      </c>
      <c r="L34" s="120" t="str">
        <f>IFERROR(J34*VLOOKUP("CLF",'Tipos de Cambio'!$B:$C,2,FALSE),"")</f>
        <v/>
      </c>
      <c r="M34" s="121" t="str">
        <f>IFERROR(J34*VLOOKUP("COP",'Tipos de Cambio'!$B:$C,2,FALSE),"")</f>
        <v/>
      </c>
      <c r="N34" s="122" t="str">
        <f>IFERROR(J34*VLOOKUP("MXN",'Tipos de Cambio'!$B:$C,2,FALSE),"")</f>
        <v/>
      </c>
      <c r="O34" s="122" t="str">
        <f>IFERROR(J34*VLOOKUP("PEN",'Tipos de Cambio'!$B:$C,2,FALSE),"")</f>
        <v/>
      </c>
      <c r="P34" s="80"/>
      <c r="Q34" s="80"/>
      <c r="R34" s="80"/>
      <c r="S34" s="80"/>
    </row>
    <row r="35" spans="1:19" x14ac:dyDescent="0.3">
      <c r="A35" s="25" t="s">
        <v>412</v>
      </c>
      <c r="H35" s="51">
        <f>SUMIF('Estructura de Servicios'!$A:$A,A35,'Estructura de Servicios'!$I:$I)</f>
        <v>0</v>
      </c>
      <c r="I35" s="52" t="str">
        <f>IFERROR(
   VLOOKUP(G35,'Tier Servicios'!$A:$C,2,FALSE),
   ""
)</f>
        <v/>
      </c>
      <c r="J35" s="61" t="str">
        <f>IFERROR(
   ROUNDUP(
      H35 * (
         1 +
         VLOOKUP(G35,'Tier Servicios'!$A:$C,2,FALSE) +
         VLOOKUP(F35,'Modelo comercial'!$A:$C,2,FALSE)
      ),
   -1),
"Verificar tier/modelo")</f>
        <v>Verificar tier/modelo</v>
      </c>
      <c r="K35" s="119" t="str">
        <f>IFERROR(J35*VLOOKUP("CLP",'Tipos de Cambio'!$B:$C,2,FALSE),"")</f>
        <v/>
      </c>
      <c r="L35" s="120" t="str">
        <f>IFERROR(J35*VLOOKUP("CLF",'Tipos de Cambio'!$B:$C,2,FALSE),"")</f>
        <v/>
      </c>
      <c r="M35" s="121" t="str">
        <f>IFERROR(J35*VLOOKUP("COP",'Tipos de Cambio'!$B:$C,2,FALSE),"")</f>
        <v/>
      </c>
      <c r="N35" s="122" t="str">
        <f>IFERROR(J35*VLOOKUP("MXN",'Tipos de Cambio'!$B:$C,2,FALSE),"")</f>
        <v/>
      </c>
      <c r="O35" s="122" t="str">
        <f>IFERROR(J35*VLOOKUP("PEN",'Tipos de Cambio'!$B:$C,2,FALSE),"")</f>
        <v/>
      </c>
      <c r="P35" s="80"/>
      <c r="Q35" s="80"/>
      <c r="R35" s="80"/>
      <c r="S35" s="80"/>
    </row>
    <row r="36" spans="1:19" x14ac:dyDescent="0.3">
      <c r="A36" s="25" t="s">
        <v>413</v>
      </c>
      <c r="H36" s="51">
        <f>SUMIF('Estructura de Servicios'!$A:$A,A36,'Estructura de Servicios'!$I:$I)</f>
        <v>0</v>
      </c>
      <c r="I36" s="52" t="str">
        <f>IFERROR(
   VLOOKUP(G36,'Tier Servicios'!$A:$C,2,FALSE),
   ""
)</f>
        <v/>
      </c>
      <c r="J36" s="62"/>
      <c r="K36" s="119">
        <f>IFERROR(J36*VLOOKUP("CLP",'Tipos de Cambio'!$B:$C,2,FALSE),"")</f>
        <v>0</v>
      </c>
      <c r="L36" s="120">
        <f>IFERROR(J36*VLOOKUP("CLF",'Tipos de Cambio'!$B:$C,2,FALSE),"")</f>
        <v>0</v>
      </c>
      <c r="M36" s="121">
        <f>IFERROR(J36*VLOOKUP("COP",'Tipos de Cambio'!$B:$C,2,FALSE),"")</f>
        <v>0</v>
      </c>
      <c r="N36" s="122">
        <f>IFERROR(J36*VLOOKUP("MXN",'Tipos de Cambio'!$B:$C,2,FALSE),"")</f>
        <v>0</v>
      </c>
      <c r="O36" s="122">
        <f>IFERROR(J36*VLOOKUP("PEN",'Tipos de Cambio'!$B:$C,2,FALSE),"")</f>
        <v>0</v>
      </c>
    </row>
    <row r="37" spans="1:19" x14ac:dyDescent="0.3">
      <c r="A37" s="25" t="s">
        <v>414</v>
      </c>
      <c r="H37" s="51">
        <f>SUMIF('Estructura de Servicios'!$A:$A,A37,'Estructura de Servicios'!$I:$I)</f>
        <v>0</v>
      </c>
      <c r="I37" s="52" t="str">
        <f>IFERROR(
   VLOOKUP(G37,'Tier Servicios'!$A:$C,2,FALSE),
   ""
)</f>
        <v/>
      </c>
      <c r="J37" s="62"/>
      <c r="K37" s="119">
        <f>IFERROR(J37*VLOOKUP("CLP",'Tipos de Cambio'!$B:$C,2,FALSE),"")</f>
        <v>0</v>
      </c>
      <c r="L37" s="120">
        <f>IFERROR(J37*VLOOKUP("CLF",'Tipos de Cambio'!$B:$C,2,FALSE),"")</f>
        <v>0</v>
      </c>
      <c r="M37" s="121">
        <f>IFERROR(J37*VLOOKUP("COP",'Tipos de Cambio'!$B:$C,2,FALSE),"")</f>
        <v>0</v>
      </c>
      <c r="N37" s="122">
        <f>IFERROR(J37*VLOOKUP("MXN",'Tipos de Cambio'!$B:$C,2,FALSE),"")</f>
        <v>0</v>
      </c>
      <c r="O37" s="122">
        <f>IFERROR(J37*VLOOKUP("PEN",'Tipos de Cambio'!$B:$C,2,FALSE),"")</f>
        <v>0</v>
      </c>
    </row>
    <row r="38" spans="1:19" x14ac:dyDescent="0.3">
      <c r="A38" s="25" t="s">
        <v>415</v>
      </c>
      <c r="H38" s="51">
        <f>SUMIF('Estructura de Servicios'!$A:$A,A38,'Estructura de Servicios'!$I:$I)</f>
        <v>0</v>
      </c>
      <c r="I38" s="52" t="str">
        <f>IFERROR(
   VLOOKUP(G38,'Tier Servicios'!$A:$C,2,FALSE),
   ""
)</f>
        <v/>
      </c>
      <c r="J38" s="62"/>
      <c r="K38" s="119">
        <f>IFERROR(J38*VLOOKUP("CLP",'Tipos de Cambio'!$B:$C,2,FALSE),"")</f>
        <v>0</v>
      </c>
      <c r="L38" s="120">
        <f>IFERROR(J38*VLOOKUP("CLF",'Tipos de Cambio'!$B:$C,2,FALSE),"")</f>
        <v>0</v>
      </c>
      <c r="M38" s="121">
        <f>IFERROR(J38*VLOOKUP("COP",'Tipos de Cambio'!$B:$C,2,FALSE),"")</f>
        <v>0</v>
      </c>
      <c r="N38" s="122">
        <f>IFERROR(J38*VLOOKUP("MXN",'Tipos de Cambio'!$B:$C,2,FALSE),"")</f>
        <v>0</v>
      </c>
      <c r="O38" s="122">
        <f>IFERROR(J38*VLOOKUP("PEN",'Tipos de Cambio'!$B:$C,2,FALSE),"")</f>
        <v>0</v>
      </c>
    </row>
    <row r="39" spans="1:19" x14ac:dyDescent="0.3">
      <c r="A39" s="25" t="s">
        <v>416</v>
      </c>
      <c r="H39" s="51">
        <f>SUMIF('Estructura de Servicios'!$A:$A,A39,'Estructura de Servicios'!$I:$I)</f>
        <v>0</v>
      </c>
      <c r="I39" s="52" t="str">
        <f>IFERROR(
   VLOOKUP(G39,'Tier Servicios'!$A:$C,2,FALSE),
   ""
)</f>
        <v/>
      </c>
      <c r="J39" s="62"/>
      <c r="K39" s="119">
        <f>IFERROR(J39*VLOOKUP("CLP",'Tipos de Cambio'!$B:$C,2,FALSE),"")</f>
        <v>0</v>
      </c>
      <c r="L39" s="120">
        <f>IFERROR(J39*VLOOKUP("CLF",'Tipos de Cambio'!$B:$C,2,FALSE),"")</f>
        <v>0</v>
      </c>
      <c r="M39" s="121">
        <f>IFERROR(J39*VLOOKUP("COP",'Tipos de Cambio'!$B:$C,2,FALSE),"")</f>
        <v>0</v>
      </c>
      <c r="N39" s="122">
        <f>IFERROR(J39*VLOOKUP("MXN",'Tipos de Cambio'!$B:$C,2,FALSE),"")</f>
        <v>0</v>
      </c>
      <c r="O39" s="122">
        <f>IFERROR(J39*VLOOKUP("PEN",'Tipos de Cambio'!$B:$C,2,FALSE),"")</f>
        <v>0</v>
      </c>
    </row>
    <row r="40" spans="1:19" x14ac:dyDescent="0.3">
      <c r="A40" s="25" t="s">
        <v>417</v>
      </c>
      <c r="H40" s="51">
        <f>SUMIF('Estructura de Servicios'!$A:$A,A40,'Estructura de Servicios'!$I:$I)</f>
        <v>0</v>
      </c>
      <c r="I40" s="52" t="str">
        <f>IFERROR(
   VLOOKUP(G40,'Tier Servicios'!$A:$C,2,FALSE),
   ""
)</f>
        <v/>
      </c>
      <c r="J40" s="62"/>
      <c r="K40" s="119">
        <f>IFERROR(J40*VLOOKUP("CLP",'Tipos de Cambio'!$B:$C,2,FALSE),"")</f>
        <v>0</v>
      </c>
      <c r="L40" s="120">
        <f>IFERROR(J40*VLOOKUP("CLF",'Tipos de Cambio'!$B:$C,2,FALSE),"")</f>
        <v>0</v>
      </c>
      <c r="M40" s="121">
        <f>IFERROR(J40*VLOOKUP("COP",'Tipos de Cambio'!$B:$C,2,FALSE),"")</f>
        <v>0</v>
      </c>
      <c r="N40" s="122">
        <f>IFERROR(J40*VLOOKUP("MXN",'Tipos de Cambio'!$B:$C,2,FALSE),"")</f>
        <v>0</v>
      </c>
      <c r="O40" s="122">
        <f>IFERROR(J40*VLOOKUP("PEN",'Tipos de Cambio'!$B:$C,2,FALSE),"")</f>
        <v>0</v>
      </c>
    </row>
    <row r="41" spans="1:19" x14ac:dyDescent="0.3">
      <c r="A41" s="25" t="s">
        <v>418</v>
      </c>
      <c r="H41" s="51">
        <f>SUMIF('Estructura de Servicios'!$A:$A,A41,'Estructura de Servicios'!$I:$I)</f>
        <v>0</v>
      </c>
      <c r="I41" s="52" t="str">
        <f>IFERROR(
   VLOOKUP(G41,'Tier Servicios'!$A:$C,2,FALSE),
   ""
)</f>
        <v/>
      </c>
      <c r="J41" s="62"/>
      <c r="K41" s="119">
        <f>IFERROR(J41*VLOOKUP("CLP",'Tipos de Cambio'!$B:$C,2,FALSE),"")</f>
        <v>0</v>
      </c>
      <c r="L41" s="120">
        <f>IFERROR(J41*VLOOKUP("CLF",'Tipos de Cambio'!$B:$C,2,FALSE),"")</f>
        <v>0</v>
      </c>
      <c r="M41" s="121">
        <f>IFERROR(J41*VLOOKUP("COP",'Tipos de Cambio'!$B:$C,2,FALSE),"")</f>
        <v>0</v>
      </c>
      <c r="N41" s="122">
        <f>IFERROR(J41*VLOOKUP("MXN",'Tipos de Cambio'!$B:$C,2,FALSE),"")</f>
        <v>0</v>
      </c>
      <c r="O41" s="122">
        <f>IFERROR(J41*VLOOKUP("PEN",'Tipos de Cambio'!$B:$C,2,FALSE),"")</f>
        <v>0</v>
      </c>
    </row>
    <row r="42" spans="1:19" x14ac:dyDescent="0.3">
      <c r="A42" s="25" t="s">
        <v>419</v>
      </c>
      <c r="H42" s="51">
        <f>SUMIF('Estructura de Servicios'!$A:$A,A42,'Estructura de Servicios'!$I:$I)</f>
        <v>0</v>
      </c>
      <c r="I42" s="52" t="str">
        <f>IFERROR(
   VLOOKUP(G42,'Tier Servicios'!$A:$C,2,FALSE),
   ""
)</f>
        <v/>
      </c>
      <c r="J42" s="62"/>
      <c r="K42" s="119">
        <f>IFERROR(J42*VLOOKUP("CLP",'Tipos de Cambio'!$B:$C,2,FALSE),"")</f>
        <v>0</v>
      </c>
      <c r="L42" s="120">
        <f>IFERROR(J42*VLOOKUP("CLF",'Tipos de Cambio'!$B:$C,2,FALSE),"")</f>
        <v>0</v>
      </c>
      <c r="M42" s="121">
        <f>IFERROR(J42*VLOOKUP("COP",'Tipos de Cambio'!$B:$C,2,FALSE),"")</f>
        <v>0</v>
      </c>
      <c r="N42" s="122">
        <f>IFERROR(J42*VLOOKUP("MXN",'Tipos de Cambio'!$B:$C,2,FALSE),"")</f>
        <v>0</v>
      </c>
      <c r="O42" s="122">
        <f>IFERROR(J42*VLOOKUP("PEN",'Tipos de Cambio'!$B:$C,2,FALSE),"")</f>
        <v>0</v>
      </c>
    </row>
    <row r="43" spans="1:19" x14ac:dyDescent="0.3">
      <c r="A43" s="25" t="s">
        <v>420</v>
      </c>
      <c r="H43" s="51">
        <f>SUMIF('Estructura de Servicios'!$A:$A,A43,'Estructura de Servicios'!$I:$I)</f>
        <v>0</v>
      </c>
      <c r="I43" s="52" t="str">
        <f>IFERROR(
   VLOOKUP(G43,'Tier Servicios'!$A:$C,2,FALSE),
   ""
)</f>
        <v/>
      </c>
      <c r="J43" s="62"/>
      <c r="K43" s="119">
        <f>IFERROR(J43*VLOOKUP("CLP",'Tipos de Cambio'!$B:$C,2,FALSE),"")</f>
        <v>0</v>
      </c>
      <c r="L43" s="120">
        <f>IFERROR(J43*VLOOKUP("CLF",'Tipos de Cambio'!$B:$C,2,FALSE),"")</f>
        <v>0</v>
      </c>
      <c r="M43" s="121">
        <f>IFERROR(J43*VLOOKUP("COP",'Tipos de Cambio'!$B:$C,2,FALSE),"")</f>
        <v>0</v>
      </c>
      <c r="N43" s="122">
        <f>IFERROR(J43*VLOOKUP("MXN",'Tipos de Cambio'!$B:$C,2,FALSE),"")</f>
        <v>0</v>
      </c>
      <c r="O43" s="122">
        <f>IFERROR(J43*VLOOKUP("PEN",'Tipos de Cambio'!$B:$C,2,FALSE),"")</f>
        <v>0</v>
      </c>
    </row>
    <row r="44" spans="1:19" x14ac:dyDescent="0.3">
      <c r="A44" s="25" t="s">
        <v>421</v>
      </c>
      <c r="H44" s="51">
        <f>SUMIF('Estructura de Servicios'!$A:$A,A44,'Estructura de Servicios'!$I:$I)</f>
        <v>0</v>
      </c>
      <c r="I44" s="52" t="str">
        <f>IFERROR(
   VLOOKUP(G44,'Tier Servicios'!$A:$C,2,FALSE),
   ""
)</f>
        <v/>
      </c>
      <c r="J44" s="62"/>
      <c r="K44" s="119">
        <f>IFERROR(J44*VLOOKUP("CLP",'Tipos de Cambio'!$B:$C,2,FALSE),"")</f>
        <v>0</v>
      </c>
      <c r="L44" s="120">
        <f>IFERROR(J44*VLOOKUP("CLF",'Tipos de Cambio'!$B:$C,2,FALSE),"")</f>
        <v>0</v>
      </c>
      <c r="M44" s="121">
        <f>IFERROR(J44*VLOOKUP("COP",'Tipos de Cambio'!$B:$C,2,FALSE),"")</f>
        <v>0</v>
      </c>
      <c r="N44" s="122">
        <f>IFERROR(J44*VLOOKUP("MXN",'Tipos de Cambio'!$B:$C,2,FALSE),"")</f>
        <v>0</v>
      </c>
      <c r="O44" s="122">
        <f>IFERROR(J44*VLOOKUP("PEN",'Tipos de Cambio'!$B:$C,2,FALSE),"")</f>
        <v>0</v>
      </c>
    </row>
    <row r="45" spans="1:19" x14ac:dyDescent="0.3">
      <c r="A45" s="25" t="s">
        <v>422</v>
      </c>
      <c r="H45" s="51">
        <f>SUMIF('Estructura de Servicios'!$A:$A,A45,'Estructura de Servicios'!$I:$I)</f>
        <v>0</v>
      </c>
      <c r="I45" s="52" t="str">
        <f>IFERROR(
   VLOOKUP(G45,'Tier Servicios'!$A:$C,2,FALSE),
   ""
)</f>
        <v/>
      </c>
      <c r="J45" s="62"/>
      <c r="K45" s="119">
        <f>IFERROR(J45*VLOOKUP("CLP",'Tipos de Cambio'!$B:$C,2,FALSE),"")</f>
        <v>0</v>
      </c>
      <c r="L45" s="120">
        <f>IFERROR(J45*VLOOKUP("CLF",'Tipos de Cambio'!$B:$C,2,FALSE),"")</f>
        <v>0</v>
      </c>
      <c r="M45" s="121">
        <f>IFERROR(J45*VLOOKUP("COP",'Tipos de Cambio'!$B:$C,2,FALSE),"")</f>
        <v>0</v>
      </c>
      <c r="N45" s="122">
        <f>IFERROR(J45*VLOOKUP("MXN",'Tipos de Cambio'!$B:$C,2,FALSE),"")</f>
        <v>0</v>
      </c>
      <c r="O45" s="122">
        <f>IFERROR(J45*VLOOKUP("PEN",'Tipos de Cambio'!$B:$C,2,FALSE),"")</f>
        <v>0</v>
      </c>
    </row>
    <row r="46" spans="1:19" x14ac:dyDescent="0.3">
      <c r="A46" s="25" t="s">
        <v>423</v>
      </c>
      <c r="H46" s="51">
        <f>SUMIF('Estructura de Servicios'!$A:$A,A46,'Estructura de Servicios'!$I:$I)</f>
        <v>0</v>
      </c>
      <c r="I46" s="118"/>
      <c r="J46" s="62"/>
      <c r="K46" s="119">
        <f>IFERROR(J46*VLOOKUP("CLP",'Tipos de Cambio'!$B:$C,2,FALSE),"")</f>
        <v>0</v>
      </c>
      <c r="L46" s="120">
        <f>IFERROR(J46*VLOOKUP("CLF",'Tipos de Cambio'!$B:$C,2,FALSE),"")</f>
        <v>0</v>
      </c>
      <c r="M46" s="121">
        <f>IFERROR(J46*VLOOKUP("COP",'Tipos de Cambio'!$B:$C,2,FALSE),"")</f>
        <v>0</v>
      </c>
      <c r="N46" s="122">
        <f>IFERROR(J46*VLOOKUP("MXN",'Tipos de Cambio'!$B:$C,2,FALSE),"")</f>
        <v>0</v>
      </c>
      <c r="O46" s="122">
        <f>IFERROR(J46*VLOOKUP("PEN",'Tipos de Cambio'!$B:$C,2,FALSE),"")</f>
        <v>0</v>
      </c>
    </row>
    <row r="47" spans="1:19" x14ac:dyDescent="0.3">
      <c r="A47" s="25" t="s">
        <v>424</v>
      </c>
      <c r="H47" s="117"/>
      <c r="I47" s="118"/>
      <c r="J47" s="62"/>
      <c r="K47" s="119">
        <f>IFERROR(J47*VLOOKUP("CLP",'Tipos de Cambio'!$B:$C,2,FALSE),"")</f>
        <v>0</v>
      </c>
      <c r="L47" s="120">
        <f>IFERROR(J47*VLOOKUP("CLF",'Tipos de Cambio'!$B:$C,2,FALSE),"")</f>
        <v>0</v>
      </c>
      <c r="M47" s="121">
        <f>IFERROR(J47*VLOOKUP("COP",'Tipos de Cambio'!$B:$C,2,FALSE),"")</f>
        <v>0</v>
      </c>
      <c r="N47" s="122">
        <f>IFERROR(J47*VLOOKUP("MXN",'Tipos de Cambio'!$B:$C,2,FALSE),"")</f>
        <v>0</v>
      </c>
      <c r="O47" s="122">
        <f>IFERROR(J47*VLOOKUP("PEN",'Tipos de Cambio'!$B:$C,2,FALSE),"")</f>
        <v>0</v>
      </c>
    </row>
    <row r="48" spans="1:19" x14ac:dyDescent="0.3">
      <c r="A48" s="25" t="s">
        <v>425</v>
      </c>
      <c r="H48" s="117"/>
      <c r="I48" s="118"/>
      <c r="J48" s="62"/>
      <c r="K48" s="119">
        <f>IFERROR(J48*VLOOKUP("CLP",'Tipos de Cambio'!$B:$C,2,FALSE),"")</f>
        <v>0</v>
      </c>
      <c r="L48" s="120">
        <f>IFERROR(J48*VLOOKUP("CLF",'Tipos de Cambio'!$B:$C,2,FALSE),"")</f>
        <v>0</v>
      </c>
      <c r="M48" s="121">
        <f>IFERROR(J48*VLOOKUP("COP",'Tipos de Cambio'!$B:$C,2,FALSE),"")</f>
        <v>0</v>
      </c>
      <c r="N48" s="122">
        <f>IFERROR(J48*VLOOKUP("MXN",'Tipos de Cambio'!$B:$C,2,FALSE),"")</f>
        <v>0</v>
      </c>
      <c r="O48" s="122">
        <f>IFERROR(J48*VLOOKUP("PEN",'Tipos de Cambio'!$B:$C,2,FALSE),"")</f>
        <v>0</v>
      </c>
    </row>
    <row r="49" spans="1:15" x14ac:dyDescent="0.3">
      <c r="A49" s="25" t="s">
        <v>426</v>
      </c>
      <c r="H49" s="117"/>
      <c r="I49" s="118"/>
      <c r="J49" s="62"/>
      <c r="K49" s="119">
        <f>IFERROR(J49*VLOOKUP("CLP",'Tipos de Cambio'!$B:$C,2,FALSE),"")</f>
        <v>0</v>
      </c>
      <c r="L49" s="120">
        <f>IFERROR(J49*VLOOKUP("CLF",'Tipos de Cambio'!$B:$C,2,FALSE),"")</f>
        <v>0</v>
      </c>
      <c r="M49" s="121">
        <f>IFERROR(J49*VLOOKUP("COP",'Tipos de Cambio'!$B:$C,2,FALSE),"")</f>
        <v>0</v>
      </c>
      <c r="N49" s="122">
        <f>IFERROR(J49*VLOOKUP("MXN",'Tipos de Cambio'!$B:$C,2,FALSE),"")</f>
        <v>0</v>
      </c>
      <c r="O49" s="122">
        <f>IFERROR(J49*VLOOKUP("PEN",'Tipos de Cambio'!$B:$C,2,FALSE),"")</f>
        <v>0</v>
      </c>
    </row>
    <row r="50" spans="1:15" x14ac:dyDescent="0.3">
      <c r="A50" s="25" t="s">
        <v>427</v>
      </c>
      <c r="H50" s="117"/>
      <c r="I50" s="118"/>
      <c r="J50" s="62"/>
      <c r="K50" s="119">
        <f>IFERROR(J50*VLOOKUP("CLP",'Tipos de Cambio'!$B:$C,2,FALSE),"")</f>
        <v>0</v>
      </c>
      <c r="L50" s="120">
        <f>IFERROR(J50*VLOOKUP("CLF",'Tipos de Cambio'!$B:$C,2,FALSE),"")</f>
        <v>0</v>
      </c>
      <c r="M50" s="121">
        <f>IFERROR(J50*VLOOKUP("COP",'Tipos de Cambio'!$B:$C,2,FALSE),"")</f>
        <v>0</v>
      </c>
      <c r="N50" s="122">
        <f>IFERROR(J50*VLOOKUP("MXN",'Tipos de Cambio'!$B:$C,2,FALSE),"")</f>
        <v>0</v>
      </c>
      <c r="O50" s="122">
        <f>IFERROR(J50*VLOOKUP("PEN",'Tipos de Cambio'!$B:$C,2,FALSE),"")</f>
        <v>0</v>
      </c>
    </row>
    <row r="51" spans="1:15" x14ac:dyDescent="0.3">
      <c r="A51" s="25" t="s">
        <v>428</v>
      </c>
      <c r="H51" s="117"/>
      <c r="I51" s="118"/>
      <c r="J51" s="62"/>
      <c r="K51" s="119">
        <f>IFERROR(J51*VLOOKUP("CLP",'Tipos de Cambio'!$B:$C,2,FALSE),"")</f>
        <v>0</v>
      </c>
      <c r="L51" s="120">
        <f>IFERROR(J51*VLOOKUP("CLF",'Tipos de Cambio'!$B:$C,2,FALSE),"")</f>
        <v>0</v>
      </c>
      <c r="M51" s="121">
        <f>IFERROR(J51*VLOOKUP("COP",'Tipos de Cambio'!$B:$C,2,FALSE),"")</f>
        <v>0</v>
      </c>
      <c r="N51" s="122">
        <f>IFERROR(J51*VLOOKUP("MXN",'Tipos de Cambio'!$B:$C,2,FALSE),"")</f>
        <v>0</v>
      </c>
      <c r="O51" s="122">
        <f>IFERROR(J51*VLOOKUP("PEN",'Tipos de Cambio'!$B:$C,2,FALSE),"")</f>
        <v>0</v>
      </c>
    </row>
  </sheetData>
  <phoneticPr fontId="12" type="noConversion"/>
  <dataValidations count="3">
    <dataValidation type="list" errorStyle="warning" allowBlank="1" showInputMessage="1" showErrorMessage="1" errorTitle="Tipo de servicio inválido" error="Selecciona un tipo de servicio válido de la lista." sqref="E2:E51" xr:uid="{4F99DF33-2B2B-488E-8CF9-B6F3D39B0F2A}">
      <formula1>"Proyecto / Implementación, Retainer, Consultoría Estratégica, Proyecto / Servicio Técnico"</formula1>
    </dataValidation>
    <dataValidation type="list" errorStyle="warning" allowBlank="1" showInputMessage="1" showErrorMessage="1" errorTitle="Modelo comercial inválido" error="Selecciona un modelo comercial válido." sqref="F2:F51" xr:uid="{82A4DE71-D72C-4519-87C8-EA33FF84DB82}">
      <formula1>"On-Going, On-Demand, Híbrido, Licencia / Consultoría"</formula1>
    </dataValidation>
    <dataValidation type="list" errorStyle="warning" allowBlank="1" showInputMessage="1" showErrorMessage="1" errorTitle="Tier inválido" error="Selecciona un tier válido: Tier 1, Tier 2, Tier 3 o Tier 4." sqref="G2:G51" xr:uid="{E9500254-BE66-492D-9083-DF31735F9D3E}">
      <formula1>"Tier 1, Tier 2, Tier 3, Tier 4"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4D43-36AF-407A-9740-E09579B92279}">
  <sheetPr>
    <tabColor theme="5"/>
  </sheetPr>
  <dimension ref="A1:N88"/>
  <sheetViews>
    <sheetView zoomScale="80" zoomScaleNormal="80" workbookViewId="0">
      <pane ySplit="1" topLeftCell="A2" activePane="bottomLeft" state="frozen"/>
      <selection pane="bottomLeft" activeCell="K2" sqref="K2"/>
    </sheetView>
  </sheetViews>
  <sheetFormatPr baseColWidth="10" defaultColWidth="11.44140625" defaultRowHeight="20.399999999999999" x14ac:dyDescent="0.7"/>
  <cols>
    <col min="1" max="1" width="11.5546875" style="26"/>
    <col min="2" max="2" width="20.6640625" style="4" customWidth="1"/>
    <col min="3" max="3" width="21.44140625" style="4" customWidth="1"/>
    <col min="4" max="4" width="17.109375" style="4" customWidth="1"/>
    <col min="5" max="5" width="9.88671875" style="34" customWidth="1"/>
    <col min="6" max="6" width="14.109375" style="4" customWidth="1"/>
    <col min="7" max="8" width="14" style="4" customWidth="1"/>
    <col min="9" max="9" width="20.109375" style="4" customWidth="1"/>
    <col min="10" max="10" width="19.6640625" style="37" customWidth="1"/>
    <col min="11" max="11" width="19.6640625" style="24" customWidth="1"/>
    <col min="12" max="12" width="19.6640625" style="4" customWidth="1"/>
    <col min="13" max="13" width="12.88671875" style="4" customWidth="1"/>
    <col min="14" max="14" width="18.33203125" style="4" customWidth="1"/>
  </cols>
  <sheetData>
    <row r="1" spans="1:14" ht="61.2" customHeight="1" x14ac:dyDescent="0.3">
      <c r="A1" s="3" t="s">
        <v>213</v>
      </c>
      <c r="B1" s="3" t="s">
        <v>214</v>
      </c>
      <c r="C1" s="3" t="s">
        <v>429</v>
      </c>
      <c r="D1" s="3" t="s">
        <v>430</v>
      </c>
      <c r="E1" s="3" t="s">
        <v>333</v>
      </c>
      <c r="F1" s="3" t="s">
        <v>431</v>
      </c>
      <c r="G1" s="3" t="s">
        <v>432</v>
      </c>
      <c r="H1" s="3" t="s">
        <v>433</v>
      </c>
      <c r="I1" s="3" t="s">
        <v>434</v>
      </c>
      <c r="J1" s="40" t="s">
        <v>435</v>
      </c>
      <c r="K1" s="41" t="s">
        <v>436</v>
      </c>
      <c r="L1" s="3" t="s">
        <v>437</v>
      </c>
      <c r="M1" s="3" t="s">
        <v>438</v>
      </c>
      <c r="N1" s="3" t="s">
        <v>346</v>
      </c>
    </row>
    <row r="2" spans="1:14" s="26" customFormat="1" ht="55.2" customHeight="1" x14ac:dyDescent="0.3">
      <c r="A2" s="25" t="s">
        <v>439</v>
      </c>
      <c r="B2" s="9" t="s">
        <v>3</v>
      </c>
      <c r="C2" s="1" t="s">
        <v>207</v>
      </c>
      <c r="D2" s="1" t="s">
        <v>5</v>
      </c>
      <c r="E2" s="32" t="s">
        <v>4</v>
      </c>
      <c r="F2" s="124">
        <v>80</v>
      </c>
      <c r="G2" s="1" t="s">
        <v>7</v>
      </c>
      <c r="H2" s="1">
        <v>4</v>
      </c>
      <c r="I2" s="1" t="s">
        <v>6</v>
      </c>
      <c r="J2" s="126">
        <f>IF(OR(H2="",H2=0),F2,F2/VALUE(H2))</f>
        <v>20</v>
      </c>
      <c r="K2" s="127">
        <f>IF(OR(J2="",J2="N/A"),"",J2*(1+'Addons - Overheads'!$G$2))</f>
        <v>23</v>
      </c>
      <c r="L2" s="1" t="s">
        <v>357</v>
      </c>
      <c r="M2" s="1" t="s">
        <v>8</v>
      </c>
      <c r="N2" s="28" t="s">
        <v>440</v>
      </c>
    </row>
    <row r="3" spans="1:14" s="26" customFormat="1" ht="45" customHeight="1" x14ac:dyDescent="0.3">
      <c r="A3" s="25" t="s">
        <v>441</v>
      </c>
      <c r="B3" s="9" t="s">
        <v>3</v>
      </c>
      <c r="C3" s="1" t="s">
        <v>206</v>
      </c>
      <c r="D3" s="1" t="s">
        <v>16</v>
      </c>
      <c r="E3" s="32" t="s">
        <v>4</v>
      </c>
      <c r="F3" s="124">
        <v>33</v>
      </c>
      <c r="G3" s="1" t="s">
        <v>7</v>
      </c>
      <c r="H3" s="1">
        <v>4</v>
      </c>
      <c r="I3" s="1" t="s">
        <v>6</v>
      </c>
      <c r="J3" s="126">
        <f t="shared" ref="J3:J37" si="0">IF(OR(H3="",H3=0),F3,F3/VALUE(H3))</f>
        <v>8.25</v>
      </c>
      <c r="K3" s="127">
        <f>IF(OR(J3="",J3="N/A"),"",J3*(1+'Addons - Overheads'!$G$2))</f>
        <v>9.4874999999999989</v>
      </c>
      <c r="L3" s="1" t="s">
        <v>357</v>
      </c>
      <c r="M3" s="1" t="s">
        <v>8</v>
      </c>
      <c r="N3" s="28" t="s">
        <v>442</v>
      </c>
    </row>
    <row r="4" spans="1:14" s="26" customFormat="1" ht="45" customHeight="1" x14ac:dyDescent="0.3">
      <c r="A4" s="25" t="s">
        <v>443</v>
      </c>
      <c r="B4" s="9" t="s">
        <v>14</v>
      </c>
      <c r="C4" s="1" t="s">
        <v>444</v>
      </c>
      <c r="D4" s="1" t="s">
        <v>5</v>
      </c>
      <c r="E4" s="32" t="s">
        <v>4</v>
      </c>
      <c r="F4" s="124">
        <v>54</v>
      </c>
      <c r="G4" s="1" t="s">
        <v>7</v>
      </c>
      <c r="H4" s="1">
        <v>15</v>
      </c>
      <c r="I4" s="1" t="s">
        <v>40</v>
      </c>
      <c r="J4" s="126">
        <f t="shared" si="0"/>
        <v>3.6</v>
      </c>
      <c r="K4" s="127">
        <f>IF(OR(J4="",J4="N/A"),"",J4*(1+'Addons - Overheads'!$G$2))</f>
        <v>4.1399999999999997</v>
      </c>
      <c r="L4" s="1" t="s">
        <v>445</v>
      </c>
      <c r="M4" s="1" t="s">
        <v>8</v>
      </c>
      <c r="N4" s="28" t="s">
        <v>446</v>
      </c>
    </row>
    <row r="5" spans="1:14" s="26" customFormat="1" ht="45" customHeight="1" x14ac:dyDescent="0.3">
      <c r="A5" s="25" t="s">
        <v>447</v>
      </c>
      <c r="B5" s="9" t="s">
        <v>24</v>
      </c>
      <c r="C5" s="1" t="s">
        <v>448</v>
      </c>
      <c r="D5" s="1" t="s">
        <v>25</v>
      </c>
      <c r="E5" s="32" t="s">
        <v>4</v>
      </c>
      <c r="F5" s="124">
        <v>120</v>
      </c>
      <c r="G5" s="1" t="s">
        <v>7</v>
      </c>
      <c r="H5" s="1">
        <v>3</v>
      </c>
      <c r="I5" s="1" t="s">
        <v>17</v>
      </c>
      <c r="J5" s="126">
        <f t="shared" si="0"/>
        <v>40</v>
      </c>
      <c r="K5" s="127">
        <f>IF(OR(J5="",J5="N/A"),"",J5*(1+'Addons - Overheads'!$G$2))</f>
        <v>46</v>
      </c>
      <c r="L5" s="1" t="s">
        <v>352</v>
      </c>
      <c r="M5" s="1" t="s">
        <v>8</v>
      </c>
      <c r="N5" s="28" t="s">
        <v>449</v>
      </c>
    </row>
    <row r="6" spans="1:14" s="26" customFormat="1" ht="45" customHeight="1" x14ac:dyDescent="0.3">
      <c r="A6" s="25" t="s">
        <v>450</v>
      </c>
      <c r="B6" s="9" t="s">
        <v>31</v>
      </c>
      <c r="C6" s="1" t="s">
        <v>451</v>
      </c>
      <c r="D6" s="1" t="s">
        <v>33</v>
      </c>
      <c r="E6" s="32" t="s">
        <v>4</v>
      </c>
      <c r="F6" s="125" t="s">
        <v>452</v>
      </c>
      <c r="G6" s="1" t="s">
        <v>7</v>
      </c>
      <c r="H6" s="1"/>
      <c r="I6" s="1"/>
      <c r="J6" s="126" t="str">
        <f t="shared" si="0"/>
        <v>N/A</v>
      </c>
      <c r="K6" s="127" t="str">
        <f>IF(OR(J6="",J6="N/A"),"",J6*(1+'Addons - Overheads'!$G$2))</f>
        <v/>
      </c>
      <c r="L6" s="1" t="s">
        <v>453</v>
      </c>
      <c r="M6" s="1" t="s">
        <v>19</v>
      </c>
      <c r="N6" s="28" t="s">
        <v>454</v>
      </c>
    </row>
    <row r="7" spans="1:14" s="26" customFormat="1" ht="45" customHeight="1" x14ac:dyDescent="0.3">
      <c r="A7" s="25" t="s">
        <v>455</v>
      </c>
      <c r="B7" s="9" t="s">
        <v>38</v>
      </c>
      <c r="C7" s="1" t="s">
        <v>456</v>
      </c>
      <c r="D7" s="1" t="s">
        <v>25</v>
      </c>
      <c r="E7" s="32" t="s">
        <v>4</v>
      </c>
      <c r="F7" s="124">
        <v>49</v>
      </c>
      <c r="G7" s="1" t="s">
        <v>7</v>
      </c>
      <c r="H7" s="1">
        <v>5</v>
      </c>
      <c r="I7" s="1" t="s">
        <v>43</v>
      </c>
      <c r="J7" s="126">
        <f t="shared" si="0"/>
        <v>9.8000000000000007</v>
      </c>
      <c r="K7" s="127">
        <f>IF(OR(J7="",J7="N/A"),"",J7*(1+'Addons - Overheads'!$G$2))</f>
        <v>11.27</v>
      </c>
      <c r="L7" s="1" t="s">
        <v>457</v>
      </c>
      <c r="M7" s="1" t="s">
        <v>8</v>
      </c>
      <c r="N7" s="28" t="s">
        <v>458</v>
      </c>
    </row>
    <row r="8" spans="1:14" s="26" customFormat="1" ht="45" customHeight="1" x14ac:dyDescent="0.3">
      <c r="A8" s="25" t="s">
        <v>459</v>
      </c>
      <c r="B8" s="9" t="s">
        <v>41</v>
      </c>
      <c r="C8" s="1" t="s">
        <v>204</v>
      </c>
      <c r="D8" s="1" t="s">
        <v>25</v>
      </c>
      <c r="E8" s="32" t="s">
        <v>4</v>
      </c>
      <c r="F8" s="124">
        <v>20</v>
      </c>
      <c r="G8" s="1" t="s">
        <v>7</v>
      </c>
      <c r="H8" s="1">
        <v>4</v>
      </c>
      <c r="I8" s="1" t="s">
        <v>17</v>
      </c>
      <c r="J8" s="126">
        <f t="shared" si="0"/>
        <v>5</v>
      </c>
      <c r="K8" s="127">
        <f>IF(OR(J8="",J8="N/A"),"",J8*(1+'Addons - Overheads'!$G$2))</f>
        <v>5.75</v>
      </c>
      <c r="L8" s="1" t="s">
        <v>460</v>
      </c>
      <c r="M8" s="1" t="s">
        <v>8</v>
      </c>
      <c r="N8" s="28" t="s">
        <v>461</v>
      </c>
    </row>
    <row r="9" spans="1:14" s="26" customFormat="1" ht="45" customHeight="1" x14ac:dyDescent="0.3">
      <c r="A9" s="25" t="s">
        <v>462</v>
      </c>
      <c r="B9" s="9" t="s">
        <v>463</v>
      </c>
      <c r="C9" s="1" t="s">
        <v>464</v>
      </c>
      <c r="D9" s="1" t="s">
        <v>25</v>
      </c>
      <c r="E9" s="32" t="s">
        <v>4</v>
      </c>
      <c r="F9" s="124">
        <v>30</v>
      </c>
      <c r="G9" s="1" t="s">
        <v>7</v>
      </c>
      <c r="H9" s="1">
        <v>6</v>
      </c>
      <c r="I9" s="1" t="s">
        <v>17</v>
      </c>
      <c r="J9" s="126">
        <f t="shared" si="0"/>
        <v>5</v>
      </c>
      <c r="K9" s="127">
        <f>IF(OR(J9="",J9="N/A"),"",J9*(1+'Addons - Overheads'!$G$2))</f>
        <v>5.75</v>
      </c>
      <c r="L9" s="1" t="s">
        <v>357</v>
      </c>
      <c r="M9" s="1" t="s">
        <v>8</v>
      </c>
      <c r="N9" s="28" t="s">
        <v>465</v>
      </c>
    </row>
    <row r="10" spans="1:14" s="26" customFormat="1" ht="45" customHeight="1" x14ac:dyDescent="0.3">
      <c r="A10" s="25" t="s">
        <v>466</v>
      </c>
      <c r="B10" s="9" t="s">
        <v>44</v>
      </c>
      <c r="C10" s="1" t="s">
        <v>467</v>
      </c>
      <c r="D10" s="1" t="s">
        <v>44</v>
      </c>
      <c r="E10" s="32" t="s">
        <v>15</v>
      </c>
      <c r="F10" s="124">
        <v>240</v>
      </c>
      <c r="G10" s="1" t="s">
        <v>18</v>
      </c>
      <c r="H10" s="1">
        <v>1</v>
      </c>
      <c r="I10" s="1" t="s">
        <v>40</v>
      </c>
      <c r="J10" s="126">
        <f t="shared" si="0"/>
        <v>240</v>
      </c>
      <c r="K10" s="127">
        <f>IF(OR(J10="",J10="N/A"),"",J10*(1+'Addons - Overheads'!$G$2))</f>
        <v>276</v>
      </c>
      <c r="L10" s="1" t="s">
        <v>352</v>
      </c>
      <c r="M10" s="1" t="s">
        <v>8</v>
      </c>
      <c r="N10" s="28" t="s">
        <v>468</v>
      </c>
    </row>
    <row r="11" spans="1:14" s="26" customFormat="1" ht="45" customHeight="1" x14ac:dyDescent="0.3">
      <c r="A11" s="25" t="s">
        <v>469</v>
      </c>
      <c r="B11" s="9" t="s">
        <v>45</v>
      </c>
      <c r="C11" s="1" t="s">
        <v>470</v>
      </c>
      <c r="D11" s="1" t="s">
        <v>39</v>
      </c>
      <c r="E11" s="32" t="s">
        <v>15</v>
      </c>
      <c r="F11" s="124">
        <v>100</v>
      </c>
      <c r="G11" s="1" t="s">
        <v>18</v>
      </c>
      <c r="H11" s="1">
        <v>3</v>
      </c>
      <c r="I11" s="1" t="s">
        <v>40</v>
      </c>
      <c r="J11" s="126">
        <f t="shared" si="0"/>
        <v>33.333333333333336</v>
      </c>
      <c r="K11" s="127">
        <f>IF(OR(J11="",J11="N/A"),"",J11*(1+'Addons - Overheads'!$G$2))</f>
        <v>38.333333333333336</v>
      </c>
      <c r="L11" s="1" t="s">
        <v>352</v>
      </c>
      <c r="M11" s="1" t="s">
        <v>8</v>
      </c>
      <c r="N11" s="28" t="s">
        <v>471</v>
      </c>
    </row>
    <row r="12" spans="1:14" s="26" customFormat="1" ht="45" customHeight="1" x14ac:dyDescent="0.3">
      <c r="A12" s="25" t="s">
        <v>472</v>
      </c>
      <c r="B12" s="9" t="s">
        <v>45</v>
      </c>
      <c r="C12" s="1" t="s">
        <v>473</v>
      </c>
      <c r="D12" s="1" t="s">
        <v>39</v>
      </c>
      <c r="E12" s="32" t="s">
        <v>15</v>
      </c>
      <c r="F12" s="124">
        <v>59</v>
      </c>
      <c r="G12" s="1" t="s">
        <v>18</v>
      </c>
      <c r="H12" s="1">
        <v>3</v>
      </c>
      <c r="I12" s="1" t="s">
        <v>40</v>
      </c>
      <c r="J12" s="126">
        <f t="shared" si="0"/>
        <v>19.666666666666668</v>
      </c>
      <c r="K12" s="127">
        <f>IF(OR(J12="",J12="N/A"),"",J12*(1+'Addons - Overheads'!$G$2))</f>
        <v>22.616666666666667</v>
      </c>
      <c r="L12" s="1" t="s">
        <v>352</v>
      </c>
      <c r="M12" s="1" t="s">
        <v>8</v>
      </c>
      <c r="N12" s="28" t="s">
        <v>474</v>
      </c>
    </row>
    <row r="13" spans="1:14" s="26" customFormat="1" ht="45" customHeight="1" x14ac:dyDescent="0.3">
      <c r="A13" s="25" t="s">
        <v>475</v>
      </c>
      <c r="B13" s="9" t="s">
        <v>45</v>
      </c>
      <c r="C13" s="1" t="s">
        <v>476</v>
      </c>
      <c r="D13" s="1" t="s">
        <v>39</v>
      </c>
      <c r="E13" s="32" t="s">
        <v>15</v>
      </c>
      <c r="F13" s="124">
        <v>130</v>
      </c>
      <c r="G13" s="1" t="s">
        <v>18</v>
      </c>
      <c r="H13" s="1">
        <v>12</v>
      </c>
      <c r="I13" s="1" t="s">
        <v>34</v>
      </c>
      <c r="J13" s="126">
        <f t="shared" si="0"/>
        <v>10.833333333333334</v>
      </c>
      <c r="K13" s="127">
        <f>IF(OR(J13="",J13="N/A"),"",J13*(1+'Addons - Overheads'!$G$2))</f>
        <v>12.458333333333334</v>
      </c>
      <c r="L13" s="1" t="s">
        <v>352</v>
      </c>
      <c r="M13" s="1" t="s">
        <v>8</v>
      </c>
      <c r="N13" s="28" t="s">
        <v>477</v>
      </c>
    </row>
    <row r="14" spans="1:14" s="26" customFormat="1" ht="45" customHeight="1" x14ac:dyDescent="0.3">
      <c r="A14" s="25" t="s">
        <v>478</v>
      </c>
      <c r="B14" s="9" t="s">
        <v>46</v>
      </c>
      <c r="C14" s="1" t="s">
        <v>479</v>
      </c>
      <c r="D14" s="1" t="s">
        <v>42</v>
      </c>
      <c r="E14" s="32" t="s">
        <v>4</v>
      </c>
      <c r="F14" s="124">
        <v>60</v>
      </c>
      <c r="G14" s="1" t="s">
        <v>7</v>
      </c>
      <c r="H14" s="1">
        <v>3</v>
      </c>
      <c r="I14" s="1" t="s">
        <v>17</v>
      </c>
      <c r="J14" s="126">
        <f t="shared" si="0"/>
        <v>20</v>
      </c>
      <c r="K14" s="127">
        <f>IF(OR(J14="",J14="N/A"),"",J14*(1+'Addons - Overheads'!$G$2))</f>
        <v>23</v>
      </c>
      <c r="L14" s="1" t="s">
        <v>352</v>
      </c>
      <c r="M14" s="1" t="s">
        <v>8</v>
      </c>
      <c r="N14" s="28" t="s">
        <v>480</v>
      </c>
    </row>
    <row r="15" spans="1:14" s="26" customFormat="1" ht="45" customHeight="1" x14ac:dyDescent="0.3">
      <c r="A15" s="25" t="s">
        <v>481</v>
      </c>
      <c r="B15" s="9" t="s">
        <v>46</v>
      </c>
      <c r="C15" s="1" t="s">
        <v>482</v>
      </c>
      <c r="D15" s="1" t="s">
        <v>33</v>
      </c>
      <c r="E15" s="32" t="s">
        <v>4</v>
      </c>
      <c r="F15" s="124">
        <v>50</v>
      </c>
      <c r="G15" s="1" t="s">
        <v>7</v>
      </c>
      <c r="H15" s="1">
        <v>5</v>
      </c>
      <c r="I15" s="1" t="s">
        <v>17</v>
      </c>
      <c r="J15" s="126">
        <f t="shared" si="0"/>
        <v>10</v>
      </c>
      <c r="K15" s="127">
        <f>IF(OR(J15="",J15="N/A"),"",J15*(1+'Addons - Overheads'!$G$2))</f>
        <v>11.5</v>
      </c>
      <c r="L15" s="1" t="s">
        <v>457</v>
      </c>
      <c r="M15" s="1" t="s">
        <v>8</v>
      </c>
      <c r="N15" s="28" t="s">
        <v>483</v>
      </c>
    </row>
    <row r="16" spans="1:14" s="26" customFormat="1" ht="45" customHeight="1" x14ac:dyDescent="0.3">
      <c r="A16" s="25" t="s">
        <v>484</v>
      </c>
      <c r="B16" s="9" t="s">
        <v>47</v>
      </c>
      <c r="C16" s="1" t="s">
        <v>202</v>
      </c>
      <c r="D16" s="1" t="s">
        <v>25</v>
      </c>
      <c r="E16" s="32" t="s">
        <v>4</v>
      </c>
      <c r="F16" s="21">
        <v>144</v>
      </c>
      <c r="G16" s="1" t="s">
        <v>7</v>
      </c>
      <c r="H16" s="1">
        <v>6</v>
      </c>
      <c r="I16" s="1" t="s">
        <v>34</v>
      </c>
      <c r="J16" s="35">
        <f t="shared" si="0"/>
        <v>24</v>
      </c>
      <c r="K16" s="38">
        <f t="shared" ref="K3:K37" si="1">IF(OR(J16="",J16="N/A"),"",J16*1.15)</f>
        <v>27.599999999999998</v>
      </c>
      <c r="L16" s="1" t="s">
        <v>485</v>
      </c>
      <c r="M16" s="1" t="s">
        <v>19</v>
      </c>
      <c r="N16" s="28" t="s">
        <v>486</v>
      </c>
    </row>
    <row r="17" spans="1:14" s="26" customFormat="1" ht="45" customHeight="1" x14ac:dyDescent="0.3">
      <c r="A17" s="25" t="s">
        <v>487</v>
      </c>
      <c r="B17" s="9" t="s">
        <v>47</v>
      </c>
      <c r="C17" s="1" t="s">
        <v>203</v>
      </c>
      <c r="D17" s="1" t="s">
        <v>25</v>
      </c>
      <c r="E17" s="32" t="s">
        <v>4</v>
      </c>
      <c r="F17" s="21">
        <v>80</v>
      </c>
      <c r="G17" s="1" t="s">
        <v>7</v>
      </c>
      <c r="H17" s="1">
        <v>5</v>
      </c>
      <c r="I17" s="1" t="s">
        <v>40</v>
      </c>
      <c r="J17" s="35">
        <f t="shared" si="0"/>
        <v>16</v>
      </c>
      <c r="K17" s="38">
        <f t="shared" si="1"/>
        <v>18.399999999999999</v>
      </c>
      <c r="L17" s="1" t="s">
        <v>485</v>
      </c>
      <c r="M17" s="1" t="s">
        <v>19</v>
      </c>
      <c r="N17" s="28" t="s">
        <v>488</v>
      </c>
    </row>
    <row r="18" spans="1:14" s="26" customFormat="1" ht="45" customHeight="1" x14ac:dyDescent="0.3">
      <c r="A18" s="25" t="s">
        <v>489</v>
      </c>
      <c r="B18" s="9" t="s">
        <v>48</v>
      </c>
      <c r="C18" s="1" t="s">
        <v>209</v>
      </c>
      <c r="D18" s="1" t="s">
        <v>33</v>
      </c>
      <c r="E18" s="32" t="s">
        <v>32</v>
      </c>
      <c r="F18" s="21">
        <v>49</v>
      </c>
      <c r="G18" s="1" t="s">
        <v>7</v>
      </c>
      <c r="H18" s="1">
        <v>4</v>
      </c>
      <c r="I18" s="1" t="s">
        <v>40</v>
      </c>
      <c r="J18" s="35">
        <f t="shared" si="0"/>
        <v>12.25</v>
      </c>
      <c r="K18" s="38">
        <f t="shared" si="1"/>
        <v>14.087499999999999</v>
      </c>
      <c r="L18" s="1" t="s">
        <v>490</v>
      </c>
      <c r="M18" s="1" t="s">
        <v>8</v>
      </c>
      <c r="N18" s="28" t="s">
        <v>491</v>
      </c>
    </row>
    <row r="19" spans="1:14" s="26" customFormat="1" ht="45" customHeight="1" x14ac:dyDescent="0.3">
      <c r="A19" s="25" t="s">
        <v>492</v>
      </c>
      <c r="B19" s="30" t="s">
        <v>41</v>
      </c>
      <c r="C19" s="25" t="s">
        <v>493</v>
      </c>
      <c r="D19" s="25" t="s">
        <v>25</v>
      </c>
      <c r="E19" s="33" t="s">
        <v>4</v>
      </c>
      <c r="F19" s="31">
        <v>23</v>
      </c>
      <c r="G19" s="25" t="s">
        <v>7</v>
      </c>
      <c r="H19" s="25">
        <v>4</v>
      </c>
      <c r="I19" s="25" t="s">
        <v>6</v>
      </c>
      <c r="J19" s="35">
        <f t="shared" si="0"/>
        <v>5.75</v>
      </c>
      <c r="K19" s="38">
        <f t="shared" si="1"/>
        <v>6.6124999999999998</v>
      </c>
      <c r="L19" s="25" t="s">
        <v>357</v>
      </c>
      <c r="M19" s="25" t="s">
        <v>8</v>
      </c>
      <c r="N19" s="28" t="s">
        <v>494</v>
      </c>
    </row>
    <row r="20" spans="1:14" s="26" customFormat="1" ht="45" customHeight="1" x14ac:dyDescent="0.3">
      <c r="A20" s="25" t="s">
        <v>495</v>
      </c>
      <c r="B20" s="30" t="s">
        <v>41</v>
      </c>
      <c r="C20" s="25" t="s">
        <v>496</v>
      </c>
      <c r="D20" s="25" t="s">
        <v>25</v>
      </c>
      <c r="E20" s="33" t="s">
        <v>4</v>
      </c>
      <c r="F20" s="31">
        <v>60</v>
      </c>
      <c r="G20" s="25" t="s">
        <v>7</v>
      </c>
      <c r="H20" s="25">
        <v>3</v>
      </c>
      <c r="I20" s="25" t="s">
        <v>6</v>
      </c>
      <c r="J20" s="35">
        <f t="shared" si="0"/>
        <v>20</v>
      </c>
      <c r="K20" s="38">
        <f t="shared" si="1"/>
        <v>23</v>
      </c>
      <c r="L20" s="25" t="s">
        <v>352</v>
      </c>
      <c r="M20" s="25" t="s">
        <v>8</v>
      </c>
      <c r="N20" s="28" t="s">
        <v>497</v>
      </c>
    </row>
    <row r="21" spans="1:14" s="26" customFormat="1" ht="45" customHeight="1" x14ac:dyDescent="0.3">
      <c r="A21" s="25" t="s">
        <v>498</v>
      </c>
      <c r="B21" s="30" t="s">
        <v>14</v>
      </c>
      <c r="C21" s="25" t="s">
        <v>499</v>
      </c>
      <c r="D21" s="25" t="s">
        <v>16</v>
      </c>
      <c r="E21" s="33" t="s">
        <v>4</v>
      </c>
      <c r="F21" s="31">
        <v>29</v>
      </c>
      <c r="G21" s="25" t="s">
        <v>7</v>
      </c>
      <c r="H21" s="25">
        <v>6</v>
      </c>
      <c r="I21" s="25" t="s">
        <v>6</v>
      </c>
      <c r="J21" s="35">
        <f t="shared" si="0"/>
        <v>4.833333333333333</v>
      </c>
      <c r="K21" s="38">
        <f t="shared" si="1"/>
        <v>5.5583333333333327</v>
      </c>
      <c r="L21" s="25" t="s">
        <v>357</v>
      </c>
      <c r="M21" s="25" t="s">
        <v>8</v>
      </c>
      <c r="N21" s="28" t="s">
        <v>500</v>
      </c>
    </row>
    <row r="22" spans="1:14" s="26" customFormat="1" ht="45" customHeight="1" x14ac:dyDescent="0.3">
      <c r="A22" s="25" t="s">
        <v>501</v>
      </c>
      <c r="B22" s="30" t="s">
        <v>14</v>
      </c>
      <c r="C22" s="25" t="s">
        <v>208</v>
      </c>
      <c r="D22" s="25" t="s">
        <v>16</v>
      </c>
      <c r="E22" s="33" t="s">
        <v>4</v>
      </c>
      <c r="F22" s="31">
        <v>33</v>
      </c>
      <c r="G22" s="25" t="s">
        <v>7</v>
      </c>
      <c r="H22" s="25">
        <v>4</v>
      </c>
      <c r="I22" s="25" t="s">
        <v>6</v>
      </c>
      <c r="J22" s="35">
        <f t="shared" si="0"/>
        <v>8.25</v>
      </c>
      <c r="K22" s="38">
        <f t="shared" si="1"/>
        <v>9.4874999999999989</v>
      </c>
      <c r="L22" s="25" t="s">
        <v>357</v>
      </c>
      <c r="M22" s="25" t="s">
        <v>8</v>
      </c>
      <c r="N22" s="28" t="s">
        <v>502</v>
      </c>
    </row>
    <row r="23" spans="1:14" s="26" customFormat="1" ht="45" customHeight="1" x14ac:dyDescent="0.3">
      <c r="A23" s="25" t="s">
        <v>503</v>
      </c>
      <c r="B23" s="30" t="s">
        <v>14</v>
      </c>
      <c r="C23" s="25" t="s">
        <v>504</v>
      </c>
      <c r="D23" s="25" t="s">
        <v>33</v>
      </c>
      <c r="E23" s="33" t="s">
        <v>4</v>
      </c>
      <c r="F23" s="31">
        <v>75</v>
      </c>
      <c r="G23" s="25" t="s">
        <v>7</v>
      </c>
      <c r="H23" s="25">
        <v>5</v>
      </c>
      <c r="I23" s="25" t="s">
        <v>6</v>
      </c>
      <c r="J23" s="35">
        <f t="shared" si="0"/>
        <v>15</v>
      </c>
      <c r="K23" s="38">
        <f t="shared" si="1"/>
        <v>17.25</v>
      </c>
      <c r="L23" s="25" t="s">
        <v>357</v>
      </c>
      <c r="M23" s="25" t="s">
        <v>8</v>
      </c>
      <c r="N23" s="28" t="s">
        <v>505</v>
      </c>
    </row>
    <row r="24" spans="1:14" s="26" customFormat="1" ht="45" customHeight="1" x14ac:dyDescent="0.3">
      <c r="A24" s="25" t="s">
        <v>506</v>
      </c>
      <c r="B24" s="30" t="s">
        <v>41</v>
      </c>
      <c r="C24" s="25" t="s">
        <v>507</v>
      </c>
      <c r="D24" s="25" t="s">
        <v>5</v>
      </c>
      <c r="E24" s="33" t="s">
        <v>4</v>
      </c>
      <c r="F24" s="31">
        <v>5</v>
      </c>
      <c r="G24" s="25" t="s">
        <v>7</v>
      </c>
      <c r="H24" s="25">
        <v>3</v>
      </c>
      <c r="I24" s="25" t="s">
        <v>6</v>
      </c>
      <c r="J24" s="35">
        <f t="shared" si="0"/>
        <v>1.6666666666666667</v>
      </c>
      <c r="K24" s="38">
        <f t="shared" si="1"/>
        <v>1.9166666666666665</v>
      </c>
      <c r="L24" s="25" t="s">
        <v>357</v>
      </c>
      <c r="M24" s="25" t="s">
        <v>8</v>
      </c>
      <c r="N24" s="28" t="s">
        <v>508</v>
      </c>
    </row>
    <row r="25" spans="1:14" s="26" customFormat="1" ht="45" customHeight="1" x14ac:dyDescent="0.3">
      <c r="A25" s="25" t="s">
        <v>509</v>
      </c>
      <c r="B25" s="30" t="s">
        <v>41</v>
      </c>
      <c r="C25" s="25" t="s">
        <v>510</v>
      </c>
      <c r="D25" s="25" t="s">
        <v>5</v>
      </c>
      <c r="E25" s="33" t="s">
        <v>4</v>
      </c>
      <c r="F25" s="31">
        <v>36</v>
      </c>
      <c r="G25" s="25" t="s">
        <v>7</v>
      </c>
      <c r="H25" s="25">
        <v>6</v>
      </c>
      <c r="I25" s="25" t="s">
        <v>6</v>
      </c>
      <c r="J25" s="35">
        <f t="shared" si="0"/>
        <v>6</v>
      </c>
      <c r="K25" s="38">
        <f t="shared" si="1"/>
        <v>6.8999999999999995</v>
      </c>
      <c r="L25" s="25" t="s">
        <v>352</v>
      </c>
      <c r="M25" s="25" t="s">
        <v>8</v>
      </c>
      <c r="N25" s="28" t="s">
        <v>511</v>
      </c>
    </row>
    <row r="26" spans="1:14" s="26" customFormat="1" ht="45" customHeight="1" x14ac:dyDescent="0.3">
      <c r="A26" s="25" t="s">
        <v>512</v>
      </c>
      <c r="B26" s="30" t="s">
        <v>14</v>
      </c>
      <c r="C26" s="25" t="s">
        <v>513</v>
      </c>
      <c r="D26" s="25" t="s">
        <v>5</v>
      </c>
      <c r="E26" s="33" t="s">
        <v>4</v>
      </c>
      <c r="F26" s="31">
        <v>24</v>
      </c>
      <c r="G26" s="25" t="s">
        <v>7</v>
      </c>
      <c r="H26" s="25">
        <v>4</v>
      </c>
      <c r="I26" s="25" t="s">
        <v>6</v>
      </c>
      <c r="J26" s="35">
        <f t="shared" si="0"/>
        <v>6</v>
      </c>
      <c r="K26" s="38">
        <f t="shared" si="1"/>
        <v>6.8999999999999995</v>
      </c>
      <c r="L26" s="25" t="s">
        <v>357</v>
      </c>
      <c r="M26" s="25" t="s">
        <v>8</v>
      </c>
      <c r="N26" s="28" t="s">
        <v>514</v>
      </c>
    </row>
    <row r="27" spans="1:14" x14ac:dyDescent="0.7">
      <c r="A27" s="25" t="s">
        <v>515</v>
      </c>
      <c r="B27" s="4" t="s">
        <v>14</v>
      </c>
      <c r="C27" s="4" t="s">
        <v>516</v>
      </c>
      <c r="D27" s="4" t="s">
        <v>25</v>
      </c>
      <c r="E27" s="34" t="s">
        <v>4</v>
      </c>
      <c r="F27" s="22">
        <v>199</v>
      </c>
      <c r="G27" s="4" t="s">
        <v>7</v>
      </c>
      <c r="H27" s="4">
        <v>5</v>
      </c>
      <c r="I27" s="4" t="s">
        <v>6</v>
      </c>
      <c r="J27" s="35">
        <f t="shared" si="0"/>
        <v>39.799999999999997</v>
      </c>
      <c r="K27" s="38">
        <f t="shared" si="1"/>
        <v>45.769999999999996</v>
      </c>
      <c r="L27" s="4" t="s">
        <v>357</v>
      </c>
      <c r="M27" s="4" t="s">
        <v>8</v>
      </c>
    </row>
    <row r="28" spans="1:14" x14ac:dyDescent="0.7">
      <c r="A28" s="25" t="s">
        <v>517</v>
      </c>
      <c r="F28" s="22"/>
      <c r="J28" s="35">
        <f t="shared" si="0"/>
        <v>0</v>
      </c>
      <c r="K28" s="38">
        <f t="shared" si="1"/>
        <v>0</v>
      </c>
    </row>
    <row r="29" spans="1:14" x14ac:dyDescent="0.7">
      <c r="A29" s="25" t="s">
        <v>518</v>
      </c>
      <c r="F29" s="22"/>
      <c r="J29" s="35">
        <f t="shared" si="0"/>
        <v>0</v>
      </c>
      <c r="K29" s="38">
        <f t="shared" si="1"/>
        <v>0</v>
      </c>
    </row>
    <row r="30" spans="1:14" x14ac:dyDescent="0.7">
      <c r="A30" s="25" t="s">
        <v>519</v>
      </c>
      <c r="F30" s="22"/>
      <c r="J30" s="35">
        <f t="shared" si="0"/>
        <v>0</v>
      </c>
      <c r="K30" s="38">
        <f t="shared" si="1"/>
        <v>0</v>
      </c>
    </row>
    <row r="31" spans="1:14" x14ac:dyDescent="0.7">
      <c r="A31" s="25" t="s">
        <v>520</v>
      </c>
      <c r="F31" s="22"/>
      <c r="J31" s="35">
        <f t="shared" si="0"/>
        <v>0</v>
      </c>
      <c r="K31" s="38">
        <f t="shared" si="1"/>
        <v>0</v>
      </c>
    </row>
    <row r="32" spans="1:14" x14ac:dyDescent="0.7">
      <c r="A32" s="25" t="s">
        <v>521</v>
      </c>
      <c r="F32" s="22"/>
      <c r="J32" s="35">
        <f t="shared" si="0"/>
        <v>0</v>
      </c>
      <c r="K32" s="38">
        <f t="shared" si="1"/>
        <v>0</v>
      </c>
    </row>
    <row r="33" spans="1:11" x14ac:dyDescent="0.7">
      <c r="A33" s="25" t="s">
        <v>522</v>
      </c>
      <c r="F33" s="22"/>
      <c r="J33" s="35">
        <f t="shared" si="0"/>
        <v>0</v>
      </c>
      <c r="K33" s="38">
        <f t="shared" si="1"/>
        <v>0</v>
      </c>
    </row>
    <row r="34" spans="1:11" x14ac:dyDescent="0.7">
      <c r="A34" s="25" t="s">
        <v>523</v>
      </c>
      <c r="F34" s="22"/>
      <c r="J34" s="35">
        <f t="shared" si="0"/>
        <v>0</v>
      </c>
      <c r="K34" s="38">
        <f t="shared" si="1"/>
        <v>0</v>
      </c>
    </row>
    <row r="35" spans="1:11" x14ac:dyDescent="0.7">
      <c r="F35" s="22"/>
      <c r="J35" s="35">
        <f t="shared" si="0"/>
        <v>0</v>
      </c>
      <c r="K35" s="38">
        <f t="shared" si="1"/>
        <v>0</v>
      </c>
    </row>
    <row r="36" spans="1:11" x14ac:dyDescent="0.7">
      <c r="F36" s="22"/>
      <c r="J36" s="35">
        <f t="shared" si="0"/>
        <v>0</v>
      </c>
      <c r="K36" s="38">
        <f t="shared" si="1"/>
        <v>0</v>
      </c>
    </row>
    <row r="37" spans="1:11" x14ac:dyDescent="0.7">
      <c r="F37" s="22"/>
      <c r="J37" s="35">
        <f t="shared" si="0"/>
        <v>0</v>
      </c>
      <c r="K37" s="38">
        <f t="shared" si="1"/>
        <v>0</v>
      </c>
    </row>
    <row r="38" spans="1:11" x14ac:dyDescent="0.7">
      <c r="F38" s="22"/>
      <c r="J38" s="36"/>
      <c r="K38" s="39"/>
    </row>
    <row r="39" spans="1:11" x14ac:dyDescent="0.7">
      <c r="F39" s="22"/>
      <c r="J39" s="36"/>
      <c r="K39" s="23"/>
    </row>
    <row r="40" spans="1:11" x14ac:dyDescent="0.7">
      <c r="F40" s="22"/>
      <c r="J40" s="36"/>
      <c r="K40" s="23"/>
    </row>
    <row r="41" spans="1:11" x14ac:dyDescent="0.7">
      <c r="F41" s="22"/>
      <c r="J41" s="36"/>
      <c r="K41" s="23"/>
    </row>
    <row r="42" spans="1:11" x14ac:dyDescent="0.7">
      <c r="F42" s="22"/>
      <c r="J42" s="36"/>
      <c r="K42" s="23"/>
    </row>
    <row r="43" spans="1:11" x14ac:dyDescent="0.7">
      <c r="F43" s="22"/>
      <c r="J43" s="36"/>
      <c r="K43" s="23"/>
    </row>
    <row r="44" spans="1:11" x14ac:dyDescent="0.7">
      <c r="F44" s="22"/>
      <c r="J44" s="36"/>
      <c r="K44" s="23"/>
    </row>
    <row r="45" spans="1:11" x14ac:dyDescent="0.7">
      <c r="F45" s="22"/>
      <c r="J45" s="36"/>
      <c r="K45" s="23"/>
    </row>
    <row r="46" spans="1:11" x14ac:dyDescent="0.7">
      <c r="F46" s="22"/>
      <c r="J46" s="36"/>
      <c r="K46" s="23"/>
    </row>
    <row r="47" spans="1:11" x14ac:dyDescent="0.7">
      <c r="F47" s="22"/>
      <c r="J47" s="36"/>
      <c r="K47" s="23"/>
    </row>
    <row r="48" spans="1:11" x14ac:dyDescent="0.7">
      <c r="F48" s="22"/>
      <c r="J48" s="36"/>
      <c r="K48" s="23"/>
    </row>
    <row r="49" spans="6:11" x14ac:dyDescent="0.7">
      <c r="F49" s="22"/>
      <c r="J49" s="36"/>
      <c r="K49" s="23"/>
    </row>
    <row r="50" spans="6:11" x14ac:dyDescent="0.7">
      <c r="F50" s="22"/>
      <c r="J50" s="36"/>
      <c r="K50" s="23"/>
    </row>
    <row r="51" spans="6:11" x14ac:dyDescent="0.7">
      <c r="F51" s="22"/>
      <c r="J51" s="36"/>
      <c r="K51" s="23"/>
    </row>
    <row r="52" spans="6:11" x14ac:dyDescent="0.7">
      <c r="F52" s="22"/>
      <c r="J52" s="36"/>
      <c r="K52" s="23"/>
    </row>
    <row r="53" spans="6:11" x14ac:dyDescent="0.7">
      <c r="F53" s="22"/>
      <c r="J53" s="36"/>
      <c r="K53" s="23"/>
    </row>
    <row r="54" spans="6:11" x14ac:dyDescent="0.7">
      <c r="F54" s="22"/>
      <c r="J54" s="36"/>
      <c r="K54" s="23"/>
    </row>
    <row r="55" spans="6:11" x14ac:dyDescent="0.7">
      <c r="F55" s="22"/>
      <c r="J55" s="36"/>
      <c r="K55" s="23"/>
    </row>
    <row r="56" spans="6:11" x14ac:dyDescent="0.7">
      <c r="F56" s="22"/>
      <c r="J56" s="36"/>
      <c r="K56" s="23"/>
    </row>
    <row r="57" spans="6:11" x14ac:dyDescent="0.7">
      <c r="F57" s="22"/>
      <c r="J57" s="36"/>
      <c r="K57" s="23"/>
    </row>
    <row r="58" spans="6:11" x14ac:dyDescent="0.7">
      <c r="F58" s="22"/>
      <c r="J58" s="36"/>
      <c r="K58" s="23"/>
    </row>
    <row r="59" spans="6:11" x14ac:dyDescent="0.7">
      <c r="F59" s="22"/>
      <c r="J59" s="36"/>
      <c r="K59" s="23"/>
    </row>
    <row r="60" spans="6:11" x14ac:dyDescent="0.7">
      <c r="F60" s="22"/>
      <c r="J60" s="36"/>
      <c r="K60" s="23"/>
    </row>
    <row r="61" spans="6:11" x14ac:dyDescent="0.7">
      <c r="F61" s="22"/>
      <c r="J61" s="36"/>
      <c r="K61" s="23"/>
    </row>
    <row r="62" spans="6:11" x14ac:dyDescent="0.7">
      <c r="F62" s="22"/>
      <c r="J62" s="36"/>
      <c r="K62" s="23"/>
    </row>
    <row r="63" spans="6:11" x14ac:dyDescent="0.7">
      <c r="F63" s="22"/>
      <c r="J63" s="36"/>
      <c r="K63" s="23"/>
    </row>
    <row r="64" spans="6:11" x14ac:dyDescent="0.7">
      <c r="F64" s="22"/>
      <c r="J64" s="36"/>
      <c r="K64" s="23"/>
    </row>
    <row r="65" spans="6:11" x14ac:dyDescent="0.7">
      <c r="F65" s="22"/>
      <c r="J65" s="36"/>
      <c r="K65" s="23"/>
    </row>
    <row r="66" spans="6:11" x14ac:dyDescent="0.7">
      <c r="F66" s="22"/>
      <c r="J66" s="36"/>
      <c r="K66" s="23"/>
    </row>
    <row r="67" spans="6:11" x14ac:dyDescent="0.7">
      <c r="F67" s="22"/>
      <c r="J67" s="36"/>
      <c r="K67" s="23"/>
    </row>
    <row r="68" spans="6:11" x14ac:dyDescent="0.7">
      <c r="F68" s="22"/>
      <c r="J68" s="36"/>
      <c r="K68" s="23"/>
    </row>
    <row r="69" spans="6:11" x14ac:dyDescent="0.7">
      <c r="F69" s="22"/>
      <c r="J69" s="36"/>
      <c r="K69" s="23"/>
    </row>
    <row r="70" spans="6:11" x14ac:dyDescent="0.7">
      <c r="F70" s="22"/>
      <c r="J70" s="36"/>
      <c r="K70" s="23"/>
    </row>
    <row r="71" spans="6:11" x14ac:dyDescent="0.7">
      <c r="F71" s="22"/>
      <c r="J71" s="36"/>
      <c r="K71" s="23"/>
    </row>
    <row r="72" spans="6:11" x14ac:dyDescent="0.7">
      <c r="F72" s="22"/>
      <c r="J72" s="36"/>
      <c r="K72" s="23"/>
    </row>
    <row r="73" spans="6:11" x14ac:dyDescent="0.7">
      <c r="F73" s="22"/>
      <c r="J73" s="36"/>
      <c r="K73" s="23"/>
    </row>
    <row r="74" spans="6:11" x14ac:dyDescent="0.7">
      <c r="F74" s="22"/>
      <c r="J74" s="36"/>
      <c r="K74" s="23"/>
    </row>
    <row r="75" spans="6:11" x14ac:dyDescent="0.7">
      <c r="F75" s="22"/>
      <c r="J75" s="36"/>
      <c r="K75" s="23"/>
    </row>
    <row r="76" spans="6:11" x14ac:dyDescent="0.7">
      <c r="F76" s="22"/>
      <c r="J76" s="36"/>
      <c r="K76" s="23"/>
    </row>
    <row r="77" spans="6:11" x14ac:dyDescent="0.7">
      <c r="F77" s="22"/>
      <c r="J77" s="36"/>
      <c r="K77" s="23"/>
    </row>
    <row r="78" spans="6:11" x14ac:dyDescent="0.7">
      <c r="F78" s="22"/>
      <c r="J78" s="36"/>
      <c r="K78" s="23"/>
    </row>
    <row r="79" spans="6:11" x14ac:dyDescent="0.7">
      <c r="F79" s="22"/>
      <c r="J79" s="36"/>
      <c r="K79" s="23"/>
    </row>
    <row r="80" spans="6:11" x14ac:dyDescent="0.7">
      <c r="F80" s="22"/>
      <c r="J80" s="36"/>
      <c r="K80" s="23"/>
    </row>
    <row r="81" spans="6:11" x14ac:dyDescent="0.7">
      <c r="F81" s="22"/>
      <c r="J81" s="36"/>
      <c r="K81" s="23"/>
    </row>
    <row r="82" spans="6:11" x14ac:dyDescent="0.7">
      <c r="F82" s="22"/>
      <c r="J82" s="36"/>
      <c r="K82" s="23"/>
    </row>
    <row r="83" spans="6:11" x14ac:dyDescent="0.7">
      <c r="F83" s="22"/>
      <c r="J83" s="36"/>
      <c r="K83" s="23"/>
    </row>
    <row r="84" spans="6:11" x14ac:dyDescent="0.7">
      <c r="F84" s="22"/>
      <c r="J84" s="36"/>
      <c r="K84" s="23"/>
    </row>
    <row r="85" spans="6:11" x14ac:dyDescent="0.7">
      <c r="F85" s="22"/>
      <c r="J85" s="36"/>
      <c r="K85" s="23"/>
    </row>
    <row r="86" spans="6:11" x14ac:dyDescent="0.7">
      <c r="F86" s="22"/>
      <c r="J86" s="36"/>
      <c r="K86" s="23"/>
    </row>
    <row r="87" spans="6:11" x14ac:dyDescent="0.7">
      <c r="J87" s="36"/>
      <c r="K87" s="23"/>
    </row>
    <row r="88" spans="6:11" x14ac:dyDescent="0.7">
      <c r="J88" s="36"/>
      <c r="K88" s="23"/>
    </row>
  </sheetData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D25B625-8FF7-4275-9D25-B679E1025103}">
          <x14:formula1>
            <xm:f>Datos!$E$2:$E$12</xm:f>
          </x14:formula1>
          <xm:sqref>B2:B84</xm:sqref>
        </x14:dataValidation>
        <x14:dataValidation type="list" allowBlank="1" showInputMessage="1" showErrorMessage="1" xr:uid="{9381D32C-A633-44AC-A63F-D41F9F508682}">
          <x14:formula1>
            <xm:f>Datos!$G$2:$G$9</xm:f>
          </x14:formula1>
          <xm:sqref>D2:D34</xm:sqref>
        </x14:dataValidation>
        <x14:dataValidation type="list" allowBlank="1" showInputMessage="1" showErrorMessage="1" xr:uid="{982F8EDC-CF8C-4B6F-9C4D-90861B5F24E0}">
          <x14:formula1>
            <xm:f>Datos!$F$2:$F$7</xm:f>
          </x14:formula1>
          <xm:sqref>E2:E34</xm:sqref>
        </x14:dataValidation>
        <x14:dataValidation type="list" allowBlank="1" showInputMessage="1" showErrorMessage="1" xr:uid="{F944E427-4A44-48D5-B376-8693BC476261}">
          <x14:formula1>
            <xm:f>Datos!$H$2:$H$7</xm:f>
          </x14:formula1>
          <xm:sqref>I2:I34</xm:sqref>
        </x14:dataValidation>
        <x14:dataValidation type="list" allowBlank="1" showInputMessage="1" showErrorMessage="1" xr:uid="{11E8AE12-29C9-4C39-989E-D17924D78500}">
          <x14:formula1>
            <xm:f>Datos!$I$2:$I$5</xm:f>
          </x14:formula1>
          <xm:sqref>G2:G33</xm:sqref>
        </x14:dataValidation>
        <x14:dataValidation type="list" allowBlank="1" showInputMessage="1" showErrorMessage="1" xr:uid="{30426E23-D121-4D4E-B72D-4B0B07E18CC8}">
          <x14:formula1>
            <xm:f>Datos!$J$2:$J$3</xm:f>
          </x14:formula1>
          <xm:sqref>M2:M41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5D4F-0167-4B14-8501-261D7FFD780B}">
  <sheetPr>
    <tabColor rgb="FF7030A0"/>
  </sheetPr>
  <dimension ref="A1:K10"/>
  <sheetViews>
    <sheetView workbookViewId="0">
      <selection activeCell="B2" sqref="B2"/>
    </sheetView>
  </sheetViews>
  <sheetFormatPr baseColWidth="10" defaultColWidth="11.44140625" defaultRowHeight="20.399999999999999" x14ac:dyDescent="0.7"/>
  <cols>
    <col min="1" max="1" width="11.5546875" style="25"/>
    <col min="2" max="2" width="15.6640625" style="4" customWidth="1"/>
    <col min="3" max="3" width="23.33203125" style="4" customWidth="1"/>
    <col min="4" max="7" width="15.6640625" style="4" customWidth="1"/>
    <col min="8" max="8" width="20.33203125" style="4" customWidth="1"/>
    <col min="9" max="9" width="23" style="4" customWidth="1"/>
    <col min="10" max="10" width="15.6640625" style="4" customWidth="1"/>
    <col min="11" max="11" width="21.6640625" style="4" customWidth="1"/>
  </cols>
  <sheetData>
    <row r="1" spans="1:11" ht="40.799999999999997" x14ac:dyDescent="0.3">
      <c r="A1" s="3" t="s">
        <v>213</v>
      </c>
      <c r="B1" s="3" t="s">
        <v>214</v>
      </c>
      <c r="C1" s="3" t="s">
        <v>524</v>
      </c>
      <c r="D1" s="3" t="s">
        <v>430</v>
      </c>
      <c r="E1" s="3" t="s">
        <v>333</v>
      </c>
      <c r="F1" s="3" t="s">
        <v>335</v>
      </c>
      <c r="G1" s="3" t="s">
        <v>336</v>
      </c>
      <c r="H1" s="3" t="s">
        <v>337</v>
      </c>
      <c r="I1" s="3" t="s">
        <v>525</v>
      </c>
      <c r="J1" s="3" t="s">
        <v>437</v>
      </c>
      <c r="K1" s="3" t="s">
        <v>346</v>
      </c>
    </row>
    <row r="2" spans="1:11" ht="81.599999999999994" x14ac:dyDescent="0.3">
      <c r="A2" s="25" t="s">
        <v>526</v>
      </c>
      <c r="B2" s="9" t="s">
        <v>527</v>
      </c>
      <c r="C2" s="9" t="s">
        <v>528</v>
      </c>
      <c r="D2" s="1" t="s">
        <v>529</v>
      </c>
      <c r="E2" s="1" t="s">
        <v>4</v>
      </c>
      <c r="F2" s="1">
        <v>50</v>
      </c>
      <c r="G2" s="27">
        <v>0.15</v>
      </c>
      <c r="H2" s="1">
        <v>50</v>
      </c>
      <c r="I2" s="1" t="s">
        <v>530</v>
      </c>
      <c r="J2" s="1" t="s">
        <v>531</v>
      </c>
      <c r="K2" s="1" t="s">
        <v>532</v>
      </c>
    </row>
    <row r="3" spans="1:11" ht="81.599999999999994" x14ac:dyDescent="0.3">
      <c r="A3" s="25" t="s">
        <v>533</v>
      </c>
      <c r="B3" s="9" t="s">
        <v>527</v>
      </c>
      <c r="C3" s="9" t="s">
        <v>534</v>
      </c>
      <c r="D3" s="1" t="s">
        <v>529</v>
      </c>
      <c r="E3" s="1" t="s">
        <v>4</v>
      </c>
      <c r="F3" s="1">
        <v>80</v>
      </c>
      <c r="G3" s="27">
        <v>0.15</v>
      </c>
      <c r="H3" s="1">
        <v>80</v>
      </c>
      <c r="I3" s="1" t="s">
        <v>535</v>
      </c>
      <c r="J3" s="1" t="s">
        <v>536</v>
      </c>
      <c r="K3" s="1" t="s">
        <v>537</v>
      </c>
    </row>
    <row r="4" spans="1:11" ht="81.599999999999994" x14ac:dyDescent="0.3">
      <c r="A4" s="25" t="s">
        <v>538</v>
      </c>
      <c r="B4" s="9" t="s">
        <v>539</v>
      </c>
      <c r="C4" s="9" t="s">
        <v>540</v>
      </c>
      <c r="D4" s="1" t="s">
        <v>541</v>
      </c>
      <c r="E4" s="1" t="s">
        <v>542</v>
      </c>
      <c r="F4" s="1">
        <v>0</v>
      </c>
      <c r="G4" s="27">
        <v>0.15</v>
      </c>
      <c r="H4" s="1" t="s">
        <v>543</v>
      </c>
      <c r="I4" s="1" t="s">
        <v>544</v>
      </c>
      <c r="J4" s="1" t="s">
        <v>545</v>
      </c>
      <c r="K4" s="1" t="s">
        <v>546</v>
      </c>
    </row>
    <row r="5" spans="1:11" ht="61.2" x14ac:dyDescent="0.3">
      <c r="A5" s="25" t="s">
        <v>547</v>
      </c>
      <c r="B5" s="9" t="s">
        <v>548</v>
      </c>
      <c r="C5" s="9" t="s">
        <v>549</v>
      </c>
      <c r="D5" s="1" t="s">
        <v>541</v>
      </c>
      <c r="E5" s="1" t="s">
        <v>550</v>
      </c>
      <c r="F5" s="1">
        <v>0</v>
      </c>
      <c r="G5" s="27">
        <v>0.15</v>
      </c>
      <c r="H5" s="1" t="s">
        <v>551</v>
      </c>
      <c r="I5" s="1" t="s">
        <v>552</v>
      </c>
      <c r="J5" s="1" t="s">
        <v>490</v>
      </c>
      <c r="K5" s="1" t="s">
        <v>553</v>
      </c>
    </row>
    <row r="6" spans="1:11" ht="61.2" x14ac:dyDescent="0.3">
      <c r="A6" s="25" t="s">
        <v>554</v>
      </c>
      <c r="B6" s="9" t="s">
        <v>548</v>
      </c>
      <c r="C6" s="9" t="s">
        <v>555</v>
      </c>
      <c r="D6" s="1" t="s">
        <v>541</v>
      </c>
      <c r="E6" s="1" t="s">
        <v>7</v>
      </c>
      <c r="F6" s="1">
        <v>0</v>
      </c>
      <c r="G6" s="27">
        <v>0.15</v>
      </c>
      <c r="H6" s="1" t="s">
        <v>556</v>
      </c>
      <c r="I6" s="1" t="s">
        <v>557</v>
      </c>
      <c r="J6" s="1" t="s">
        <v>490</v>
      </c>
      <c r="K6" s="1" t="s">
        <v>558</v>
      </c>
    </row>
    <row r="7" spans="1:11" ht="81.599999999999994" x14ac:dyDescent="0.3">
      <c r="A7" s="25" t="s">
        <v>559</v>
      </c>
      <c r="B7" s="9" t="s">
        <v>560</v>
      </c>
      <c r="C7" s="9" t="s">
        <v>561</v>
      </c>
      <c r="D7" s="1" t="s">
        <v>529</v>
      </c>
      <c r="E7" s="1" t="s">
        <v>562</v>
      </c>
      <c r="F7" s="1">
        <v>0</v>
      </c>
      <c r="G7" s="27">
        <v>0.15</v>
      </c>
      <c r="H7" s="1" t="s">
        <v>563</v>
      </c>
      <c r="I7" s="1" t="s">
        <v>564</v>
      </c>
      <c r="J7" s="1" t="s">
        <v>565</v>
      </c>
      <c r="K7" s="1" t="s">
        <v>566</v>
      </c>
    </row>
    <row r="8" spans="1:11" ht="81.599999999999994" x14ac:dyDescent="0.3">
      <c r="A8" s="25" t="s">
        <v>567</v>
      </c>
      <c r="B8" s="9" t="s">
        <v>568</v>
      </c>
      <c r="C8" s="9" t="s">
        <v>569</v>
      </c>
      <c r="D8" s="1" t="s">
        <v>529</v>
      </c>
      <c r="E8" s="1" t="s">
        <v>4</v>
      </c>
      <c r="F8" s="1">
        <v>0</v>
      </c>
      <c r="G8" s="27">
        <v>0.15</v>
      </c>
      <c r="H8" s="1" t="s">
        <v>570</v>
      </c>
      <c r="I8" s="1" t="s">
        <v>571</v>
      </c>
      <c r="J8" s="1" t="s">
        <v>536</v>
      </c>
      <c r="K8" s="1" t="s">
        <v>572</v>
      </c>
    </row>
    <row r="9" spans="1:11" ht="81.599999999999994" x14ac:dyDescent="0.3">
      <c r="A9" s="25" t="s">
        <v>573</v>
      </c>
      <c r="B9" s="9" t="s">
        <v>574</v>
      </c>
      <c r="C9" s="9" t="s">
        <v>575</v>
      </c>
      <c r="D9" s="1" t="s">
        <v>529</v>
      </c>
      <c r="E9" s="1" t="s">
        <v>576</v>
      </c>
      <c r="F9" s="1">
        <v>0</v>
      </c>
      <c r="G9" s="27">
        <v>0.15</v>
      </c>
      <c r="H9" s="1" t="s">
        <v>577</v>
      </c>
      <c r="I9" s="1" t="s">
        <v>578</v>
      </c>
      <c r="J9" s="1" t="s">
        <v>579</v>
      </c>
      <c r="K9" s="1" t="s">
        <v>580</v>
      </c>
    </row>
    <row r="10" spans="1:11" ht="61.2" x14ac:dyDescent="0.3">
      <c r="A10" s="25" t="s">
        <v>581</v>
      </c>
      <c r="B10" s="9" t="s">
        <v>582</v>
      </c>
      <c r="C10" s="9" t="s">
        <v>583</v>
      </c>
      <c r="D10" s="1" t="s">
        <v>584</v>
      </c>
      <c r="E10" s="1" t="s">
        <v>576</v>
      </c>
      <c r="F10" s="1">
        <v>0</v>
      </c>
      <c r="G10" s="27">
        <v>0.15</v>
      </c>
      <c r="H10" s="1" t="s">
        <v>585</v>
      </c>
      <c r="I10" s="1" t="s">
        <v>586</v>
      </c>
      <c r="J10" s="1" t="s">
        <v>587</v>
      </c>
      <c r="K10" s="1" t="s">
        <v>588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Datos</vt:lpstr>
      <vt:lpstr>Tier Datos</vt:lpstr>
      <vt:lpstr>Tiers</vt:lpstr>
      <vt:lpstr>Tipos de Cambio</vt:lpstr>
      <vt:lpstr>Factor País</vt:lpstr>
      <vt:lpstr>Tier Servicios</vt:lpstr>
      <vt:lpstr>Modelo comercial</vt:lpstr>
      <vt:lpstr>Tabla Guía FTE</vt:lpstr>
      <vt:lpstr>Estructura de Servicios</vt:lpstr>
      <vt:lpstr>Precios personal</vt:lpstr>
      <vt:lpstr>Precios Servicios</vt:lpstr>
      <vt:lpstr>Herramientas</vt:lpstr>
      <vt:lpstr>Addons - Overheads</vt:lpstr>
      <vt:lpstr>TipoCambio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Reyes Rangel</dc:creator>
  <cp:keywords/>
  <dc:description/>
  <cp:lastModifiedBy>Julio Reyes Rangel</cp:lastModifiedBy>
  <cp:revision/>
  <dcterms:created xsi:type="dcterms:W3CDTF">2025-02-18T10:10:14Z</dcterms:created>
  <dcterms:modified xsi:type="dcterms:W3CDTF">2026-02-11T00:52:10Z</dcterms:modified>
  <cp:category/>
  <cp:contentStatus/>
</cp:coreProperties>
</file>