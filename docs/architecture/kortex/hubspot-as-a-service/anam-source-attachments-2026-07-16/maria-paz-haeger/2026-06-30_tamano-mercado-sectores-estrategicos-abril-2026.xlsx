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haeger\OneDrive - aguasandinas.cl\Escritorio\01_COMERCIAL\HUBSPOT\"/>
    </mc:Choice>
  </mc:AlternateContent>
  <bookViews>
    <workbookView xWindow="-120" yWindow="-120" windowWidth="20736" windowHeight="9192" activeTab="2"/>
  </bookViews>
  <sheets>
    <sheet name="Valores" sheetId="2" r:id="rId1"/>
    <sheet name="Otros" sheetId="1" r:id="rId2"/>
    <sheet name="TAM y Sectores" sheetId="5" r:id="rId3"/>
    <sheet name="Mineria" sheetId="3" r:id="rId4"/>
    <sheet name="Obs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DAT1" localSheetId="2">#REF!</definedName>
    <definedName name="_DAT1">#REF!</definedName>
    <definedName name="_DAT10" localSheetId="2">#REF!</definedName>
    <definedName name="_DAT10">#REF!</definedName>
    <definedName name="_DAT11" localSheetId="2">#REF!</definedName>
    <definedName name="_DAT11">#REF!</definedName>
    <definedName name="_DAT12" localSheetId="2">#REF!</definedName>
    <definedName name="_DAT12">#REF!</definedName>
    <definedName name="_DAT13" localSheetId="2">#REF!</definedName>
    <definedName name="_DAT13">#REF!</definedName>
    <definedName name="_DAT14" localSheetId="2">#REF!</definedName>
    <definedName name="_DAT14">#REF!</definedName>
    <definedName name="_DAT15" localSheetId="2">#REF!</definedName>
    <definedName name="_DAT15">#REF!</definedName>
    <definedName name="_DAT16" localSheetId="2">#REF!</definedName>
    <definedName name="_DAT16">#REF!</definedName>
    <definedName name="_DAT17" localSheetId="2">#REF!</definedName>
    <definedName name="_DAT17">#REF!</definedName>
    <definedName name="_DAT18" localSheetId="2">#REF!</definedName>
    <definedName name="_DAT18">#REF!</definedName>
    <definedName name="_DAT19" localSheetId="2">#REF!</definedName>
    <definedName name="_DAT19">#REF!</definedName>
    <definedName name="_DAT2" localSheetId="2">#REF!</definedName>
    <definedName name="_DAT2">#REF!</definedName>
    <definedName name="_DAT20" localSheetId="2">#REF!</definedName>
    <definedName name="_DAT20">#REF!</definedName>
    <definedName name="_DAT3" localSheetId="2">#REF!</definedName>
    <definedName name="_DAT3">#REF!</definedName>
    <definedName name="_DAT4" localSheetId="2">#REF!</definedName>
    <definedName name="_DAT4">#REF!</definedName>
    <definedName name="_DAT5" localSheetId="2">#REF!</definedName>
    <definedName name="_DAT5">#REF!</definedName>
    <definedName name="_DAT6" localSheetId="2">#REF!</definedName>
    <definedName name="_DAT6">#REF!</definedName>
    <definedName name="_DAT7" localSheetId="2">#REF!</definedName>
    <definedName name="_DAT7">#REF!</definedName>
    <definedName name="_DAT8" localSheetId="2">#REF!</definedName>
    <definedName name="_DAT8">#REF!</definedName>
    <definedName name="_DAT9" localSheetId="2">#REF!</definedName>
    <definedName name="_DAT9">#REF!</definedName>
    <definedName name="_key2" localSheetId="2">#REF!</definedName>
    <definedName name="_key2">#REF!</definedName>
    <definedName name="_mes1" localSheetId="2">#REF!</definedName>
    <definedName name="_mes1">#REF!</definedName>
    <definedName name="_mes2" localSheetId="2">#REF!</definedName>
    <definedName name="_mes2">#REF!</definedName>
    <definedName name="A_CORD" localSheetId="2">#REF!</definedName>
    <definedName name="A_CORD">#REF!</definedName>
    <definedName name="A_MANQ" localSheetId="2">#REF!</definedName>
    <definedName name="A_MANQ">#REF!</definedName>
    <definedName name="año" localSheetId="2">#REF!</definedName>
    <definedName name="año">#REF!</definedName>
    <definedName name="Base" localSheetId="2">#REF!</definedName>
    <definedName name="Base">#REF!</definedName>
    <definedName name="CM" localSheetId="2">[1]AFRs!#REF!</definedName>
    <definedName name="CM">[1]AFRs!#REF!</definedName>
    <definedName name="cmbalance" localSheetId="2">#REF!</definedName>
    <definedName name="cmbalance">#REF!</definedName>
    <definedName name="CMUS" localSheetId="2">[1]AFRs!#REF!</definedName>
    <definedName name="CMUS">[1]AFRs!#REF!</definedName>
    <definedName name="Código" localSheetId="2">#REF!</definedName>
    <definedName name="Código">#REF!</definedName>
    <definedName name="Deu_fin" localSheetId="2">[1]AFRs!#REF!</definedName>
    <definedName name="Deu_fin">[1]AFRs!#REF!</definedName>
    <definedName name="dólar">Valores!$B$2</definedName>
    <definedName name="empresa">'[2]ER-Mod'!$A$2</definedName>
    <definedName name="euro">Valores!$B$3</definedName>
    <definedName name="gcia" localSheetId="2">#REF!</definedName>
    <definedName name="gcia">#REF!</definedName>
    <definedName name="gerencias" localSheetId="2">#REF!</definedName>
    <definedName name="gerencias">#REF!</definedName>
    <definedName name="GYA" localSheetId="2">#REF!</definedName>
    <definedName name="GYA">#REF!</definedName>
    <definedName name="HHH" localSheetId="2">#REF!</definedName>
    <definedName name="HHH">#REF!</definedName>
    <definedName name="HOLA" localSheetId="2">#REF!</definedName>
    <definedName name="HOLA">#REF!</definedName>
    <definedName name="Impto" localSheetId="2">[1]AFRs!#REF!</definedName>
    <definedName name="Impto">[1]AFRs!#REF!</definedName>
    <definedName name="Inv_fin" localSheetId="2">[1]AFRs!#REF!</definedName>
    <definedName name="Inv_fin">[1]AFRs!#REF!</definedName>
    <definedName name="IVA" localSheetId="2">[1]AFRs!#REF!</definedName>
    <definedName name="IVA">[1]AFRs!#REF!</definedName>
    <definedName name="key" localSheetId="2">#REF!</definedName>
    <definedName name="key">#REF!</definedName>
    <definedName name="mes">[3]Datos!$H$4</definedName>
    <definedName name="mesanterior">[3]Meses!$A$1:$A$12</definedName>
    <definedName name="meses">[3]Datos!$G$5:$G$16</definedName>
    <definedName name="Provi" localSheetId="2">#REF!</definedName>
    <definedName name="Provi">#REF!</definedName>
    <definedName name="SAPBEXrevision" hidden="1">1</definedName>
    <definedName name="SAPBEXsysID" hidden="1">"BWP"</definedName>
    <definedName name="SAPBEXwbID" hidden="1">"3SKP2LTCCK94H28Q45M6FZASG"</definedName>
    <definedName name="SI">[4]Datos!$H$4</definedName>
    <definedName name="TEST0" localSheetId="2">#REF!</definedName>
    <definedName name="TEST0">#REF!</definedName>
    <definedName name="TEST1" localSheetId="2">[5]Gasto!#REF!</definedName>
    <definedName name="TEST1">[5]Gasto!#REF!</definedName>
    <definedName name="TEST2" localSheetId="2">#REF!</definedName>
    <definedName name="TEST2">#REF!</definedName>
    <definedName name="TESTHKEY" localSheetId="2">#REF!</definedName>
    <definedName name="TESTHKEY">#REF!</definedName>
    <definedName name="TESTKEYS" localSheetId="2">#REF!</definedName>
    <definedName name="TESTKEYS">#REF!</definedName>
    <definedName name="TESTVKEY" localSheetId="2">#REF!</definedName>
    <definedName name="TESTVKEY">#REF!</definedName>
    <definedName name="UF">Valores!$B$4</definedName>
    <definedName name="UF_25">Valores!$B$7</definedName>
    <definedName name="UTA">Valores!$B$6</definedName>
    <definedName name="UTM">Valores!$B$5</definedName>
    <definedName name="vcero" localSheetId="2">#REF!</definedName>
    <definedName name="vcero">#REF!</definedName>
    <definedName name="vdos" localSheetId="2">#REF!</definedName>
    <definedName name="vdos">#REF!</definedName>
    <definedName name="vtres" localSheetId="2">#REF!</definedName>
    <definedName name="vtres">#REF!</definedName>
    <definedName name="vuno" localSheetId="2">#REF!</definedName>
    <definedName name="vuno">#REF!</definedName>
    <definedName name="xx" localSheetId="2">#REF!</definedName>
    <definedName name="xx">#REF!</definedName>
    <definedName name="Zona" localSheetId="2">[6]Mapocho!#REF!</definedName>
    <definedName name="Zona">[6]Mapocho!#REF!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7" i="1"/>
  <c r="D6" i="1"/>
  <c r="D5" i="1"/>
  <c r="D4" i="1"/>
  <c r="D3" i="1"/>
  <c r="D2" i="1"/>
  <c r="F3" i="1"/>
  <c r="F4" i="1"/>
  <c r="H3" i="1"/>
  <c r="I3" i="1"/>
  <c r="I2" i="1"/>
  <c r="H2" i="1"/>
  <c r="Q21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R21" i="3" s="1"/>
  <c r="S21" i="3" s="1"/>
  <c r="Q20" i="3"/>
  <c r="P20" i="3"/>
  <c r="O20" i="3"/>
  <c r="N20" i="3"/>
  <c r="L20" i="3"/>
  <c r="I20" i="3"/>
  <c r="H20" i="3"/>
  <c r="G20" i="3"/>
  <c r="F20" i="3"/>
  <c r="E20" i="3"/>
  <c r="E21" i="3" s="1"/>
  <c r="F21" i="3" s="1"/>
  <c r="G21" i="3" s="1"/>
  <c r="H21" i="3" s="1"/>
  <c r="I21" i="3" s="1"/>
  <c r="Q19" i="3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F19" i="3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E19" i="3"/>
  <c r="M18" i="3"/>
  <c r="M20" i="3" s="1"/>
  <c r="L18" i="3"/>
  <c r="K18" i="3"/>
  <c r="K20" i="3" s="1"/>
  <c r="J18" i="3"/>
  <c r="J20" i="3" s="1"/>
  <c r="D18" i="3"/>
  <c r="AA15" i="3"/>
  <c r="AA23" i="3" s="1"/>
  <c r="Y15" i="3"/>
  <c r="Y23" i="3" s="1"/>
  <c r="S15" i="3"/>
  <c r="S23" i="3" s="1"/>
  <c r="AB13" i="3"/>
  <c r="AB15" i="3" s="1"/>
  <c r="AB23" i="3" s="1"/>
  <c r="AA13" i="3"/>
  <c r="Z13" i="3"/>
  <c r="Z15" i="3" s="1"/>
  <c r="Z23" i="3" s="1"/>
  <c r="Y13" i="3"/>
  <c r="X13" i="3"/>
  <c r="X15" i="3" s="1"/>
  <c r="X23" i="3" s="1"/>
  <c r="T13" i="3"/>
  <c r="T15" i="3" s="1"/>
  <c r="T23" i="3" s="1"/>
  <c r="S13" i="3"/>
  <c r="R13" i="3"/>
  <c r="R15" i="3" s="1"/>
  <c r="R23" i="3" s="1"/>
  <c r="AE10" i="3"/>
  <c r="V10" i="3"/>
  <c r="V13" i="3" s="1"/>
  <c r="V15" i="3" s="1"/>
  <c r="V23" i="3" s="1"/>
  <c r="S10" i="3"/>
  <c r="P10" i="3"/>
  <c r="P13" i="3" s="1"/>
  <c r="P15" i="3" s="1"/>
  <c r="P23" i="3" s="1"/>
  <c r="M10" i="3"/>
  <c r="J10" i="3"/>
  <c r="D10" i="3" s="1"/>
  <c r="G10" i="3"/>
  <c r="AE9" i="3"/>
  <c r="AD9" i="3"/>
  <c r="AC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D9" i="3" s="1"/>
  <c r="H9" i="3"/>
  <c r="G9" i="3"/>
  <c r="F9" i="3"/>
  <c r="AE8" i="3"/>
  <c r="AD8" i="3"/>
  <c r="AD13" i="3" s="1"/>
  <c r="AD15" i="3" s="1"/>
  <c r="AD23" i="3" s="1"/>
  <c r="AC8" i="3"/>
  <c r="W8" i="3"/>
  <c r="W13" i="3" s="1"/>
  <c r="W15" i="3" s="1"/>
  <c r="W23" i="3" s="1"/>
  <c r="V8" i="3"/>
  <c r="U8" i="3"/>
  <c r="U13" i="3" s="1"/>
  <c r="U15" i="3" s="1"/>
  <c r="U23" i="3" s="1"/>
  <c r="T8" i="3"/>
  <c r="Q8" i="3"/>
  <c r="P8" i="3"/>
  <c r="O8" i="3"/>
  <c r="O13" i="3" s="1"/>
  <c r="O15" i="3" s="1"/>
  <c r="O23" i="3" s="1"/>
  <c r="N8" i="3"/>
  <c r="N13" i="3" s="1"/>
  <c r="N15" i="3" s="1"/>
  <c r="N23" i="3" s="1"/>
  <c r="M8" i="3"/>
  <c r="L8" i="3"/>
  <c r="K8" i="3"/>
  <c r="J8" i="3"/>
  <c r="I8" i="3"/>
  <c r="H8" i="3"/>
  <c r="G8" i="3"/>
  <c r="G13" i="3" s="1"/>
  <c r="G15" i="3" s="1"/>
  <c r="G23" i="3" s="1"/>
  <c r="F8" i="3"/>
  <c r="E8" i="3"/>
  <c r="D8" i="3" s="1"/>
  <c r="AE7" i="3"/>
  <c r="AE13" i="3" s="1"/>
  <c r="AE15" i="3" s="1"/>
  <c r="AE23" i="3" s="1"/>
  <c r="AD7" i="3"/>
  <c r="AC7" i="3"/>
  <c r="AC13" i="3" s="1"/>
  <c r="AC15" i="3" s="1"/>
  <c r="AC23" i="3" s="1"/>
  <c r="M7" i="3"/>
  <c r="M13" i="3" s="1"/>
  <c r="M15" i="3" s="1"/>
  <c r="L7" i="3"/>
  <c r="L13" i="3" s="1"/>
  <c r="L15" i="3" s="1"/>
  <c r="L23" i="3" s="1"/>
  <c r="K7" i="3"/>
  <c r="K13" i="3" s="1"/>
  <c r="K15" i="3" s="1"/>
  <c r="J7" i="3"/>
  <c r="D7" i="3" s="1"/>
  <c r="I7" i="3"/>
  <c r="I13" i="3" s="1"/>
  <c r="I15" i="3" s="1"/>
  <c r="I23" i="3" s="1"/>
  <c r="Q6" i="3"/>
  <c r="Q13" i="3" s="1"/>
  <c r="Q15" i="3" s="1"/>
  <c r="Q23" i="3" s="1"/>
  <c r="H6" i="3"/>
  <c r="H13" i="3" s="1"/>
  <c r="H15" i="3" s="1"/>
  <c r="H23" i="3" s="1"/>
  <c r="G6" i="3"/>
  <c r="F6" i="3"/>
  <c r="F13" i="3" s="1"/>
  <c r="F15" i="3" s="1"/>
  <c r="F23" i="3" s="1"/>
  <c r="E6" i="3"/>
  <c r="E13" i="3" s="1"/>
  <c r="D6" i="3"/>
  <c r="AE5" i="3"/>
  <c r="D5" i="3"/>
  <c r="B7" i="2"/>
  <c r="M23" i="3" l="1"/>
  <c r="D20" i="3"/>
  <c r="D13" i="3"/>
  <c r="U21" i="3"/>
  <c r="V21" i="3"/>
  <c r="W21" i="3" s="1"/>
  <c r="X21" i="3" s="1"/>
  <c r="Y21" i="3" s="1"/>
  <c r="Z21" i="3" s="1"/>
  <c r="AA21" i="3" s="1"/>
  <c r="AB21" i="3" s="1"/>
  <c r="AC21" i="3" s="1"/>
  <c r="AD21" i="3" s="1"/>
  <c r="AE21" i="3" s="1"/>
  <c r="T21" i="3"/>
  <c r="K23" i="3"/>
  <c r="E14" i="3"/>
  <c r="F14" i="3" s="1"/>
  <c r="G14" i="3" s="1"/>
  <c r="H14" i="3" s="1"/>
  <c r="I14" i="3" s="1"/>
  <c r="E15" i="3"/>
  <c r="J21" i="3"/>
  <c r="K21" i="3" s="1"/>
  <c r="L21" i="3" s="1"/>
  <c r="M21" i="3" s="1"/>
  <c r="N21" i="3" s="1"/>
  <c r="O21" i="3" s="1"/>
  <c r="P21" i="3" s="1"/>
  <c r="J13" i="3"/>
  <c r="J15" i="3" s="1"/>
  <c r="J23" i="3" s="1"/>
  <c r="J14" i="3" l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E23" i="3"/>
  <c r="E16" i="3"/>
  <c r="D15" i="3"/>
  <c r="F16" i="3" l="1"/>
  <c r="E26" i="3"/>
  <c r="E24" i="3"/>
  <c r="G16" i="3" l="1"/>
  <c r="F26" i="3"/>
  <c r="F24" i="3"/>
  <c r="G26" i="3" l="1"/>
  <c r="G24" i="3"/>
  <c r="H16" i="3"/>
  <c r="H24" i="3" l="1"/>
  <c r="H26" i="3"/>
  <c r="I16" i="3"/>
  <c r="I24" i="3" l="1"/>
  <c r="J16" i="3"/>
  <c r="I26" i="3"/>
  <c r="J24" i="3" l="1"/>
  <c r="K16" i="3"/>
  <c r="J26" i="3"/>
  <c r="L16" i="3" l="1"/>
  <c r="K26" i="3"/>
  <c r="K24" i="3"/>
  <c r="M16" i="3" l="1"/>
  <c r="L26" i="3"/>
  <c r="L24" i="3"/>
  <c r="N16" i="3" l="1"/>
  <c r="M26" i="3"/>
  <c r="M24" i="3"/>
  <c r="O16" i="3" l="1"/>
  <c r="N26" i="3"/>
  <c r="N24" i="3"/>
  <c r="O26" i="3" l="1"/>
  <c r="P16" i="3"/>
  <c r="O24" i="3"/>
  <c r="P26" i="3" l="1"/>
  <c r="P24" i="3"/>
  <c r="Q16" i="3"/>
  <c r="Q24" i="3" l="1"/>
  <c r="R16" i="3"/>
  <c r="Q26" i="3"/>
  <c r="R24" i="3" l="1"/>
  <c r="S16" i="3"/>
  <c r="R26" i="3"/>
  <c r="S24" i="3" l="1"/>
  <c r="T16" i="3"/>
  <c r="S26" i="3"/>
  <c r="U16" i="3" l="1"/>
  <c r="T26" i="3"/>
  <c r="T24" i="3"/>
  <c r="V16" i="3" l="1"/>
  <c r="U26" i="3"/>
  <c r="U24" i="3"/>
  <c r="W16" i="3" l="1"/>
  <c r="V26" i="3"/>
  <c r="V24" i="3"/>
  <c r="W26" i="3" l="1"/>
  <c r="W24" i="3"/>
  <c r="X16" i="3"/>
  <c r="X24" i="3" l="1"/>
  <c r="Y16" i="3"/>
  <c r="X26" i="3"/>
  <c r="Y24" i="3" l="1"/>
  <c r="Z16" i="3"/>
  <c r="Y26" i="3"/>
  <c r="Z24" i="3" l="1"/>
  <c r="AA16" i="3"/>
  <c r="Z26" i="3"/>
  <c r="AB16" i="3" l="1"/>
  <c r="AA26" i="3"/>
  <c r="AA24" i="3"/>
  <c r="AC16" i="3" l="1"/>
  <c r="AB26" i="3"/>
  <c r="AB24" i="3"/>
  <c r="AD16" i="3" l="1"/>
  <c r="AC26" i="3"/>
  <c r="AC24" i="3"/>
  <c r="AE16" i="3" l="1"/>
  <c r="AD26" i="3"/>
  <c r="AD24" i="3"/>
  <c r="AE26" i="3" l="1"/>
  <c r="AE24" i="3"/>
  <c r="K3" i="1" l="1"/>
  <c r="M3" i="1" s="1"/>
  <c r="F2" i="1"/>
  <c r="K2" i="1" s="1"/>
  <c r="M2" i="1" s="1"/>
  <c r="J2" i="1" l="1"/>
  <c r="J3" i="1"/>
</calcChain>
</file>

<file path=xl/sharedStrings.xml><?xml version="1.0" encoding="utf-8"?>
<sst xmlns="http://schemas.openxmlformats.org/spreadsheetml/2006/main" count="230" uniqueCount="207">
  <si>
    <t>Industria o segmento</t>
  </si>
  <si>
    <t>penetración año base</t>
  </si>
  <si>
    <t>penetración año en curso</t>
  </si>
  <si>
    <t>meta penetración</t>
  </si>
  <si>
    <t>Brecha</t>
  </si>
  <si>
    <t>Mineria</t>
  </si>
  <si>
    <t>Código</t>
  </si>
  <si>
    <t>M</t>
  </si>
  <si>
    <t>Sanitaria</t>
  </si>
  <si>
    <t>S</t>
  </si>
  <si>
    <t>Energia</t>
  </si>
  <si>
    <t>Desaladoras</t>
  </si>
  <si>
    <t>Manufactura</t>
  </si>
  <si>
    <t>Proveedores Mineros</t>
  </si>
  <si>
    <t>Consultoras</t>
  </si>
  <si>
    <t>Dólar</t>
  </si>
  <si>
    <t>Euro</t>
  </si>
  <si>
    <t>UF</t>
  </si>
  <si>
    <t>Fecha</t>
  </si>
  <si>
    <t>UTM</t>
  </si>
  <si>
    <t>UTA</t>
  </si>
  <si>
    <t>Tamaño total mercado TAM (UF)</t>
  </si>
  <si>
    <t>Explicación</t>
  </si>
  <si>
    <t>Aborda analítica de procesos procesos mineros como metalurgia, control de proceso, concentrados, soluciones y relaves</t>
  </si>
  <si>
    <t>Aborda analítica de control de proceso, cumplimiento SISS, cumplimiento SMA y todas las líneas de negocio para todas las sanitarias</t>
  </si>
  <si>
    <t>Mercado disponible para ANAM SAM (UF)</t>
  </si>
  <si>
    <t xml:space="preserve">Solo servicios ETFA y control ambiental de proceso </t>
  </si>
  <si>
    <t>Se elimina sanitarias asociadas a laboratorios del mismo holding (Biodiversa)</t>
  </si>
  <si>
    <t>Ventas base (UF)</t>
  </si>
  <si>
    <t>ventas año en curso (UF)</t>
  </si>
  <si>
    <t xml:space="preserve">UF </t>
  </si>
  <si>
    <t>UF 2025</t>
  </si>
  <si>
    <t>Día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</si>
  <si>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</si>
  <si>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</si>
  <si>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</si>
  <si>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</si>
  <si>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</si>
  <si>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</si>
  <si>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</si>
  <si>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</si>
  <si>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</si>
  <si>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</si>
  <si>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</si>
  <si>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</si>
  <si>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UF (fin de mes)</t>
  </si>
  <si>
    <t>Contrato</t>
  </si>
  <si>
    <t>Tipo Contrato</t>
  </si>
  <si>
    <t>Total</t>
  </si>
  <si>
    <t>Concentradora El Abra</t>
  </si>
  <si>
    <t>Permanente</t>
  </si>
  <si>
    <t>Contrato Base El Abra</t>
  </si>
  <si>
    <t>Contrato Base Albemarle</t>
  </si>
  <si>
    <t>SQM Puquios</t>
  </si>
  <si>
    <t>SQM María Elena</t>
  </si>
  <si>
    <t>SQM Coya</t>
  </si>
  <si>
    <t>Total Acumulado</t>
  </si>
  <si>
    <t>UF Acumualdas</t>
  </si>
  <si>
    <t>Ingresos Mes</t>
  </si>
  <si>
    <t>Ingresos Acumualdos</t>
  </si>
  <si>
    <t>Indicador</t>
  </si>
  <si>
    <t>Meta Anual UF</t>
  </si>
  <si>
    <t>N° de Contratos 2023</t>
  </si>
  <si>
    <t>W</t>
  </si>
  <si>
    <t>Tamaño total mercado TAM (US$)</t>
  </si>
  <si>
    <t>D</t>
  </si>
  <si>
    <t>I, C</t>
  </si>
  <si>
    <r>
      <t xml:space="preserve">Sí. Si extrapolamos el modelo del estudio ANAM (que estima </t>
    </r>
    <r>
      <rPr>
        <b/>
        <sz val="8"/>
        <color theme="1"/>
        <rFont val="Segoe UI"/>
        <family val="2"/>
      </rPr>
      <t>US$75 MM para la zona norte</t>
    </r>
    <r>
      <rPr>
        <sz val="8"/>
        <color theme="1"/>
        <rFont val="Segoe UI"/>
        <family val="2"/>
      </rPr>
      <t>) al conjunto del país, incorporando la concentración industrial nacional, la distribución de plantas reguladas por SMA/SISS, el RETC, los sectores minero, sanitario, energía, acuicultura e industria, se obtiene un mercado significativamente mayor.</t>
    </r>
  </si>
  <si>
    <t>Estimación Mercado Nacional de Servicios Ambientales para ANAM</t>
  </si>
  <si>
    <t>Sector</t>
  </si>
  <si>
    <t>Minería</t>
  </si>
  <si>
    <t>95 – 120</t>
  </si>
  <si>
    <t>25 – 35</t>
  </si>
  <si>
    <t>Sanitarias</t>
  </si>
  <si>
    <t>35 – 45</t>
  </si>
  <si>
    <t>Desalinizadoras</t>
  </si>
  <si>
    <t>10 – 15</t>
  </si>
  <si>
    <t>Energía</t>
  </si>
  <si>
    <t>20 – 30</t>
  </si>
  <si>
    <t>Acuícola/Pesquero</t>
  </si>
  <si>
    <t>Servicios Asociados / Consultoras</t>
  </si>
  <si>
    <t>15 – 25</t>
  </si>
  <si>
    <t>Agroindustria</t>
  </si>
  <si>
    <t>Industria Manufacturera</t>
  </si>
  <si>
    <t>25 – 40</t>
  </si>
  <si>
    <t>Total Nacional (TAM)</t>
  </si>
  <si>
    <t>260 – 365 MM USD/año</t>
  </si>
  <si>
    <t>Segmentación por atractivo para ANAM</t>
  </si>
  <si>
    <t>1. Minería</t>
  </si>
  <si>
    <t>US$95–120 MM</t>
  </si>
  <si>
    <t>Incluye:</t>
  </si>
  <si>
    <t>Codelco</t>
  </si>
  <si>
    <t>BHP</t>
  </si>
  <si>
    <t>Antofagasta Minerals</t>
  </si>
  <si>
    <t>Collahuasi</t>
  </si>
  <si>
    <t>Teck</t>
  </si>
  <si>
    <t>Lundin</t>
  </si>
  <si>
    <t>SQM</t>
  </si>
  <si>
    <t>Albemarle</t>
  </si>
  <si>
    <t>Es el principal consumidor de:</t>
  </si>
  <si>
    <t>análisis de aguas</t>
  </si>
  <si>
    <t>relaves</t>
  </si>
  <si>
    <t>residuos</t>
  </si>
  <si>
    <t>aire</t>
  </si>
  <si>
    <t>calibraciones</t>
  </si>
  <si>
    <t>telemetría</t>
  </si>
  <si>
    <t>outsourcing de laboratorios</t>
  </si>
  <si>
    <t>Cochilco proyecta más de US$104.000 millones en inversiones mineras 2025-2034, impulsando la demanda ambiental. [cochilco.cl]</t>
  </si>
  <si>
    <t>2. Sanitarias</t>
  </si>
  <si>
    <t>US$35–45 MM</t>
  </si>
  <si>
    <t>Principales grupos:</t>
  </si>
  <si>
    <t>Aguas Andinas</t>
  </si>
  <si>
    <t>Esval</t>
  </si>
  <si>
    <t>Aguas del Valle</t>
  </si>
  <si>
    <t>Nueva Atacama</t>
  </si>
  <si>
    <t>Aguas del Altiplano</t>
  </si>
  <si>
    <t>Aguas Antofagasta</t>
  </si>
  <si>
    <t>Essbio</t>
  </si>
  <si>
    <t>Nuevosur</t>
  </si>
  <si>
    <t>Demanda recurrente:</t>
  </si>
  <si>
    <t>NCh409</t>
  </si>
  <si>
    <t>microbiología</t>
  </si>
  <si>
    <t>agua potable</t>
  </si>
  <si>
    <t>PTAS</t>
  </si>
  <si>
    <t>DS90</t>
  </si>
  <si>
    <t>monitoreo continuo</t>
  </si>
  <si>
    <t>Es uno de los mercados más estables.</t>
  </si>
  <si>
    <t>3. Proveedores Mineros</t>
  </si>
  <si>
    <t>US$25–35 MM</t>
  </si>
  <si>
    <t>Enaex</t>
  </si>
  <si>
    <t>Molycop</t>
  </si>
  <si>
    <t>ME Elecmetal</t>
  </si>
  <si>
    <t>Finning</t>
  </si>
  <si>
    <t>Komatsu</t>
  </si>
  <si>
    <t>Veolia</t>
  </si>
  <si>
    <t>Resiter</t>
  </si>
  <si>
    <t>Ambipar</t>
  </si>
  <si>
    <t>Séché</t>
  </si>
  <si>
    <t>Mercado muy atomizado y con alta frecuencia de licitaciones.</t>
  </si>
  <si>
    <t>4. Energía</t>
  </si>
  <si>
    <t>US$20–30 MM</t>
  </si>
  <si>
    <t>Clientes:</t>
  </si>
  <si>
    <t>ENGIE</t>
  </si>
  <si>
    <t>AES Andes</t>
  </si>
  <si>
    <t>Colbún</t>
  </si>
  <si>
    <t>Enel</t>
  </si>
  <si>
    <t>Acciona</t>
  </si>
  <si>
    <t>Mainstream</t>
  </si>
  <si>
    <t>Atlas Renewable</t>
  </si>
  <si>
    <t>El crecimiento de:</t>
  </si>
  <si>
    <t>solar</t>
  </si>
  <si>
    <t>eólico</t>
  </si>
  <si>
    <t>almacenamiento BESS</t>
  </si>
  <si>
    <t>hidrógeno verde</t>
  </si>
  <si>
    <t>está aumentando los requerimientos de monitoreo ambiental.</t>
  </si>
  <si>
    <t>5. Acuícola y Pesquero</t>
  </si>
  <si>
    <t>Principales actores:</t>
  </si>
  <si>
    <t>Mowi</t>
  </si>
  <si>
    <t>Cermaq</t>
  </si>
  <si>
    <t>Multi X</t>
  </si>
  <si>
    <t>Camanchaca</t>
  </si>
  <si>
    <t>Blumar</t>
  </si>
  <si>
    <t>Australis</t>
  </si>
  <si>
    <t>El estudio muestra que Pesca y Acuicultura es el sector con mayor cantidad de análisis de agua realizados en Chile.</t>
  </si>
  <si>
    <t>6. Desalinizadoras</t>
  </si>
  <si>
    <t>US$10–15 MM actualmente</t>
  </si>
  <si>
    <t>Chile tiene:</t>
  </si>
  <si>
    <t>24 plantas operativas</t>
  </si>
  <si>
    <t>41 proyectos en desarrollo</t>
  </si>
  <si>
    <t>US$22.159 millones en inversión asociada</t>
  </si>
  <si>
    <t>La demanda crecerá más rápido que el promedio del mercado ambiental. [acades.cl]</t>
  </si>
  <si>
    <t>7. Consultoras y Servicios Asociados</t>
  </si>
  <si>
    <t>US$15–25 MM</t>
  </si>
  <si>
    <t>Principales compradores indirectos:</t>
  </si>
  <si>
    <t>Arcadis</t>
  </si>
  <si>
    <t>WSP</t>
  </si>
  <si>
    <t>AECOM</t>
  </si>
  <si>
    <t>GHD</t>
  </si>
  <si>
    <t>Stantec</t>
  </si>
  <si>
    <t>SRK</t>
  </si>
  <si>
    <t>Ausenco</t>
  </si>
  <si>
    <t>Son relevantes porque diseñan campañas ambientales y seleccionan laboratorios para clientes finales.</t>
  </si>
  <si>
    <t>Mercado disponible para ANAM</t>
  </si>
  <si>
    <t>Utilizando los segmentos más cercanos al portafolio actual de ANAM:</t>
  </si>
  <si>
    <t>Mercado</t>
  </si>
  <si>
    <t>Valor</t>
  </si>
  <si>
    <t>TAM (mercado total nacional)</t>
  </si>
  <si>
    <t>US$260–365 MM</t>
  </si>
  <si>
    <t>SAM (mercado accesible para ANAM)</t>
  </si>
  <si>
    <t>US$180–250 MM</t>
  </si>
  <si>
    <t>SOM objetivo 5 años (10%-15%)</t>
  </si>
  <si>
    <t>US$18–38 MM</t>
  </si>
  <si>
    <t>Conclusión ejecutiva</t>
  </si>
  <si>
    <t>Para efectos de un plan estratégico o business case, utilizaría:</t>
  </si>
  <si>
    <t>Mercado Norte (TAM): US$84–91 MM</t>
  </si>
  <si>
    <t>Mercado Nacional (TAM): US$260–365 MM</t>
  </si>
  <si>
    <t>Mercado Nacional Accesible (SAM): US$180–250 MM</t>
  </si>
  <si>
    <t>Mercado objetivo razonable para ANAM a 5 años: US$20–40 MM anuales</t>
  </si>
  <si>
    <t>Los tres sectores que explican más del 60% de la oportunidad nacional son:</t>
  </si>
  <si>
    <r>
      <t xml:space="preserve">y el sector con mayor crecimiento esperado hacia 2030 es </t>
    </r>
    <r>
      <rPr>
        <b/>
        <sz val="8"/>
        <color theme="1"/>
        <rFont val="Segoe UI"/>
        <family val="2"/>
      </rPr>
      <t>Desalinización + Hidrógeno Verde + Energía</t>
    </r>
    <r>
      <rPr>
        <sz val="8"/>
        <color theme="1"/>
        <rFont val="Segoe UI"/>
        <family val="2"/>
      </rPr>
      <t xml:space="preserve">, impulsado por más de US$22.000 millones en proyectos hídricos asociados. </t>
    </r>
    <r>
      <rPr>
        <sz val="8"/>
        <color rgb="FF464FEB"/>
        <rFont val="Segoe UI"/>
        <family val="2"/>
      </rPr>
      <t>[acades.cl]</t>
    </r>
    <r>
      <rPr>
        <sz val="8"/>
        <color theme="1"/>
        <rFont val="Segoe UI"/>
        <family val="2"/>
      </rPr>
      <t xml:space="preserve">, </t>
    </r>
    <r>
      <rPr>
        <sz val="8"/>
        <color rgb="FF464FEB"/>
        <rFont val="Segoe UI"/>
        <family val="2"/>
      </rPr>
      <t>[cochilco.cl]</t>
    </r>
  </si>
  <si>
    <t>Participación</t>
  </si>
  <si>
    <t>Proveedores mineros</t>
  </si>
  <si>
    <t>ZONA NORTE</t>
  </si>
  <si>
    <t>180–250 MM USD/año</t>
  </si>
  <si>
    <t>Total Zona Norte (TAM=SAM)</t>
  </si>
  <si>
    <t>Mercado estimado (US$ MM/año)</t>
  </si>
  <si>
    <t>75 MM USD/año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</si>
</sst>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 * #,##0_ ;_ * \-#,##0_ ;_ * &quot;-&quot;_ ;_ @_ "/>
    <numFmt numFmtId="43" formatCode="_ * #,##0.00_ ;_ * \-#,##0.00_ ;_ * &quot;-&quot;??_ ;_ @_ "/>
    <numFmt numFmtId="164" formatCode="0.0"/>
    <numFmt numFmtId="165" formatCode="0.0%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706F6F"/>
      <name val="Arial"/>
      <family val="2"/>
    </font>
    <font>
      <b/>
      <sz val="8"/>
      <color rgb="FF000000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theme="1"/>
      <name val="Segoe UI"/>
      <family val="2"/>
    </font>
    <font>
      <b/>
      <sz val="8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3.5"/>
      <color theme="1"/>
      <name val="Segoe UI"/>
      <family val="2"/>
    </font>
    <font>
      <sz val="8"/>
      <color rgb="FF464FEB"/>
      <name val="Segoe UI"/>
      <family val="2"/>
    </font>
    <font>
      <b/>
      <sz val="24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DCDC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CDCDC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66">
    <xf numFmtId="0" fontId="0" fillId="0" borderId="0" xfId="0"/>
    <xf numFmtId="14" fontId="0" fillId="0" borderId="0" xfId="0" applyNumberFormat="1"/>
    <xf numFmtId="41" fontId="0" fillId="0" borderId="0" xfId="1" applyFont="1"/>
    <xf numFmtId="43" fontId="0" fillId="0" borderId="0" xfId="0" applyNumberFormat="1"/>
    <xf numFmtId="9" fontId="0" fillId="0" borderId="0" xfId="2" applyFont="1"/>
    <xf numFmtId="0" fontId="5" fillId="2" borderId="1" xfId="0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right" vertical="top" wrapText="1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left" wrapText="1"/>
    </xf>
    <xf numFmtId="0" fontId="6" fillId="3" borderId="5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right" vertical="top" wrapText="1"/>
    </xf>
    <xf numFmtId="164" fontId="0" fillId="0" borderId="0" xfId="0" applyNumberFormat="1"/>
    <xf numFmtId="0" fontId="3" fillId="0" borderId="0" xfId="0" applyFont="1"/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3" fontId="0" fillId="0" borderId="0" xfId="0" applyNumberFormat="1"/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17" fontId="2" fillId="5" borderId="9" xfId="0" applyNumberFormat="1" applyFont="1" applyFill="1" applyBorder="1" applyAlignment="1">
      <alignment horizontal="center"/>
    </xf>
    <xf numFmtId="0" fontId="3" fillId="0" borderId="10" xfId="0" applyFont="1" applyBorder="1"/>
    <xf numFmtId="3" fontId="7" fillId="0" borderId="0" xfId="0" applyNumberFormat="1" applyFont="1"/>
    <xf numFmtId="0" fontId="3" fillId="0" borderId="11" xfId="0" applyFont="1" applyBorder="1"/>
    <xf numFmtId="0" fontId="3" fillId="0" borderId="12" xfId="0" applyFont="1" applyBorder="1"/>
    <xf numFmtId="3" fontId="0" fillId="0" borderId="12" xfId="0" applyNumberFormat="1" applyBorder="1"/>
    <xf numFmtId="3" fontId="7" fillId="0" borderId="12" xfId="0" applyNumberFormat="1" applyFont="1" applyBorder="1"/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8" fillId="6" borderId="0" xfId="0" applyNumberFormat="1" applyFont="1" applyFill="1"/>
    <xf numFmtId="0" fontId="2" fillId="5" borderId="0" xfId="0" applyFont="1" applyFill="1"/>
    <xf numFmtId="0" fontId="4" fillId="5" borderId="0" xfId="0" applyFont="1" applyFill="1"/>
    <xf numFmtId="10" fontId="4" fillId="5" borderId="0" xfId="2" applyNumberFormat="1" applyFont="1" applyFill="1" applyAlignment="1">
      <alignment horizontal="center"/>
    </xf>
    <xf numFmtId="0" fontId="2" fillId="0" borderId="0" xfId="0" applyFont="1"/>
    <xf numFmtId="0" fontId="4" fillId="0" borderId="0" xfId="0" applyFont="1"/>
    <xf numFmtId="10" fontId="4" fillId="0" borderId="0" xfId="2" applyNumberFormat="1" applyFont="1" applyFill="1" applyAlignment="1">
      <alignment horizontal="center"/>
    </xf>
    <xf numFmtId="3" fontId="2" fillId="5" borderId="0" xfId="0" applyNumberFormat="1" applyFont="1" applyFill="1" applyAlignment="1">
      <alignment horizontal="center"/>
    </xf>
    <xf numFmtId="165" fontId="2" fillId="5" borderId="0" xfId="2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9" fontId="0" fillId="0" borderId="0" xfId="0" applyNumberFormat="1"/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right" vertical="center" wrapText="1"/>
    </xf>
    <xf numFmtId="0" fontId="14" fillId="0" borderId="13" xfId="0" applyFont="1" applyBorder="1" applyAlignment="1">
      <alignment vertical="center" wrapText="1"/>
    </xf>
    <xf numFmtId="0" fontId="14" fillId="0" borderId="13" xfId="0" applyFont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9" fillId="0" borderId="0" xfId="3" applyAlignment="1">
      <alignment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horizontal="left" vertical="center" indent="1"/>
    </xf>
    <xf numFmtId="9" fontId="14" fillId="0" borderId="13" xfId="0" applyNumberFormat="1" applyFont="1" applyBorder="1" applyAlignment="1">
      <alignment vertical="center" wrapText="1"/>
    </xf>
    <xf numFmtId="0" fontId="13" fillId="7" borderId="13" xfId="0" applyFont="1" applyFill="1" applyBorder="1" applyAlignment="1">
      <alignment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right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left" vertical="center" wrapText="1"/>
    </xf>
    <xf numFmtId="9" fontId="13" fillId="6" borderId="13" xfId="0" applyNumberFormat="1" applyFont="1" applyFill="1" applyBorder="1" applyAlignment="1">
      <alignment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right" vertical="center" wrapText="1"/>
    </xf>
  </cellXfs>
  <cellStyles count="4">
    <cellStyle name="Hipervínculo" xfId="3" builtinId="8"/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estion\c\DOCUME~1\JARELL~1\CONFIG~1\Temp\C.Lotus.Notes.Data\AFR%20y%20AFNR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disco02\financiero\2003\Informes\Version%20POA\Inf%20Comp%20Grupo%202003%20POA-2002%20U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DISCO02\InformesCG\2002\Informe%20Dotacion\Ue\PRP\Comparativo%20UE02%20POA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estion\c\A&#209;O%202004\UE%202003%20-%20POA%202004\G%20Y%20S\SET\SET%20UE%202003%20%20POA%20%202004G%20Y%20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estion\c\Cierres%202004\Maestro%20de%20Datos\2004\UE%2020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gestion\c\Sie\Soporte_SIE.ori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NRs"/>
      <sheetName val="AFRs"/>
      <sheetName val="Rep. C.Monet."/>
    </sheet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 Pres (2)"/>
      <sheetName val="Res Pres"/>
      <sheetName val="ER Emp"/>
      <sheetName val="ER Neg"/>
      <sheetName val="Res Agua"/>
      <sheetName val="Bce"/>
      <sheetName val="Bce Emp"/>
      <sheetName val="ER-Mod"/>
      <sheetName val="Bce-Mod"/>
      <sheetName val="Caja-Mod"/>
      <sheetName val="Datos Op"/>
      <sheetName val="TOPAZ"/>
      <sheetName val="Agb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Gestión y Servicios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Meses"/>
      <sheetName val="PRP Gcia"/>
      <sheetName val="PRP Grupo"/>
      <sheetName val=" PRP Neg Agua"/>
      <sheetName val="PRP_Gcia"/>
      <sheetName val="PRP_Grupo"/>
      <sheetName val="_PRP_Neg_Agua"/>
      <sheetName val="PRP_Gcia1"/>
      <sheetName val="PRP_Grupo1"/>
      <sheetName val="_PRP_Neg_Agua1"/>
      <sheetName val="PRP_Gcia2"/>
      <sheetName val="PRP_Grupo2"/>
      <sheetName val="_PRP_Neg_Agua2"/>
      <sheetName val="PRP_Gcia3"/>
      <sheetName val="PRP_Grupo3"/>
      <sheetName val="_PRP_Neg_Agua3"/>
      <sheetName val="PRP_Gcia4"/>
      <sheetName val="PRP_Grupo4"/>
      <sheetName val="_PRP_Neg_Agua4"/>
      <sheetName val="PRP_Gcia6"/>
      <sheetName val="PRP_Grupo6"/>
      <sheetName val="_PRP_Neg_Agua6"/>
      <sheetName val="PRP_Gcia5"/>
      <sheetName val="PRP_Grupo5"/>
      <sheetName val="_PRP_Neg_Agua5"/>
    </sheetNames>
    <sheetDataSet>
      <sheetData sheetId="0" refreshError="1">
        <row r="4">
          <cell r="H4" t="str">
            <v>Jul 02</v>
          </cell>
        </row>
        <row r="5">
          <cell r="G5" t="str">
            <v xml:space="preserve">Enero </v>
          </cell>
        </row>
        <row r="6">
          <cell r="G6" t="str">
            <v xml:space="preserve">Febrero </v>
          </cell>
        </row>
        <row r="7">
          <cell r="G7" t="str">
            <v>Marzo</v>
          </cell>
        </row>
        <row r="8">
          <cell r="G8" t="str">
            <v>Abril</v>
          </cell>
        </row>
        <row r="9">
          <cell r="G9" t="str">
            <v>Mayo</v>
          </cell>
        </row>
        <row r="10">
          <cell r="G10" t="str">
            <v>Junio</v>
          </cell>
        </row>
        <row r="11">
          <cell r="G11" t="str">
            <v>Julio</v>
          </cell>
        </row>
        <row r="12">
          <cell r="G12" t="str">
            <v>Agosto</v>
          </cell>
        </row>
        <row r="13">
          <cell r="G13" t="str">
            <v>Septiembre</v>
          </cell>
        </row>
        <row r="14">
          <cell r="G14" t="str">
            <v>Octubre</v>
          </cell>
        </row>
        <row r="15">
          <cell r="G15" t="str">
            <v>Noviembre</v>
          </cell>
        </row>
        <row r="16">
          <cell r="G16" t="str">
            <v>Diciembre</v>
          </cell>
        </row>
      </sheetData>
      <sheetData sheetId="1" refreshError="1">
        <row r="1">
          <cell r="A1" t="str">
            <v xml:space="preserve">Enero </v>
          </cell>
        </row>
        <row r="2">
          <cell r="A2" t="str">
            <v xml:space="preserve">Febrero </v>
          </cell>
        </row>
        <row r="3">
          <cell r="A3" t="str">
            <v>Marzo</v>
          </cell>
        </row>
        <row r="4">
          <cell r="A4" t="str">
            <v>Abril</v>
          </cell>
        </row>
        <row r="5">
          <cell r="A5" t="str">
            <v>Mayo</v>
          </cell>
        </row>
        <row r="6">
          <cell r="A6" t="str">
            <v>Junio</v>
          </cell>
        </row>
        <row r="7">
          <cell r="A7" t="str">
            <v>Julio</v>
          </cell>
        </row>
        <row r="8">
          <cell r="A8" t="str">
            <v>Agosto</v>
          </cell>
        </row>
        <row r="9">
          <cell r="A9" t="str">
            <v>Septiembre</v>
          </cell>
        </row>
        <row r="10">
          <cell r="A10" t="str">
            <v>Octubre</v>
          </cell>
        </row>
        <row r="11">
          <cell r="A11" t="str">
            <v>Noviembre</v>
          </cell>
        </row>
        <row r="12">
          <cell r="A12" t="str">
            <v>Diciembre</v>
          </cell>
        </row>
      </sheetData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Portada"/>
      <sheetName val="Indice"/>
      <sheetName val="Obj estrategicos"/>
      <sheetName val="HIPOTESIS"/>
      <sheetName val="Resultados"/>
      <sheetName val="Ingresos"/>
      <sheetName val="Costos "/>
      <sheetName val="División G y S"/>
      <sheetName val="PRP Comporativo"/>
      <sheetName val="Personal PR 03"/>
      <sheetName val="Personal POA 03"/>
      <sheetName val="BLCE "/>
      <sheetName val="Indicadores de Gestión"/>
      <sheetName val="INDIC FINANC"/>
      <sheetName val="Riesgos y Oportunidades"/>
    </sheetNames>
    <sheetDataSet>
      <sheetData sheetId="0" refreshError="1">
        <row r="4">
          <cell r="H4" t="str">
            <v>CIA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a"/>
      <sheetName val="PTs"/>
      <sheetName val="PTAS"/>
      <sheetName val="PTAP"/>
      <sheetName val="Gasto"/>
      <sheetName val="Ene-Jul SAP"/>
      <sheetName val="Ago-Dic SEM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Mapocho"/>
      <sheetName val="Mapue"/>
      <sheetName val="Antilco"/>
      <sheetName val="Maipo"/>
      <sheetName val="Cordillera"/>
      <sheetName val="Gestion Redes"/>
      <sheetName val="CGSC"/>
      <sheetName val="Resumen"/>
      <sheetName val="Tabla SIE"/>
      <sheetName val="Metas"/>
      <sheetName val="Gcsc"/>
      <sheetName val="Anali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acades.cl/mineria-y-desalacion-el-nuevo-dilema-hidrico-de-chile-41-proyectos-revelan-prioridades/" TargetMode="External"/><Relationship Id="rId1" Type="http://schemas.openxmlformats.org/officeDocument/2006/relationships/hyperlink" Target="https://www.cochilco.cl/web/informe-cartera-de-proyectos-de-inversion-minera-2025-203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6" workbookViewId="0">
      <selection activeCell="B7" sqref="B7"/>
    </sheetView>
  </sheetViews>
  <sheetFormatPr baseColWidth="10" defaultRowHeight="13.8"/>
  <sheetData>
    <row r="1" spans="1:14" ht="15">
      <c r="A1" t="s">
        <v>18</v>
      </c>
      <c r="B1" s="1">
        <v>46118</v>
      </c>
    </row>
    <row r="2" spans="1:14">
      <c r="A2" t="s">
        <v>15</v>
      </c>
      <c r="B2" s="2">
        <v>922.17</v>
      </c>
    </row>
    <row r="3" spans="1:14" ht="15">
      <c r="A3" t="s">
        <v>16</v>
      </c>
      <c r="B3" s="2">
        <v>1064.3699999999999</v>
      </c>
    </row>
    <row r="4" spans="1:14" ht="15">
      <c r="A4" t="s">
        <v>30</v>
      </c>
      <c r="B4" s="2">
        <v>39841.72</v>
      </c>
    </row>
    <row r="5" spans="1:14" ht="15">
      <c r="A5" t="s">
        <v>19</v>
      </c>
      <c r="B5" s="2">
        <v>69889</v>
      </c>
    </row>
    <row r="6" spans="1:14" ht="15">
      <c r="A6" t="s">
        <v>20</v>
      </c>
      <c r="B6" s="2">
        <v>838668</v>
      </c>
    </row>
    <row r="7" spans="1:14" ht="15.75" thickBot="1">
      <c r="A7" t="s">
        <v>31</v>
      </c>
      <c r="B7" s="13">
        <f>AVERAGE(C9:N39)</f>
        <v>39156.9674520548</v>
      </c>
    </row>
    <row r="8" spans="1:14" ht="14.4" thickBot="1">
      <c r="B8" s="7" t="s">
        <v>32</v>
      </c>
      <c r="C8" s="8" t="s">
        <v>33</v>
      </c>
      <c r="D8" s="8" t="s">
        <v>34</v>
      </c>
      <c r="E8" s="8" t="s">
        <v>35</v>
      </c>
      <c r="F8" s="8" t="s">
        <v>36</v>
      </c>
      <c r="G8" s="8" t="s">
        <v>37</v>
      </c>
      <c r="H8" s="8" t="s">
        <v>38</v>
      </c>
      <c r="I8" s="8" t="s">
        <v>39</v>
      </c>
      <c r="J8" s="8" t="s">
        <v>40</v>
      </c>
      <c r="K8" s="8" t="s">
        <v>41</v>
      </c>
      <c r="L8" s="8" t="s">
        <v>42</v>
      </c>
      <c r="M8" s="8" t="s">
        <v>43</v>
      </c>
      <c r="N8" s="9" t="s">
        <v>44</v>
      </c>
    </row>
    <row r="9" spans="1:14" ht="15.75" thickBot="1">
      <c r="B9" s="10">
        <v>1</v>
      </c>
      <c r="C9" s="5">
        <v>38419.17</v>
      </c>
      <c r="D9" s="5">
        <v>38381.93</v>
      </c>
      <c r="E9" s="5">
        <v>38663.050000000003</v>
      </c>
      <c r="F9" s="5">
        <v>38899.120000000003</v>
      </c>
      <c r="G9" s="5">
        <v>39081.9</v>
      </c>
      <c r="H9" s="5">
        <v>39191.97</v>
      </c>
      <c r="I9" s="5">
        <v>39269.69</v>
      </c>
      <c r="J9" s="5">
        <v>39173.949999999997</v>
      </c>
      <c r="K9" s="5">
        <v>39394.46</v>
      </c>
      <c r="L9" s="5">
        <v>39485.65</v>
      </c>
      <c r="M9" s="5">
        <v>39602.769999999997</v>
      </c>
      <c r="N9" s="5">
        <v>39643.589999999997</v>
      </c>
    </row>
    <row r="10" spans="1:14" ht="15.75" thickBot="1">
      <c r="B10" s="10">
        <v>2</v>
      </c>
      <c r="C10" s="5">
        <v>38421.65</v>
      </c>
      <c r="D10" s="5">
        <v>38379.449999999997</v>
      </c>
      <c r="E10" s="5">
        <v>38678.15</v>
      </c>
      <c r="F10" s="5">
        <v>38904.129999999997</v>
      </c>
      <c r="G10" s="5">
        <v>39088.400000000001</v>
      </c>
      <c r="H10" s="5">
        <v>39194.5</v>
      </c>
      <c r="I10" s="5">
        <v>39272.300000000003</v>
      </c>
      <c r="J10" s="5">
        <v>39168.879999999997</v>
      </c>
      <c r="K10" s="5">
        <v>39405.85</v>
      </c>
      <c r="L10" s="5">
        <v>39485.65</v>
      </c>
      <c r="M10" s="5">
        <v>39607.870000000003</v>
      </c>
      <c r="N10" s="5">
        <v>39643.589999999997</v>
      </c>
    </row>
    <row r="11" spans="1:14" ht="15.75" thickBot="1">
      <c r="B11" s="10">
        <v>3</v>
      </c>
      <c r="C11" s="6">
        <v>38424.120000000003</v>
      </c>
      <c r="D11" s="6">
        <v>38376.97</v>
      </c>
      <c r="E11" s="6">
        <v>38693.269999999997</v>
      </c>
      <c r="F11" s="6">
        <v>38909.14</v>
      </c>
      <c r="G11" s="6">
        <v>39094.9</v>
      </c>
      <c r="H11" s="6">
        <v>39197.03</v>
      </c>
      <c r="I11" s="6">
        <v>39274.92</v>
      </c>
      <c r="J11" s="6">
        <v>39163.82</v>
      </c>
      <c r="K11" s="6">
        <v>39417.24</v>
      </c>
      <c r="L11" s="6">
        <v>39485.65</v>
      </c>
      <c r="M11" s="6">
        <v>39612.97</v>
      </c>
      <c r="N11" s="6">
        <v>39643.589999999997</v>
      </c>
    </row>
    <row r="12" spans="1:14" ht="15.75" thickBot="1">
      <c r="B12" s="10">
        <v>4</v>
      </c>
      <c r="C12" s="5">
        <v>38426.6</v>
      </c>
      <c r="D12" s="5">
        <v>38374.49</v>
      </c>
      <c r="E12" s="5">
        <v>38708.39</v>
      </c>
      <c r="F12" s="5">
        <v>38914.15</v>
      </c>
      <c r="G12" s="5">
        <v>39101.4</v>
      </c>
      <c r="H12" s="5">
        <v>39199.550000000003</v>
      </c>
      <c r="I12" s="5">
        <v>39277.53</v>
      </c>
      <c r="J12" s="5">
        <v>39158.75</v>
      </c>
      <c r="K12" s="5">
        <v>39428.629999999997</v>
      </c>
      <c r="L12" s="5">
        <v>39485.65</v>
      </c>
      <c r="M12" s="5">
        <v>39618.080000000002</v>
      </c>
      <c r="N12" s="5">
        <v>39643.589999999997</v>
      </c>
    </row>
    <row r="13" spans="1:14" ht="15.75" thickBot="1">
      <c r="B13" s="10">
        <v>5</v>
      </c>
      <c r="C13" s="5">
        <v>38429.08</v>
      </c>
      <c r="D13" s="5">
        <v>38372.01</v>
      </c>
      <c r="E13" s="5">
        <v>38723.519999999997</v>
      </c>
      <c r="F13" s="5">
        <v>38919.160000000003</v>
      </c>
      <c r="G13" s="5">
        <v>39107.9</v>
      </c>
      <c r="H13" s="5">
        <v>39202.080000000002</v>
      </c>
      <c r="I13" s="5">
        <v>39280.15</v>
      </c>
      <c r="J13" s="5">
        <v>39153.69</v>
      </c>
      <c r="K13" s="5">
        <v>39440.03</v>
      </c>
      <c r="L13" s="5">
        <v>39485.65</v>
      </c>
      <c r="M13" s="5">
        <v>39623.18</v>
      </c>
      <c r="N13" s="5">
        <v>39643.589999999997</v>
      </c>
    </row>
    <row r="14" spans="1:14" ht="15.75" thickBot="1">
      <c r="B14" s="10">
        <v>6</v>
      </c>
      <c r="C14" s="5">
        <v>38431.550000000003</v>
      </c>
      <c r="D14" s="5">
        <v>38369.54</v>
      </c>
      <c r="E14" s="5">
        <v>38738.65</v>
      </c>
      <c r="F14" s="5">
        <v>38924.18</v>
      </c>
      <c r="G14" s="5">
        <v>39114.400000000001</v>
      </c>
      <c r="H14" s="5">
        <v>39204.61</v>
      </c>
      <c r="I14" s="5">
        <v>39282.76</v>
      </c>
      <c r="J14" s="5">
        <v>39148.629999999997</v>
      </c>
      <c r="K14" s="5">
        <v>39451.43</v>
      </c>
      <c r="L14" s="5">
        <v>39485.65</v>
      </c>
      <c r="M14" s="5">
        <v>39628.28</v>
      </c>
      <c r="N14" s="5">
        <v>39643.589999999997</v>
      </c>
    </row>
    <row r="15" spans="1:14" ht="15.75" thickBot="1">
      <c r="B15" s="10">
        <v>7</v>
      </c>
      <c r="C15" s="5">
        <v>38434.03</v>
      </c>
      <c r="D15" s="5">
        <v>38367.06</v>
      </c>
      <c r="E15" s="5">
        <v>38753.79</v>
      </c>
      <c r="F15" s="5">
        <v>38929.19</v>
      </c>
      <c r="G15" s="5">
        <v>39120.910000000003</v>
      </c>
      <c r="H15" s="5">
        <v>39207.129999999997</v>
      </c>
      <c r="I15" s="5">
        <v>39285.379999999997</v>
      </c>
      <c r="J15" s="5">
        <v>39143.57</v>
      </c>
      <c r="K15" s="5">
        <v>39462.83</v>
      </c>
      <c r="L15" s="5">
        <v>39485.65</v>
      </c>
      <c r="M15" s="5">
        <v>39633.379999999997</v>
      </c>
      <c r="N15" s="5">
        <v>39643.589999999997</v>
      </c>
    </row>
    <row r="16" spans="1:14" ht="15.75" thickBot="1">
      <c r="B16" s="10">
        <v>8</v>
      </c>
      <c r="C16" s="5">
        <v>38436.51</v>
      </c>
      <c r="D16" s="5">
        <v>38364.58</v>
      </c>
      <c r="E16" s="5">
        <v>38768.93</v>
      </c>
      <c r="F16" s="5">
        <v>38934.199999999997</v>
      </c>
      <c r="G16" s="5">
        <v>39127.410000000003</v>
      </c>
      <c r="H16" s="5">
        <v>39209.660000000003</v>
      </c>
      <c r="I16" s="5">
        <v>39288</v>
      </c>
      <c r="J16" s="5">
        <v>39138.51</v>
      </c>
      <c r="K16" s="5">
        <v>39474.239999999998</v>
      </c>
      <c r="L16" s="5">
        <v>39485.65</v>
      </c>
      <c r="M16" s="5">
        <v>39638.49</v>
      </c>
      <c r="N16" s="5">
        <v>39643.589999999997</v>
      </c>
    </row>
    <row r="17" spans="2:14" ht="15.75" thickBot="1">
      <c r="B17" s="10">
        <v>9</v>
      </c>
      <c r="C17" s="5">
        <v>38438.980000000003</v>
      </c>
      <c r="D17" s="5">
        <v>38362.1</v>
      </c>
      <c r="E17" s="5">
        <v>38784.080000000002</v>
      </c>
      <c r="F17" s="5">
        <v>38939.22</v>
      </c>
      <c r="G17" s="5">
        <v>39133.919999999998</v>
      </c>
      <c r="H17" s="5">
        <v>39212.19</v>
      </c>
      <c r="I17" s="5">
        <v>39290.61</v>
      </c>
      <c r="J17" s="5">
        <v>39133.449999999997</v>
      </c>
      <c r="K17" s="5">
        <v>39485.65</v>
      </c>
      <c r="L17" s="5">
        <v>39485.65</v>
      </c>
      <c r="M17" s="5">
        <v>39643.589999999997</v>
      </c>
      <c r="N17" s="5">
        <v>39643.589999999997</v>
      </c>
    </row>
    <row r="18" spans="2:14" ht="15.75" thickBot="1">
      <c r="B18" s="10">
        <v>10</v>
      </c>
      <c r="C18" s="5">
        <v>38436.5</v>
      </c>
      <c r="D18" s="5">
        <v>38377.089999999997</v>
      </c>
      <c r="E18" s="5">
        <v>38789.07</v>
      </c>
      <c r="F18" s="5">
        <v>38945.69</v>
      </c>
      <c r="G18" s="5">
        <v>39136.44</v>
      </c>
      <c r="H18" s="5">
        <v>39214.800000000003</v>
      </c>
      <c r="I18" s="5">
        <v>39285.53</v>
      </c>
      <c r="J18" s="5">
        <v>39144.76</v>
      </c>
      <c r="K18" s="5">
        <v>39485.65</v>
      </c>
      <c r="L18" s="5">
        <v>39490.74</v>
      </c>
      <c r="M18" s="5">
        <v>39643.589999999997</v>
      </c>
      <c r="N18" s="5">
        <v>39647.42</v>
      </c>
    </row>
    <row r="19" spans="2:14" ht="15.75" thickBot="1">
      <c r="B19" s="10">
        <v>11</v>
      </c>
      <c r="C19" s="5">
        <v>38434.019999999997</v>
      </c>
      <c r="D19" s="5">
        <v>38392.089999999997</v>
      </c>
      <c r="E19" s="5">
        <v>38794.07</v>
      </c>
      <c r="F19" s="5">
        <v>38952.17</v>
      </c>
      <c r="G19" s="5">
        <v>39138.959999999999</v>
      </c>
      <c r="H19" s="5">
        <v>39217.410000000003</v>
      </c>
      <c r="I19" s="5">
        <v>39280.449999999997</v>
      </c>
      <c r="J19" s="5">
        <v>39156.080000000002</v>
      </c>
      <c r="K19" s="5">
        <v>39485.65</v>
      </c>
      <c r="L19" s="5">
        <v>39495.82</v>
      </c>
      <c r="M19" s="5">
        <v>39643.589999999997</v>
      </c>
      <c r="N19" s="5">
        <v>39651.25</v>
      </c>
    </row>
    <row r="20" spans="2:14" ht="15.75" thickBot="1">
      <c r="B20" s="10">
        <v>12</v>
      </c>
      <c r="C20" s="5">
        <v>38431.53</v>
      </c>
      <c r="D20" s="5">
        <v>38407.089999999997</v>
      </c>
      <c r="E20" s="5">
        <v>38799.07</v>
      </c>
      <c r="F20" s="5">
        <v>38958.65</v>
      </c>
      <c r="G20" s="5">
        <v>39141.49</v>
      </c>
      <c r="H20" s="5">
        <v>39220.03</v>
      </c>
      <c r="I20" s="5">
        <v>39275.370000000003</v>
      </c>
      <c r="J20" s="5">
        <v>39167.4</v>
      </c>
      <c r="K20" s="5">
        <v>39485.65</v>
      </c>
      <c r="L20" s="5">
        <v>39500.910000000003</v>
      </c>
      <c r="M20" s="5">
        <v>39643.589999999997</v>
      </c>
      <c r="N20" s="5">
        <v>39655.08</v>
      </c>
    </row>
    <row r="21" spans="2:14" ht="15.75" thickBot="1">
      <c r="B21" s="10">
        <v>13</v>
      </c>
      <c r="C21" s="5">
        <v>38429.050000000003</v>
      </c>
      <c r="D21" s="5">
        <v>38422.1</v>
      </c>
      <c r="E21" s="5">
        <v>38804.06</v>
      </c>
      <c r="F21" s="5">
        <v>38965.120000000003</v>
      </c>
      <c r="G21" s="5">
        <v>39144.01</v>
      </c>
      <c r="H21" s="5">
        <v>39222.639999999999</v>
      </c>
      <c r="I21" s="5">
        <v>39270.300000000003</v>
      </c>
      <c r="J21" s="5">
        <v>39178.720000000001</v>
      </c>
      <c r="K21" s="5">
        <v>39485.65</v>
      </c>
      <c r="L21" s="5">
        <v>39505.99</v>
      </c>
      <c r="M21" s="5">
        <v>39643.589999999997</v>
      </c>
      <c r="N21" s="5">
        <v>39658.92</v>
      </c>
    </row>
    <row r="22" spans="2:14" ht="15.75" thickBot="1">
      <c r="B22" s="10">
        <v>14</v>
      </c>
      <c r="C22" s="5">
        <v>38426.57</v>
      </c>
      <c r="D22" s="5">
        <v>38437.120000000003</v>
      </c>
      <c r="E22" s="5">
        <v>38809.06</v>
      </c>
      <c r="F22" s="5">
        <v>38971.599999999999</v>
      </c>
      <c r="G22" s="5">
        <v>39146.53</v>
      </c>
      <c r="H22" s="5">
        <v>39225.25</v>
      </c>
      <c r="I22" s="5">
        <v>39265.22</v>
      </c>
      <c r="J22" s="5">
        <v>39190.04</v>
      </c>
      <c r="K22" s="5">
        <v>39485.65</v>
      </c>
      <c r="L22" s="5">
        <v>39511.08</v>
      </c>
      <c r="M22" s="5">
        <v>39643.589999999997</v>
      </c>
      <c r="N22" s="5">
        <v>39662.75</v>
      </c>
    </row>
    <row r="23" spans="2:14" ht="15.75" thickBot="1">
      <c r="B23" s="10">
        <v>15</v>
      </c>
      <c r="C23" s="5">
        <v>38424.089999999997</v>
      </c>
      <c r="D23" s="5">
        <v>38452.14</v>
      </c>
      <c r="E23" s="5">
        <v>38814.06</v>
      </c>
      <c r="F23" s="5">
        <v>38978.080000000002</v>
      </c>
      <c r="G23" s="5">
        <v>39149.06</v>
      </c>
      <c r="H23" s="5">
        <v>39227.86</v>
      </c>
      <c r="I23" s="5">
        <v>39260.14</v>
      </c>
      <c r="J23" s="5">
        <v>39201.370000000003</v>
      </c>
      <c r="K23" s="5">
        <v>39485.65</v>
      </c>
      <c r="L23" s="5">
        <v>39516.17</v>
      </c>
      <c r="M23" s="5">
        <v>39643.589999999997</v>
      </c>
      <c r="N23" s="5">
        <v>39666.58</v>
      </c>
    </row>
    <row r="24" spans="2:14" ht="15.75" thickBot="1">
      <c r="B24" s="10">
        <v>16</v>
      </c>
      <c r="C24" s="5">
        <v>38421.61</v>
      </c>
      <c r="D24" s="5">
        <v>38467.160000000003</v>
      </c>
      <c r="E24" s="5">
        <v>38819.06</v>
      </c>
      <c r="F24" s="5">
        <v>38984.559999999998</v>
      </c>
      <c r="G24" s="5">
        <v>39151.58</v>
      </c>
      <c r="H24" s="5">
        <v>39230.480000000003</v>
      </c>
      <c r="I24" s="5">
        <v>39255.07</v>
      </c>
      <c r="J24" s="5">
        <v>39212.699999999997</v>
      </c>
      <c r="K24" s="5">
        <v>39485.65</v>
      </c>
      <c r="L24" s="5">
        <v>39521.26</v>
      </c>
      <c r="M24" s="5">
        <v>39643.589999999997</v>
      </c>
      <c r="N24" s="5">
        <v>39670.410000000003</v>
      </c>
    </row>
    <row r="25" spans="2:14" ht="15.75" thickBot="1">
      <c r="B25" s="10">
        <v>17</v>
      </c>
      <c r="C25" s="5">
        <v>38419.129999999997</v>
      </c>
      <c r="D25" s="5">
        <v>38482.199999999997</v>
      </c>
      <c r="E25" s="5">
        <v>38824.06</v>
      </c>
      <c r="F25" s="5">
        <v>38991.040000000001</v>
      </c>
      <c r="G25" s="5">
        <v>39154.1</v>
      </c>
      <c r="H25" s="5">
        <v>39233.089999999997</v>
      </c>
      <c r="I25" s="5">
        <v>39249.99</v>
      </c>
      <c r="J25" s="5">
        <v>39224.04</v>
      </c>
      <c r="K25" s="5">
        <v>39485.65</v>
      </c>
      <c r="L25" s="5">
        <v>39526.35</v>
      </c>
      <c r="M25" s="5">
        <v>39643.589999999997</v>
      </c>
      <c r="N25" s="5">
        <v>39674.25</v>
      </c>
    </row>
    <row r="26" spans="2:14" ht="15.75" thickBot="1">
      <c r="B26" s="10">
        <v>18</v>
      </c>
      <c r="C26" s="5">
        <v>38416.639999999999</v>
      </c>
      <c r="D26" s="5">
        <v>38497.230000000003</v>
      </c>
      <c r="E26" s="5">
        <v>38829.06</v>
      </c>
      <c r="F26" s="5">
        <v>38997.53</v>
      </c>
      <c r="G26" s="5">
        <v>39156.629999999997</v>
      </c>
      <c r="H26" s="5">
        <v>39235.699999999997</v>
      </c>
      <c r="I26" s="5">
        <v>39244.92</v>
      </c>
      <c r="J26" s="5">
        <v>39235.379999999997</v>
      </c>
      <c r="K26" s="5">
        <v>39485.65</v>
      </c>
      <c r="L26" s="5">
        <v>39531.440000000002</v>
      </c>
      <c r="M26" s="5">
        <v>39643.589999999997</v>
      </c>
      <c r="N26" s="5">
        <v>39678.080000000002</v>
      </c>
    </row>
    <row r="27" spans="2:14" ht="15.75" thickBot="1">
      <c r="B27" s="10">
        <v>19</v>
      </c>
      <c r="C27" s="5">
        <v>38414.160000000003</v>
      </c>
      <c r="D27" s="5">
        <v>38512.28</v>
      </c>
      <c r="E27" s="5">
        <v>38834.06</v>
      </c>
      <c r="F27" s="5">
        <v>39004.01</v>
      </c>
      <c r="G27" s="5">
        <v>39159.15</v>
      </c>
      <c r="H27" s="5">
        <v>39238.31</v>
      </c>
      <c r="I27" s="5">
        <v>39239.839999999997</v>
      </c>
      <c r="J27" s="5">
        <v>39246.720000000001</v>
      </c>
      <c r="K27" s="5">
        <v>39485.65</v>
      </c>
      <c r="L27" s="5">
        <v>39536.53</v>
      </c>
      <c r="M27" s="5">
        <v>39643.589999999997</v>
      </c>
      <c r="N27" s="5">
        <v>39681.919999999998</v>
      </c>
    </row>
    <row r="28" spans="2:14" ht="15.75" thickBot="1">
      <c r="B28" s="10">
        <v>20</v>
      </c>
      <c r="C28" s="5">
        <v>38411.68</v>
      </c>
      <c r="D28" s="5">
        <v>38527.33</v>
      </c>
      <c r="E28" s="5">
        <v>38839.06</v>
      </c>
      <c r="F28" s="5">
        <v>39010.5</v>
      </c>
      <c r="G28" s="5">
        <v>39161.67</v>
      </c>
      <c r="H28" s="5">
        <v>39240.93</v>
      </c>
      <c r="I28" s="5">
        <v>39234.769999999997</v>
      </c>
      <c r="J28" s="5">
        <v>39258.06</v>
      </c>
      <c r="K28" s="5">
        <v>39485.65</v>
      </c>
      <c r="L28" s="5">
        <v>39541.620000000003</v>
      </c>
      <c r="M28" s="5">
        <v>39643.589999999997</v>
      </c>
      <c r="N28" s="5">
        <v>39685.75</v>
      </c>
    </row>
    <row r="29" spans="2:14" ht="15.75" thickBot="1">
      <c r="B29" s="10">
        <v>21</v>
      </c>
      <c r="C29" s="5">
        <v>38409.199999999997</v>
      </c>
      <c r="D29" s="5">
        <v>38542.379999999997</v>
      </c>
      <c r="E29" s="5">
        <v>38844.06</v>
      </c>
      <c r="F29" s="5">
        <v>39016.980000000003</v>
      </c>
      <c r="G29" s="5">
        <v>39164.199999999997</v>
      </c>
      <c r="H29" s="5">
        <v>39243.54</v>
      </c>
      <c r="I29" s="5">
        <v>39229.699999999997</v>
      </c>
      <c r="J29" s="5">
        <v>39269.410000000003</v>
      </c>
      <c r="K29" s="5">
        <v>39485.65</v>
      </c>
      <c r="L29" s="5">
        <v>39546.71</v>
      </c>
      <c r="M29" s="5">
        <v>39643.589999999997</v>
      </c>
      <c r="N29" s="5">
        <v>39689.589999999997</v>
      </c>
    </row>
    <row r="30" spans="2:14" ht="15.75" thickBot="1">
      <c r="B30" s="10">
        <v>22</v>
      </c>
      <c r="C30" s="5">
        <v>38406.720000000001</v>
      </c>
      <c r="D30" s="5">
        <v>38557.449999999997</v>
      </c>
      <c r="E30" s="5">
        <v>38849.06</v>
      </c>
      <c r="F30" s="5">
        <v>39023.47</v>
      </c>
      <c r="G30" s="5">
        <v>39166.720000000001</v>
      </c>
      <c r="H30" s="5">
        <v>39246.15</v>
      </c>
      <c r="I30" s="5">
        <v>39224.629999999997</v>
      </c>
      <c r="J30" s="5">
        <v>39280.76</v>
      </c>
      <c r="K30" s="5">
        <v>39485.65</v>
      </c>
      <c r="L30" s="5">
        <v>39551.81</v>
      </c>
      <c r="M30" s="5">
        <v>39643.589999999997</v>
      </c>
      <c r="N30" s="5">
        <v>39693.42</v>
      </c>
    </row>
    <row r="31" spans="2:14" ht="15.75" thickBot="1">
      <c r="B31" s="10">
        <v>23</v>
      </c>
      <c r="C31" s="5">
        <v>38404.239999999998</v>
      </c>
      <c r="D31" s="5">
        <v>38572.51</v>
      </c>
      <c r="E31" s="5">
        <v>38854.06</v>
      </c>
      <c r="F31" s="5">
        <v>39029.96</v>
      </c>
      <c r="G31" s="5">
        <v>39169.25</v>
      </c>
      <c r="H31" s="5">
        <v>39248.769999999997</v>
      </c>
      <c r="I31" s="5">
        <v>39219.56</v>
      </c>
      <c r="J31" s="5">
        <v>39292.120000000003</v>
      </c>
      <c r="K31" s="5">
        <v>39485.65</v>
      </c>
      <c r="L31" s="5">
        <v>39556.9</v>
      </c>
      <c r="M31" s="5">
        <v>39643.589999999997</v>
      </c>
      <c r="N31" s="5">
        <v>39697.26</v>
      </c>
    </row>
    <row r="32" spans="2:14" ht="15.75" thickBot="1">
      <c r="B32" s="10">
        <v>24</v>
      </c>
      <c r="C32" s="5">
        <v>38401.760000000002</v>
      </c>
      <c r="D32" s="5">
        <v>38587.589999999997</v>
      </c>
      <c r="E32" s="5">
        <v>38859.07</v>
      </c>
      <c r="F32" s="5">
        <v>39036.449999999997</v>
      </c>
      <c r="G32" s="5">
        <v>39171.769999999997</v>
      </c>
      <c r="H32" s="5">
        <v>39251.379999999997</v>
      </c>
      <c r="I32" s="5">
        <v>39214.480000000003</v>
      </c>
      <c r="J32" s="5">
        <v>39303.480000000003</v>
      </c>
      <c r="K32" s="5">
        <v>39485.65</v>
      </c>
      <c r="L32" s="5">
        <v>39562</v>
      </c>
      <c r="M32" s="5">
        <v>39643.589999999997</v>
      </c>
      <c r="N32" s="5">
        <v>39701.089999999997</v>
      </c>
    </row>
    <row r="33" spans="2:14" ht="15.75" thickBot="1">
      <c r="B33" s="10">
        <v>25</v>
      </c>
      <c r="C33" s="5">
        <v>38399.279999999999</v>
      </c>
      <c r="D33" s="5">
        <v>38602.67</v>
      </c>
      <c r="E33" s="5">
        <v>38864.07</v>
      </c>
      <c r="F33" s="5">
        <v>39042.94</v>
      </c>
      <c r="G33" s="5">
        <v>39174.300000000003</v>
      </c>
      <c r="H33" s="5">
        <v>39254</v>
      </c>
      <c r="I33" s="5">
        <v>39209.42</v>
      </c>
      <c r="J33" s="5">
        <v>39314.839999999997</v>
      </c>
      <c r="K33" s="5">
        <v>39485.65</v>
      </c>
      <c r="L33" s="5">
        <v>39567.089999999997</v>
      </c>
      <c r="M33" s="5">
        <v>39643.589999999997</v>
      </c>
      <c r="N33" s="5">
        <v>39704.93</v>
      </c>
    </row>
    <row r="34" spans="2:14" ht="14.4" thickBot="1">
      <c r="B34" s="10">
        <v>26</v>
      </c>
      <c r="C34" s="5">
        <v>38396.800000000003</v>
      </c>
      <c r="D34" s="5">
        <v>38617.75</v>
      </c>
      <c r="E34" s="5">
        <v>38869.08</v>
      </c>
      <c r="F34" s="5">
        <v>39049.43</v>
      </c>
      <c r="G34" s="5">
        <v>39176.82</v>
      </c>
      <c r="H34" s="5">
        <v>39256.61</v>
      </c>
      <c r="I34" s="5">
        <v>39204.35</v>
      </c>
      <c r="J34" s="5">
        <v>39326.199999999997</v>
      </c>
      <c r="K34" s="5">
        <v>39485.65</v>
      </c>
      <c r="L34" s="5">
        <v>39572.19</v>
      </c>
      <c r="M34" s="5">
        <v>39643.589999999997</v>
      </c>
      <c r="N34" s="5">
        <v>39708.769999999997</v>
      </c>
    </row>
    <row r="35" spans="2:14" ht="14.4" thickBot="1">
      <c r="B35" s="10">
        <v>27</v>
      </c>
      <c r="C35" s="5">
        <v>38394.32</v>
      </c>
      <c r="D35" s="5">
        <v>38632.839999999997</v>
      </c>
      <c r="E35" s="5">
        <v>38874.080000000002</v>
      </c>
      <c r="F35" s="5">
        <v>39055.919999999998</v>
      </c>
      <c r="G35" s="5">
        <v>39179.35</v>
      </c>
      <c r="H35" s="5">
        <v>39259.230000000003</v>
      </c>
      <c r="I35" s="5">
        <v>39199.279999999999</v>
      </c>
      <c r="J35" s="5">
        <v>39337.57</v>
      </c>
      <c r="K35" s="5">
        <v>39485.65</v>
      </c>
      <c r="L35" s="5">
        <v>39577.279999999999</v>
      </c>
      <c r="M35" s="5">
        <v>39643.589999999997</v>
      </c>
      <c r="N35" s="5">
        <v>39712.6</v>
      </c>
    </row>
    <row r="36" spans="2:14" ht="14.4" thickBot="1">
      <c r="B36" s="10">
        <v>28</v>
      </c>
      <c r="C36" s="5">
        <v>38391.839999999997</v>
      </c>
      <c r="D36" s="5">
        <v>38647.94</v>
      </c>
      <c r="E36" s="5">
        <v>38879.089999999997</v>
      </c>
      <c r="F36" s="5">
        <v>39062.410000000003</v>
      </c>
      <c r="G36" s="5">
        <v>39181.870000000003</v>
      </c>
      <c r="H36" s="5">
        <v>39261.839999999997</v>
      </c>
      <c r="I36" s="5">
        <v>39194.21</v>
      </c>
      <c r="J36" s="5">
        <v>39348.94</v>
      </c>
      <c r="K36" s="5">
        <v>39485.65</v>
      </c>
      <c r="L36" s="5">
        <v>39582.379999999997</v>
      </c>
      <c r="M36" s="5">
        <v>39643.589999999997</v>
      </c>
      <c r="N36" s="5">
        <v>39716.44</v>
      </c>
    </row>
    <row r="37" spans="2:14" ht="14.4" thickBot="1">
      <c r="B37" s="10">
        <v>29</v>
      </c>
      <c r="C37" s="5">
        <v>38389.360000000001</v>
      </c>
      <c r="D37" s="5"/>
      <c r="E37" s="5">
        <v>38884.1</v>
      </c>
      <c r="F37" s="5">
        <v>39068.910000000003</v>
      </c>
      <c r="G37" s="5">
        <v>39184.400000000001</v>
      </c>
      <c r="H37" s="5">
        <v>39264.46</v>
      </c>
      <c r="I37" s="5">
        <v>39189.14</v>
      </c>
      <c r="J37" s="5">
        <v>39360.32</v>
      </c>
      <c r="K37" s="5">
        <v>39485.65</v>
      </c>
      <c r="L37" s="5">
        <v>39587.480000000003</v>
      </c>
      <c r="M37" s="5">
        <v>39643.589999999997</v>
      </c>
      <c r="N37" s="5">
        <v>39720.28</v>
      </c>
    </row>
    <row r="38" spans="2:14" ht="14.4" thickBot="1">
      <c r="B38" s="10">
        <v>30</v>
      </c>
      <c r="C38" s="5">
        <v>38386.879999999997</v>
      </c>
      <c r="D38" s="5"/>
      <c r="E38" s="5">
        <v>38889.1</v>
      </c>
      <c r="F38" s="5">
        <v>39075.410000000003</v>
      </c>
      <c r="G38" s="5">
        <v>39186.92</v>
      </c>
      <c r="H38" s="5">
        <v>39267.07</v>
      </c>
      <c r="I38" s="5">
        <v>39184.080000000002</v>
      </c>
      <c r="J38" s="5">
        <v>39371.69</v>
      </c>
      <c r="K38" s="5">
        <v>39485.65</v>
      </c>
      <c r="L38" s="5">
        <v>39592.57</v>
      </c>
      <c r="M38" s="5">
        <v>39643.589999999997</v>
      </c>
      <c r="N38" s="5">
        <v>39724.120000000003</v>
      </c>
    </row>
    <row r="39" spans="2:14" ht="14.4" thickBot="1">
      <c r="B39" s="11">
        <v>31</v>
      </c>
      <c r="C39" s="12">
        <v>38384.410000000003</v>
      </c>
      <c r="D39" s="12"/>
      <c r="E39" s="12">
        <v>38894.11</v>
      </c>
      <c r="F39" s="12"/>
      <c r="G39" s="12">
        <v>39189.449999999997</v>
      </c>
      <c r="H39" s="12"/>
      <c r="I39" s="12">
        <v>39179.01</v>
      </c>
      <c r="J39" s="12">
        <v>39383.07</v>
      </c>
      <c r="K39" s="12"/>
      <c r="L39" s="12">
        <v>39597.67</v>
      </c>
      <c r="M39" s="12"/>
      <c r="N39" s="12">
        <v>39727.96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80" zoomScaleNormal="80" workbookViewId="0">
      <selection activeCell="D43" sqref="D43"/>
    </sheetView>
  </sheetViews>
  <sheetFormatPr baseColWidth="10" defaultRowHeight="13.8"/>
  <cols>
    <col min="2" max="2" width="19.69921875" bestFit="1" customWidth="1"/>
    <col min="3" max="3" width="19.69921875" customWidth="1"/>
    <col min="4" max="4" width="31" customWidth="1"/>
    <col min="5" max="5" width="12.69921875" customWidth="1"/>
    <col min="6" max="7" width="32.69921875" customWidth="1"/>
    <col min="8" max="8" width="13.09765625" bestFit="1" customWidth="1"/>
    <col min="9" max="9" width="18.69921875" bestFit="1" customWidth="1"/>
    <col min="10" max="10" width="20.296875" bestFit="1" customWidth="1"/>
    <col min="11" max="11" width="23.69921875" bestFit="1" customWidth="1"/>
    <col min="12" max="12" width="16.59765625" bestFit="1" customWidth="1"/>
    <col min="13" max="13" width="7.09765625" bestFit="1" customWidth="1"/>
  </cols>
  <sheetData>
    <row r="1" spans="1:13">
      <c r="A1" t="s">
        <v>6</v>
      </c>
      <c r="B1" t="s">
        <v>0</v>
      </c>
      <c r="C1" t="s">
        <v>64</v>
      </c>
      <c r="D1" t="s">
        <v>21</v>
      </c>
      <c r="E1" t="s">
        <v>22</v>
      </c>
      <c r="F1" t="s">
        <v>25</v>
      </c>
      <c r="G1" t="s">
        <v>22</v>
      </c>
      <c r="H1" t="s">
        <v>28</v>
      </c>
      <c r="I1" t="s">
        <v>29</v>
      </c>
      <c r="J1" t="s">
        <v>1</v>
      </c>
      <c r="K1" t="s">
        <v>2</v>
      </c>
      <c r="L1" t="s">
        <v>3</v>
      </c>
      <c r="M1" t="s">
        <v>4</v>
      </c>
    </row>
    <row r="2" spans="1:13">
      <c r="A2" t="s">
        <v>7</v>
      </c>
      <c r="B2" t="s">
        <v>5</v>
      </c>
      <c r="C2" s="2">
        <v>200000000</v>
      </c>
      <c r="D2" s="2">
        <f>C2*dólar/UF</f>
        <v>4629167.6162575306</v>
      </c>
      <c r="E2" s="2" t="s">
        <v>23</v>
      </c>
      <c r="F2" s="2">
        <f>((65+35)*1000000)*dólar/UF</f>
        <v>2314583.8081287653</v>
      </c>
      <c r="G2" s="2" t="s">
        <v>26</v>
      </c>
      <c r="H2" s="2">
        <f>SUM(Mineria!Q5:AB10)/UF_25</f>
        <v>76853.125686327417</v>
      </c>
      <c r="I2" s="2">
        <f>SUM(Mineria!AC5:AE10)/UF_25</f>
        <v>16005.758173367212</v>
      </c>
      <c r="J2" s="4">
        <f>H2/F2</f>
        <v>3.3203863872382153E-2</v>
      </c>
      <c r="K2" s="4">
        <f>I2/F2</f>
        <v>6.9151776302743308E-3</v>
      </c>
      <c r="L2" s="40">
        <v>0.1</v>
      </c>
      <c r="M2" s="40">
        <f>K2-L2</f>
        <v>-9.3084822369725678E-2</v>
      </c>
    </row>
    <row r="3" spans="1:13">
      <c r="A3" t="s">
        <v>9</v>
      </c>
      <c r="B3" t="s">
        <v>8</v>
      </c>
      <c r="C3" s="2">
        <v>135000000</v>
      </c>
      <c r="D3" s="2">
        <f t="shared" ref="D3:D8" si="0">((C3))*dólar/UF</f>
        <v>3124688.1409738334</v>
      </c>
      <c r="E3" t="s">
        <v>24</v>
      </c>
      <c r="F3" s="2">
        <f>((45)*1000000)*dólar/UF</f>
        <v>1041562.7136579445</v>
      </c>
      <c r="G3" s="3" t="s">
        <v>27</v>
      </c>
      <c r="H3" s="2">
        <f>(271292634+4060000000+545000000+263000000)/UF_25</f>
        <v>131248.48445663558</v>
      </c>
      <c r="I3" s="2">
        <f>(489735314+286612636-64000000-26000000)/UF</f>
        <v>17226.865456611813</v>
      </c>
      <c r="J3" s="4">
        <f>H3/F3</f>
        <v>0.12601112034405867</v>
      </c>
      <c r="K3" s="4">
        <f>I3/F3</f>
        <v>1.6539441390054619E-2</v>
      </c>
      <c r="L3" s="40">
        <v>0.1</v>
      </c>
      <c r="M3" s="40">
        <f>K3-L3</f>
        <v>-8.346055860994539E-2</v>
      </c>
    </row>
    <row r="4" spans="1:13">
      <c r="A4" t="s">
        <v>63</v>
      </c>
      <c r="B4" t="s">
        <v>10</v>
      </c>
      <c r="C4" s="2">
        <v>60000000</v>
      </c>
      <c r="D4" s="2">
        <f t="shared" si="0"/>
        <v>1388750.2848772593</v>
      </c>
      <c r="F4" s="2">
        <f>((40)*1000000)*dólar/UF</f>
        <v>925833.52325150615</v>
      </c>
    </row>
    <row r="5" spans="1:13">
      <c r="B5" t="s">
        <v>13</v>
      </c>
      <c r="C5" s="2">
        <v>35000000</v>
      </c>
      <c r="D5" s="2">
        <f t="shared" si="0"/>
        <v>810104.33284506795</v>
      </c>
    </row>
    <row r="6" spans="1:13">
      <c r="A6" t="s">
        <v>65</v>
      </c>
      <c r="B6" t="s">
        <v>11</v>
      </c>
      <c r="C6" s="2">
        <v>30000000</v>
      </c>
      <c r="D6" s="2">
        <f t="shared" si="0"/>
        <v>694375.14243862964</v>
      </c>
    </row>
    <row r="7" spans="1:13">
      <c r="B7" t="s">
        <v>12</v>
      </c>
      <c r="C7" s="2">
        <v>50000000</v>
      </c>
      <c r="D7" s="2">
        <f t="shared" si="0"/>
        <v>1157291.9040643827</v>
      </c>
    </row>
    <row r="8" spans="1:13">
      <c r="A8" t="s">
        <v>66</v>
      </c>
      <c r="B8" t="s">
        <v>14</v>
      </c>
      <c r="C8" s="2">
        <v>20000000</v>
      </c>
      <c r="D8" s="2">
        <f t="shared" si="0"/>
        <v>462916.76162575308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"/>
  <sheetViews>
    <sheetView tabSelected="1" workbookViewId="0">
      <selection activeCell="G19" sqref="G19"/>
    </sheetView>
  </sheetViews>
  <sheetFormatPr baseColWidth="10" defaultRowHeight="13.8"/>
  <cols>
    <col min="1" max="1" width="38.09765625" customWidth="1"/>
    <col min="2" max="2" width="35.296875" customWidth="1"/>
    <col min="5" max="5" width="29.59765625" customWidth="1"/>
    <col min="6" max="6" width="29.8984375" customWidth="1"/>
    <col min="7" max="7" width="15" customWidth="1"/>
  </cols>
  <sheetData>
    <row r="1" spans="1:8">
      <c r="A1" s="42"/>
    </row>
    <row r="2" spans="1:8" ht="27">
      <c r="A2" s="43" t="s">
        <v>68</v>
      </c>
    </row>
    <row r="3" spans="1:8" ht="14.4" thickBot="1">
      <c r="A3" s="42"/>
    </row>
    <row r="4" spans="1:8" ht="22.8" customHeight="1" thickBot="1">
      <c r="A4" s="57" t="s">
        <v>69</v>
      </c>
      <c r="B4" s="58" t="s">
        <v>205</v>
      </c>
      <c r="E4" s="59" t="s">
        <v>69</v>
      </c>
      <c r="F4" s="59" t="s">
        <v>205</v>
      </c>
      <c r="G4" s="59" t="s">
        <v>200</v>
      </c>
      <c r="H4" s="62" t="s">
        <v>202</v>
      </c>
    </row>
    <row r="5" spans="1:8" ht="17.399999999999999" thickBot="1">
      <c r="A5" s="46" t="s">
        <v>70</v>
      </c>
      <c r="B5" s="47" t="s">
        <v>71</v>
      </c>
      <c r="E5" s="46" t="s">
        <v>70</v>
      </c>
      <c r="F5" s="46">
        <v>45</v>
      </c>
      <c r="G5" s="55">
        <v>0.6</v>
      </c>
      <c r="H5" s="63"/>
    </row>
    <row r="6" spans="1:8" ht="17.399999999999999" thickBot="1">
      <c r="A6" s="46" t="s">
        <v>13</v>
      </c>
      <c r="B6" s="47" t="s">
        <v>72</v>
      </c>
      <c r="E6" s="46" t="s">
        <v>73</v>
      </c>
      <c r="F6" s="46">
        <v>15</v>
      </c>
      <c r="G6" s="55">
        <v>0.2</v>
      </c>
      <c r="H6" s="63"/>
    </row>
    <row r="7" spans="1:8" ht="17.399999999999999" thickBot="1">
      <c r="A7" s="46" t="s">
        <v>73</v>
      </c>
      <c r="B7" s="47" t="s">
        <v>74</v>
      </c>
      <c r="E7" s="46" t="s">
        <v>201</v>
      </c>
      <c r="F7" s="46">
        <v>10</v>
      </c>
      <c r="G7" s="55">
        <v>0.13</v>
      </c>
      <c r="H7" s="63"/>
    </row>
    <row r="8" spans="1:8" ht="17.399999999999999" thickBot="1">
      <c r="A8" s="46" t="s">
        <v>75</v>
      </c>
      <c r="B8" s="47" t="s">
        <v>76</v>
      </c>
      <c r="E8" s="46" t="s">
        <v>75</v>
      </c>
      <c r="F8" s="46">
        <v>5</v>
      </c>
      <c r="G8" s="55">
        <v>7.0000000000000007E-2</v>
      </c>
      <c r="H8" s="63"/>
    </row>
    <row r="9" spans="1:8" ht="17.399999999999999" thickBot="1">
      <c r="A9" s="46" t="s">
        <v>77</v>
      </c>
      <c r="B9" s="47" t="s">
        <v>78</v>
      </c>
      <c r="E9" s="60" t="s">
        <v>204</v>
      </c>
      <c r="F9" s="65" t="s">
        <v>206</v>
      </c>
      <c r="G9" s="61">
        <v>1</v>
      </c>
      <c r="H9" s="64"/>
    </row>
    <row r="10" spans="1:8" ht="17.399999999999999" thickBot="1">
      <c r="A10" s="46" t="s">
        <v>79</v>
      </c>
      <c r="B10" s="47" t="s">
        <v>78</v>
      </c>
    </row>
    <row r="11" spans="1:8" ht="17.399999999999999" thickBot="1">
      <c r="A11" s="46" t="s">
        <v>80</v>
      </c>
      <c r="B11" s="47" t="s">
        <v>81</v>
      </c>
    </row>
    <row r="12" spans="1:8" ht="17.399999999999999" thickBot="1">
      <c r="A12" s="46" t="s">
        <v>82</v>
      </c>
      <c r="B12" s="47" t="s">
        <v>81</v>
      </c>
    </row>
    <row r="13" spans="1:8" ht="17.399999999999999" thickBot="1">
      <c r="A13" s="46" t="s">
        <v>83</v>
      </c>
      <c r="B13" s="47" t="s">
        <v>84</v>
      </c>
    </row>
    <row r="14" spans="1:8" ht="17.399999999999999" thickBot="1">
      <c r="A14" s="56" t="s">
        <v>85</v>
      </c>
      <c r="B14" s="58" t="s">
        <v>86</v>
      </c>
    </row>
    <row r="15" spans="1:8" ht="17.399999999999999" thickBot="1">
      <c r="A15" s="56" t="s">
        <v>188</v>
      </c>
      <c r="B15" s="58" t="s">
        <v>203</v>
      </c>
    </row>
    <row r="16" spans="1:8">
      <c r="A16" s="42"/>
    </row>
    <row r="17" spans="1:1" ht="27">
      <c r="A17" s="43"/>
    </row>
    <row r="18" spans="1:1">
      <c r="A18" s="42"/>
    </row>
    <row r="19" spans="1:1" ht="20.399999999999999">
      <c r="A19" s="48"/>
    </row>
    <row r="20" spans="1:1">
      <c r="A20" s="42"/>
    </row>
    <row r="21" spans="1:1">
      <c r="A21" s="49"/>
    </row>
    <row r="22" spans="1:1">
      <c r="A22" s="42"/>
    </row>
    <row r="23" spans="1:1">
      <c r="A23" s="41"/>
    </row>
    <row r="24" spans="1:1">
      <c r="A24" s="50"/>
    </row>
    <row r="25" spans="1:1">
      <c r="A25" s="51"/>
    </row>
    <row r="26" spans="1:1">
      <c r="A26" s="51"/>
    </row>
    <row r="27" spans="1:1">
      <c r="A27" s="51"/>
    </row>
    <row r="28" spans="1:1">
      <c r="A28" s="51"/>
    </row>
    <row r="29" spans="1:1">
      <c r="A29" s="51"/>
    </row>
    <row r="30" spans="1:1">
      <c r="A30" s="51"/>
    </row>
    <row r="31" spans="1:1">
      <c r="A31" s="51"/>
    </row>
    <row r="32" spans="1:1">
      <c r="A32" s="51"/>
    </row>
    <row r="33" spans="1:1">
      <c r="A33" s="42"/>
    </row>
    <row r="34" spans="1:1">
      <c r="A34" s="41"/>
    </row>
    <row r="35" spans="1:1">
      <c r="A35" s="50"/>
    </row>
    <row r="36" spans="1:1">
      <c r="A36" s="51"/>
    </row>
    <row r="37" spans="1:1">
      <c r="A37" s="51"/>
    </row>
    <row r="38" spans="1:1">
      <c r="A38" s="51"/>
    </row>
    <row r="39" spans="1:1">
      <c r="A39" s="51"/>
    </row>
    <row r="40" spans="1:1">
      <c r="A40" s="51"/>
    </row>
    <row r="41" spans="1:1">
      <c r="A41" s="51"/>
    </row>
    <row r="42" spans="1:1">
      <c r="A42" s="51"/>
    </row>
    <row r="43" spans="1:1">
      <c r="A43" s="42"/>
    </row>
    <row r="44" spans="1:1">
      <c r="A44" s="52"/>
    </row>
    <row r="45" spans="1:1">
      <c r="A45" s="42"/>
    </row>
    <row r="47" spans="1:1">
      <c r="A47" s="42"/>
    </row>
    <row r="48" spans="1:1" ht="20.399999999999999">
      <c r="A48" s="48"/>
    </row>
    <row r="49" spans="1:1">
      <c r="A49" s="42"/>
    </row>
    <row r="50" spans="1:1">
      <c r="A50" s="49"/>
    </row>
    <row r="51" spans="1:1">
      <c r="A51" s="42"/>
    </row>
    <row r="52" spans="1:1">
      <c r="A52" s="41"/>
    </row>
    <row r="53" spans="1:1">
      <c r="A53" s="50"/>
    </row>
    <row r="54" spans="1:1">
      <c r="A54" s="51"/>
    </row>
    <row r="55" spans="1:1">
      <c r="A55" s="51"/>
    </row>
    <row r="56" spans="1:1">
      <c r="A56" s="51"/>
    </row>
    <row r="57" spans="1:1">
      <c r="A57" s="51"/>
    </row>
    <row r="58" spans="1:1">
      <c r="A58" s="51"/>
    </row>
    <row r="59" spans="1:1">
      <c r="A59" s="51"/>
    </row>
    <row r="60" spans="1:1">
      <c r="A60" s="51"/>
    </row>
    <row r="61" spans="1:1">
      <c r="A61" s="51"/>
    </row>
    <row r="62" spans="1:1">
      <c r="A62" s="42"/>
    </row>
    <row r="63" spans="1:1">
      <c r="A63" s="41"/>
    </row>
    <row r="64" spans="1:1">
      <c r="A64" s="50"/>
    </row>
    <row r="65" spans="1:1">
      <c r="A65" s="51"/>
    </row>
    <row r="66" spans="1:1">
      <c r="A66" s="51"/>
    </row>
    <row r="67" spans="1:1">
      <c r="A67" s="51"/>
    </row>
    <row r="68" spans="1:1">
      <c r="A68" s="51"/>
    </row>
    <row r="69" spans="1:1">
      <c r="A69" s="51"/>
    </row>
    <row r="70" spans="1:1">
      <c r="A70" s="51"/>
    </row>
    <row r="71" spans="1:1">
      <c r="A71" s="42"/>
    </row>
    <row r="72" spans="1:1">
      <c r="A72" s="41"/>
    </row>
    <row r="73" spans="1:1">
      <c r="A73" s="42"/>
    </row>
    <row r="75" spans="1:1">
      <c r="A75" s="42"/>
    </row>
    <row r="76" spans="1:1" ht="20.399999999999999">
      <c r="A76" s="48"/>
    </row>
    <row r="77" spans="1:1">
      <c r="A77" s="42"/>
    </row>
    <row r="78" spans="1:1">
      <c r="A78" s="49"/>
    </row>
    <row r="79" spans="1:1">
      <c r="A79" s="42"/>
    </row>
    <row r="80" spans="1:1">
      <c r="A80" s="41"/>
    </row>
    <row r="81" spans="1:1">
      <c r="A81" s="50"/>
    </row>
    <row r="82" spans="1:1">
      <c r="A82" s="51"/>
    </row>
    <row r="83" spans="1:1">
      <c r="A83" s="51"/>
    </row>
    <row r="84" spans="1:1">
      <c r="A84" s="51"/>
    </row>
    <row r="85" spans="1:1">
      <c r="A85" s="51"/>
    </row>
    <row r="86" spans="1:1">
      <c r="A86" s="51"/>
    </row>
    <row r="87" spans="1:1">
      <c r="A87" s="51"/>
    </row>
    <row r="88" spans="1:1">
      <c r="A88" s="51"/>
    </row>
    <row r="89" spans="1:1">
      <c r="A89" s="51"/>
    </row>
    <row r="90" spans="1:1">
      <c r="A90" s="51"/>
    </row>
    <row r="91" spans="1:1">
      <c r="A91" s="42"/>
    </row>
    <row r="92" spans="1:1">
      <c r="A92" s="41"/>
    </row>
    <row r="93" spans="1:1">
      <c r="A93" s="42"/>
    </row>
    <row r="95" spans="1:1">
      <c r="A95" s="42"/>
    </row>
    <row r="96" spans="1:1" ht="20.399999999999999">
      <c r="A96" s="48"/>
    </row>
    <row r="97" spans="1:1">
      <c r="A97" s="42"/>
    </row>
    <row r="98" spans="1:1">
      <c r="A98" s="49"/>
    </row>
    <row r="99" spans="1:1">
      <c r="A99" s="42"/>
    </row>
    <row r="100" spans="1:1">
      <c r="A100" s="41"/>
    </row>
    <row r="101" spans="1:1">
      <c r="A101" s="50"/>
    </row>
    <row r="102" spans="1:1">
      <c r="A102" s="51"/>
    </row>
    <row r="103" spans="1:1">
      <c r="A103" s="51"/>
    </row>
    <row r="104" spans="1:1">
      <c r="A104" s="51"/>
    </row>
    <row r="105" spans="1:1">
      <c r="A105" s="51"/>
    </row>
    <row r="106" spans="1:1">
      <c r="A106" s="51"/>
    </row>
    <row r="107" spans="1:1">
      <c r="A107" s="51"/>
    </row>
    <row r="108" spans="1:1">
      <c r="A108" s="51"/>
    </row>
    <row r="109" spans="1:1">
      <c r="A109" s="42"/>
    </row>
    <row r="110" spans="1:1">
      <c r="A110" s="41"/>
    </row>
    <row r="111" spans="1:1">
      <c r="A111" s="50"/>
    </row>
    <row r="112" spans="1:1">
      <c r="A112" s="51"/>
    </row>
    <row r="113" spans="1:1">
      <c r="A113" s="51"/>
    </row>
    <row r="114" spans="1:1">
      <c r="A114" s="51"/>
    </row>
    <row r="115" spans="1:1">
      <c r="A115" s="51"/>
    </row>
    <row r="116" spans="1:1">
      <c r="A116" s="42"/>
    </row>
    <row r="117" spans="1:1">
      <c r="A117" s="41"/>
    </row>
    <row r="118" spans="1:1">
      <c r="A118" s="42"/>
    </row>
    <row r="120" spans="1:1">
      <c r="A120" s="42"/>
    </row>
    <row r="121" spans="1:1" ht="20.399999999999999">
      <c r="A121" s="48"/>
    </row>
    <row r="122" spans="1:1">
      <c r="A122" s="42"/>
    </row>
    <row r="123" spans="1:1">
      <c r="A123" s="49"/>
    </row>
    <row r="124" spans="1:1">
      <c r="A124" s="42"/>
    </row>
    <row r="125" spans="1:1">
      <c r="A125" s="41"/>
    </row>
    <row r="126" spans="1:1">
      <c r="A126" s="50"/>
    </row>
    <row r="127" spans="1:1">
      <c r="A127" s="51"/>
    </row>
    <row r="128" spans="1:1">
      <c r="A128" s="51"/>
    </row>
    <row r="129" spans="1:1">
      <c r="A129" s="51"/>
    </row>
    <row r="130" spans="1:1">
      <c r="A130" s="51"/>
    </row>
    <row r="131" spans="1:1">
      <c r="A131" s="51"/>
    </row>
    <row r="132" spans="1:1">
      <c r="A132" s="51"/>
    </row>
    <row r="133" spans="1:1">
      <c r="A133" s="42"/>
    </row>
    <row r="134" spans="1:1">
      <c r="A134" s="41"/>
    </row>
    <row r="135" spans="1:1">
      <c r="A135" s="42"/>
    </row>
    <row r="137" spans="1:1">
      <c r="A137" s="42"/>
    </row>
    <row r="138" spans="1:1" ht="20.399999999999999">
      <c r="A138" s="48"/>
    </row>
    <row r="139" spans="1:1">
      <c r="A139" s="42"/>
    </row>
    <row r="140" spans="1:1">
      <c r="A140" s="49"/>
    </row>
    <row r="141" spans="1:1">
      <c r="A141" s="42"/>
    </row>
    <row r="142" spans="1:1">
      <c r="A142" s="41"/>
    </row>
    <row r="143" spans="1:1">
      <c r="A143" s="50"/>
    </row>
    <row r="144" spans="1:1">
      <c r="A144" s="51"/>
    </row>
    <row r="145" spans="1:1">
      <c r="A145" s="51"/>
    </row>
    <row r="146" spans="1:1">
      <c r="A146" s="51"/>
    </row>
    <row r="147" spans="1:1">
      <c r="A147" s="42"/>
    </row>
    <row r="148" spans="1:1">
      <c r="A148" s="52"/>
    </row>
    <row r="149" spans="1:1">
      <c r="A149" s="42"/>
    </row>
    <row r="151" spans="1:1">
      <c r="A151" s="42"/>
    </row>
    <row r="152" spans="1:1" ht="20.399999999999999">
      <c r="A152" s="48"/>
    </row>
    <row r="153" spans="1:1">
      <c r="A153" s="42"/>
    </row>
    <row r="154" spans="1:1">
      <c r="A154" s="49"/>
    </row>
    <row r="155" spans="1:1">
      <c r="A155" s="42"/>
    </row>
    <row r="156" spans="1:1">
      <c r="A156" s="41"/>
    </row>
    <row r="157" spans="1:1">
      <c r="A157" s="50"/>
    </row>
    <row r="158" spans="1:1">
      <c r="A158" s="51"/>
    </row>
    <row r="159" spans="1:1">
      <c r="A159" s="51"/>
    </row>
    <row r="160" spans="1:1">
      <c r="A160" s="51"/>
    </row>
    <row r="161" spans="1:2">
      <c r="A161" s="51"/>
    </row>
    <row r="162" spans="1:2">
      <c r="A162" s="51"/>
    </row>
    <row r="163" spans="1:2">
      <c r="A163" s="51"/>
    </row>
    <row r="164" spans="1:2">
      <c r="A164" s="51"/>
    </row>
    <row r="165" spans="1:2">
      <c r="A165" s="42"/>
    </row>
    <row r="166" spans="1:2">
      <c r="A166" s="41"/>
    </row>
    <row r="167" spans="1:2">
      <c r="A167" s="42"/>
    </row>
    <row r="169" spans="1:2">
      <c r="A169" s="42"/>
    </row>
    <row r="170" spans="1:2" ht="34.799999999999997">
      <c r="A170" s="53"/>
    </row>
    <row r="171" spans="1:2">
      <c r="A171" s="42"/>
    </row>
    <row r="172" spans="1:2">
      <c r="A172" s="41"/>
    </row>
    <row r="173" spans="1:2" ht="14.4" thickBot="1">
      <c r="A173" s="42"/>
    </row>
    <row r="174" spans="1:2" ht="17.399999999999999" thickBot="1">
      <c r="A174" s="44"/>
      <c r="B174" s="45"/>
    </row>
    <row r="175" spans="1:2" ht="17.399999999999999" thickBot="1">
      <c r="A175" s="46"/>
      <c r="B175" s="47"/>
    </row>
    <row r="176" spans="1:2" ht="17.399999999999999" thickBot="1">
      <c r="A176" s="46"/>
      <c r="B176" s="47"/>
    </row>
    <row r="177" spans="1:2" ht="17.399999999999999" thickBot="1">
      <c r="A177" s="46"/>
      <c r="B177" s="47"/>
    </row>
    <row r="179" spans="1:2">
      <c r="A179" s="42"/>
    </row>
    <row r="180" spans="1:2" ht="27">
      <c r="A180" s="43"/>
    </row>
    <row r="181" spans="1:2">
      <c r="A181" s="42"/>
    </row>
    <row r="182" spans="1:2">
      <c r="A182" s="41"/>
    </row>
    <row r="183" spans="1:2">
      <c r="A183" s="50"/>
    </row>
    <row r="184" spans="1:2">
      <c r="A184" s="54"/>
    </row>
    <row r="185" spans="1:2">
      <c r="A185" s="54"/>
    </row>
    <row r="186" spans="1:2">
      <c r="A186" s="54"/>
    </row>
    <row r="187" spans="1:2">
      <c r="A187" s="54"/>
    </row>
    <row r="188" spans="1:2">
      <c r="A188" s="42"/>
    </row>
    <row r="189" spans="1:2">
      <c r="A189" s="41"/>
    </row>
    <row r="190" spans="1:2">
      <c r="A190" s="50"/>
    </row>
    <row r="191" spans="1:2">
      <c r="A191" s="54"/>
    </row>
    <row r="192" spans="1:2">
      <c r="A192" s="54"/>
    </row>
    <row r="193" spans="1:1">
      <c r="A193" s="54"/>
    </row>
    <row r="194" spans="1:1">
      <c r="A194" s="42"/>
    </row>
    <row r="195" spans="1:1">
      <c r="A195" s="41"/>
    </row>
  </sheetData>
  <mergeCells count="1">
    <mergeCell ref="H4:H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8"/>
  <sheetViews>
    <sheetView showGridLines="0" topLeftCell="B1" zoomScale="85" zoomScaleNormal="85" workbookViewId="0">
      <selection activeCell="G40" sqref="G40"/>
    </sheetView>
  </sheetViews>
  <sheetFormatPr baseColWidth="10" defaultRowHeight="13.8"/>
  <cols>
    <col min="2" max="3" width="24.3984375" customWidth="1"/>
    <col min="4" max="4" width="13.69921875" bestFit="1" customWidth="1"/>
    <col min="5" max="7" width="13.296875" customWidth="1"/>
    <col min="8" max="8" width="13.59765625" style="17" bestFit="1" customWidth="1"/>
    <col min="9" max="11" width="13.59765625" bestFit="1" customWidth="1"/>
    <col min="12" max="22" width="14.59765625" bestFit="1" customWidth="1"/>
    <col min="23" max="31" width="13.69921875" bestFit="1" customWidth="1"/>
  </cols>
  <sheetData>
    <row r="1" spans="2:31">
      <c r="B1" s="14" t="s">
        <v>45</v>
      </c>
      <c r="C1" s="14"/>
      <c r="D1" s="14"/>
      <c r="E1" s="15">
        <v>36733.040000000001</v>
      </c>
      <c r="F1" s="15">
        <v>36856.5</v>
      </c>
      <c r="G1" s="15">
        <v>37093.519999999997</v>
      </c>
      <c r="H1" s="15">
        <v>37261.980000000003</v>
      </c>
      <c r="I1" s="16">
        <v>37438.910000000003</v>
      </c>
      <c r="J1" s="16">
        <v>37583.120000000003</v>
      </c>
      <c r="K1" s="16">
        <v>37570.46</v>
      </c>
      <c r="L1" s="16">
        <v>37728.99</v>
      </c>
      <c r="M1" s="16">
        <v>37936.93</v>
      </c>
      <c r="N1" s="16">
        <v>37971.42</v>
      </c>
      <c r="O1" s="16">
        <v>38364.730000000003</v>
      </c>
      <c r="P1" s="16">
        <v>38438.980000000003</v>
      </c>
      <c r="Q1" s="16">
        <v>38372.01</v>
      </c>
      <c r="R1" s="16">
        <v>38647.94</v>
      </c>
      <c r="S1" s="16">
        <v>38879.089999999997</v>
      </c>
      <c r="T1" s="16">
        <v>39075.410000000003</v>
      </c>
      <c r="U1" s="16">
        <v>39189.449999999997</v>
      </c>
      <c r="V1" s="16">
        <v>39267.07</v>
      </c>
      <c r="W1" s="16">
        <v>39179.01</v>
      </c>
      <c r="X1" s="16">
        <v>39383.07</v>
      </c>
      <c r="Y1" s="16">
        <v>39485.65</v>
      </c>
      <c r="Z1" s="16">
        <v>39597.67</v>
      </c>
      <c r="AA1" s="16">
        <v>39643.589999999997</v>
      </c>
      <c r="AB1" s="16">
        <v>39727.96</v>
      </c>
      <c r="AC1" s="16">
        <v>39706.07</v>
      </c>
      <c r="AD1" s="16">
        <v>39790.629999999997</v>
      </c>
      <c r="AE1" s="16">
        <v>39841.72</v>
      </c>
    </row>
    <row r="3" spans="2:31">
      <c r="D3" s="17"/>
    </row>
    <row r="4" spans="2:31">
      <c r="B4" s="18" t="s">
        <v>46</v>
      </c>
      <c r="C4" s="19" t="s">
        <v>47</v>
      </c>
      <c r="D4" s="19" t="s">
        <v>48</v>
      </c>
      <c r="E4" s="20">
        <v>45292</v>
      </c>
      <c r="F4" s="20">
        <v>45323</v>
      </c>
      <c r="G4" s="20">
        <v>45352</v>
      </c>
      <c r="H4" s="20">
        <v>45383</v>
      </c>
      <c r="I4" s="20">
        <v>45413</v>
      </c>
      <c r="J4" s="20">
        <v>45444</v>
      </c>
      <c r="K4" s="20">
        <v>45474</v>
      </c>
      <c r="L4" s="20">
        <v>45505</v>
      </c>
      <c r="M4" s="20">
        <v>45536</v>
      </c>
      <c r="N4" s="20">
        <v>45566</v>
      </c>
      <c r="O4" s="20">
        <v>45597</v>
      </c>
      <c r="P4" s="20">
        <v>45627</v>
      </c>
      <c r="Q4" s="20">
        <v>45658</v>
      </c>
      <c r="R4" s="20">
        <v>45689</v>
      </c>
      <c r="S4" s="20">
        <v>45717</v>
      </c>
      <c r="T4" s="20">
        <v>45748</v>
      </c>
      <c r="U4" s="20">
        <v>45778</v>
      </c>
      <c r="V4" s="20">
        <v>45809</v>
      </c>
      <c r="W4" s="20">
        <v>45839</v>
      </c>
      <c r="X4" s="20">
        <v>45870</v>
      </c>
      <c r="Y4" s="20">
        <v>45901</v>
      </c>
      <c r="Z4" s="20">
        <v>45931</v>
      </c>
      <c r="AA4" s="20">
        <v>45962</v>
      </c>
      <c r="AB4" s="20">
        <v>45992</v>
      </c>
      <c r="AC4" s="20">
        <v>46023</v>
      </c>
      <c r="AD4" s="20">
        <v>46054</v>
      </c>
      <c r="AE4" s="20">
        <v>46082</v>
      </c>
    </row>
    <row r="5" spans="2:31">
      <c r="B5" s="21" t="s">
        <v>49</v>
      </c>
      <c r="C5" s="14" t="s">
        <v>50</v>
      </c>
      <c r="D5" s="17">
        <f>SUM(E5:Y5)</f>
        <v>1637972167.2296655</v>
      </c>
      <c r="E5" s="17">
        <v>53500000</v>
      </c>
      <c r="F5" s="17">
        <v>45100000</v>
      </c>
      <c r="G5" s="17">
        <v>45500000</v>
      </c>
      <c r="H5" s="17">
        <v>45900000</v>
      </c>
      <c r="I5" s="17">
        <v>48000000</v>
      </c>
      <c r="J5" s="17">
        <v>49972167.229665577</v>
      </c>
      <c r="K5" s="17">
        <v>80000000</v>
      </c>
      <c r="L5" s="17">
        <v>80000000</v>
      </c>
      <c r="M5" s="17">
        <v>95000000</v>
      </c>
      <c r="N5" s="17">
        <v>90000000</v>
      </c>
      <c r="O5" s="17">
        <v>103000000</v>
      </c>
      <c r="P5" s="17">
        <v>100000000</v>
      </c>
      <c r="Q5" s="17">
        <v>95000000</v>
      </c>
      <c r="R5" s="17">
        <v>80000000</v>
      </c>
      <c r="S5" s="17">
        <v>80000000</v>
      </c>
      <c r="T5" s="17">
        <v>104000000</v>
      </c>
      <c r="U5" s="17">
        <v>80000000</v>
      </c>
      <c r="V5" s="22">
        <v>84000000</v>
      </c>
      <c r="W5" s="22">
        <v>84000000</v>
      </c>
      <c r="X5" s="22">
        <v>110000000</v>
      </c>
      <c r="Y5" s="22">
        <v>85000000</v>
      </c>
      <c r="Z5" s="22">
        <v>108000000</v>
      </c>
      <c r="AA5" s="22">
        <v>88691523</v>
      </c>
      <c r="AB5" s="22">
        <v>140000000</v>
      </c>
      <c r="AC5" s="22">
        <v>115543733</v>
      </c>
      <c r="AD5" s="22">
        <v>93000000</v>
      </c>
      <c r="AE5" s="22">
        <f>93000000+11709548</f>
        <v>104709548</v>
      </c>
    </row>
    <row r="6" spans="2:31">
      <c r="B6" s="21" t="s">
        <v>51</v>
      </c>
      <c r="C6" s="14" t="s">
        <v>50</v>
      </c>
      <c r="D6" s="17">
        <f t="shared" ref="D6:D10" si="0">SUM(E6:Y6)</f>
        <v>1144053423.5750625</v>
      </c>
      <c r="E6" s="17">
        <f>55400000+11000000</f>
        <v>66400000</v>
      </c>
      <c r="F6" s="17">
        <f>47300000+11000000</f>
        <v>58300000</v>
      </c>
      <c r="G6" s="17">
        <f>48700000+11100000</f>
        <v>59800000</v>
      </c>
      <c r="H6" s="17">
        <f>48600000+11000000</f>
        <v>59600000</v>
      </c>
      <c r="I6" s="17">
        <v>55885000</v>
      </c>
      <c r="J6" s="17">
        <v>50044040.628339231</v>
      </c>
      <c r="K6" s="17">
        <v>50000000</v>
      </c>
      <c r="L6" s="17">
        <v>50000000</v>
      </c>
      <c r="M6" s="17">
        <v>50000000</v>
      </c>
      <c r="N6" s="17">
        <v>50000000</v>
      </c>
      <c r="O6" s="17">
        <v>50725250.946723178</v>
      </c>
      <c r="P6" s="17">
        <v>50000000</v>
      </c>
      <c r="Q6" s="17">
        <f>58264192+2064606</f>
        <v>60328798</v>
      </c>
      <c r="R6" s="17">
        <v>50000000</v>
      </c>
      <c r="S6" s="17">
        <v>50626801</v>
      </c>
      <c r="T6" s="17">
        <v>52460118</v>
      </c>
      <c r="U6" s="17">
        <v>54883415</v>
      </c>
      <c r="V6" s="22">
        <v>54000000</v>
      </c>
      <c r="W6" s="22">
        <v>54000000</v>
      </c>
      <c r="X6" s="22">
        <v>60000000</v>
      </c>
      <c r="Y6" s="22">
        <v>57000000</v>
      </c>
      <c r="Z6" s="22">
        <v>70000000</v>
      </c>
      <c r="AA6" s="22">
        <v>45119852</v>
      </c>
      <c r="AB6" s="22">
        <v>66378923</v>
      </c>
      <c r="AC6" s="22">
        <v>61241765</v>
      </c>
      <c r="AD6" s="22">
        <v>63000000</v>
      </c>
      <c r="AE6" s="22">
        <v>25000000</v>
      </c>
    </row>
    <row r="7" spans="2:31">
      <c r="B7" s="21" t="s">
        <v>52</v>
      </c>
      <c r="C7" s="14" t="s">
        <v>50</v>
      </c>
      <c r="D7" s="17">
        <f t="shared" si="0"/>
        <v>1527474485.7096</v>
      </c>
      <c r="E7" s="17">
        <v>44400000</v>
      </c>
      <c r="F7" s="17">
        <v>67100000</v>
      </c>
      <c r="G7" s="17">
        <v>49900000</v>
      </c>
      <c r="H7" s="17">
        <v>47100000</v>
      </c>
      <c r="I7" s="17">
        <f>1652*I1</f>
        <v>61849079.320000008</v>
      </c>
      <c r="J7" s="17">
        <f>1221.74*J1</f>
        <v>45916801.028800003</v>
      </c>
      <c r="K7" s="17">
        <f>1483.17*K1</f>
        <v>55723379.158200003</v>
      </c>
      <c r="L7" s="17">
        <f>2468.82*L1</f>
        <v>93146085.091800004</v>
      </c>
      <c r="M7" s="17">
        <f>1551.56*M1</f>
        <v>58861423.110799998</v>
      </c>
      <c r="N7" s="17">
        <v>84734363</v>
      </c>
      <c r="O7" s="17">
        <v>51000000</v>
      </c>
      <c r="P7" s="17">
        <v>121291095</v>
      </c>
      <c r="Q7" s="17">
        <v>82099263</v>
      </c>
      <c r="R7" s="17">
        <v>92435438</v>
      </c>
      <c r="S7" s="17">
        <v>97971808</v>
      </c>
      <c r="T7" s="17">
        <v>49941500</v>
      </c>
      <c r="U7" s="17">
        <v>113224591</v>
      </c>
      <c r="V7" s="22">
        <v>66024044</v>
      </c>
      <c r="W7" s="22">
        <v>65488891</v>
      </c>
      <c r="X7" s="22">
        <v>114038011</v>
      </c>
      <c r="Y7" s="22">
        <v>65228714</v>
      </c>
      <c r="Z7" s="22">
        <v>44942829</v>
      </c>
      <c r="AA7" s="22">
        <v>89308287</v>
      </c>
      <c r="AB7" s="22">
        <v>87703444</v>
      </c>
      <c r="AC7" s="22">
        <f>900*AC1</f>
        <v>35735463</v>
      </c>
      <c r="AD7" s="22">
        <f t="shared" ref="AD7:AE7" si="1">900*AD1</f>
        <v>35811567</v>
      </c>
      <c r="AE7" s="22">
        <f t="shared" si="1"/>
        <v>35857548</v>
      </c>
    </row>
    <row r="8" spans="2:31">
      <c r="B8" s="21" t="s">
        <v>53</v>
      </c>
      <c r="C8" s="14" t="s">
        <v>50</v>
      </c>
      <c r="D8" s="17">
        <f t="shared" si="0"/>
        <v>325773306.60190004</v>
      </c>
      <c r="E8" s="17">
        <f>187*E1</f>
        <v>6869078.4800000004</v>
      </c>
      <c r="F8" s="17">
        <f>980*F1</f>
        <v>36119370</v>
      </c>
      <c r="G8" s="17">
        <f>24*G1</f>
        <v>890244.48</v>
      </c>
      <c r="H8" s="17">
        <f>168*H1</f>
        <v>6260012.6400000006</v>
      </c>
      <c r="I8" s="17">
        <f>990*I1</f>
        <v>37064520.900000006</v>
      </c>
      <c r="J8" s="17">
        <f>31*J1</f>
        <v>1165076.72</v>
      </c>
      <c r="K8" s="17">
        <f>1015*K1</f>
        <v>38134016.899999999</v>
      </c>
      <c r="L8" s="17">
        <f>218*L1</f>
        <v>8224919.8199999994</v>
      </c>
      <c r="M8" s="17">
        <f>60*M1</f>
        <v>2276215.7999999998</v>
      </c>
      <c r="N8" s="17">
        <f>181*N1</f>
        <v>6872827.0199999996</v>
      </c>
      <c r="O8" s="17">
        <f>1071.55*O1</f>
        <v>41109726.431500003</v>
      </c>
      <c r="P8" s="17">
        <f>48*P1</f>
        <v>1845071.04</v>
      </c>
      <c r="Q8" s="17">
        <f>218*Q1</f>
        <v>8365098.1800000006</v>
      </c>
      <c r="R8" s="17">
        <v>30000000</v>
      </c>
      <c r="S8" s="17">
        <v>1000000</v>
      </c>
      <c r="T8" s="17">
        <f>235.79*T1</f>
        <v>9213590.9239000008</v>
      </c>
      <c r="U8" s="17">
        <f>1092.77*U1</f>
        <v>42825055.276499994</v>
      </c>
      <c r="V8" s="22">
        <f>41*V1</f>
        <v>1609949.8699999999</v>
      </c>
      <c r="W8" s="22">
        <f>1137*W1</f>
        <v>44546534.370000005</v>
      </c>
      <c r="X8" s="22"/>
      <c r="Y8" s="22">
        <v>1381997.75</v>
      </c>
      <c r="Z8" s="22">
        <v>7743720.3451999994</v>
      </c>
      <c r="AA8" s="22">
        <v>42741736.558499999</v>
      </c>
      <c r="AB8" s="22">
        <v>895468.2183999999</v>
      </c>
      <c r="AC8" s="22">
        <f>41*AC1</f>
        <v>1627948.8699999999</v>
      </c>
      <c r="AD8" s="22">
        <f>41*AD1</f>
        <v>1631415.8299999998</v>
      </c>
      <c r="AE8" s="22">
        <f>1137*AE1</f>
        <v>45300035.640000001</v>
      </c>
    </row>
    <row r="9" spans="2:31">
      <c r="B9" s="21" t="s">
        <v>54</v>
      </c>
      <c r="C9" s="14" t="s">
        <v>50</v>
      </c>
      <c r="D9" s="17">
        <f t="shared" si="0"/>
        <v>50223164.388500005</v>
      </c>
      <c r="E9" s="17"/>
      <c r="F9" s="17">
        <f>66*F1</f>
        <v>2432529</v>
      </c>
      <c r="G9" s="17">
        <f>81*G1</f>
        <v>3004575.1199999996</v>
      </c>
      <c r="H9" s="17">
        <f>72*H1</f>
        <v>2682862.56</v>
      </c>
      <c r="I9" s="17">
        <f>81*I1</f>
        <v>3032551.7100000004</v>
      </c>
      <c r="J9" s="17">
        <f>+J1*50</f>
        <v>1879156.0000000002</v>
      </c>
      <c r="K9" s="17">
        <f>53.87*K1</f>
        <v>2023920.6801999998</v>
      </c>
      <c r="L9" s="17">
        <f>55*L1</f>
        <v>2075094.45</v>
      </c>
      <c r="M9" s="17">
        <f>28.65*M1</f>
        <v>1086893.0444999998</v>
      </c>
      <c r="N9" s="17">
        <f>93.23*N1</f>
        <v>3540075.4865999999</v>
      </c>
      <c r="O9" s="17">
        <f>62.7*O1</f>
        <v>2405468.5710000005</v>
      </c>
      <c r="P9" s="17">
        <f>94.93*P1</f>
        <v>3649012.3714000005</v>
      </c>
      <c r="Q9" s="17">
        <f>66.24*Q1</f>
        <v>2541761.9424000001</v>
      </c>
      <c r="R9" s="17">
        <f>45.16*R1</f>
        <v>1745340.9704</v>
      </c>
      <c r="S9" s="17">
        <f>60*S1</f>
        <v>2332745.4</v>
      </c>
      <c r="T9" s="17">
        <f>59.8*T1</f>
        <v>2336709.5180000002</v>
      </c>
      <c r="U9" s="17">
        <f>68.73*U1</f>
        <v>2693490.8985000001</v>
      </c>
      <c r="V9" s="22">
        <f>88.3*V1</f>
        <v>3467282.281</v>
      </c>
      <c r="W9" s="22">
        <f>49*W1</f>
        <v>1919771.49</v>
      </c>
      <c r="X9" s="22">
        <v>2784922.8944999999</v>
      </c>
      <c r="Y9" s="22">
        <v>2589000</v>
      </c>
      <c r="Z9" s="22">
        <v>2392491.2214000002</v>
      </c>
      <c r="AA9" s="22">
        <v>2976837.1730999998</v>
      </c>
      <c r="AB9" s="22">
        <v>2723748.9375999998</v>
      </c>
      <c r="AC9" s="22">
        <f t="shared" ref="AC9:AD9" si="2">49*AC1</f>
        <v>1945597.43</v>
      </c>
      <c r="AD9" s="22">
        <f t="shared" si="2"/>
        <v>1949740.8699999999</v>
      </c>
      <c r="AE9" s="22">
        <f>68*AE1</f>
        <v>2709236.96</v>
      </c>
    </row>
    <row r="10" spans="2:31">
      <c r="B10" s="23" t="s">
        <v>55</v>
      </c>
      <c r="C10" s="24" t="s">
        <v>50</v>
      </c>
      <c r="D10" s="25">
        <f t="shared" si="0"/>
        <v>8817297.9903999995</v>
      </c>
      <c r="E10" s="25"/>
      <c r="F10" s="25"/>
      <c r="G10" s="25">
        <f>20*G1</f>
        <v>741870.39999999991</v>
      </c>
      <c r="H10" s="25"/>
      <c r="I10" s="25"/>
      <c r="J10" s="25">
        <f>20*J1</f>
        <v>751662.4</v>
      </c>
      <c r="K10" s="25"/>
      <c r="L10" s="25"/>
      <c r="M10" s="25">
        <f>20*M1</f>
        <v>758738.6</v>
      </c>
      <c r="N10" s="25"/>
      <c r="O10" s="25"/>
      <c r="P10" s="25">
        <f>42.48*P1</f>
        <v>1632887.8704000001</v>
      </c>
      <c r="Q10" s="25"/>
      <c r="R10" s="25"/>
      <c r="S10" s="25">
        <f>42*S1</f>
        <v>1632921.7799999998</v>
      </c>
      <c r="T10" s="25"/>
      <c r="U10" s="25"/>
      <c r="V10" s="26">
        <f>42*V1</f>
        <v>1649216.94</v>
      </c>
      <c r="W10" s="26"/>
      <c r="X10" s="26"/>
      <c r="Y10" s="26">
        <v>1650000</v>
      </c>
      <c r="Z10" s="26"/>
      <c r="AA10" s="26"/>
      <c r="AB10" s="26">
        <v>1679698.1488000001</v>
      </c>
      <c r="AC10" s="26"/>
      <c r="AD10" s="26"/>
      <c r="AE10" s="26">
        <f>42*AE1</f>
        <v>1673352.24</v>
      </c>
    </row>
    <row r="11" spans="2:31">
      <c r="B11" s="14"/>
      <c r="C11" s="14"/>
      <c r="D11" s="17"/>
      <c r="E11" s="17"/>
      <c r="F11" s="17"/>
      <c r="G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 spans="2:31">
      <c r="D12" s="17"/>
      <c r="E12" s="17"/>
      <c r="F12" s="17"/>
      <c r="G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 spans="2:31">
      <c r="B13" s="14" t="s">
        <v>48</v>
      </c>
      <c r="C13" s="14"/>
      <c r="D13" s="27">
        <f t="shared" ref="D13:G13" si="3">SUM(D5:D12)</f>
        <v>4694313845.4951286</v>
      </c>
      <c r="E13" s="27">
        <f t="shared" si="3"/>
        <v>171169078.47999999</v>
      </c>
      <c r="F13" s="27">
        <f t="shared" si="3"/>
        <v>209051899</v>
      </c>
      <c r="G13" s="27">
        <f t="shared" si="3"/>
        <v>159836690</v>
      </c>
      <c r="H13" s="27">
        <f>SUM(H5:H12)</f>
        <v>161542875.19999999</v>
      </c>
      <c r="I13" s="27">
        <f>SUM(I5:I12)</f>
        <v>205831151.93000001</v>
      </c>
      <c r="J13" s="27">
        <f t="shared" ref="J13:AE13" si="4">SUM(J5:J10)</f>
        <v>149728904.00680482</v>
      </c>
      <c r="K13" s="27">
        <f t="shared" si="4"/>
        <v>225881316.73840001</v>
      </c>
      <c r="L13" s="27">
        <f t="shared" si="4"/>
        <v>233446099.36179999</v>
      </c>
      <c r="M13" s="27">
        <f t="shared" si="4"/>
        <v>207983270.5553</v>
      </c>
      <c r="N13" s="27">
        <f t="shared" si="4"/>
        <v>235147265.50660002</v>
      </c>
      <c r="O13" s="27">
        <f t="shared" si="4"/>
        <v>248240445.94922319</v>
      </c>
      <c r="P13" s="27">
        <f t="shared" si="4"/>
        <v>278418066.28180003</v>
      </c>
      <c r="Q13" s="27">
        <f t="shared" si="4"/>
        <v>248334921.12240002</v>
      </c>
      <c r="R13" s="27">
        <f t="shared" si="4"/>
        <v>254180778.97040001</v>
      </c>
      <c r="S13" s="27">
        <f t="shared" si="4"/>
        <v>233564276.18000001</v>
      </c>
      <c r="T13" s="27">
        <f t="shared" si="4"/>
        <v>217951918.44190001</v>
      </c>
      <c r="U13" s="27">
        <f t="shared" si="4"/>
        <v>293626552.17500001</v>
      </c>
      <c r="V13" s="27">
        <f t="shared" si="4"/>
        <v>210750493.09099999</v>
      </c>
      <c r="W13" s="27">
        <f t="shared" si="4"/>
        <v>249955196.86000001</v>
      </c>
      <c r="X13" s="27">
        <f t="shared" si="4"/>
        <v>286822933.89450002</v>
      </c>
      <c r="Y13" s="27">
        <f t="shared" si="4"/>
        <v>212849711.75</v>
      </c>
      <c r="Z13" s="27">
        <f t="shared" si="4"/>
        <v>233079040.56659999</v>
      </c>
      <c r="AA13" s="27">
        <f t="shared" si="4"/>
        <v>268838235.73159999</v>
      </c>
      <c r="AB13" s="27">
        <f t="shared" si="4"/>
        <v>299381282.30480003</v>
      </c>
      <c r="AC13" s="27">
        <f t="shared" si="4"/>
        <v>216094507.30000001</v>
      </c>
      <c r="AD13" s="27">
        <f t="shared" si="4"/>
        <v>195392723.70000002</v>
      </c>
      <c r="AE13" s="27">
        <f t="shared" si="4"/>
        <v>215249720.84</v>
      </c>
    </row>
    <row r="14" spans="2:31">
      <c r="B14" s="14" t="s">
        <v>56</v>
      </c>
      <c r="C14" s="14"/>
      <c r="D14" s="27"/>
      <c r="E14" s="27">
        <f>E13</f>
        <v>171169078.47999999</v>
      </c>
      <c r="F14" s="27">
        <f>E14+F13</f>
        <v>380220977.48000002</v>
      </c>
      <c r="G14" s="27">
        <f t="shared" ref="G14:AB14" si="5">F14+G13</f>
        <v>540057667.48000002</v>
      </c>
      <c r="H14" s="27">
        <f t="shared" si="5"/>
        <v>701600542.68000007</v>
      </c>
      <c r="I14" s="27">
        <f t="shared" si="5"/>
        <v>907431694.61000013</v>
      </c>
      <c r="J14" s="27">
        <f t="shared" si="5"/>
        <v>1057160598.616805</v>
      </c>
      <c r="K14" s="27">
        <f t="shared" si="5"/>
        <v>1283041915.3552051</v>
      </c>
      <c r="L14" s="27">
        <f t="shared" si="5"/>
        <v>1516488014.717005</v>
      </c>
      <c r="M14" s="27">
        <f t="shared" si="5"/>
        <v>1724471285.272305</v>
      </c>
      <c r="N14" s="27">
        <f t="shared" si="5"/>
        <v>1959618550.7789049</v>
      </c>
      <c r="O14" s="27">
        <f t="shared" si="5"/>
        <v>2207858996.728128</v>
      </c>
      <c r="P14" s="27">
        <f t="shared" si="5"/>
        <v>2486277063.0099277</v>
      </c>
      <c r="Q14" s="27">
        <f t="shared" si="5"/>
        <v>2734611984.1323276</v>
      </c>
      <c r="R14" s="27">
        <f t="shared" si="5"/>
        <v>2988792763.1027274</v>
      </c>
      <c r="S14" s="27">
        <f t="shared" si="5"/>
        <v>3222357039.2827272</v>
      </c>
      <c r="T14" s="27">
        <f t="shared" si="5"/>
        <v>3440308957.7246275</v>
      </c>
      <c r="U14" s="27">
        <f t="shared" si="5"/>
        <v>3733935509.8996277</v>
      </c>
      <c r="V14" s="27">
        <f t="shared" si="5"/>
        <v>3944686002.9906278</v>
      </c>
      <c r="W14" s="27">
        <f t="shared" si="5"/>
        <v>4194641199.8506279</v>
      </c>
      <c r="X14" s="27">
        <f t="shared" si="5"/>
        <v>4481464133.7451277</v>
      </c>
      <c r="Y14" s="27">
        <f t="shared" si="5"/>
        <v>4694313845.4951277</v>
      </c>
      <c r="Z14" s="27">
        <f t="shared" si="5"/>
        <v>4927392886.0617275</v>
      </c>
      <c r="AA14" s="27">
        <f t="shared" si="5"/>
        <v>5196231121.7933273</v>
      </c>
      <c r="AB14" s="27">
        <f t="shared" si="5"/>
        <v>5495612404.0981274</v>
      </c>
      <c r="AC14" s="27">
        <f>AB14+AC13</f>
        <v>5711706911.3981276</v>
      </c>
      <c r="AD14" s="27">
        <f t="shared" ref="AD14:AE14" si="6">AC14+AD13</f>
        <v>5907099635.0981274</v>
      </c>
      <c r="AE14" s="27">
        <f t="shared" si="6"/>
        <v>6122349355.9381275</v>
      </c>
    </row>
    <row r="15" spans="2:31">
      <c r="B15" s="14" t="s">
        <v>17</v>
      </c>
      <c r="C15" s="14"/>
      <c r="D15" s="28">
        <f>SUM(E15:Y15)</f>
        <v>122592.98369391376</v>
      </c>
      <c r="E15" s="28">
        <f>E13/E$1</f>
        <v>4659.8124870688616</v>
      </c>
      <c r="F15" s="28">
        <f t="shared" ref="F15:AE15" si="7">F13/F$1</f>
        <v>5672.0496791610703</v>
      </c>
      <c r="G15" s="28">
        <f t="shared" si="7"/>
        <v>4309.0192033541171</v>
      </c>
      <c r="H15" s="28">
        <f t="shared" si="7"/>
        <v>4335.327194099722</v>
      </c>
      <c r="I15" s="28">
        <f t="shared" si="7"/>
        <v>5497.786979642302</v>
      </c>
      <c r="J15" s="28">
        <f t="shared" si="7"/>
        <v>3983.9402371810752</v>
      </c>
      <c r="K15" s="28">
        <f t="shared" si="7"/>
        <v>6012.2052468455277</v>
      </c>
      <c r="L15" s="28">
        <f t="shared" si="7"/>
        <v>6187.4462942633763</v>
      </c>
      <c r="M15" s="28">
        <f t="shared" si="7"/>
        <v>5482.3432089865992</v>
      </c>
      <c r="N15" s="28">
        <f t="shared" si="7"/>
        <v>6192.7435293860499</v>
      </c>
      <c r="O15" s="28">
        <f t="shared" si="7"/>
        <v>6470.5380684087486</v>
      </c>
      <c r="P15" s="28">
        <f t="shared" si="7"/>
        <v>7243.117956870864</v>
      </c>
      <c r="Q15" s="28">
        <f t="shared" si="7"/>
        <v>6471.7725530249782</v>
      </c>
      <c r="R15" s="28">
        <f t="shared" si="7"/>
        <v>6576.8260603385324</v>
      </c>
      <c r="S15" s="28">
        <f t="shared" si="7"/>
        <v>6007.4522366650053</v>
      </c>
      <c r="T15" s="28">
        <f t="shared" si="7"/>
        <v>5577.7256960809882</v>
      </c>
      <c r="U15" s="28">
        <f t="shared" si="7"/>
        <v>7492.489743413088</v>
      </c>
      <c r="V15" s="28">
        <f t="shared" si="7"/>
        <v>5367.1051364667646</v>
      </c>
      <c r="W15" s="28">
        <f t="shared" si="7"/>
        <v>6379.8242186313537</v>
      </c>
      <c r="X15" s="28">
        <f t="shared" si="7"/>
        <v>7282.8993243670448</v>
      </c>
      <c r="Y15" s="28">
        <f t="shared" si="7"/>
        <v>5390.5586396576982</v>
      </c>
      <c r="Z15" s="28">
        <f t="shared" si="7"/>
        <v>5886.1806911012691</v>
      </c>
      <c r="AA15" s="28">
        <f t="shared" si="7"/>
        <v>6781.3796815979586</v>
      </c>
      <c r="AB15" s="28">
        <f t="shared" si="7"/>
        <v>7535.7829172401516</v>
      </c>
      <c r="AC15" s="28">
        <f t="shared" si="7"/>
        <v>5442.3544636877941</v>
      </c>
      <c r="AD15" s="28">
        <f t="shared" si="7"/>
        <v>4910.5209869760802</v>
      </c>
      <c r="AE15" s="28">
        <f t="shared" si="7"/>
        <v>5402.6211930609425</v>
      </c>
    </row>
    <row r="16" spans="2:31">
      <c r="B16" s="14" t="s">
        <v>57</v>
      </c>
      <c r="C16" s="14"/>
      <c r="D16" s="29"/>
      <c r="E16" s="28">
        <f>E15</f>
        <v>4659.8124870688616</v>
      </c>
      <c r="F16" s="28">
        <f>E16+F15</f>
        <v>10331.862166229932</v>
      </c>
      <c r="G16" s="28">
        <f t="shared" ref="G16:AB16" si="8">F16+G15</f>
        <v>14640.881369584049</v>
      </c>
      <c r="H16" s="28">
        <f t="shared" si="8"/>
        <v>18976.208563683773</v>
      </c>
      <c r="I16" s="28">
        <f t="shared" si="8"/>
        <v>24473.995543326077</v>
      </c>
      <c r="J16" s="28">
        <f t="shared" si="8"/>
        <v>28457.935780507152</v>
      </c>
      <c r="K16" s="28">
        <f t="shared" si="8"/>
        <v>34470.141027352678</v>
      </c>
      <c r="L16" s="28">
        <f t="shared" si="8"/>
        <v>40657.587321616054</v>
      </c>
      <c r="M16" s="28">
        <f t="shared" si="8"/>
        <v>46139.930530602651</v>
      </c>
      <c r="N16" s="28">
        <f t="shared" si="8"/>
        <v>52332.674059988698</v>
      </c>
      <c r="O16" s="28">
        <f t="shared" si="8"/>
        <v>58803.212128397448</v>
      </c>
      <c r="P16" s="28">
        <f t="shared" si="8"/>
        <v>66046.330085268317</v>
      </c>
      <c r="Q16" s="28">
        <f t="shared" si="8"/>
        <v>72518.102638293291</v>
      </c>
      <c r="R16" s="28">
        <f t="shared" si="8"/>
        <v>79094.928698631818</v>
      </c>
      <c r="S16" s="28">
        <f t="shared" si="8"/>
        <v>85102.380935296824</v>
      </c>
      <c r="T16" s="28">
        <f t="shared" si="8"/>
        <v>90680.106631377814</v>
      </c>
      <c r="U16" s="28">
        <f t="shared" si="8"/>
        <v>98172.596374790897</v>
      </c>
      <c r="V16" s="28">
        <f t="shared" si="8"/>
        <v>103539.70151125766</v>
      </c>
      <c r="W16" s="28">
        <f t="shared" si="8"/>
        <v>109919.52572988902</v>
      </c>
      <c r="X16" s="28">
        <f t="shared" si="8"/>
        <v>117202.42505425606</v>
      </c>
      <c r="Y16" s="28">
        <f t="shared" si="8"/>
        <v>122592.98369391376</v>
      </c>
      <c r="Z16" s="28">
        <f t="shared" si="8"/>
        <v>128479.16438501503</v>
      </c>
      <c r="AA16" s="28">
        <f t="shared" si="8"/>
        <v>135260.54406661299</v>
      </c>
      <c r="AB16" s="28">
        <f t="shared" si="8"/>
        <v>142796.32698385313</v>
      </c>
      <c r="AC16" s="28">
        <f>AB16+AC15</f>
        <v>148238.68144754093</v>
      </c>
      <c r="AD16" s="28">
        <f t="shared" ref="AD16:AE16" si="9">AC16+AD15</f>
        <v>153149.20243451701</v>
      </c>
      <c r="AE16" s="28">
        <f t="shared" si="9"/>
        <v>158551.82362757795</v>
      </c>
    </row>
    <row r="17" spans="2:31">
      <c r="D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 spans="2:31">
      <c r="B18" s="14" t="s">
        <v>58</v>
      </c>
      <c r="C18" s="14"/>
      <c r="D18" s="27">
        <f>SUM(E18:Y18)</f>
        <v>29568216314.717331</v>
      </c>
      <c r="E18" s="27">
        <v>1289711300</v>
      </c>
      <c r="F18" s="27">
        <v>1233531427</v>
      </c>
      <c r="G18" s="27">
        <v>1168901428</v>
      </c>
      <c r="H18" s="27">
        <v>1352676579</v>
      </c>
      <c r="I18" s="30">
        <v>1228042304</v>
      </c>
      <c r="J18" s="30">
        <f>1218.96294471733*1000000</f>
        <v>1218962944.71733</v>
      </c>
      <c r="K18" s="30">
        <f>1395.95962*1000000</f>
        <v>1395959620</v>
      </c>
      <c r="L18" s="30">
        <f>1355.36682*1000000</f>
        <v>1355366820</v>
      </c>
      <c r="M18" s="30">
        <f>1416.106512*1000000</f>
        <v>1416106512</v>
      </c>
      <c r="N18" s="30">
        <v>1439131205</v>
      </c>
      <c r="O18" s="30">
        <v>1445745942</v>
      </c>
      <c r="P18" s="30">
        <v>1610538157</v>
      </c>
      <c r="Q18" s="30">
        <v>1437924048</v>
      </c>
      <c r="R18" s="30">
        <v>1609160136</v>
      </c>
      <c r="S18" s="30">
        <v>1454302398</v>
      </c>
      <c r="T18" s="30">
        <v>1472025844</v>
      </c>
      <c r="U18" s="30">
        <v>1518929595</v>
      </c>
      <c r="V18" s="30">
        <v>1428678976</v>
      </c>
      <c r="W18" s="30">
        <v>1523929437</v>
      </c>
      <c r="X18" s="30">
        <v>1414402583</v>
      </c>
      <c r="Y18" s="30">
        <v>1554189059</v>
      </c>
      <c r="Z18" s="30">
        <v>1436957583</v>
      </c>
      <c r="AA18" s="30">
        <v>1589632508</v>
      </c>
      <c r="AB18" s="30">
        <v>1482295473</v>
      </c>
      <c r="AC18" s="30">
        <v>1543460706</v>
      </c>
      <c r="AD18" s="30">
        <v>1449276863</v>
      </c>
      <c r="AE18" s="30">
        <v>1513174757</v>
      </c>
    </row>
    <row r="19" spans="2:31">
      <c r="B19" s="14" t="s">
        <v>59</v>
      </c>
      <c r="C19" s="14"/>
      <c r="D19" s="27"/>
      <c r="E19" s="27">
        <f>E18</f>
        <v>1289711300</v>
      </c>
      <c r="F19" s="27">
        <f>E19+F18</f>
        <v>2523242727</v>
      </c>
      <c r="G19" s="27">
        <f t="shared" ref="G19:P19" si="10">F19+G18</f>
        <v>3692144155</v>
      </c>
      <c r="H19" s="27">
        <f t="shared" si="10"/>
        <v>5044820734</v>
      </c>
      <c r="I19" s="27">
        <f t="shared" si="10"/>
        <v>6272863038</v>
      </c>
      <c r="J19" s="27">
        <f t="shared" si="10"/>
        <v>7491825982.71733</v>
      </c>
      <c r="K19" s="27">
        <f t="shared" si="10"/>
        <v>8887785602.7173309</v>
      </c>
      <c r="L19" s="27">
        <f t="shared" si="10"/>
        <v>10243152422.717331</v>
      </c>
      <c r="M19" s="27">
        <f t="shared" si="10"/>
        <v>11659258934.717331</v>
      </c>
      <c r="N19" s="27">
        <f t="shared" si="10"/>
        <v>13098390139.717331</v>
      </c>
      <c r="O19" s="27">
        <f t="shared" si="10"/>
        <v>14544136081.717331</v>
      </c>
      <c r="P19" s="27">
        <f t="shared" si="10"/>
        <v>16154674238.717331</v>
      </c>
      <c r="Q19" s="27">
        <f>Q18</f>
        <v>1437924048</v>
      </c>
      <c r="R19" s="27">
        <f t="shared" ref="R19:AB19" si="11">Q19+R18</f>
        <v>3047084184</v>
      </c>
      <c r="S19" s="27">
        <f t="shared" si="11"/>
        <v>4501386582</v>
      </c>
      <c r="T19" s="27">
        <f t="shared" si="11"/>
        <v>5973412426</v>
      </c>
      <c r="U19" s="27">
        <f t="shared" si="11"/>
        <v>7492342021</v>
      </c>
      <c r="V19" s="27">
        <f t="shared" si="11"/>
        <v>8921020997</v>
      </c>
      <c r="W19" s="27">
        <f t="shared" si="11"/>
        <v>10444950434</v>
      </c>
      <c r="X19" s="27">
        <f t="shared" si="11"/>
        <v>11859353017</v>
      </c>
      <c r="Y19" s="27">
        <f t="shared" si="11"/>
        <v>13413542076</v>
      </c>
      <c r="Z19" s="27">
        <f t="shared" si="11"/>
        <v>14850499659</v>
      </c>
      <c r="AA19" s="27">
        <f t="shared" si="11"/>
        <v>16440132167</v>
      </c>
      <c r="AB19" s="27">
        <f t="shared" si="11"/>
        <v>17922427640</v>
      </c>
      <c r="AC19" s="27">
        <f>AB19+AC18</f>
        <v>19465888346</v>
      </c>
      <c r="AD19" s="27">
        <f t="shared" ref="AD19:AE19" si="12">AC19+AD18</f>
        <v>20915165209</v>
      </c>
      <c r="AE19" s="27">
        <f t="shared" si="12"/>
        <v>22428339966</v>
      </c>
    </row>
    <row r="20" spans="2:31">
      <c r="B20" s="14" t="s">
        <v>17</v>
      </c>
      <c r="C20" s="14"/>
      <c r="D20" s="28">
        <f>SUM(E20:Y20)</f>
        <v>773019.10239764594</v>
      </c>
      <c r="E20" s="28">
        <f>E18/E$1</f>
        <v>35110.388358818112</v>
      </c>
      <c r="F20" s="28">
        <f t="shared" ref="F20:AE20" si="13">F18/F$1</f>
        <v>33468.490686853067</v>
      </c>
      <c r="G20" s="28">
        <f t="shared" si="13"/>
        <v>31512.281066881766</v>
      </c>
      <c r="H20" s="28">
        <f t="shared" si="13"/>
        <v>36301.790162519545</v>
      </c>
      <c r="I20" s="28">
        <f t="shared" si="13"/>
        <v>32801.230164019194</v>
      </c>
      <c r="J20" s="28">
        <f t="shared" si="13"/>
        <v>32433.787953669889</v>
      </c>
      <c r="K20" s="28">
        <f t="shared" si="13"/>
        <v>37155.776639412987</v>
      </c>
      <c r="L20" s="28">
        <f t="shared" si="13"/>
        <v>35923.750410493369</v>
      </c>
      <c r="M20" s="28">
        <f t="shared" si="13"/>
        <v>37327.915358464692</v>
      </c>
      <c r="N20" s="28">
        <f t="shared" si="13"/>
        <v>37900.378890228494</v>
      </c>
      <c r="O20" s="28">
        <f t="shared" si="13"/>
        <v>37684.246494110601</v>
      </c>
      <c r="P20" s="28">
        <f t="shared" si="13"/>
        <v>41898.566429182043</v>
      </c>
      <c r="Q20" s="28">
        <f t="shared" si="13"/>
        <v>37473.253238493366</v>
      </c>
      <c r="R20" s="28">
        <f t="shared" si="13"/>
        <v>41636.375341091916</v>
      </c>
      <c r="S20" s="28">
        <f t="shared" si="13"/>
        <v>37405.772563092403</v>
      </c>
      <c r="T20" s="28">
        <f t="shared" si="13"/>
        <v>37671.411355632605</v>
      </c>
      <c r="U20" s="28">
        <f t="shared" si="13"/>
        <v>38758.635168393535</v>
      </c>
      <c r="V20" s="28">
        <f t="shared" si="13"/>
        <v>36383.640949019114</v>
      </c>
      <c r="W20" s="28">
        <f t="shared" si="13"/>
        <v>38896.578474034948</v>
      </c>
      <c r="X20" s="28">
        <f t="shared" si="13"/>
        <v>35913.974786627856</v>
      </c>
      <c r="Y20" s="28">
        <f t="shared" si="13"/>
        <v>39360.857906606579</v>
      </c>
      <c r="Z20" s="28">
        <f t="shared" si="13"/>
        <v>36288.942834262722</v>
      </c>
      <c r="AA20" s="28">
        <f t="shared" si="13"/>
        <v>40098.096766715629</v>
      </c>
      <c r="AB20" s="28">
        <f t="shared" si="13"/>
        <v>37311.139887374033</v>
      </c>
      <c r="AC20" s="28">
        <f t="shared" si="13"/>
        <v>38872.159999717929</v>
      </c>
      <c r="AD20" s="28">
        <f t="shared" si="13"/>
        <v>36422.566393143316</v>
      </c>
      <c r="AE20" s="28">
        <f t="shared" si="13"/>
        <v>37979.654417530168</v>
      </c>
    </row>
    <row r="21" spans="2:31">
      <c r="B21" s="14" t="s">
        <v>57</v>
      </c>
      <c r="C21" s="14"/>
      <c r="E21" s="28">
        <f>E20</f>
        <v>35110.388358818112</v>
      </c>
      <c r="F21" s="28">
        <f>E21+F20</f>
        <v>68578.879045671172</v>
      </c>
      <c r="G21" s="28">
        <f t="shared" ref="G21:P21" si="14">F21+G20</f>
        <v>100091.16011255294</v>
      </c>
      <c r="H21" s="28">
        <f t="shared" si="14"/>
        <v>136392.95027507248</v>
      </c>
      <c r="I21" s="28">
        <f t="shared" si="14"/>
        <v>169194.18043909167</v>
      </c>
      <c r="J21" s="28">
        <f t="shared" si="14"/>
        <v>201627.96839276154</v>
      </c>
      <c r="K21" s="28">
        <f t="shared" si="14"/>
        <v>238783.74503217451</v>
      </c>
      <c r="L21" s="28">
        <f t="shared" si="14"/>
        <v>274707.49544266786</v>
      </c>
      <c r="M21" s="28">
        <f t="shared" si="14"/>
        <v>312035.41080113256</v>
      </c>
      <c r="N21" s="28">
        <f t="shared" si="14"/>
        <v>349935.78969136107</v>
      </c>
      <c r="O21" s="28">
        <f t="shared" si="14"/>
        <v>387620.03618547169</v>
      </c>
      <c r="P21" s="28">
        <f t="shared" si="14"/>
        <v>429518.60261465376</v>
      </c>
      <c r="Q21" s="28">
        <f>Q20</f>
        <v>37473.253238493366</v>
      </c>
      <c r="R21" s="28">
        <f>R20+Q21</f>
        <v>79109.628579585289</v>
      </c>
      <c r="S21" s="28">
        <f>S20+R21</f>
        <v>116515.4011426777</v>
      </c>
      <c r="T21" s="28">
        <f t="shared" ref="T21:AB21" si="15">T20+S21</f>
        <v>154186.81249831029</v>
      </c>
      <c r="U21" s="28">
        <f t="shared" si="15"/>
        <v>192945.44766670384</v>
      </c>
      <c r="V21" s="28">
        <f t="shared" si="15"/>
        <v>229329.08861572295</v>
      </c>
      <c r="W21" s="28">
        <f t="shared" si="15"/>
        <v>268225.66708975792</v>
      </c>
      <c r="X21" s="28">
        <f t="shared" si="15"/>
        <v>304139.64187638578</v>
      </c>
      <c r="Y21" s="28">
        <f t="shared" si="15"/>
        <v>343500.49978299235</v>
      </c>
      <c r="Z21" s="28">
        <f t="shared" si="15"/>
        <v>379789.44261725509</v>
      </c>
      <c r="AA21" s="28">
        <f t="shared" si="15"/>
        <v>419887.53938397072</v>
      </c>
      <c r="AB21" s="28">
        <f t="shared" si="15"/>
        <v>457198.67927134474</v>
      </c>
      <c r="AC21" s="28">
        <f>AC20+AB21</f>
        <v>496070.83927106264</v>
      </c>
      <c r="AD21" s="28">
        <f t="shared" ref="AD21:AE21" si="16">AD20+AC21</f>
        <v>532493.4056642059</v>
      </c>
      <c r="AE21" s="28">
        <f t="shared" si="16"/>
        <v>570473.06008173607</v>
      </c>
    </row>
    <row r="22" spans="2:31">
      <c r="H22"/>
    </row>
    <row r="23" spans="2:31">
      <c r="B23" s="31" t="s">
        <v>60</v>
      </c>
      <c r="C23" s="31"/>
      <c r="D23" s="32"/>
      <c r="E23" s="33">
        <f>E15/E20</f>
        <v>0.13271891041041509</v>
      </c>
      <c r="F23" s="33">
        <f t="shared" ref="F23:AE24" si="17">F15/F20</f>
        <v>0.16947431936000443</v>
      </c>
      <c r="G23" s="33">
        <f t="shared" si="17"/>
        <v>0.13674094852761184</v>
      </c>
      <c r="H23" s="33">
        <f t="shared" si="17"/>
        <v>0.11942461169796004</v>
      </c>
      <c r="I23" s="33">
        <f t="shared" si="17"/>
        <v>0.16760917051437341</v>
      </c>
      <c r="J23" s="33">
        <f t="shared" si="17"/>
        <v>0.12283302347761361</v>
      </c>
      <c r="K23" s="33">
        <f t="shared" si="17"/>
        <v>0.16181078127345833</v>
      </c>
      <c r="L23" s="33">
        <f t="shared" si="17"/>
        <v>0.17223831653323191</v>
      </c>
      <c r="M23" s="33">
        <f t="shared" si="17"/>
        <v>0.14686979319201096</v>
      </c>
      <c r="N23" s="33">
        <f t="shared" si="17"/>
        <v>0.16339529341704465</v>
      </c>
      <c r="O23" s="33">
        <f t="shared" si="17"/>
        <v>0.1717040586023123</v>
      </c>
      <c r="P23" s="33">
        <f t="shared" si="17"/>
        <v>0.1728726916973008</v>
      </c>
      <c r="Q23" s="33">
        <f t="shared" si="17"/>
        <v>0.17270378186372751</v>
      </c>
      <c r="R23" s="33">
        <f t="shared" si="17"/>
        <v>0.15795866010093604</v>
      </c>
      <c r="S23" s="33">
        <f t="shared" si="17"/>
        <v>0.16060227673502056</v>
      </c>
      <c r="T23" s="33">
        <f t="shared" si="17"/>
        <v>0.14806256244092139</v>
      </c>
      <c r="U23" s="33">
        <f t="shared" si="17"/>
        <v>0.19331149589918947</v>
      </c>
      <c r="V23" s="33">
        <f t="shared" si="17"/>
        <v>0.14751423981968081</v>
      </c>
      <c r="W23" s="33">
        <f t="shared" si="17"/>
        <v>0.16402019069338314</v>
      </c>
      <c r="X23" s="33">
        <f t="shared" si="17"/>
        <v>0.20278733745390795</v>
      </c>
      <c r="Y23" s="33">
        <f t="shared" si="17"/>
        <v>0.13695226492390331</v>
      </c>
      <c r="Z23" s="33">
        <f t="shared" si="17"/>
        <v>0.16220314595507446</v>
      </c>
      <c r="AA23" s="33">
        <f t="shared" si="17"/>
        <v>0.16911973954901027</v>
      </c>
      <c r="AB23" s="33">
        <f t="shared" si="17"/>
        <v>0.20197139352985127</v>
      </c>
      <c r="AC23" s="33">
        <f t="shared" si="17"/>
        <v>0.14000648442811733</v>
      </c>
      <c r="AD23" s="33">
        <f t="shared" si="17"/>
        <v>0.13482083975006506</v>
      </c>
      <c r="AE23" s="33">
        <f t="shared" si="17"/>
        <v>0.14225040422082591</v>
      </c>
    </row>
    <row r="24" spans="2:31">
      <c r="B24" s="31"/>
      <c r="C24" s="31"/>
      <c r="D24" s="32"/>
      <c r="E24" s="33">
        <f>E16/E21</f>
        <v>0.13271891041041509</v>
      </c>
      <c r="F24" s="33">
        <f t="shared" si="17"/>
        <v>0.15065662066813992</v>
      </c>
      <c r="G24" s="33">
        <f t="shared" si="17"/>
        <v>0.14627546881383247</v>
      </c>
      <c r="H24" s="33">
        <f t="shared" si="17"/>
        <v>0.13912895443212589</v>
      </c>
      <c r="I24" s="33">
        <f t="shared" si="17"/>
        <v>0.14465033891716203</v>
      </c>
      <c r="J24" s="33">
        <f t="shared" si="17"/>
        <v>0.14114081497400435</v>
      </c>
      <c r="K24" s="33">
        <f t="shared" si="17"/>
        <v>0.14435715053680917</v>
      </c>
      <c r="L24" s="33">
        <f t="shared" si="17"/>
        <v>0.14800319611264992</v>
      </c>
      <c r="M24" s="33">
        <f t="shared" si="17"/>
        <v>0.14786761032070397</v>
      </c>
      <c r="N24" s="33">
        <f t="shared" si="17"/>
        <v>0.14954936191621168</v>
      </c>
      <c r="O24" s="33">
        <f t="shared" si="17"/>
        <v>0.1517032316158724</v>
      </c>
      <c r="P24" s="33">
        <f t="shared" si="17"/>
        <v>0.15376826447845926</v>
      </c>
      <c r="Q24" s="33">
        <f t="shared" si="17"/>
        <v>1.935196343289487</v>
      </c>
      <c r="R24" s="33">
        <f t="shared" si="17"/>
        <v>0.99981418341588235</v>
      </c>
      <c r="S24" s="33">
        <f t="shared" si="17"/>
        <v>0.73039598285453788</v>
      </c>
      <c r="T24" s="33">
        <f t="shared" si="17"/>
        <v>0.58811843349035808</v>
      </c>
      <c r="U24" s="33">
        <f t="shared" si="17"/>
        <v>0.50881011996911873</v>
      </c>
      <c r="V24" s="33">
        <f t="shared" si="17"/>
        <v>0.45148961318533282</v>
      </c>
      <c r="W24" s="33">
        <f t="shared" si="17"/>
        <v>0.409802413477104</v>
      </c>
      <c r="X24" s="33">
        <f t="shared" si="17"/>
        <v>0.38535727973892892</v>
      </c>
      <c r="Y24" s="33">
        <f t="shared" si="17"/>
        <v>0.35689317416237332</v>
      </c>
      <c r="Z24" s="33">
        <f t="shared" si="17"/>
        <v>0.33829051039339714</v>
      </c>
      <c r="AA24" s="33">
        <f t="shared" si="17"/>
        <v>0.32213517044363277</v>
      </c>
      <c r="AB24" s="33">
        <f t="shared" si="17"/>
        <v>0.31232882652118149</v>
      </c>
      <c r="AC24" s="33">
        <f t="shared" si="17"/>
        <v>0.29882563076145757</v>
      </c>
      <c r="AD24" s="33">
        <f t="shared" si="17"/>
        <v>0.28760769768310329</v>
      </c>
      <c r="AE24" s="33">
        <f t="shared" si="17"/>
        <v>0.27793043128953543</v>
      </c>
    </row>
    <row r="25" spans="2:31">
      <c r="B25" s="34"/>
      <c r="C25" s="34"/>
      <c r="D25" s="35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</row>
    <row r="26" spans="2:31">
      <c r="B26" s="31" t="s">
        <v>61</v>
      </c>
      <c r="C26" s="31"/>
      <c r="D26" s="37">
        <v>17000</v>
      </c>
      <c r="E26" s="38">
        <f>E16/$D26</f>
        <v>0.27410661688640364</v>
      </c>
      <c r="F26" s="38">
        <f t="shared" ref="F26:AE26" si="18">F16/$D26</f>
        <v>0.60775659801352544</v>
      </c>
      <c r="G26" s="38">
        <f t="shared" si="18"/>
        <v>0.86122831585788528</v>
      </c>
      <c r="H26" s="38">
        <f t="shared" si="18"/>
        <v>1.1162475625696338</v>
      </c>
      <c r="I26" s="38">
        <f t="shared" si="18"/>
        <v>1.4396467966662398</v>
      </c>
      <c r="J26" s="38">
        <f t="shared" si="18"/>
        <v>1.6739962223827736</v>
      </c>
      <c r="K26" s="38">
        <f t="shared" si="18"/>
        <v>2.0276553545501574</v>
      </c>
      <c r="L26" s="38">
        <f t="shared" si="18"/>
        <v>2.3916227836244737</v>
      </c>
      <c r="M26" s="38">
        <f t="shared" si="18"/>
        <v>2.7141135606236855</v>
      </c>
      <c r="N26" s="38">
        <f t="shared" si="18"/>
        <v>3.0783925917640409</v>
      </c>
      <c r="O26" s="38">
        <f t="shared" si="18"/>
        <v>3.4590124781410263</v>
      </c>
      <c r="P26" s="38">
        <f t="shared" si="18"/>
        <v>3.8850782403099009</v>
      </c>
      <c r="Q26" s="38">
        <f t="shared" si="18"/>
        <v>4.2657707434290169</v>
      </c>
      <c r="R26" s="38">
        <f t="shared" si="18"/>
        <v>4.6526428646254008</v>
      </c>
      <c r="S26" s="38">
        <f t="shared" si="18"/>
        <v>5.0060224079586364</v>
      </c>
      <c r="T26" s="38">
        <f t="shared" si="18"/>
        <v>5.3341239194928125</v>
      </c>
      <c r="U26" s="38">
        <f t="shared" si="18"/>
        <v>5.7748586102818171</v>
      </c>
      <c r="V26" s="38">
        <f t="shared" si="18"/>
        <v>6.0905706771328036</v>
      </c>
      <c r="W26" s="38">
        <f t="shared" si="18"/>
        <v>6.4658544546993539</v>
      </c>
      <c r="X26" s="38">
        <f t="shared" si="18"/>
        <v>6.89426029730918</v>
      </c>
      <c r="Y26" s="38">
        <f t="shared" si="18"/>
        <v>7.2113519819949268</v>
      </c>
      <c r="Z26" s="38">
        <f t="shared" si="18"/>
        <v>7.5575979050008844</v>
      </c>
      <c r="AA26" s="38">
        <f t="shared" si="18"/>
        <v>7.9565025921537051</v>
      </c>
      <c r="AB26" s="38">
        <f t="shared" si="18"/>
        <v>8.399783940226655</v>
      </c>
      <c r="AC26" s="38">
        <f t="shared" si="18"/>
        <v>8.7199224380906433</v>
      </c>
      <c r="AD26" s="38">
        <f t="shared" si="18"/>
        <v>9.0087766137951188</v>
      </c>
      <c r="AE26" s="38">
        <f t="shared" si="18"/>
        <v>9.3265778604457612</v>
      </c>
    </row>
    <row r="27" spans="2:31">
      <c r="H27"/>
    </row>
    <row r="28" spans="2:31">
      <c r="B28" s="31" t="s">
        <v>62</v>
      </c>
      <c r="C28" s="39">
        <v>3</v>
      </c>
      <c r="H2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84"/>
  <sheetViews>
    <sheetView workbookViewId="0">
      <selection activeCell="F32" sqref="F32"/>
    </sheetView>
  </sheetViews>
  <sheetFormatPr baseColWidth="10" defaultRowHeight="13.8"/>
  <cols>
    <col min="1" max="1" width="38.09765625" customWidth="1"/>
    <col min="2" max="2" width="35.296875" customWidth="1"/>
    <col min="5" max="5" width="29.59765625" customWidth="1"/>
    <col min="6" max="6" width="19.5" customWidth="1"/>
    <col min="7" max="7" width="15" customWidth="1"/>
  </cols>
  <sheetData>
    <row r="4" spans="1:1">
      <c r="A4" s="41" t="s">
        <v>67</v>
      </c>
    </row>
    <row r="5" spans="1:1">
      <c r="A5" s="42"/>
    </row>
    <row r="6" spans="1:1" ht="27">
      <c r="A6" s="43" t="s">
        <v>87</v>
      </c>
    </row>
    <row r="7" spans="1:1">
      <c r="A7" s="42"/>
    </row>
    <row r="8" spans="1:1" ht="20.399999999999999">
      <c r="A8" s="48" t="s">
        <v>88</v>
      </c>
    </row>
    <row r="9" spans="1:1">
      <c r="A9" s="42"/>
    </row>
    <row r="10" spans="1:1">
      <c r="A10" s="49" t="s">
        <v>89</v>
      </c>
    </row>
    <row r="11" spans="1:1">
      <c r="A11" s="42"/>
    </row>
    <row r="12" spans="1:1">
      <c r="A12" s="41" t="s">
        <v>90</v>
      </c>
    </row>
    <row r="13" spans="1:1">
      <c r="A13" s="50"/>
    </row>
    <row r="14" spans="1:1">
      <c r="A14" s="51" t="s">
        <v>91</v>
      </c>
    </row>
    <row r="15" spans="1:1">
      <c r="A15" s="51" t="s">
        <v>92</v>
      </c>
    </row>
    <row r="16" spans="1:1">
      <c r="A16" s="51" t="s">
        <v>93</v>
      </c>
    </row>
    <row r="17" spans="1:1">
      <c r="A17" s="51" t="s">
        <v>94</v>
      </c>
    </row>
    <row r="18" spans="1:1">
      <c r="A18" s="51" t="s">
        <v>95</v>
      </c>
    </row>
    <row r="19" spans="1:1">
      <c r="A19" s="51" t="s">
        <v>96</v>
      </c>
    </row>
    <row r="20" spans="1:1">
      <c r="A20" s="51" t="s">
        <v>97</v>
      </c>
    </row>
    <row r="21" spans="1:1">
      <c r="A21" s="51" t="s">
        <v>98</v>
      </c>
    </row>
    <row r="22" spans="1:1">
      <c r="A22" s="42"/>
    </row>
    <row r="23" spans="1:1">
      <c r="A23" s="41" t="s">
        <v>99</v>
      </c>
    </row>
    <row r="24" spans="1:1">
      <c r="A24" s="50"/>
    </row>
    <row r="25" spans="1:1">
      <c r="A25" s="51" t="s">
        <v>100</v>
      </c>
    </row>
    <row r="26" spans="1:1">
      <c r="A26" s="51" t="s">
        <v>101</v>
      </c>
    </row>
    <row r="27" spans="1:1">
      <c r="A27" s="51" t="s">
        <v>102</v>
      </c>
    </row>
    <row r="28" spans="1:1">
      <c r="A28" s="51" t="s">
        <v>103</v>
      </c>
    </row>
    <row r="29" spans="1:1">
      <c r="A29" s="51" t="s">
        <v>104</v>
      </c>
    </row>
    <row r="30" spans="1:1">
      <c r="A30" s="51" t="s">
        <v>105</v>
      </c>
    </row>
    <row r="31" spans="1:1">
      <c r="A31" s="51" t="s">
        <v>106</v>
      </c>
    </row>
    <row r="32" spans="1:1">
      <c r="A32" s="42"/>
    </row>
    <row r="33" spans="1:1">
      <c r="A33" s="52" t="s">
        <v>107</v>
      </c>
    </row>
    <row r="34" spans="1:1">
      <c r="A34" s="42"/>
    </row>
    <row r="36" spans="1:1">
      <c r="A36" s="42"/>
    </row>
    <row r="37" spans="1:1" ht="20.399999999999999">
      <c r="A37" s="48" t="s">
        <v>108</v>
      </c>
    </row>
    <row r="38" spans="1:1">
      <c r="A38" s="42"/>
    </row>
    <row r="39" spans="1:1">
      <c r="A39" s="49" t="s">
        <v>109</v>
      </c>
    </row>
    <row r="40" spans="1:1">
      <c r="A40" s="42"/>
    </row>
    <row r="41" spans="1:1">
      <c r="A41" s="41" t="s">
        <v>110</v>
      </c>
    </row>
    <row r="42" spans="1:1">
      <c r="A42" s="50"/>
    </row>
    <row r="43" spans="1:1">
      <c r="A43" s="51" t="s">
        <v>111</v>
      </c>
    </row>
    <row r="44" spans="1:1">
      <c r="A44" s="51" t="s">
        <v>112</v>
      </c>
    </row>
    <row r="45" spans="1:1">
      <c r="A45" s="51" t="s">
        <v>113</v>
      </c>
    </row>
    <row r="46" spans="1:1">
      <c r="A46" s="51" t="s">
        <v>114</v>
      </c>
    </row>
    <row r="47" spans="1:1">
      <c r="A47" s="51" t="s">
        <v>115</v>
      </c>
    </row>
    <row r="48" spans="1:1">
      <c r="A48" s="51" t="s">
        <v>116</v>
      </c>
    </row>
    <row r="49" spans="1:1">
      <c r="A49" s="51" t="s">
        <v>117</v>
      </c>
    </row>
    <row r="50" spans="1:1">
      <c r="A50" s="51" t="s">
        <v>118</v>
      </c>
    </row>
    <row r="51" spans="1:1">
      <c r="A51" s="42"/>
    </row>
    <row r="52" spans="1:1">
      <c r="A52" s="41" t="s">
        <v>119</v>
      </c>
    </row>
    <row r="53" spans="1:1">
      <c r="A53" s="50"/>
    </row>
    <row r="54" spans="1:1">
      <c r="A54" s="51" t="s">
        <v>120</v>
      </c>
    </row>
    <row r="55" spans="1:1">
      <c r="A55" s="51" t="s">
        <v>121</v>
      </c>
    </row>
    <row r="56" spans="1:1">
      <c r="A56" s="51" t="s">
        <v>122</v>
      </c>
    </row>
    <row r="57" spans="1:1">
      <c r="A57" s="51" t="s">
        <v>123</v>
      </c>
    </row>
    <row r="58" spans="1:1">
      <c r="A58" s="51" t="s">
        <v>124</v>
      </c>
    </row>
    <row r="59" spans="1:1">
      <c r="A59" s="51" t="s">
        <v>125</v>
      </c>
    </row>
    <row r="60" spans="1:1">
      <c r="A60" s="42"/>
    </row>
    <row r="61" spans="1:1">
      <c r="A61" s="41" t="s">
        <v>126</v>
      </c>
    </row>
    <row r="62" spans="1:1">
      <c r="A62" s="42"/>
    </row>
    <row r="64" spans="1:1">
      <c r="A64" s="42"/>
    </row>
    <row r="65" spans="1:1" ht="20.399999999999999">
      <c r="A65" s="48" t="s">
        <v>127</v>
      </c>
    </row>
    <row r="66" spans="1:1">
      <c r="A66" s="42"/>
    </row>
    <row r="67" spans="1:1">
      <c r="A67" s="49" t="s">
        <v>128</v>
      </c>
    </row>
    <row r="68" spans="1:1">
      <c r="A68" s="42"/>
    </row>
    <row r="69" spans="1:1">
      <c r="A69" s="41" t="s">
        <v>90</v>
      </c>
    </row>
    <row r="70" spans="1:1">
      <c r="A70" s="50"/>
    </row>
    <row r="71" spans="1:1">
      <c r="A71" s="51" t="s">
        <v>129</v>
      </c>
    </row>
    <row r="72" spans="1:1">
      <c r="A72" s="51" t="s">
        <v>130</v>
      </c>
    </row>
    <row r="73" spans="1:1">
      <c r="A73" s="51" t="s">
        <v>131</v>
      </c>
    </row>
    <row r="74" spans="1:1">
      <c r="A74" s="51" t="s">
        <v>132</v>
      </c>
    </row>
    <row r="75" spans="1:1">
      <c r="A75" s="51" t="s">
        <v>133</v>
      </c>
    </row>
    <row r="76" spans="1:1">
      <c r="A76" s="51" t="s">
        <v>134</v>
      </c>
    </row>
    <row r="77" spans="1:1">
      <c r="A77" s="51" t="s">
        <v>135</v>
      </c>
    </row>
    <row r="78" spans="1:1">
      <c r="A78" s="51" t="s">
        <v>136</v>
      </c>
    </row>
    <row r="79" spans="1:1">
      <c r="A79" s="51" t="s">
        <v>137</v>
      </c>
    </row>
    <row r="80" spans="1:1">
      <c r="A80" s="42"/>
    </row>
    <row r="81" spans="1:1">
      <c r="A81" s="41" t="s">
        <v>138</v>
      </c>
    </row>
    <row r="82" spans="1:1">
      <c r="A82" s="42"/>
    </row>
    <row r="84" spans="1:1">
      <c r="A84" s="42"/>
    </row>
    <row r="85" spans="1:1" ht="20.399999999999999">
      <c r="A85" s="48" t="s">
        <v>139</v>
      </c>
    </row>
    <row r="86" spans="1:1">
      <c r="A86" s="42"/>
    </row>
    <row r="87" spans="1:1">
      <c r="A87" s="49" t="s">
        <v>140</v>
      </c>
    </row>
    <row r="88" spans="1:1">
      <c r="A88" s="42"/>
    </row>
    <row r="89" spans="1:1">
      <c r="A89" s="41" t="s">
        <v>141</v>
      </c>
    </row>
    <row r="90" spans="1:1">
      <c r="A90" s="50"/>
    </row>
    <row r="91" spans="1:1">
      <c r="A91" s="51" t="s">
        <v>142</v>
      </c>
    </row>
    <row r="92" spans="1:1">
      <c r="A92" s="51" t="s">
        <v>143</v>
      </c>
    </row>
    <row r="93" spans="1:1">
      <c r="A93" s="51" t="s">
        <v>144</v>
      </c>
    </row>
    <row r="94" spans="1:1">
      <c r="A94" s="51" t="s">
        <v>145</v>
      </c>
    </row>
    <row r="95" spans="1:1">
      <c r="A95" s="51" t="s">
        <v>146</v>
      </c>
    </row>
    <row r="96" spans="1:1">
      <c r="A96" s="51" t="s">
        <v>147</v>
      </c>
    </row>
    <row r="97" spans="1:1">
      <c r="A97" s="51" t="s">
        <v>148</v>
      </c>
    </row>
    <row r="98" spans="1:1">
      <c r="A98" s="42"/>
    </row>
    <row r="99" spans="1:1">
      <c r="A99" s="41" t="s">
        <v>149</v>
      </c>
    </row>
    <row r="100" spans="1:1">
      <c r="A100" s="50"/>
    </row>
    <row r="101" spans="1:1">
      <c r="A101" s="51" t="s">
        <v>150</v>
      </c>
    </row>
    <row r="102" spans="1:1">
      <c r="A102" s="51" t="s">
        <v>151</v>
      </c>
    </row>
    <row r="103" spans="1:1">
      <c r="A103" s="51" t="s">
        <v>152</v>
      </c>
    </row>
    <row r="104" spans="1:1">
      <c r="A104" s="51" t="s">
        <v>153</v>
      </c>
    </row>
    <row r="105" spans="1:1">
      <c r="A105" s="42"/>
    </row>
    <row r="106" spans="1:1">
      <c r="A106" s="41" t="s">
        <v>154</v>
      </c>
    </row>
    <row r="107" spans="1:1">
      <c r="A107" s="42"/>
    </row>
    <row r="109" spans="1:1">
      <c r="A109" s="42"/>
    </row>
    <row r="110" spans="1:1" ht="20.399999999999999">
      <c r="A110" s="48" t="s">
        <v>155</v>
      </c>
    </row>
    <row r="111" spans="1:1">
      <c r="A111" s="42"/>
    </row>
    <row r="112" spans="1:1">
      <c r="A112" s="49" t="s">
        <v>140</v>
      </c>
    </row>
    <row r="113" spans="1:1">
      <c r="A113" s="42"/>
    </row>
    <row r="114" spans="1:1">
      <c r="A114" s="41" t="s">
        <v>156</v>
      </c>
    </row>
    <row r="115" spans="1:1">
      <c r="A115" s="50"/>
    </row>
    <row r="116" spans="1:1">
      <c r="A116" s="51" t="s">
        <v>157</v>
      </c>
    </row>
    <row r="117" spans="1:1">
      <c r="A117" s="51" t="s">
        <v>158</v>
      </c>
    </row>
    <row r="118" spans="1:1">
      <c r="A118" s="51" t="s">
        <v>159</v>
      </c>
    </row>
    <row r="119" spans="1:1">
      <c r="A119" s="51" t="s">
        <v>160</v>
      </c>
    </row>
    <row r="120" spans="1:1">
      <c r="A120" s="51" t="s">
        <v>161</v>
      </c>
    </row>
    <row r="121" spans="1:1">
      <c r="A121" s="51" t="s">
        <v>162</v>
      </c>
    </row>
    <row r="122" spans="1:1">
      <c r="A122" s="42"/>
    </row>
    <row r="123" spans="1:1">
      <c r="A123" s="41" t="s">
        <v>163</v>
      </c>
    </row>
    <row r="124" spans="1:1">
      <c r="A124" s="42"/>
    </row>
    <row r="126" spans="1:1">
      <c r="A126" s="42"/>
    </row>
    <row r="127" spans="1:1" ht="20.399999999999999">
      <c r="A127" s="48" t="s">
        <v>164</v>
      </c>
    </row>
    <row r="128" spans="1:1">
      <c r="A128" s="42"/>
    </row>
    <row r="129" spans="1:1">
      <c r="A129" s="49" t="s">
        <v>165</v>
      </c>
    </row>
    <row r="130" spans="1:1">
      <c r="A130" s="42"/>
    </row>
    <row r="131" spans="1:1">
      <c r="A131" s="41" t="s">
        <v>166</v>
      </c>
    </row>
    <row r="132" spans="1:1">
      <c r="A132" s="50"/>
    </row>
    <row r="133" spans="1:1">
      <c r="A133" s="51" t="s">
        <v>167</v>
      </c>
    </row>
    <row r="134" spans="1:1">
      <c r="A134" s="51" t="s">
        <v>168</v>
      </c>
    </row>
    <row r="135" spans="1:1">
      <c r="A135" s="51" t="s">
        <v>169</v>
      </c>
    </row>
    <row r="136" spans="1:1">
      <c r="A136" s="42"/>
    </row>
    <row r="137" spans="1:1">
      <c r="A137" s="52" t="s">
        <v>170</v>
      </c>
    </row>
    <row r="138" spans="1:1">
      <c r="A138" s="42"/>
    </row>
    <row r="140" spans="1:1">
      <c r="A140" s="42"/>
    </row>
    <row r="141" spans="1:1" ht="20.399999999999999">
      <c r="A141" s="48" t="s">
        <v>171</v>
      </c>
    </row>
    <row r="142" spans="1:1">
      <c r="A142" s="42"/>
    </row>
    <row r="143" spans="1:1">
      <c r="A143" s="49" t="s">
        <v>172</v>
      </c>
    </row>
    <row r="144" spans="1:1">
      <c r="A144" s="42"/>
    </row>
    <row r="145" spans="1:1">
      <c r="A145" s="41" t="s">
        <v>173</v>
      </c>
    </row>
    <row r="146" spans="1:1">
      <c r="A146" s="50"/>
    </row>
    <row r="147" spans="1:1">
      <c r="A147" s="51" t="s">
        <v>174</v>
      </c>
    </row>
    <row r="148" spans="1:1">
      <c r="A148" s="51" t="s">
        <v>175</v>
      </c>
    </row>
    <row r="149" spans="1:1">
      <c r="A149" s="51" t="s">
        <v>176</v>
      </c>
    </row>
    <row r="150" spans="1:1">
      <c r="A150" s="51" t="s">
        <v>177</v>
      </c>
    </row>
    <row r="151" spans="1:1">
      <c r="A151" s="51" t="s">
        <v>178</v>
      </c>
    </row>
    <row r="152" spans="1:1">
      <c r="A152" s="51" t="s">
        <v>179</v>
      </c>
    </row>
    <row r="153" spans="1:1">
      <c r="A153" s="51" t="s">
        <v>180</v>
      </c>
    </row>
    <row r="154" spans="1:1">
      <c r="A154" s="42"/>
    </row>
    <row r="155" spans="1:1">
      <c r="A155" s="41" t="s">
        <v>181</v>
      </c>
    </row>
    <row r="156" spans="1:1">
      <c r="A156" s="42"/>
    </row>
    <row r="158" spans="1:1">
      <c r="A158" s="42"/>
    </row>
    <row r="159" spans="1:1" ht="34.799999999999997">
      <c r="A159" s="53" t="s">
        <v>182</v>
      </c>
    </row>
    <row r="160" spans="1:1">
      <c r="A160" s="42"/>
    </row>
    <row r="161" spans="1:2">
      <c r="A161" s="41" t="s">
        <v>183</v>
      </c>
    </row>
    <row r="162" spans="1:2" ht="14.4" thickBot="1">
      <c r="A162" s="42"/>
    </row>
    <row r="163" spans="1:2" ht="17.399999999999999" thickBot="1">
      <c r="A163" s="44" t="s">
        <v>184</v>
      </c>
      <c r="B163" s="45" t="s">
        <v>185</v>
      </c>
    </row>
    <row r="164" spans="1:2" ht="34.200000000000003" thickBot="1">
      <c r="A164" s="46" t="s">
        <v>186</v>
      </c>
      <c r="B164" s="47" t="s">
        <v>187</v>
      </c>
    </row>
    <row r="165" spans="1:2" ht="34.200000000000003" thickBot="1">
      <c r="A165" s="46" t="s">
        <v>188</v>
      </c>
      <c r="B165" s="47" t="s">
        <v>189</v>
      </c>
    </row>
    <row r="166" spans="1:2" ht="34.200000000000003" thickBot="1">
      <c r="A166" s="46" t="s">
        <v>190</v>
      </c>
      <c r="B166" s="47" t="s">
        <v>191</v>
      </c>
    </row>
    <row r="168" spans="1:2">
      <c r="A168" s="42"/>
    </row>
    <row r="169" spans="1:2" ht="27">
      <c r="A169" s="43" t="s">
        <v>192</v>
      </c>
    </row>
    <row r="170" spans="1:2">
      <c r="A170" s="42"/>
    </row>
    <row r="171" spans="1:2">
      <c r="A171" s="41" t="s">
        <v>193</v>
      </c>
    </row>
    <row r="172" spans="1:2">
      <c r="A172" s="50"/>
    </row>
    <row r="173" spans="1:2">
      <c r="A173" s="54" t="s">
        <v>194</v>
      </c>
    </row>
    <row r="174" spans="1:2">
      <c r="A174" s="54" t="s">
        <v>195</v>
      </c>
    </row>
    <row r="175" spans="1:2">
      <c r="A175" s="54" t="s">
        <v>196</v>
      </c>
    </row>
    <row r="176" spans="1:2">
      <c r="A176" s="54" t="s">
        <v>197</v>
      </c>
    </row>
    <row r="177" spans="1:1">
      <c r="A177" s="42"/>
    </row>
    <row r="178" spans="1:1">
      <c r="A178" s="41" t="s">
        <v>198</v>
      </c>
    </row>
    <row r="179" spans="1:1">
      <c r="A179" s="50"/>
    </row>
    <row r="180" spans="1:1">
      <c r="A180" s="54" t="s">
        <v>88</v>
      </c>
    </row>
    <row r="181" spans="1:1">
      <c r="A181" s="54" t="s">
        <v>108</v>
      </c>
    </row>
    <row r="182" spans="1:1">
      <c r="A182" s="54" t="s">
        <v>127</v>
      </c>
    </row>
    <row r="183" spans="1:1">
      <c r="A183" s="42"/>
    </row>
    <row r="184" spans="1:1">
      <c r="A184" s="41" t="s">
        <v>199</v>
      </c>
    </row>
  </sheetData>
  <hyperlinks>
    <hyperlink ref="A33" r:id="rId1" display="https://www.cochilco.cl/web/informe-cartera-de-proyectos-de-inversion-minera-2025-2034/"/>
    <hyperlink ref="A137" r:id="rId2" display="https://www.acades.cl/mineria-y-desalacion-el-nuevo-dilema-hidrico-de-chile-41-proyectos-revelan-prioridades/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Valores</vt:lpstr>
      <vt:lpstr>Otros</vt:lpstr>
      <vt:lpstr>TAM y Sectores</vt:lpstr>
      <vt:lpstr>Mineria</vt:lpstr>
      <vt:lpstr>Obs</vt:lpstr>
      <vt:lpstr>dólar</vt:lpstr>
      <vt:lpstr>euro</vt:lpstr>
      <vt:lpstr>UF</vt:lpstr>
      <vt:lpstr>UF_25</vt:lpstr>
      <vt:lpstr>UTA</vt:lpstr>
      <vt:lpstr>UTM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Pedro De Oliveira Barrios</dc:creator>
  <cp:lastModifiedBy>Maria Paz Haeger Loebel</cp:lastModifiedBy>
  <dcterms:created xsi:type="dcterms:W3CDTF">2026-04-07T13:46:58Z</dcterms:created>
  <dcterms:modified xsi:type="dcterms:W3CDTF">2026-06-30T23:21:38Z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1-Uso Interno</vt:lpwstr>
  </property>
</Properties>
</file>