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Supuestos" sheetId="2" state="visible" r:id="rId4"/>
    <sheet name="Requisitos" sheetId="3" state="visible" r:id="rId5"/>
    <sheet name="Cohortes" sheetId="4" state="visible" r:id="rId6"/>
    <sheet name="Economia" sheetId="5" state="visible" r:id="rId7"/>
    <sheet name="Evidencia" sheetId="6" state="visible" r:id="rId8"/>
    <sheet name="Retrolanzamiento" sheetId="7" state="visible" r:id="rId9"/>
  </sheets>
  <definedNames>
    <definedName function="false" hidden="false" localSheetId="3" name="_xlnm.Print_Area" vbProcedure="false">Cohortes!$C$1:$W$108</definedName>
    <definedName function="false" hidden="false" localSheetId="0" name="_xlnm.Print_Area" vbProcedure="false">Decision!$C$1:$K$48</definedName>
    <definedName function="false" hidden="false" localSheetId="4" name="_xlnm.Print_Area" vbProcedure="false">Economia!$C$1:$K$48</definedName>
    <definedName function="false" hidden="false" localSheetId="5" name="_xlnm.Print_Area" vbProcedure="false">Evidencia!$C$1:$K$49</definedName>
    <definedName function="false" hidden="false" localSheetId="2" name="_xlnm.Print_Area" vbProcedure="false">Requisitos!$C$1:$Q$40</definedName>
    <definedName function="false" hidden="false" localSheetId="6" name="_xlnm.Print_Area" vbProcedure="false">Retrolanzamiento!$C$1:$K$36</definedName>
    <definedName function="false" hidden="false" localSheetId="1" name="_xlnm.Print_Area" vbProcedure="false">Supuestos!$C$1:$Q$54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<sst xmlns="http://schemas.openxmlformats.org/spreadsheetml/2006/main" count="358" uniqueCount="259">
  <si>
    <t xml:space="preserve">Pibank 2027: decisión de inversión, no forecast</t>
  </si>
  <si>
    <t xml:space="preserve">La decisión parte de requisitos y valor bancario. Los escenarios previos 10/50/147 se retiran del uso con cliente; archivos históricos intactos.</t>
  </si>
  <si>
    <t xml:space="preserve">Pregunta de inversión</t>
  </si>
  <si>
    <t xml:space="preserve">Resultado activo</t>
  </si>
  <si>
    <t xml:space="preserve">Unidad</t>
  </si>
  <si>
    <t xml:space="preserve">Contribución contextual requerida</t>
  </si>
  <si>
    <t xml:space="preserve">cuentas</t>
  </si>
  <si>
    <t xml:space="preserve">Visitas requeridas bajo tasas de prueba</t>
  </si>
  <si>
    <t xml:space="preserve">visitas</t>
  </si>
  <si>
    <t xml:space="preserve">Ratio requisito / panel parcial elegible</t>
  </si>
  <si>
    <t xml:space="preserve">ratio panel</t>
  </si>
  <si>
    <t xml:space="preserve">Saldo medio externo en ventana activa</t>
  </si>
  <si>
    <t xml:space="preserve">USD eq.</t>
  </si>
  <si>
    <t xml:space="preserve">Saldo externo al cierre de ventana</t>
  </si>
  <si>
    <t xml:space="preserve">Valor neto banco según método/horizonte</t>
  </si>
  <si>
    <t xml:space="preserve">USD</t>
  </si>
  <si>
    <t xml:space="preserve">Techo de inversión según retorno exigido</t>
  </si>
  <si>
    <t xml:space="preserve">Piso operativo enfocado según costeo</t>
  </si>
  <si>
    <t xml:space="preserve">Horas compatibles con el techo bancario</t>
  </si>
  <si>
    <t xml:space="preserve">horas</t>
  </si>
  <si>
    <t xml:space="preserve">ROI condicionado dentro de ventana</t>
  </si>
  <si>
    <t xml:space="preserve">%</t>
  </si>
  <si>
    <t xml:space="preserve">Payback condicionado dentro de ventana</t>
  </si>
  <si>
    <t xml:space="preserve">mes</t>
  </si>
  <si>
    <t xml:space="preserve">Fondeadas dentro de ventana, calidad</t>
  </si>
  <si>
    <t xml:space="preserve">N/D conserva inputs faltantes. El techo es condicional a alcanzar la contribución; no es precio, presupuesto aprobado ni beneficio garantizado.</t>
  </si>
  <si>
    <t xml:space="preserve">Fondeo potencial posterior (excluido)</t>
  </si>
  <si>
    <t xml:space="preserve">Banda contextual</t>
  </si>
  <si>
    <t xml:space="preserve">Cuentas según definición</t>
  </si>
  <si>
    <t xml:space="preserve">Visitas necesarias</t>
  </si>
  <si>
    <t xml:space="preserve">Saldo medio externo condicionado</t>
  </si>
  <si>
    <t xml:space="preserve">Techo inversión condicionado</t>
  </si>
  <si>
    <t xml:space="preserve">Comparación matemática bajo iguales tasas, calendario y origen; no son tres forecasts paralelos ni objetivos comerciales acordados.</t>
  </si>
  <si>
    <t xml:space="preserve">Programa enfocado candidato: 814h base +110h reserva=924h. Operations revisa carga, dependencias y disponibilidad; no se vende por horas.</t>
  </si>
  <si>
    <t xml:space="preserve">Si piso operativo supera techo bancario condicionado: revisar contribución/canales/alcance y evidencia; no inventar demanda o conversión.</t>
  </si>
  <si>
    <t xml:space="preserve">Una intervención de conversión puede mejorar tráfico de otros canales; requiere baseline y contrafactual propios para valorar incrementalidad.</t>
  </si>
  <si>
    <t xml:space="preserve">Educación/confianza y retención son mecanismos posibles, no ingresos adicionales sumables sin cohortes y deduplicación.</t>
  </si>
  <si>
    <t xml:space="preserve">M1 revisa accesos, medición y delivery. Las optimizaciones M3/6/9/12 sostienen el programa anual; no son cortes por ROI a tres meses.</t>
  </si>
  <si>
    <t xml:space="preserve">Riesgo central: tamaño/captura elegible y valor neto por saldo no están medidos. Cotización se prepara; la evidencia privada refina, no bloquea.</t>
  </si>
  <si>
    <t xml:space="preserve">Inputs: metas contextuales, pruebas y validaciones</t>
  </si>
  <si>
    <t xml:space="preserve">Selector banda (1 / 2 / 3)</t>
  </si>
  <si>
    <t xml:space="preserve">Bandas 1/5/10% son decisiones de contribución contextual. No objetivos acordados ni previsiones del canal.</t>
  </si>
  <si>
    <t xml:space="preserve">Participación contextual elegida</t>
  </si>
  <si>
    <t xml:space="preserve">Meta cuentas provisional</t>
  </si>
  <si>
    <t xml:space="preserve">Definición de la banda</t>
  </si>
  <si>
    <t xml:space="preserve">Aperturas</t>
  </si>
  <si>
    <t xml:space="preserve">Meta USD inferida, sin periodo confirmado</t>
  </si>
  <si>
    <t xml:space="preserve">Ticket USD equivalente provisional</t>
  </si>
  <si>
    <t xml:space="preserve">Visita→apertura, prueba aritmética</t>
  </si>
  <si>
    <t xml:space="preserve">Apertura→fondeo, prueba aritmética</t>
  </si>
  <si>
    <t xml:space="preserve">Elegibilidad del panel, prueba</t>
  </si>
  <si>
    <t xml:space="preserve">Cuentas requeridas según definición elegida</t>
  </si>
  <si>
    <t xml:space="preserve">Lag apertura→primer fondeo (meses)</t>
  </si>
  <si>
    <t xml:space="preserve">Día de primer fondeo (1–28)</t>
  </si>
  <si>
    <t xml:space="preserve">Inicio ilustrativo programa</t>
  </si>
  <si>
    <t xml:space="preserve">Finance valida método/valor neto</t>
  </si>
  <si>
    <t xml:space="preserve">No</t>
  </si>
  <si>
    <t xml:space="preserve">Valor neto anual por USD saldo medio externo</t>
  </si>
  <si>
    <t xml:space="preserve">ROI mínimo exigido, prueba 0=equilibrio</t>
  </si>
  <si>
    <t xml:space="preserve">Inversión cliente completa validada</t>
  </si>
  <si>
    <t xml:space="preserve">Costeo/margen Efeonce validado</t>
  </si>
  <si>
    <t xml:space="preserve">Costo real blended USD/h (pendiente)</t>
  </si>
  <si>
    <t xml:space="preserve">Margen bruto autorizado (pendiente)</t>
  </si>
  <si>
    <t xml:space="preserve">Horas candidato enfocado (base+reserva)</t>
  </si>
  <si>
    <t xml:space="preserve">Otros costos enfocado USD (pendiente)</t>
  </si>
  <si>
    <t xml:space="preserve">Conversión, elegibilidad, ticket, retención, origen y distribución son hipótesis. Se calculan requisitos; no se predicen resultados.</t>
  </si>
  <si>
    <t xml:space="preserve">US$38m = 15.200×2.500: inferencia provisional. Programa anual no confirma definición/anualidad de meta ni producto USD.</t>
  </si>
  <si>
    <t xml:space="preserve">Contexto del análisis</t>
  </si>
  <si>
    <t xml:space="preserve">Programa2027</t>
  </si>
  <si>
    <t xml:space="preserve">Fecha retrolanzamiento (desconocida)</t>
  </si>
  <si>
    <t xml:space="preserve">Inversión cliente USD mensual, pendiente</t>
  </si>
  <si>
    <t xml:space="preserve">Peso del objetivo de fondeo, prueba</t>
  </si>
  <si>
    <t xml:space="preserve">Meses ventana retrospectiva (desconocidos)</t>
  </si>
  <si>
    <t xml:space="preserve">Inicio del cálculo activo</t>
  </si>
  <si>
    <t xml:space="preserve">Saldo relativo 30 días (hipótesis)</t>
  </si>
  <si>
    <t xml:space="preserve">Saldo relativo 60 días (hipótesis)</t>
  </si>
  <si>
    <t xml:space="preserve">Saldo relativo 90 días (hipótesis)</t>
  </si>
  <si>
    <t xml:space="preserve">Saldo relativo 180 días (hipótesis)</t>
  </si>
  <si>
    <t xml:space="preserve">Saldo relativo 365 días (hipótesis)</t>
  </si>
  <si>
    <t xml:space="preserve">Origen externo por cohorte, prueba</t>
  </si>
  <si>
    <t xml:space="preserve">Meses activos del cálculo</t>
  </si>
  <si>
    <t xml:space="preserve">Los pesos distribuyen una meta requerida, no una rampa SEO. Lag excluye fondeos que necesitarían aperturas anteriores al programa.</t>
  </si>
  <si>
    <t xml:space="preserve">Origen externo se fija por cohorte. No sumar traslado interno como nuevo fondeo del grupo.</t>
  </si>
  <si>
    <t xml:space="preserve">M1: accesos/datos/delivery. Revisiones M3/6/9/12: optimización del programa anual, sin piloto ni gate de ROI temprano.</t>
  </si>
  <si>
    <t xml:space="preserve">Costo/h incluye sólo el método fully loaded validado; evitar duplicar overhead. Ningún fee o roster está aprobado.</t>
  </si>
  <si>
    <t xml:space="preserve">Método único de valor bancario</t>
  </si>
  <si>
    <t xml:space="preserve">Saldo medio externo</t>
  </si>
  <si>
    <t xml:space="preserve">Horizonte del valor, meses</t>
  </si>
  <si>
    <t xml:space="preserve">Valor neto por fondeada aprobado (ND)</t>
  </si>
  <si>
    <t xml:space="preserve">Requisitos mensuales para la contribución elegida</t>
  </si>
  <si>
    <t xml:space="preserve">Requisito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</si>
  <si>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</si>
  <si>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</si>
  <si>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</si>
  <si>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</si>
  <si>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</si>
  <si>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</si>
  <si>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</si>
  <si>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</si>
  <si>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</si>
  <si>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</si>
  <si>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</si>
  <si>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</si>
  <si>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Peso de fondeo indicado</t>
  </si>
  <si>
    <t xml:space="preserve">peso</t>
  </si>
  <si>
    <t xml:space="preserve">Peso elegible por inicio/lag</t>
  </si>
  <si>
    <t xml:space="preserve">Primeras cuentas fondeadas requeridas</t>
  </si>
  <si>
    <t xml:space="preserve">Aperturas necesarias desde este mes</t>
  </si>
  <si>
    <t xml:space="preserve">Visitas necesarias desde este mes</t>
  </si>
  <si>
    <t xml:space="preserve">Panel directo observado, contexto parcial</t>
  </si>
  <si>
    <t xml:space="preserve">búsquedas/mes</t>
  </si>
  <si>
    <t xml:space="preserve">Panel tras elegibilidad hipotética</t>
  </si>
  <si>
    <t xml:space="preserve">Visitas requeridas / panel elegible</t>
  </si>
  <si>
    <t xml:space="preserve">Saldo externo medio requerido</t>
  </si>
  <si>
    <t xml:space="preserve">Saldo externo al cierre requerido</t>
  </si>
  <si>
    <t xml:space="preserve">Valor neto bancario condicionado</t>
  </si>
  <si>
    <t xml:space="preserve">Inversión cliente pendiente</t>
  </si>
  <si>
    <t xml:space="preserve">Valor acumulado condicionado</t>
  </si>
  <si>
    <t xml:space="preserve">Inversión acumulada</t>
  </si>
  <si>
    <t xml:space="preserve">ROI condicional a logro de la banda</t>
  </si>
  <si>
    <t xml:space="preserve">Recuperación alcanzada (condicional)</t>
  </si>
  <si>
    <t xml:space="preserve">0/1</t>
  </si>
  <si>
    <t xml:space="preserve">Un ratio &gt;100% significa que este panel no alcanza para el requisito bajo esos supuestos; no demuestra inviabilidad del mercado.</t>
  </si>
  <si>
    <t xml:space="preserve">El denominador es una canasta parcial de consultas, con overlap residual. No son personas únicas, TAM ni visitas Pibank.</t>
  </si>
  <si>
    <t xml:space="preserve">Marca, educación, activación y retención tienen recorridos distintos; sus retornos permanecen N/D sin baseline y deduplicación.</t>
  </si>
  <si>
    <t xml:space="preserve">Toda valoración/ROI es condicional al logro de la banda. No transforma requisitos en forecast ni atribuye todo al SEO/AEO.</t>
  </si>
  <si>
    <t xml:space="preserve">Saldo externo y valor dentro del horizonte 2027</t>
  </si>
  <si>
    <t xml:space="preserve">Primer fondeo</t>
  </si>
  <si>
    <t xml:space="preserve">Cuentas requeridas</t>
  </si>
  <si>
    <t xml:space="preserve">Ticket USD eq.</t>
  </si>
  <si>
    <t xml:space="preserve">Origen externo</t>
  </si>
  <si>
    <t xml:space="preserve">Ret30</t>
  </si>
  <si>
    <t xml:space="preserve">Ret60</t>
  </si>
  <si>
    <t xml:space="preserve">Ret90</t>
  </si>
  <si>
    <t xml:space="preserve">Ret180</t>
  </si>
  <si>
    <t xml:space="preserve">Ret365</t>
  </si>
  <si>
    <t xml:space="preserve">Saldo total al cierre</t>
  </si>
  <si>
    <t xml:space="preserve">USD equivalentes provisionales. Depósito bruto y saldo son stock, no beneficio. Finanzas valora el saldo medio externo dentro de 2027.</t>
  </si>
  <si>
    <t xml:space="preserve">Saldo externo al cierre por cohorte</t>
  </si>
  <si>
    <t xml:space="preserve">Saldo externo al cierre</t>
  </si>
  <si>
    <t xml:space="preserve">Saldo medio externo mensual por cohorte</t>
  </si>
  <si>
    <t xml:space="preserve">Cuentas</t>
  </si>
  <si>
    <t xml:space="preserve">Saldo30d</t>
  </si>
  <si>
    <t xml:space="preserve">Saldo60d</t>
  </si>
  <si>
    <t xml:space="preserve">Saldo90d</t>
  </si>
  <si>
    <t xml:space="preserve">Saldo180d</t>
  </si>
  <si>
    <t xml:space="preserve">Saldo365d</t>
  </si>
  <si>
    <t xml:space="preserve">Edad en días al cierre</t>
  </si>
  <si>
    <t xml:space="preserve">Saldo relativo interpolado</t>
  </si>
  <si>
    <t xml:space="preserve">Techo bancario y piso operativo: decisión condicionada</t>
  </si>
  <si>
    <t xml:space="preserve">Condición económica</t>
  </si>
  <si>
    <t xml:space="preserve">Resultado</t>
  </si>
  <si>
    <t xml:space="preserve">Valor banco por UN método/horizonte</t>
  </si>
  <si>
    <t xml:space="preserve">Techo inversión para ROI exigido</t>
  </si>
  <si>
    <t xml:space="preserve">Costo humano enfocado fully loaded</t>
  </si>
  <si>
    <t xml:space="preserve">Otros costos explícitos, sin doble overhead</t>
  </si>
  <si>
    <t xml:space="preserve">Costo total interno condicionado</t>
  </si>
  <si>
    <t xml:space="preserve">Piso comercial con margen autorizado</t>
  </si>
  <si>
    <t xml:space="preserve">Horas compatibles con techo bancario</t>
  </si>
  <si>
    <t xml:space="preserve">Brecha techo menos piso</t>
  </si>
  <si>
    <t xml:space="preserve">El piso cubre costos internos con margen autorizado; el techo responde al valor del banco. Ninguno es fee aprobado ni ahorro realizado.</t>
  </si>
  <si>
    <t xml:space="preserve">Tasa neta anual hipotética</t>
  </si>
  <si>
    <t xml:space="preserve">Valor si banda se alcanza</t>
  </si>
  <si>
    <t xml:space="preserve">Techo para retorno exigido</t>
  </si>
  <si>
    <t xml:space="preserve">Naturaleza</t>
  </si>
  <si>
    <t xml:space="preserve">Experimento; no benchmark</t>
  </si>
  <si>
    <t xml:space="preserve">Extremo; no recomendado</t>
  </si>
  <si>
    <t xml:space="preserve">1/2/4/6% prueban aritmética del valor neto, no tasas bancarias observadas. 6% es extremo sin evidencia y no se recomienda.</t>
  </si>
  <si>
    <t xml:space="preserve">Capacidad</t>
  </si>
  <si>
    <t xml:space="preserve">Base horas</t>
  </si>
  <si>
    <t xml:space="preserve">Reserva horas</t>
  </si>
  <si>
    <t xml:space="preserve">Total horas</t>
  </si>
  <si>
    <t xml:space="preserve">Estado</t>
  </si>
  <si>
    <t xml:space="preserve">Enfocado candidato</t>
  </si>
  <si>
    <t xml:space="preserve">Root: bottom-up, pendiente</t>
  </si>
  <si>
    <t xml:space="preserve">Foco previo histórico</t>
  </si>
  <si>
    <t xml:space="preserve">Cuestionado; no base actual</t>
  </si>
  <si>
    <t xml:space="preserve">Integral previo histórico</t>
  </si>
  <si>
    <t xml:space="preserve">Mayor capacidad no produce por sí sola más cuentas. El candidato enfocado limita entregables y requiere implementación/QA coordinados.</t>
  </si>
  <si>
    <t xml:space="preserve">La valoración usa UN método Finance neto sobre saldo medio externo. No sumar FTP+ahorro si representan el mismo beneficio.</t>
  </si>
  <si>
    <t xml:space="preserve">Las transferencias internas son canibalización potencial; saldo bruto, depósito inicial y capital no son ingreso ni beneficio.</t>
  </si>
  <si>
    <t xml:space="preserve">Horizonte de valor 24/36m: sólo valor neto por fondeada aprobado por Finance (incluye descuento/costos). Sin tasa×2/3 ni cashflow futuro inventado.</t>
  </si>
  <si>
    <t xml:space="preserve">Servicio sigue12m. El método por cuenta no produce ROI/payback dentro del año; la distribución temporal de beneficios futuros está pendiente.</t>
  </si>
  <si>
    <t xml:space="preserve">Inversión hipotética, no quote</t>
  </si>
  <si>
    <t xml:space="preserve">Valor mínimo por fondeada</t>
  </si>
  <si>
    <t xml:space="preserve">Requisito; no valor observado</t>
  </si>
  <si>
    <t xml:space="preserve">Cobertura, carriles y autoridad de cada dato</t>
  </si>
  <si>
    <t xml:space="preserve">Panel directo parcial</t>
  </si>
  <si>
    <t xml:space="preserve">Carril</t>
  </si>
  <si>
    <t xml:space="preserve">Evidencia disponible</t>
  </si>
  <si>
    <t xml:space="preserve">Proxy/medida</t>
  </si>
  <si>
    <t xml:space="preserve">Qué permitiría valorar</t>
  </si>
  <si>
    <t xml:space="preserve">Baseline actual</t>
  </si>
  <si>
    <t xml:space="preserve">Adquisición genérica</t>
  </si>
  <si>
    <t xml:space="preserve">Panel curado de5 representantes</t>
  </si>
  <si>
    <t xml:space="preserve">Captura elegible→visitas→fondeo; panel parcial</t>
  </si>
  <si>
    <t xml:space="preserve">N/D</t>
  </si>
  <si>
    <t xml:space="preserve">Adquisición condicional</t>
  </si>
  <si>
    <t xml:space="preserve">Digital1300 + alto rendimientoPE390</t>
  </si>
  <si>
    <t xml:space="preserve">Producto/intención/overlap antes de incluir</t>
  </si>
  <si>
    <t xml:space="preserve">Educación/confianza</t>
  </si>
  <si>
    <t xml:space="preserve">TREA/FSD/ahorro/transferencias</t>
  </si>
  <si>
    <t xml:space="preserve">Asistencia medida; no sumarla a adquisición</t>
  </si>
  <si>
    <t xml:space="preserve">Marca</t>
  </si>
  <si>
    <t xml:space="preserve">140 histórico prelaunch: no baseline actual</t>
  </si>
  <si>
    <t xml:space="preserve">Histórico separado</t>
  </si>
  <si>
    <t xml:space="preserve">Protección/activación; visitas actuales necesarias</t>
  </si>
  <si>
    <t xml:space="preserve">Conversión multicanal</t>
  </si>
  <si>
    <t xml:space="preserve">Recorrido web→registro→app</t>
  </si>
  <si>
    <t xml:space="preserve">Incremento respecto al contrafactual medido</t>
  </si>
  <si>
    <t xml:space="preserve">Retención/origen externo</t>
  </si>
  <si>
    <t xml:space="preserve">Cohortes/saldos banco pendientes</t>
  </si>
  <si>
    <t xml:space="preserve">Valor neto incremental, sin doble conteo</t>
  </si>
  <si>
    <t xml:space="preserve">Producto USD futuro</t>
  </si>
  <si>
    <t xml:space="preserve">Consulta cuentaUSD</t>
  </si>
  <si>
    <t xml:space="preserve">No pertenece al producto actual público Soles</t>
  </si>
  <si>
    <t xml:space="preserve">3690 es una canasta de5 consultas de investigación; no censo del programa ni TAM. Dataset ampliado y familias nuevas se documentan aparte.</t>
  </si>
  <si>
    <t xml:space="preserve">Sin GSC/analytics, marca postlaunch, aperturas o cohortes: retornos adicionales N/D. No comprar APIs ni inflar proxies para cerrar un ROI.</t>
  </si>
  <si>
    <t xml:space="preserve">ID / naturaleza</t>
  </si>
  <si>
    <t xml:space="preserve">Fuente</t>
  </si>
  <si>
    <t xml:space="preserve">Alcance</t>
  </si>
  <si>
    <t xml:space="preserve">Autoridad / estado</t>
  </si>
  <si>
    <t xml:space="preserve">Meta provisional</t>
  </si>
  <si>
    <t xml:space="preserve">Reunión06/10/2026 y operador</t>
  </si>
  <si>
    <t xml:space="preserve">15200×2500≈US38m; periodo/definición pendientes</t>
  </si>
  <si>
    <t xml:space="preserve">Banco no confirmó</t>
  </si>
  <si>
    <t xml:space="preserve">Panel observado</t>
  </si>
  <si>
    <t xml:space="preserve">docs/commercial/prospects/banco-pichincha-peru-seo-2026/research/pibank-expanded-2026-10-06/monthly-demand-inputs.json</t>
  </si>
  <si>
    <t xml:space="preserve">PE/es, cinco representantes con overlap residual</t>
  </si>
  <si>
    <t xml:space="preserve">DataForSEO; no TAM</t>
  </si>
  <si>
    <t xml:space="preserve">Proyecciones retiradas</t>
  </si>
  <si>
    <t xml:space="preserve">modelo-anual/results.json</t>
  </si>
  <si>
    <t xml:space="preserve">10/50/147 no forecasts. Se conservan históricos</t>
  </si>
  <si>
    <t xml:space="preserve">Withdrawn for client use</t>
  </si>
  <si>
    <t xml:space="preserve">Capacidad candidata</t>
  </si>
  <si>
    <t xml:space="preserve">Root: envelope bottom-up06/10</t>
  </si>
  <si>
    <t xml:space="preserve">814h base +110h reserva, doce meses</t>
  </si>
  <si>
    <t xml:space="preserve">Operations/Commercial pendientes</t>
  </si>
  <si>
    <t xml:space="preserve">Hipótesis de requisitos</t>
  </si>
  <si>
    <t xml:space="preserve">inputs.json</t>
  </si>
  <si>
    <t xml:space="preserve">Tasas, distribución, saldos, origen y calendario</t>
  </si>
  <si>
    <t xml:space="preserve">Pruebas; no benchmark</t>
  </si>
  <si>
    <t xml:space="preserve">Valor bancario</t>
  </si>
  <si>
    <t xml:space="preserve">Finance banco: método único pendiente</t>
  </si>
  <si>
    <t xml:space="preserve">Tasa neta anual × saldo medio externo dentro2027</t>
  </si>
  <si>
    <t xml:space="preserve">Costo/quote</t>
  </si>
  <si>
    <t xml:space="preserve">Finance/Operations/Commercial pendientes</t>
  </si>
  <si>
    <t xml:space="preserve">Fully loaded, otros costos, margen, fee, impuestos</t>
  </si>
  <si>
    <t xml:space="preserve">Retirar de uso con cliente no elimina evidencia histórica: modelo-anual y modelo permanecen byte-for-byte intactos.</t>
  </si>
  <si>
    <t xml:space="preserve">M1 readiness/delivery; M3/6/9/12 optimización. Ejecución/caracterización técnica no garantizan rankings, citas ni apertura/fondeo.</t>
  </si>
  <si>
    <t xml:space="preserve">Retrolanzamiento: ventana desconocida y contrafactual</t>
  </si>
  <si>
    <t xml:space="preserve">Jesús pidió qué aperturas habría podido cubrir SEO/GEO desde el lanzamiento de este año. Fecha exacta y ventana no están confirmadas.</t>
  </si>
  <si>
    <t xml:space="preserve">Seleccionar Supuestos D29=Retrolanzamiento, cargar fecha D30 y meses D35. El mismo build calcula requisitos y maduración sólo en esa ventana.</t>
  </si>
  <si>
    <t xml:space="preserve">Sin fecha/ventana, el modo retrospectivo propaga N/D. Programa2027 mantiene doce meses y no hereda una anualidad no declarada por el banco.</t>
  </si>
  <si>
    <t xml:space="preserve">Las bandas152/760/1520 se interpretan como aperturas por defecto. Fondeo y saldo son calidad posterior; selector Fondeadas cambia el requisito.</t>
  </si>
  <si>
    <t xml:space="preserve">La simulación es un contrafactual ilustrativo de requisitos; no aperturas históricas perdidas ni causalidad demostrada del lanzamiento.</t>
  </si>
  <si>
    <t xml:space="preserve">No existe baseline histórico ni controles de exposición suficientes. Validar ventanas, condiciones de oferta, capacidad de indexación y funnel antes de atribuir.</t>
  </si>
  <si>
    <t xml:space="preserve">No transferir un quote/valor aprobado de un contexto a otro sin validación. Los beneficios24/36m futuros se distinguen del saldo/valor dentro de ventana.</t>
  </si>
  <si>
    <t xml:space="preserve">Para próximos lanzamientos: preparar arquitectura/contenidos/métricas antes del go-live, medir recorridos y optimizar cohortes durante el programa.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</si>
</sst>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—"/>
    <numFmt numFmtId="166" formatCode="0.00%;\(0.00%\);\—"/>
    <numFmt numFmtId="167" formatCode="&quot;US$&quot;#,##0;&quot;(US$&quot;#,##0\);\—"/>
    <numFmt numFmtId="168" formatCode="0"/>
    <numFmt numFmtId="169" formatCode="mm/yy"/>
    <numFmt numFmtId="170" formatCode="dd/mm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94A"/>
      <name val="Arial"/>
      <family val="0"/>
      <charset val="1"/>
    </font>
    <font>
      <sz val="10"/>
      <color rgb="FF1829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50"/>
      <name val="Arial"/>
      <family val="0"/>
      <charset val="1"/>
    </font>
    <font>
      <sz val="10"/>
      <color rgb="FF0000C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85F"/>
        <bgColor rgb="FF18294A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5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294A"/>
      <rgbColor rgb="FF339966"/>
      <rgbColor rgb="FF003300"/>
      <rgbColor rgb="FF333300"/>
      <rgbColor rgb="FF993300"/>
      <rgbColor rgb="FF993366"/>
      <rgbColor rgb="FF333399"/>
      <rgbColor rgb="FF2038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11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0</v>
      </c>
    </row>
    <row r="3" customFormat="false" ht="19.5" hidden="false" customHeight="true" outlineLevel="0" collapsed="false"/>
    <row r="4" customFormat="false" ht="31.5" hidden="false" customHeight="true" outlineLevel="0" collapsed="false">
      <c r="C4" s="2" t="s">
        <v>1</v>
      </c>
      <c r="D4" s="2"/>
      <c r="E4" s="2"/>
      <c r="F4" s="2"/>
      <c r="G4" s="2"/>
      <c r="H4" s="2"/>
      <c r="I4" s="2"/>
      <c r="J4" s="2"/>
      <c r="K4" s="2"/>
    </row>
    <row r="5" customFormat="false" ht="19.5" hidden="false" customHeight="true" outlineLevel="0" collapsed="false"/>
    <row r="6" customFormat="false" ht="30" hidden="false" customHeight="true" outlineLevel="0" collapsed="false">
      <c r="C6" s="3" t="s">
        <v>2</v>
      </c>
      <c r="D6" s="3" t="s">
        <v>3</v>
      </c>
      <c r="E6" s="3" t="s">
        <v>4</v>
      </c>
    </row>
    <row r="7" customFormat="false" ht="19.5" hidden="false" customHeight="true" outlineLevel="0" collapsed="false"/>
    <row r="8" customFormat="false" ht="19.5" hidden="false" customHeight="true" outlineLevel="0" collapsed="false">
      <c r="C8" s="4" t="s">
        <v>5</v>
      </c>
      <c r="D8" s="5" t="n">
        <f aca="false">Supuestos!D12</f>
        <v>152</v>
      </c>
      <c r="E8" s="6" t="s">
        <v>6</v>
      </c>
    </row>
    <row r="9" customFormat="false" ht="19.5" hidden="false" customHeight="true" outlineLevel="0" collapsed="false">
      <c r="C9" s="4" t="s">
        <v>7</v>
      </c>
      <c r="D9" s="5" t="n">
        <f aca="false">IF(COUNT(Requisitos!F13:Q13)=12,SUM(Requisitos!F13:Q13),"N/D")</f>
        <v>7600</v>
      </c>
      <c r="E9" s="6" t="s">
        <v>8</v>
      </c>
    </row>
    <row r="10" customFormat="false" ht="19.5" hidden="false" customHeight="true" outlineLevel="0" collapsed="false">
      <c r="C10" s="4" t="s">
        <v>9</v>
      </c>
      <c r="D10" s="7" t="n">
        <f aca="false">IF(COUNT(Requisitos!F13:Q13,Requisitos!F16:Q16)=24,IF(SUM(Requisitos!F16:Q16)&gt;0,SUM(Requisitos!F13:Q13)/SUM(Requisitos!F16:Q16),"N/D"),"N/D")</f>
        <v>0.228846732911774</v>
      </c>
      <c r="E10" s="6" t="s">
        <v>10</v>
      </c>
    </row>
    <row r="11" customFormat="false" ht="19.5" hidden="false" customHeight="true" outlineLevel="0" collapsed="false">
      <c r="C11" s="4" t="s">
        <v>11</v>
      </c>
      <c r="D11" s="8" t="n">
        <f aca="false">IF(COUNT(Requisitos!F19:Q19,Supuestos!D45)=13,SUM(Requisitos!F19:Q19)/Supuestos!D45,"N/D")</f>
        <v>74916.4922653669</v>
      </c>
      <c r="E11" s="6" t="s">
        <v>12</v>
      </c>
    </row>
    <row r="12" customFormat="false" ht="19.5" hidden="false" customHeight="true" outlineLevel="0" collapsed="false">
      <c r="C12" s="4" t="s">
        <v>13</v>
      </c>
      <c r="D12" s="8" t="n">
        <f aca="false">IF(COUNT(Supuestos!D45)=1,INDEX(Requisitos!F20:Q20,1,Supuestos!D45),"N/D")</f>
        <v>142419.88475976</v>
      </c>
      <c r="E12" s="6" t="s">
        <v>12</v>
      </c>
    </row>
    <row r="13" customFormat="false" ht="19.5" hidden="false" customHeight="true" outlineLevel="0" collapsed="false"/>
    <row r="14" customFormat="false" ht="19.5" hidden="false" customHeight="true" outlineLevel="0" collapsed="false">
      <c r="C14" s="4" t="s">
        <v>14</v>
      </c>
      <c r="D14" s="8" t="str">
        <f aca="false">Economia!D8</f>
        <v>N/D</v>
      </c>
      <c r="E14" s="6" t="s">
        <v>15</v>
      </c>
    </row>
    <row r="15" customFormat="false" ht="19.5" hidden="false" customHeight="true" outlineLevel="0" collapsed="false">
      <c r="C15" s="4" t="s">
        <v>16</v>
      </c>
      <c r="D15" s="8" t="str">
        <f aca="false">Economia!D9</f>
        <v>N/D</v>
      </c>
      <c r="E15" s="6" t="s">
        <v>15</v>
      </c>
    </row>
    <row r="16" customFormat="false" ht="19.5" hidden="false" customHeight="true" outlineLevel="0" collapsed="false">
      <c r="C16" s="4" t="s">
        <v>17</v>
      </c>
      <c r="D16" s="8" t="str">
        <f aca="false">Economia!D15</f>
        <v>N/D</v>
      </c>
      <c r="E16" s="6" t="s">
        <v>15</v>
      </c>
    </row>
    <row r="17" customFormat="false" ht="19.5" hidden="false" customHeight="true" outlineLevel="0" collapsed="false">
      <c r="C17" s="4" t="s">
        <v>18</v>
      </c>
      <c r="D17" s="5" t="str">
        <f aca="false">Economia!D17</f>
        <v>N/D</v>
      </c>
      <c r="E17" s="6" t="s">
        <v>19</v>
      </c>
    </row>
    <row r="18" customFormat="false" ht="19.5" hidden="false" customHeight="true" outlineLevel="0" collapsed="false">
      <c r="C18" s="4" t="s">
        <v>20</v>
      </c>
      <c r="D18" s="7" t="str">
        <f aca="false">Requisitos!Q26</f>
        <v>N/D</v>
      </c>
      <c r="E18" s="6" t="s">
        <v>21</v>
      </c>
    </row>
    <row r="19" customFormat="false" ht="19.5" hidden="false" customHeight="true" outlineLevel="0" collapsed="false">
      <c r="C19" s="4" t="s">
        <v>22</v>
      </c>
      <c r="D19" s="5" t="str">
        <f aca="false">IF(COUNT(Requisitos!F27:Q27)=12,IFERROR(MATCH(1,Requisitos!F27:Q27,0),"No en ventana"),"N/D")</f>
        <v>N/D</v>
      </c>
      <c r="E19" s="6" t="s">
        <v>23</v>
      </c>
    </row>
    <row r="20" customFormat="false" ht="19.5" hidden="false" customHeight="true" outlineLevel="0" collapsed="false">
      <c r="C20" s="4" t="s">
        <v>24</v>
      </c>
      <c r="D20" s="5" t="n">
        <f aca="false">IF(COUNT(Requisitos!F11:Q11)=12,SUM(Requisitos!F11:Q11),"N/D")</f>
        <v>98.8</v>
      </c>
      <c r="E20" s="6" t="s">
        <v>6</v>
      </c>
    </row>
    <row r="21" customFormat="false" ht="31.5" hidden="false" customHeight="true" outlineLevel="0" collapsed="false">
      <c r="C21" s="2" t="s">
        <v>25</v>
      </c>
      <c r="D21" s="2"/>
      <c r="E21" s="2"/>
      <c r="F21" s="2"/>
      <c r="G21" s="2"/>
      <c r="H21" s="2"/>
      <c r="I21" s="2"/>
      <c r="J21" s="2"/>
      <c r="K21" s="2"/>
    </row>
    <row r="22" customFormat="false" ht="19.5" hidden="false" customHeight="true" outlineLevel="0" collapsed="false">
      <c r="C22" s="4" t="s">
        <v>26</v>
      </c>
      <c r="D22" s="5" t="n">
        <f aca="false">IF(COUNT(Requisitos!F12:Q12,Supuestos!D10,D20)=14,SUM(Requisitos!F12:Q12)*Supuestos!D10-D20,"N/D")</f>
        <v>0</v>
      </c>
    </row>
    <row r="23" customFormat="false" ht="19.5" hidden="false" customHeight="true" outlineLevel="0" collapsed="false"/>
    <row r="24" customFormat="false" ht="30" hidden="false" customHeight="true" outlineLevel="0" collapsed="false">
      <c r="C24" s="3" t="s">
        <v>27</v>
      </c>
      <c r="D24" s="3" t="s">
        <v>28</v>
      </c>
      <c r="E24" s="3" t="s">
        <v>29</v>
      </c>
      <c r="F24" s="3" t="s">
        <v>30</v>
      </c>
      <c r="G24" s="3" t="s">
        <v>31</v>
      </c>
    </row>
    <row r="25" customFormat="false" ht="19.5" hidden="false" customHeight="true" outlineLevel="0" collapsed="false">
      <c r="C25" s="9" t="n">
        <v>0.01</v>
      </c>
      <c r="D25" s="5" t="n">
        <f aca="false">C25*Supuestos!D6</f>
        <v>152</v>
      </c>
      <c r="E25" s="10" t="n">
        <f aca="false">IF(COUNT($D$8,$D$9)=2,IF($D$8&gt;0,$D$9*D25/$D$8,"N/D"),"N/D")</f>
        <v>7600</v>
      </c>
      <c r="F25" s="11" t="n">
        <f aca="false">IF(COUNT($D$8,$D$11)=2,IF($D$8&gt;0,$D$11*D25/$D$8,"N/D"),"N/D")</f>
        <v>74916.4922653669</v>
      </c>
      <c r="G25" s="11" t="str">
        <f aca="false">IF(COUNT($D$8,$D$15)=2,IF($D$8&gt;0,$D$15*D25/$D$8,"N/D"),"N/D")</f>
        <v>N/D</v>
      </c>
    </row>
    <row r="26" customFormat="false" ht="19.5" hidden="false" customHeight="true" outlineLevel="0" collapsed="false">
      <c r="C26" s="9" t="n">
        <v>0.05</v>
      </c>
      <c r="D26" s="5" t="n">
        <f aca="false">C26*Supuestos!D6</f>
        <v>760</v>
      </c>
      <c r="E26" s="10" t="n">
        <f aca="false">IF(COUNT($D$8,$D$9)=2,IF($D$8&gt;0,$D$9*D26/$D$8,"N/D"),"N/D")</f>
        <v>38000</v>
      </c>
      <c r="F26" s="11" t="n">
        <f aca="false">IF(COUNT($D$8,$D$11)=2,IF($D$8&gt;0,$D$11*D26/$D$8,"N/D"),"N/D")</f>
        <v>374582.461326834</v>
      </c>
      <c r="G26" s="11" t="str">
        <f aca="false">IF(COUNT($D$8,$D$15)=2,IF($D$8&gt;0,$D$15*D26/$D$8,"N/D"),"N/D")</f>
        <v>N/D</v>
      </c>
    </row>
    <row r="27" customFormat="false" ht="19.5" hidden="false" customHeight="true" outlineLevel="0" collapsed="false">
      <c r="C27" s="9" t="n">
        <v>0.1</v>
      </c>
      <c r="D27" s="5" t="n">
        <f aca="false">C27*Supuestos!D6</f>
        <v>1520</v>
      </c>
      <c r="E27" s="10" t="n">
        <f aca="false">IF(COUNT($D$8,$D$9)=2,IF($D$8&gt;0,$D$9*D27/$D$8,"N/D"),"N/D")</f>
        <v>76000</v>
      </c>
      <c r="F27" s="11" t="n">
        <f aca="false">IF(COUNT($D$8,$D$11)=2,IF($D$8&gt;0,$D$11*D27/$D$8,"N/D"),"N/D")</f>
        <v>749164.922653669</v>
      </c>
      <c r="G27" s="11" t="str">
        <f aca="false">IF(COUNT($D$8,$D$15)=2,IF($D$8&gt;0,$D$15*D27/$D$8,"N/D"),"N/D")</f>
        <v>N/D</v>
      </c>
    </row>
    <row r="28" customFormat="false" ht="19.5" hidden="false" customHeight="true" outlineLevel="0" collapsed="false"/>
    <row r="29" customFormat="false" ht="31.5" hidden="false" customHeight="true" outlineLevel="0" collapsed="false">
      <c r="C29" s="2" t="s">
        <v>32</v>
      </c>
      <c r="D29" s="2"/>
      <c r="E29" s="2"/>
      <c r="F29" s="2"/>
      <c r="G29" s="2"/>
      <c r="H29" s="2"/>
      <c r="I29" s="2"/>
      <c r="J29" s="2"/>
      <c r="K29" s="2"/>
    </row>
    <row r="30" customFormat="false" ht="19.5" hidden="false" customHeight="true" outlineLevel="0" collapsed="false"/>
    <row r="31" customFormat="false" ht="31.5" hidden="false" customHeight="true" outlineLevel="0" collapsed="false">
      <c r="C31" s="2" t="s">
        <v>33</v>
      </c>
      <c r="D31" s="2"/>
      <c r="E31" s="2"/>
      <c r="F31" s="2"/>
      <c r="G31" s="2"/>
      <c r="H31" s="2"/>
      <c r="I31" s="2"/>
      <c r="J31" s="2"/>
      <c r="K31" s="2"/>
    </row>
    <row r="32" customFormat="false" ht="31.5" hidden="false" customHeight="true" outlineLevel="0" collapsed="false">
      <c r="C32" s="2" t="s">
        <v>34</v>
      </c>
      <c r="D32" s="2"/>
      <c r="E32" s="2"/>
      <c r="F32" s="2"/>
      <c r="G32" s="2"/>
      <c r="H32" s="2"/>
      <c r="I32" s="2"/>
      <c r="J32" s="2"/>
      <c r="K32" s="2"/>
    </row>
    <row r="33" customFormat="false" ht="19.5" hidden="false" customHeight="true" outlineLevel="0" collapsed="false"/>
    <row r="34" customFormat="false" ht="31.5" hidden="false" customHeight="true" outlineLevel="0" collapsed="false">
      <c r="C34" s="2" t="s">
        <v>35</v>
      </c>
      <c r="D34" s="2"/>
      <c r="E34" s="2"/>
      <c r="F34" s="2"/>
      <c r="G34" s="2"/>
      <c r="H34" s="2"/>
      <c r="I34" s="2"/>
      <c r="J34" s="2"/>
      <c r="K34" s="2"/>
    </row>
    <row r="35" customFormat="false" ht="31.5" hidden="false" customHeight="true" outlineLevel="0" collapsed="false">
      <c r="C35" s="2" t="s">
        <v>36</v>
      </c>
      <c r="D35" s="2"/>
      <c r="E35" s="2"/>
      <c r="F35" s="2"/>
      <c r="G35" s="2"/>
      <c r="H35" s="2"/>
      <c r="I35" s="2"/>
      <c r="J35" s="2"/>
      <c r="K35" s="2"/>
    </row>
    <row r="36" customFormat="false" ht="19.5" hidden="false" customHeight="true" outlineLevel="0" collapsed="false"/>
    <row r="37" customFormat="false" ht="31.5" hidden="false" customHeight="true" outlineLevel="0" collapsed="false">
      <c r="C37" s="2" t="s">
        <v>37</v>
      </c>
      <c r="D37" s="2"/>
      <c r="E37" s="2"/>
      <c r="F37" s="2"/>
      <c r="G37" s="2"/>
      <c r="H37" s="2"/>
      <c r="I37" s="2"/>
      <c r="J37" s="2"/>
      <c r="K37" s="2"/>
    </row>
    <row r="38" customFormat="false" ht="19.5" hidden="false" customHeight="true" outlineLevel="0" collapsed="false"/>
    <row r="39" customFormat="false" ht="31.5" hidden="false" customHeight="true" outlineLevel="0" collapsed="false">
      <c r="C39" s="2" t="s">
        <v>38</v>
      </c>
      <c r="D39" s="2"/>
      <c r="E39" s="2"/>
      <c r="F39" s="2"/>
      <c r="G39" s="2"/>
      <c r="H39" s="2"/>
      <c r="I39" s="2"/>
      <c r="J39" s="2"/>
      <c r="K39" s="2"/>
    </row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</sheetData>
  <mergeCells count="9">
    <mergeCell ref="C4:K4"/>
    <mergeCell ref="C21:K21"/>
    <mergeCell ref="C29:K29"/>
    <mergeCell ref="C31:K31"/>
    <mergeCell ref="C32:K32"/>
    <mergeCell ref="C34:K34"/>
    <mergeCell ref="C35:K35"/>
    <mergeCell ref="C37:K37"/>
    <mergeCell ref="C39:K39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Q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7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39</v>
      </c>
    </row>
    <row r="3" customFormat="false" ht="19.5" hidden="false" customHeight="true" outlineLevel="0" collapsed="false">
      <c r="C3" s="4" t="s">
        <v>40</v>
      </c>
      <c r="D3" s="12" t="n">
        <v>1</v>
      </c>
    </row>
    <row r="4" customFormat="false" ht="31.5" hidden="false" customHeight="true" outlineLevel="0" collapsed="false">
      <c r="C4" s="2" t="s">
        <v>41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9.5" hidden="false" customHeight="true" outlineLevel="0" collapsed="false">
      <c r="C5" s="4" t="s">
        <v>42</v>
      </c>
      <c r="D5" s="13" t="n">
        <f aca="false">CHOOSE(D3,1%,5%,10%)</f>
        <v>0.01</v>
      </c>
    </row>
    <row r="6" customFormat="false" ht="19.5" hidden="false" customHeight="true" outlineLevel="0" collapsed="false">
      <c r="C6" s="4" t="s">
        <v>43</v>
      </c>
      <c r="D6" s="14" t="n">
        <v>15200</v>
      </c>
      <c r="F6" s="4" t="s">
        <v>44</v>
      </c>
      <c r="G6" s="12" t="s">
        <v>45</v>
      </c>
    </row>
    <row r="7" customFormat="false" ht="19.5" hidden="false" customHeight="true" outlineLevel="0" collapsed="false">
      <c r="C7" s="4" t="s">
        <v>46</v>
      </c>
      <c r="D7" s="15" t="n">
        <v>38000000</v>
      </c>
    </row>
    <row r="8" customFormat="false" ht="19.5" hidden="false" customHeight="true" outlineLevel="0" collapsed="false">
      <c r="C8" s="4" t="s">
        <v>47</v>
      </c>
      <c r="D8" s="15" t="n">
        <v>2500</v>
      </c>
    </row>
    <row r="9" customFormat="false" ht="19.5" hidden="false" customHeight="true" outlineLevel="0" collapsed="false">
      <c r="C9" s="4" t="s">
        <v>48</v>
      </c>
      <c r="D9" s="9" t="n">
        <v>0.02</v>
      </c>
    </row>
    <row r="10" customFormat="false" ht="19.5" hidden="false" customHeight="true" outlineLevel="0" collapsed="false">
      <c r="C10" s="4" t="s">
        <v>49</v>
      </c>
      <c r="D10" s="9" t="n">
        <v>0.65</v>
      </c>
    </row>
    <row r="11" customFormat="false" ht="19.5" hidden="false" customHeight="true" outlineLevel="0" collapsed="false">
      <c r="C11" s="4" t="s">
        <v>50</v>
      </c>
      <c r="D11" s="9" t="n">
        <v>0.75</v>
      </c>
    </row>
    <row r="12" customFormat="false" ht="19.5" hidden="false" customHeight="true" outlineLevel="0" collapsed="false">
      <c r="C12" s="4" t="s">
        <v>51</v>
      </c>
      <c r="D12" s="10" t="n">
        <f aca="false">D5*D6</f>
        <v>152</v>
      </c>
    </row>
    <row r="13" customFormat="false" ht="19.5" hidden="false" customHeight="true" outlineLevel="0" collapsed="false">
      <c r="C13" s="4" t="s">
        <v>52</v>
      </c>
      <c r="D13" s="16" t="n">
        <v>0</v>
      </c>
    </row>
    <row r="14" customFormat="false" ht="19.5" hidden="false" customHeight="true" outlineLevel="0" collapsed="false">
      <c r="C14" s="4" t="s">
        <v>53</v>
      </c>
      <c r="D14" s="16" t="n">
        <v>15</v>
      </c>
    </row>
    <row r="15" customFormat="false" ht="19.5" hidden="false" customHeight="true" outlineLevel="0" collapsed="false">
      <c r="C15" s="4" t="s">
        <v>54</v>
      </c>
      <c r="D15" s="17" t="n">
        <v>46388</v>
      </c>
    </row>
    <row r="16" customFormat="false" ht="19.5" hidden="false" customHeight="true" outlineLevel="0" collapsed="false">
      <c r="C16" s="4" t="s">
        <v>55</v>
      </c>
      <c r="D16" s="12" t="s">
        <v>56</v>
      </c>
    </row>
    <row r="17" customFormat="false" ht="19.5" hidden="false" customHeight="true" outlineLevel="0" collapsed="false">
      <c r="C17" s="4" t="s">
        <v>57</v>
      </c>
      <c r="D17" s="9"/>
    </row>
    <row r="18" customFormat="false" ht="19.5" hidden="false" customHeight="true" outlineLevel="0" collapsed="false">
      <c r="C18" s="4" t="s">
        <v>58</v>
      </c>
      <c r="D18" s="9" t="n">
        <v>0</v>
      </c>
    </row>
    <row r="19" customFormat="false" ht="19.5" hidden="false" customHeight="true" outlineLevel="0" collapsed="false">
      <c r="C19" s="4" t="s">
        <v>59</v>
      </c>
      <c r="D19" s="12" t="s">
        <v>56</v>
      </c>
    </row>
    <row r="20" customFormat="false" ht="19.5" hidden="false" customHeight="true" outlineLevel="0" collapsed="false">
      <c r="C20" s="4" t="s">
        <v>60</v>
      </c>
      <c r="D20" s="12" t="s">
        <v>56</v>
      </c>
    </row>
    <row r="21" customFormat="false" ht="19.5" hidden="false" customHeight="true" outlineLevel="0" collapsed="false">
      <c r="C21" s="4" t="s">
        <v>61</v>
      </c>
      <c r="D21" s="15"/>
    </row>
    <row r="22" customFormat="false" ht="19.5" hidden="false" customHeight="true" outlineLevel="0" collapsed="false">
      <c r="C22" s="4" t="s">
        <v>62</v>
      </c>
      <c r="D22" s="9"/>
    </row>
    <row r="23" customFormat="false" ht="19.5" hidden="false" customHeight="true" outlineLevel="0" collapsed="false">
      <c r="C23" s="4" t="s">
        <v>63</v>
      </c>
      <c r="D23" s="10" t="n">
        <v>924</v>
      </c>
    </row>
    <row r="24" customFormat="false" ht="19.5" hidden="false" customHeight="true" outlineLevel="0" collapsed="false"/>
    <row r="25" customFormat="false" ht="19.5" hidden="false" customHeight="true" outlineLevel="0" collapsed="false">
      <c r="C25" s="4" t="s">
        <v>64</v>
      </c>
      <c r="D25" s="15"/>
    </row>
    <row r="26" customFormat="false" ht="19.5" hidden="false" customHeight="true" outlineLevel="0" collapsed="false"/>
    <row r="27" customFormat="false" ht="31.5" hidden="false" customHeight="true" outlineLevel="0" collapsed="false">
      <c r="C27" s="2" t="s">
        <v>65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31.5" hidden="false" customHeight="true" outlineLevel="0" collapsed="false">
      <c r="C28" s="2" t="s">
        <v>66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9.5" hidden="false" customHeight="true" outlineLevel="0" collapsed="false">
      <c r="C29" s="4" t="s">
        <v>67</v>
      </c>
      <c r="D29" s="12" t="s">
        <v>68</v>
      </c>
    </row>
    <row r="30" customFormat="false" ht="19.5" hidden="false" customHeight="true" outlineLevel="0" collapsed="false">
      <c r="C30" s="4" t="s">
        <v>69</v>
      </c>
      <c r="D30" s="18"/>
    </row>
    <row r="31" customFormat="false" ht="19.5" hidden="false" customHeight="true" outlineLevel="0" collapsed="false">
      <c r="F31" s="19" t="n">
        <f aca="false">IF(COUNT($D$36)=1,EDATE($D$36,0),"N/D")</f>
        <v>46388</v>
      </c>
      <c r="G31" s="19" t="n">
        <f aca="false">IF(COUNT($D$36)=1,EDATE($D$36,1),"N/D")</f>
        <v>46419</v>
      </c>
      <c r="H31" s="19" t="n">
        <f aca="false">IF(COUNT($D$36)=1,EDATE($D$36,2),"N/D")</f>
        <v>46447</v>
      </c>
      <c r="I31" s="19" t="n">
        <f aca="false">IF(COUNT($D$36)=1,EDATE($D$36,3),"N/D")</f>
        <v>46478</v>
      </c>
      <c r="J31" s="19" t="n">
        <f aca="false">IF(COUNT($D$36)=1,EDATE($D$36,4),"N/D")</f>
        <v>46508</v>
      </c>
      <c r="K31" s="19" t="n">
        <f aca="false">IF(COUNT($D$36)=1,EDATE($D$36,5),"N/D")</f>
        <v>46539</v>
      </c>
      <c r="L31" s="19" t="n">
        <f aca="false">IF(COUNT($D$36)=1,EDATE($D$36,6),"N/D")</f>
        <v>46569</v>
      </c>
      <c r="M31" s="19" t="n">
        <f aca="false">IF(COUNT($D$36)=1,EDATE($D$36,7),"N/D")</f>
        <v>46600</v>
      </c>
      <c r="N31" s="19" t="n">
        <f aca="false">IF(COUNT($D$36)=1,EDATE($D$36,8),"N/D")</f>
        <v>46631</v>
      </c>
      <c r="O31" s="19" t="n">
        <f aca="false">IF(COUNT($D$36)=1,EDATE($D$36,9),"N/D")</f>
        <v>46661</v>
      </c>
      <c r="P31" s="19" t="n">
        <f aca="false">IF(COUNT($D$36)=1,EDATE($D$36,10),"N/D")</f>
        <v>46692</v>
      </c>
      <c r="Q31" s="19" t="n">
        <f aca="false">IF(COUNT($D$36)=1,EDATE($D$36,11),"N/D")</f>
        <v>46722</v>
      </c>
    </row>
    <row r="32" customFormat="false" ht="19.5" hidden="false" customHeight="true" outlineLevel="0" collapsed="false">
      <c r="C32" s="4" t="s">
        <v>70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customFormat="false" ht="19.5" hidden="false" customHeight="true" outlineLevel="0" collapsed="false"/>
    <row r="34" customFormat="false" ht="19.5" hidden="false" customHeight="true" outlineLevel="0" collapsed="false">
      <c r="C34" s="4" t="s">
        <v>71</v>
      </c>
      <c r="F34" s="14" t="n">
        <v>1</v>
      </c>
      <c r="G34" s="14" t="n">
        <v>1</v>
      </c>
      <c r="H34" s="14" t="n">
        <v>1</v>
      </c>
      <c r="I34" s="14" t="n">
        <v>1</v>
      </c>
      <c r="J34" s="14" t="n">
        <v>1</v>
      </c>
      <c r="K34" s="14" t="n">
        <v>1</v>
      </c>
      <c r="L34" s="14" t="n">
        <v>1</v>
      </c>
      <c r="M34" s="14" t="n">
        <v>1</v>
      </c>
      <c r="N34" s="14" t="n">
        <v>1</v>
      </c>
      <c r="O34" s="14" t="n">
        <v>1</v>
      </c>
      <c r="P34" s="14" t="n">
        <v>1</v>
      </c>
      <c r="Q34" s="14" t="n">
        <v>1</v>
      </c>
    </row>
    <row r="35" customFormat="false" ht="19.5" hidden="false" customHeight="true" outlineLevel="0" collapsed="false">
      <c r="C35" s="4" t="s">
        <v>72</v>
      </c>
      <c r="D35" s="16"/>
    </row>
    <row r="36" customFormat="false" ht="19.5" hidden="false" customHeight="true" outlineLevel="0" collapsed="false">
      <c r="C36" s="4" t="s">
        <v>73</v>
      </c>
      <c r="D36" s="20" t="n">
        <f aca="false">IF(D29="Programa2027",D15,IF(COUNT(D30)=1,D30,"N/D"))</f>
        <v>46388</v>
      </c>
    </row>
    <row r="37" customFormat="false" ht="19.5" hidden="false" customHeight="true" outlineLevel="0" collapsed="false">
      <c r="C37" s="4" t="s">
        <v>74</v>
      </c>
      <c r="D37" s="9" t="n">
        <v>0.95</v>
      </c>
    </row>
    <row r="38" customFormat="false" ht="19.5" hidden="false" customHeight="true" outlineLevel="0" collapsed="false">
      <c r="C38" s="4" t="s">
        <v>75</v>
      </c>
      <c r="D38" s="9" t="n">
        <v>0.9</v>
      </c>
    </row>
    <row r="39" customFormat="false" ht="19.5" hidden="false" customHeight="true" outlineLevel="0" collapsed="false">
      <c r="C39" s="4" t="s">
        <v>76</v>
      </c>
      <c r="D39" s="9" t="n">
        <v>0.85</v>
      </c>
    </row>
    <row r="40" customFormat="false" ht="19.5" hidden="false" customHeight="true" outlineLevel="0" collapsed="false">
      <c r="C40" s="4" t="s">
        <v>77</v>
      </c>
      <c r="D40" s="9" t="n">
        <v>0.8</v>
      </c>
    </row>
    <row r="41" customFormat="false" ht="19.5" hidden="false" customHeight="true" outlineLevel="0" collapsed="false">
      <c r="C41" s="4" t="s">
        <v>78</v>
      </c>
      <c r="D41" s="9" t="n">
        <v>0.75</v>
      </c>
    </row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>
      <c r="C44" s="4" t="s">
        <v>79</v>
      </c>
      <c r="F44" s="9" t="n">
        <v>0.7</v>
      </c>
      <c r="G44" s="9" t="n">
        <v>0.7</v>
      </c>
      <c r="H44" s="9" t="n">
        <v>0.7</v>
      </c>
      <c r="I44" s="9" t="n">
        <v>0.7</v>
      </c>
      <c r="J44" s="9" t="n">
        <v>0.7</v>
      </c>
      <c r="K44" s="9" t="n">
        <v>0.7</v>
      </c>
      <c r="L44" s="9" t="n">
        <v>0.7</v>
      </c>
      <c r="M44" s="9" t="n">
        <v>0.7</v>
      </c>
      <c r="N44" s="9" t="n">
        <v>0.7</v>
      </c>
      <c r="O44" s="9" t="n">
        <v>0.7</v>
      </c>
      <c r="P44" s="9" t="n">
        <v>0.7</v>
      </c>
      <c r="Q44" s="9" t="n">
        <v>0.7</v>
      </c>
    </row>
    <row r="45" customFormat="false" ht="19.5" hidden="false" customHeight="true" outlineLevel="0" collapsed="false">
      <c r="C45" s="4" t="s">
        <v>80</v>
      </c>
      <c r="D45" s="21" t="n">
        <f aca="false">IF(D29="Programa2027",12,IF(COUNT(D35)=1,IF(AND(D35&gt;=1,D35&lt;=12),D35,"N/D"),"N/D"))</f>
        <v>12</v>
      </c>
    </row>
    <row r="46" customFormat="false" ht="31.5" hidden="false" customHeight="true" outlineLevel="0" collapsed="false">
      <c r="C46" s="2" t="s">
        <v>81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31.5" hidden="false" customHeight="true" outlineLevel="0" collapsed="false">
      <c r="C47" s="2" t="s">
        <v>82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31.5" hidden="false" customHeight="true" outlineLevel="0" collapsed="false">
      <c r="C48" s="2" t="s">
        <v>83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31.5" hidden="false" customHeight="true" outlineLevel="0" collapsed="false">
      <c r="C49" s="2" t="s">
        <v>84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>
      <c r="C52" s="4" t="s">
        <v>85</v>
      </c>
      <c r="D52" s="12" t="s">
        <v>86</v>
      </c>
    </row>
    <row r="53" customFormat="false" ht="19.5" hidden="false" customHeight="true" outlineLevel="0" collapsed="false">
      <c r="C53" s="4" t="s">
        <v>87</v>
      </c>
      <c r="D53" s="16" t="n">
        <v>12</v>
      </c>
    </row>
    <row r="54" customFormat="false" ht="19.5" hidden="false" customHeight="true" outlineLevel="0" collapsed="false">
      <c r="C54" s="4" t="s">
        <v>88</v>
      </c>
      <c r="D54" s="15"/>
    </row>
  </sheetData>
  <mergeCells count="7">
    <mergeCell ref="C4:Q4"/>
    <mergeCell ref="C27:Q27"/>
    <mergeCell ref="C28:Q28"/>
    <mergeCell ref="C46:Q46"/>
    <mergeCell ref="C47:Q47"/>
    <mergeCell ref="C48:Q48"/>
    <mergeCell ref="C49:Q49"/>
  </mergeCells>
  <dataValidations count="19">
    <dataValidation allowBlank="false" errorStyle="stop" operator="between" showDropDown="false" showErrorMessage="false" showInputMessage="false" sqref="D16" type="list">
      <formula1>"Sí,No"</formula1>
      <formula2>0</formula2>
    </dataValidation>
    <dataValidation allowBlank="false" errorStyle="stop" operator="between" showDropDown="false" showErrorMessage="false" showInputMessage="false" sqref="D19" type="list">
      <formula1>"Sí,No"</formula1>
      <formula2>0</formula2>
    </dataValidation>
    <dataValidation allowBlank="false" errorStyle="stop" operator="between" showDropDown="false" showErrorMessage="false" showInputMessage="false" sqref="D20" type="list">
      <formula1>"Sí,No"</formula1>
      <formula2>0</formula2>
    </dataValidation>
    <dataValidation allowBlank="false" errorStyle="stop" operator="between" showDropDown="false" showErrorMessage="false" showInputMessage="false" sqref="G6" type="list">
      <formula1>"Aperturas,Fondeadas"</formula1>
      <formula2>0</formula2>
    </dataValidation>
    <dataValidation allowBlank="false" errorStyle="stop" operator="between" showDropDown="false" showErrorMessage="false" showInputMessage="false" sqref="D29" type="list">
      <formula1>"Programa2027,Retrolanzamiento"</formula1>
      <formula2>0</formula2>
    </dataValidation>
    <dataValidation allowBlank="false" errorStyle="stop" operator="between" showDropDown="false" showErrorMessage="false" showInputMessage="false" sqref="D52" type="list">
      <formula1>"Saldo medio externo,Valor neto por fondeada"</formula1>
      <formula2>0</formula2>
    </dataValidation>
    <dataValidation allowBlank="false" errorStyle="stop" operator="between" showDropDown="false" showErrorMessage="false" showInputMessage="false" sqref="D53" type="list">
      <formula1>"12,24,36"</formula1>
      <formula2>0</formula2>
    </dataValidation>
    <dataValidation allowBlank="false" errorStyle="stop" operator="between" showDropDown="false" showErrorMessage="true" showInputMessage="false" sqref="D3" type="whole">
      <formula1>1</formula1>
      <formula2>3</formula2>
    </dataValidation>
    <dataValidation allowBlank="false" errorStyle="stop" operator="between" showDropDown="false" showErrorMessage="true" showInputMessage="false" sqref="D13" type="whole">
      <formula1>0</formula1>
      <formula2>12</formula2>
    </dataValidation>
    <dataValidation allowBlank="false" errorStyle="stop" operator="between" showDropDown="false" showErrorMessage="true" showInputMessage="false" sqref="D14" type="whole">
      <formula1>1</formula1>
      <formula2>28</formula2>
    </dataValidation>
    <dataValidation allowBlank="false" errorStyle="stop" operator="between" showDropDown="false" showErrorMessage="true" showInputMessage="false" sqref="D35" type="whole">
      <formula1>1</formula1>
      <formula2>12</formula2>
    </dataValidation>
    <dataValidation allowBlank="true" errorStyle="stop" operator="between" showDropDown="false" showErrorMessage="true" showInputMessage="false" sqref="D9:D11" type="decimal">
      <formula1>0</formula1>
      <formula2>1</formula2>
    </dataValidation>
    <dataValidation allowBlank="true" errorStyle="stop" operator="between" showDropDown="false" showErrorMessage="true" showInputMessage="false" sqref="D22" type="decimal">
      <formula1>0</formula1>
      <formula2>1</formula2>
    </dataValidation>
    <dataValidation allowBlank="true" errorStyle="stop" operator="between" showDropDown="false" showErrorMessage="true" showInputMessage="false" sqref="D37:D41" type="decimal">
      <formula1>0</formula1>
      <formula2>1</formula2>
    </dataValidation>
    <dataValidation allowBlank="true" errorStyle="stop" operator="between" showDropDown="false" showErrorMessage="true" showInputMessage="false" sqref="F44:Q44" type="decimal">
      <formula1>0</formula1>
      <formula2>1</formula2>
    </dataValidation>
    <dataValidation allowBlank="true" errorStyle="stop" operator="greaterThanOrEqual" showDropDown="false" showErrorMessage="true" showInputMessage="false" sqref="F32:Q32" type="decimal">
      <formula1>0</formula1>
      <formula2>0</formula2>
    </dataValidation>
    <dataValidation allowBlank="true" errorStyle="stop" operator="greaterThanOrEqual" showDropDown="false" showErrorMessage="true" showInputMessage="false" sqref="F34:Q34" type="decimal">
      <formula1>0</formula1>
      <formula2>0</formula2>
    </dataValidation>
    <dataValidation allowBlank="true" errorStyle="stop" operator="greaterThanOrEqual" showDropDown="false" showErrorMessage="true" showInputMessage="false" sqref="D21" type="decimal">
      <formula1>0</formula1>
      <formula2>0</formula2>
    </dataValidation>
    <dataValidation allowBlank="true" errorStyle="stop" operator="greaterThanOrEqual" showDropDown="false" showErrorMessage="true" showInputMessage="false" sqref="D25" type="decimal">
      <formula1>0</formula1>
      <formula2>0</formula2>
    </dataValidation>
  </dataValidation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7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89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30" hidden="false" customHeight="true" outlineLevel="0" collapsed="false">
      <c r="C6" s="3" t="s">
        <v>90</v>
      </c>
      <c r="D6" s="3" t="s">
        <v>4</v>
      </c>
      <c r="E6" s="3"/>
      <c r="F6" s="3" t="s">
        <v>91</v>
      </c>
      <c r="G6" s="3" t="s">
        <v>92</v>
      </c>
      <c r="H6" s="3" t="s">
        <v>93</v>
      </c>
      <c r="I6" s="3" t="s">
        <v>94</v>
      </c>
      <c r="J6" s="3" t="s">
        <v>95</v>
      </c>
      <c r="K6" s="3" t="s">
        <v>96</v>
      </c>
      <c r="L6" s="3" t="s">
        <v>97</v>
      </c>
      <c r="M6" s="3" t="s">
        <v>98</v>
      </c>
      <c r="N6" s="3" t="s">
        <v>99</v>
      </c>
      <c r="O6" s="3" t="s">
        <v>100</v>
      </c>
      <c r="P6" s="3" t="s">
        <v>101</v>
      </c>
      <c r="Q6" s="3" t="s">
        <v>102</v>
      </c>
    </row>
    <row r="7" customFormat="false" ht="19.5" hidden="false" customHeight="true" outlineLevel="0" collapsed="false">
      <c r="F7" s="22" t="n">
        <f aca="false">Supuestos!F31</f>
        <v>46388</v>
      </c>
      <c r="G7" s="22" t="n">
        <f aca="false">Supuestos!G31</f>
        <v>46419</v>
      </c>
      <c r="H7" s="22" t="n">
        <f aca="false">Supuestos!H31</f>
        <v>46447</v>
      </c>
      <c r="I7" s="22" t="n">
        <f aca="false">Supuestos!I31</f>
        <v>46478</v>
      </c>
      <c r="J7" s="22" t="n">
        <f aca="false">Supuestos!J31</f>
        <v>46508</v>
      </c>
      <c r="K7" s="22" t="n">
        <f aca="false">Supuestos!K31</f>
        <v>46539</v>
      </c>
      <c r="L7" s="22" t="n">
        <f aca="false">Supuestos!L31</f>
        <v>46569</v>
      </c>
      <c r="M7" s="22" t="n">
        <f aca="false">Supuestos!M31</f>
        <v>46600</v>
      </c>
      <c r="N7" s="22" t="n">
        <f aca="false">Supuestos!N31</f>
        <v>46631</v>
      </c>
      <c r="O7" s="22" t="n">
        <f aca="false">Supuestos!O31</f>
        <v>46661</v>
      </c>
      <c r="P7" s="22" t="n">
        <f aca="false">Supuestos!P31</f>
        <v>46692</v>
      </c>
      <c r="Q7" s="22" t="n">
        <f aca="false">Supuestos!Q31</f>
        <v>46722</v>
      </c>
    </row>
    <row r="8" customFormat="false" ht="19.5" hidden="false" customHeight="true" outlineLevel="0" collapsed="false"/>
    <row r="9" customFormat="false" ht="19.5" hidden="false" customHeight="true" outlineLevel="0" collapsed="false">
      <c r="C9" s="4" t="s">
        <v>103</v>
      </c>
      <c r="D9" s="4" t="s">
        <v>104</v>
      </c>
      <c r="F9" s="5" t="n">
        <f aca="false">IF(COUNT(Supuestos!F34)=1,Supuestos!F34,"N/D")</f>
        <v>1</v>
      </c>
      <c r="G9" s="5" t="n">
        <f aca="false">IF(COUNT(Supuestos!G34)=1,Supuestos!G34,"N/D")</f>
        <v>1</v>
      </c>
      <c r="H9" s="5" t="n">
        <f aca="false">IF(COUNT(Supuestos!H34)=1,Supuestos!H34,"N/D")</f>
        <v>1</v>
      </c>
      <c r="I9" s="5" t="n">
        <f aca="false">IF(COUNT(Supuestos!I34)=1,Supuestos!I34,"N/D")</f>
        <v>1</v>
      </c>
      <c r="J9" s="5" t="n">
        <f aca="false">IF(COUNT(Supuestos!J34)=1,Supuestos!J34,"N/D")</f>
        <v>1</v>
      </c>
      <c r="K9" s="5" t="n">
        <f aca="false">IF(COUNT(Supuestos!K34)=1,Supuestos!K34,"N/D")</f>
        <v>1</v>
      </c>
      <c r="L9" s="5" t="n">
        <f aca="false">IF(COUNT(Supuestos!L34)=1,Supuestos!L34,"N/D")</f>
        <v>1</v>
      </c>
      <c r="M9" s="5" t="n">
        <f aca="false">IF(COUNT(Supuestos!M34)=1,Supuestos!M34,"N/D")</f>
        <v>1</v>
      </c>
      <c r="N9" s="5" t="n">
        <f aca="false">IF(COUNT(Supuestos!N34)=1,Supuestos!N34,"N/D")</f>
        <v>1</v>
      </c>
      <c r="O9" s="5" t="n">
        <f aca="false">IF(COUNT(Supuestos!O34)=1,Supuestos!O34,"N/D")</f>
        <v>1</v>
      </c>
      <c r="P9" s="5" t="n">
        <f aca="false">IF(COUNT(Supuestos!P34)=1,Supuestos!P34,"N/D")</f>
        <v>1</v>
      </c>
      <c r="Q9" s="5" t="n">
        <f aca="false">IF(COUNT(Supuestos!Q34)=1,Supuestos!Q34,"N/D")</f>
        <v>1</v>
      </c>
    </row>
    <row r="10" customFormat="false" ht="19.5" hidden="false" customHeight="true" outlineLevel="0" collapsed="false">
      <c r="C10" s="4" t="s">
        <v>105</v>
      </c>
      <c r="D10" s="4" t="s">
        <v>104</v>
      </c>
      <c r="F10" s="5" t="n">
        <f aca="false">IF(COUNT(Supuestos!$D$13,Supuestos!$D$45,F9)=3,IF(0&lt;Supuestos!$D$45,IF(Supuestos!$G$6="Fondeadas",IF(0+Supuestos!$D$13&lt;Supuestos!$D$45,F9,0),F9),0),"N/D")</f>
        <v>1</v>
      </c>
      <c r="G10" s="5" t="n">
        <f aca="false">IF(COUNT(Supuestos!$D$13,Supuestos!$D$45,G9)=3,IF(1&lt;Supuestos!$D$45,IF(Supuestos!$G$6="Fondeadas",IF(1+Supuestos!$D$13&lt;Supuestos!$D$45,G9,0),G9),0),"N/D")</f>
        <v>1</v>
      </c>
      <c r="H10" s="5" t="n">
        <f aca="false">IF(COUNT(Supuestos!$D$13,Supuestos!$D$45,H9)=3,IF(2&lt;Supuestos!$D$45,IF(Supuestos!$G$6="Fondeadas",IF(2+Supuestos!$D$13&lt;Supuestos!$D$45,H9,0),H9),0),"N/D")</f>
        <v>1</v>
      </c>
      <c r="I10" s="5" t="n">
        <f aca="false">IF(COUNT(Supuestos!$D$13,Supuestos!$D$45,I9)=3,IF(3&lt;Supuestos!$D$45,IF(Supuestos!$G$6="Fondeadas",IF(3+Supuestos!$D$13&lt;Supuestos!$D$45,I9,0),I9),0),"N/D")</f>
        <v>1</v>
      </c>
      <c r="J10" s="5" t="n">
        <f aca="false">IF(COUNT(Supuestos!$D$13,Supuestos!$D$45,J9)=3,IF(4&lt;Supuestos!$D$45,IF(Supuestos!$G$6="Fondeadas",IF(4+Supuestos!$D$13&lt;Supuestos!$D$45,J9,0),J9),0),"N/D")</f>
        <v>1</v>
      </c>
      <c r="K10" s="5" t="n">
        <f aca="false">IF(COUNT(Supuestos!$D$13,Supuestos!$D$45,K9)=3,IF(5&lt;Supuestos!$D$45,IF(Supuestos!$G$6="Fondeadas",IF(5+Supuestos!$D$13&lt;Supuestos!$D$45,K9,0),K9),0),"N/D")</f>
        <v>1</v>
      </c>
      <c r="L10" s="5" t="n">
        <f aca="false">IF(COUNT(Supuestos!$D$13,Supuestos!$D$45,L9)=3,IF(6&lt;Supuestos!$D$45,IF(Supuestos!$G$6="Fondeadas",IF(6+Supuestos!$D$13&lt;Supuestos!$D$45,L9,0),L9),0),"N/D")</f>
        <v>1</v>
      </c>
      <c r="M10" s="5" t="n">
        <f aca="false">IF(COUNT(Supuestos!$D$13,Supuestos!$D$45,M9)=3,IF(7&lt;Supuestos!$D$45,IF(Supuestos!$G$6="Fondeadas",IF(7+Supuestos!$D$13&lt;Supuestos!$D$45,M9,0),M9),0),"N/D")</f>
        <v>1</v>
      </c>
      <c r="N10" s="5" t="n">
        <f aca="false">IF(COUNT(Supuestos!$D$13,Supuestos!$D$45,N9)=3,IF(8&lt;Supuestos!$D$45,IF(Supuestos!$G$6="Fondeadas",IF(8+Supuestos!$D$13&lt;Supuestos!$D$45,N9,0),N9),0),"N/D")</f>
        <v>1</v>
      </c>
      <c r="O10" s="5" t="n">
        <f aca="false">IF(COUNT(Supuestos!$D$13,Supuestos!$D$45,O9)=3,IF(9&lt;Supuestos!$D$45,IF(Supuestos!$G$6="Fondeadas",IF(9+Supuestos!$D$13&lt;Supuestos!$D$45,O9,0),O9),0),"N/D")</f>
        <v>1</v>
      </c>
      <c r="P10" s="5" t="n">
        <f aca="false">IF(COUNT(Supuestos!$D$13,Supuestos!$D$45,P9)=3,IF(10&lt;Supuestos!$D$45,IF(Supuestos!$G$6="Fondeadas",IF(10+Supuestos!$D$13&lt;Supuestos!$D$45,P9,0),P9),0),"N/D")</f>
        <v>1</v>
      </c>
      <c r="Q10" s="5" t="n">
        <f aca="false">IF(COUNT(Supuestos!$D$13,Supuestos!$D$45,Q9)=3,IF(11&lt;Supuestos!$D$45,IF(Supuestos!$G$6="Fondeadas",IF(11+Supuestos!$D$13&lt;Supuestos!$D$45,Q9,0),Q9),0),"N/D")</f>
        <v>1</v>
      </c>
    </row>
    <row r="11" customFormat="false" ht="19.5" hidden="false" customHeight="true" outlineLevel="0" collapsed="false">
      <c r="C11" s="4" t="s">
        <v>106</v>
      </c>
      <c r="D11" s="4" t="s">
        <v>6</v>
      </c>
      <c r="F11" s="5" t="n">
        <f aca="false">IF(COUNT(Supuestos!$D$13,Supuestos!$D$45,Supuestos!$D$10)=3,IF(AND(0&lt;Supuestos!$D$45,0&gt;=Supuestos!$D$13),IF(COUNT(INDEX($F$12:$Q$12,1,1-Supuestos!$D$13))=1,INDEX($F$12:$Q$12,1,1-Supuestos!$D$13)*Supuestos!$D$10,"N/D"),0),"N/D")</f>
        <v>8.23333333333333</v>
      </c>
      <c r="G11" s="5" t="n">
        <f aca="false">IF(COUNT(Supuestos!$D$13,Supuestos!$D$45,Supuestos!$D$10)=3,IF(AND(1&lt;Supuestos!$D$45,1&gt;=Supuestos!$D$13),IF(COUNT(INDEX($F$12:$Q$12,1,2-Supuestos!$D$13))=1,INDEX($F$12:$Q$12,1,2-Supuestos!$D$13)*Supuestos!$D$10,"N/D"),0),"N/D")</f>
        <v>8.23333333333333</v>
      </c>
      <c r="H11" s="5" t="n">
        <f aca="false">IF(COUNT(Supuestos!$D$13,Supuestos!$D$45,Supuestos!$D$10)=3,IF(AND(2&lt;Supuestos!$D$45,2&gt;=Supuestos!$D$13),IF(COUNT(INDEX($F$12:$Q$12,1,3-Supuestos!$D$13))=1,INDEX($F$12:$Q$12,1,3-Supuestos!$D$13)*Supuestos!$D$10,"N/D"),0),"N/D")</f>
        <v>8.23333333333333</v>
      </c>
      <c r="I11" s="5" t="n">
        <f aca="false">IF(COUNT(Supuestos!$D$13,Supuestos!$D$45,Supuestos!$D$10)=3,IF(AND(3&lt;Supuestos!$D$45,3&gt;=Supuestos!$D$13),IF(COUNT(INDEX($F$12:$Q$12,1,4-Supuestos!$D$13))=1,INDEX($F$12:$Q$12,1,4-Supuestos!$D$13)*Supuestos!$D$10,"N/D"),0),"N/D")</f>
        <v>8.23333333333333</v>
      </c>
      <c r="J11" s="5" t="n">
        <f aca="false">IF(COUNT(Supuestos!$D$13,Supuestos!$D$45,Supuestos!$D$10)=3,IF(AND(4&lt;Supuestos!$D$45,4&gt;=Supuestos!$D$13),IF(COUNT(INDEX($F$12:$Q$12,1,5-Supuestos!$D$13))=1,INDEX($F$12:$Q$12,1,5-Supuestos!$D$13)*Supuestos!$D$10,"N/D"),0),"N/D")</f>
        <v>8.23333333333333</v>
      </c>
      <c r="K11" s="5" t="n">
        <f aca="false">IF(COUNT(Supuestos!$D$13,Supuestos!$D$45,Supuestos!$D$10)=3,IF(AND(5&lt;Supuestos!$D$45,5&gt;=Supuestos!$D$13),IF(COUNT(INDEX($F$12:$Q$12,1,6-Supuestos!$D$13))=1,INDEX($F$12:$Q$12,1,6-Supuestos!$D$13)*Supuestos!$D$10,"N/D"),0),"N/D")</f>
        <v>8.23333333333333</v>
      </c>
      <c r="L11" s="5" t="n">
        <f aca="false">IF(COUNT(Supuestos!$D$13,Supuestos!$D$45,Supuestos!$D$10)=3,IF(AND(6&lt;Supuestos!$D$45,6&gt;=Supuestos!$D$13),IF(COUNT(INDEX($F$12:$Q$12,1,7-Supuestos!$D$13))=1,INDEX($F$12:$Q$12,1,7-Supuestos!$D$13)*Supuestos!$D$10,"N/D"),0),"N/D")</f>
        <v>8.23333333333333</v>
      </c>
      <c r="M11" s="5" t="n">
        <f aca="false">IF(COUNT(Supuestos!$D$13,Supuestos!$D$45,Supuestos!$D$10)=3,IF(AND(7&lt;Supuestos!$D$45,7&gt;=Supuestos!$D$13),IF(COUNT(INDEX($F$12:$Q$12,1,8-Supuestos!$D$13))=1,INDEX($F$12:$Q$12,1,8-Supuestos!$D$13)*Supuestos!$D$10,"N/D"),0),"N/D")</f>
        <v>8.23333333333333</v>
      </c>
      <c r="N11" s="5" t="n">
        <f aca="false">IF(COUNT(Supuestos!$D$13,Supuestos!$D$45,Supuestos!$D$10)=3,IF(AND(8&lt;Supuestos!$D$45,8&gt;=Supuestos!$D$13),IF(COUNT(INDEX($F$12:$Q$12,1,9-Supuestos!$D$13))=1,INDEX($F$12:$Q$12,1,9-Supuestos!$D$13)*Supuestos!$D$10,"N/D"),0),"N/D")</f>
        <v>8.23333333333333</v>
      </c>
      <c r="O11" s="5" t="n">
        <f aca="false">IF(COUNT(Supuestos!$D$13,Supuestos!$D$45,Supuestos!$D$10)=3,IF(AND(9&lt;Supuestos!$D$45,9&gt;=Supuestos!$D$13),IF(COUNT(INDEX($F$12:$Q$12,1,10-Supuestos!$D$13))=1,INDEX($F$12:$Q$12,1,10-Supuestos!$D$13)*Supuestos!$D$10,"N/D"),0),"N/D")</f>
        <v>8.23333333333333</v>
      </c>
      <c r="P11" s="5" t="n">
        <f aca="false">IF(COUNT(Supuestos!$D$13,Supuestos!$D$45,Supuestos!$D$10)=3,IF(AND(10&lt;Supuestos!$D$45,10&gt;=Supuestos!$D$13),IF(COUNT(INDEX($F$12:$Q$12,1,11-Supuestos!$D$13))=1,INDEX($F$12:$Q$12,1,11-Supuestos!$D$13)*Supuestos!$D$10,"N/D"),0),"N/D")</f>
        <v>8.23333333333333</v>
      </c>
      <c r="Q11" s="5" t="n">
        <f aca="false">IF(COUNT(Supuestos!$D$13,Supuestos!$D$45,Supuestos!$D$10)=3,IF(AND(11&lt;Supuestos!$D$45,11&gt;=Supuestos!$D$13),IF(COUNT(INDEX($F$12:$Q$12,1,12-Supuestos!$D$13))=1,INDEX($F$12:$Q$12,1,12-Supuestos!$D$13)*Supuestos!$D$10,"N/D"),0),"N/D")</f>
        <v>8.23333333333333</v>
      </c>
    </row>
    <row r="12" customFormat="false" ht="19.5" hidden="false" customHeight="true" outlineLevel="0" collapsed="false">
      <c r="C12" s="4" t="s">
        <v>107</v>
      </c>
      <c r="D12" s="4" t="s">
        <v>6</v>
      </c>
      <c r="F12" s="5" t="n">
        <f aca="false">IF(COUNT($F$10:$Q$10)=12,IF(SUM($F$10:$Q$10)&gt;0,IF(Supuestos!$G$6="Aperturas",Supuestos!$D$12*F10/SUM($F$10:$Q$10),IF(COUNT(Supuestos!$D$10)=1,IF(Supuestos!$D$10&gt;0,Supuestos!$D$12*F10/SUM($F$10:$Q$10)/Supuestos!$D$10,"N/D"),"N/D")),"N/D"),"N/D")</f>
        <v>12.6666666666667</v>
      </c>
      <c r="G12" s="5" t="n">
        <f aca="false">IF(COUNT($F$10:$Q$10)=12,IF(SUM($F$10:$Q$10)&gt;0,IF(Supuestos!$G$6="Aperturas",Supuestos!$D$12*G10/SUM($F$10:$Q$10),IF(COUNT(Supuestos!$D$10)=1,IF(Supuestos!$D$10&gt;0,Supuestos!$D$12*G10/SUM($F$10:$Q$10)/Supuestos!$D$10,"N/D"),"N/D")),"N/D"),"N/D")</f>
        <v>12.6666666666667</v>
      </c>
      <c r="H12" s="5" t="n">
        <f aca="false">IF(COUNT($F$10:$Q$10)=12,IF(SUM($F$10:$Q$10)&gt;0,IF(Supuestos!$G$6="Aperturas",Supuestos!$D$12*H10/SUM($F$10:$Q$10),IF(COUNT(Supuestos!$D$10)=1,IF(Supuestos!$D$10&gt;0,Supuestos!$D$12*H10/SUM($F$10:$Q$10)/Supuestos!$D$10,"N/D"),"N/D")),"N/D"),"N/D")</f>
        <v>12.6666666666667</v>
      </c>
      <c r="I12" s="5" t="n">
        <f aca="false">IF(COUNT($F$10:$Q$10)=12,IF(SUM($F$10:$Q$10)&gt;0,IF(Supuestos!$G$6="Aperturas",Supuestos!$D$12*I10/SUM($F$10:$Q$10),IF(COUNT(Supuestos!$D$10)=1,IF(Supuestos!$D$10&gt;0,Supuestos!$D$12*I10/SUM($F$10:$Q$10)/Supuestos!$D$10,"N/D"),"N/D")),"N/D"),"N/D")</f>
        <v>12.6666666666667</v>
      </c>
      <c r="J12" s="5" t="n">
        <f aca="false">IF(COUNT($F$10:$Q$10)=12,IF(SUM($F$10:$Q$10)&gt;0,IF(Supuestos!$G$6="Aperturas",Supuestos!$D$12*J10/SUM($F$10:$Q$10),IF(COUNT(Supuestos!$D$10)=1,IF(Supuestos!$D$10&gt;0,Supuestos!$D$12*J10/SUM($F$10:$Q$10)/Supuestos!$D$10,"N/D"),"N/D")),"N/D"),"N/D")</f>
        <v>12.6666666666667</v>
      </c>
      <c r="K12" s="5" t="n">
        <f aca="false">IF(COUNT($F$10:$Q$10)=12,IF(SUM($F$10:$Q$10)&gt;0,IF(Supuestos!$G$6="Aperturas",Supuestos!$D$12*K10/SUM($F$10:$Q$10),IF(COUNT(Supuestos!$D$10)=1,IF(Supuestos!$D$10&gt;0,Supuestos!$D$12*K10/SUM($F$10:$Q$10)/Supuestos!$D$10,"N/D"),"N/D")),"N/D"),"N/D")</f>
        <v>12.6666666666667</v>
      </c>
      <c r="L12" s="5" t="n">
        <f aca="false">IF(COUNT($F$10:$Q$10)=12,IF(SUM($F$10:$Q$10)&gt;0,IF(Supuestos!$G$6="Aperturas",Supuestos!$D$12*L10/SUM($F$10:$Q$10),IF(COUNT(Supuestos!$D$10)=1,IF(Supuestos!$D$10&gt;0,Supuestos!$D$12*L10/SUM($F$10:$Q$10)/Supuestos!$D$10,"N/D"),"N/D")),"N/D"),"N/D")</f>
        <v>12.6666666666667</v>
      </c>
      <c r="M12" s="5" t="n">
        <f aca="false">IF(COUNT($F$10:$Q$10)=12,IF(SUM($F$10:$Q$10)&gt;0,IF(Supuestos!$G$6="Aperturas",Supuestos!$D$12*M10/SUM($F$10:$Q$10),IF(COUNT(Supuestos!$D$10)=1,IF(Supuestos!$D$10&gt;0,Supuestos!$D$12*M10/SUM($F$10:$Q$10)/Supuestos!$D$10,"N/D"),"N/D")),"N/D"),"N/D")</f>
        <v>12.6666666666667</v>
      </c>
      <c r="N12" s="5" t="n">
        <f aca="false">IF(COUNT($F$10:$Q$10)=12,IF(SUM($F$10:$Q$10)&gt;0,IF(Supuestos!$G$6="Aperturas",Supuestos!$D$12*N10/SUM($F$10:$Q$10),IF(COUNT(Supuestos!$D$10)=1,IF(Supuestos!$D$10&gt;0,Supuestos!$D$12*N10/SUM($F$10:$Q$10)/Supuestos!$D$10,"N/D"),"N/D")),"N/D"),"N/D")</f>
        <v>12.6666666666667</v>
      </c>
      <c r="O12" s="5" t="n">
        <f aca="false">IF(COUNT($F$10:$Q$10)=12,IF(SUM($F$10:$Q$10)&gt;0,IF(Supuestos!$G$6="Aperturas",Supuestos!$D$12*O10/SUM($F$10:$Q$10),IF(COUNT(Supuestos!$D$10)=1,IF(Supuestos!$D$10&gt;0,Supuestos!$D$12*O10/SUM($F$10:$Q$10)/Supuestos!$D$10,"N/D"),"N/D")),"N/D"),"N/D")</f>
        <v>12.6666666666667</v>
      </c>
      <c r="P12" s="5" t="n">
        <f aca="false">IF(COUNT($F$10:$Q$10)=12,IF(SUM($F$10:$Q$10)&gt;0,IF(Supuestos!$G$6="Aperturas",Supuestos!$D$12*P10/SUM($F$10:$Q$10),IF(COUNT(Supuestos!$D$10)=1,IF(Supuestos!$D$10&gt;0,Supuestos!$D$12*P10/SUM($F$10:$Q$10)/Supuestos!$D$10,"N/D"),"N/D")),"N/D"),"N/D")</f>
        <v>12.6666666666667</v>
      </c>
      <c r="Q12" s="5" t="n">
        <f aca="false">IF(COUNT($F$10:$Q$10)=12,IF(SUM($F$10:$Q$10)&gt;0,IF(Supuestos!$G$6="Aperturas",Supuestos!$D$12*Q10/SUM($F$10:$Q$10),IF(COUNT(Supuestos!$D$10)=1,IF(Supuestos!$D$10&gt;0,Supuestos!$D$12*Q10/SUM($F$10:$Q$10)/Supuestos!$D$10,"N/D"),"N/D")),"N/D"),"N/D")</f>
        <v>12.6666666666667</v>
      </c>
    </row>
    <row r="13" customFormat="false" ht="19.5" hidden="false" customHeight="true" outlineLevel="0" collapsed="false">
      <c r="C13" s="4" t="s">
        <v>108</v>
      </c>
      <c r="D13" s="4" t="s">
        <v>8</v>
      </c>
      <c r="F13" s="5" t="n">
        <f aca="false">IF(COUNT(Supuestos!$D$9,F12)=2,IF(Supuestos!$D$9&gt;0,F12/Supuestos!$D$9,"N/D"),"N/D")</f>
        <v>633.333333333333</v>
      </c>
      <c r="G13" s="5" t="n">
        <f aca="false">IF(COUNT(Supuestos!$D$9,G12)=2,IF(Supuestos!$D$9&gt;0,G12/Supuestos!$D$9,"N/D"),"N/D")</f>
        <v>633.333333333333</v>
      </c>
      <c r="H13" s="5" t="n">
        <f aca="false">IF(COUNT(Supuestos!$D$9,H12)=2,IF(Supuestos!$D$9&gt;0,H12/Supuestos!$D$9,"N/D"),"N/D")</f>
        <v>633.333333333333</v>
      </c>
      <c r="I13" s="5" t="n">
        <f aca="false">IF(COUNT(Supuestos!$D$9,I12)=2,IF(Supuestos!$D$9&gt;0,I12/Supuestos!$D$9,"N/D"),"N/D")</f>
        <v>633.333333333333</v>
      </c>
      <c r="J13" s="5" t="n">
        <f aca="false">IF(COUNT(Supuestos!$D$9,J12)=2,IF(Supuestos!$D$9&gt;0,J12/Supuestos!$D$9,"N/D"),"N/D")</f>
        <v>633.333333333333</v>
      </c>
      <c r="K13" s="5" t="n">
        <f aca="false">IF(COUNT(Supuestos!$D$9,K12)=2,IF(Supuestos!$D$9&gt;0,K12/Supuestos!$D$9,"N/D"),"N/D")</f>
        <v>633.333333333333</v>
      </c>
      <c r="L13" s="5" t="n">
        <f aca="false">IF(COUNT(Supuestos!$D$9,L12)=2,IF(Supuestos!$D$9&gt;0,L12/Supuestos!$D$9,"N/D"),"N/D")</f>
        <v>633.333333333333</v>
      </c>
      <c r="M13" s="5" t="n">
        <f aca="false">IF(COUNT(Supuestos!$D$9,M12)=2,IF(Supuestos!$D$9&gt;0,M12/Supuestos!$D$9,"N/D"),"N/D")</f>
        <v>633.333333333333</v>
      </c>
      <c r="N13" s="5" t="n">
        <f aca="false">IF(COUNT(Supuestos!$D$9,N12)=2,IF(Supuestos!$D$9&gt;0,N12/Supuestos!$D$9,"N/D"),"N/D")</f>
        <v>633.333333333333</v>
      </c>
      <c r="O13" s="5" t="n">
        <f aca="false">IF(COUNT(Supuestos!$D$9,O12)=2,IF(Supuestos!$D$9&gt;0,O12/Supuestos!$D$9,"N/D"),"N/D")</f>
        <v>633.333333333333</v>
      </c>
      <c r="P13" s="5" t="n">
        <f aca="false">IF(COUNT(Supuestos!$D$9,P12)=2,IF(Supuestos!$D$9&gt;0,P12/Supuestos!$D$9,"N/D"),"N/D")</f>
        <v>633.333333333333</v>
      </c>
      <c r="Q13" s="5" t="n">
        <f aca="false">IF(COUNT(Supuestos!$D$9,Q12)=2,IF(Supuestos!$D$9&gt;0,Q12/Supuestos!$D$9,"N/D"),"N/D")</f>
        <v>633.333333333333</v>
      </c>
    </row>
    <row r="14" customFormat="false" ht="19.5" hidden="false" customHeight="true" outlineLevel="0" collapsed="false"/>
    <row r="15" customFormat="false" ht="19.5" hidden="false" customHeight="true" outlineLevel="0" collapsed="false">
      <c r="C15" s="4" t="s">
        <v>109</v>
      </c>
      <c r="D15" s="4" t="s">
        <v>110</v>
      </c>
      <c r="F15" s="5" t="n">
        <f aca="false">Evidencia!J5</f>
        <v>3690</v>
      </c>
      <c r="G15" s="5" t="n">
        <f aca="false">Evidencia!J5</f>
        <v>3690</v>
      </c>
      <c r="H15" s="5" t="n">
        <f aca="false">Evidencia!J5</f>
        <v>3690</v>
      </c>
      <c r="I15" s="5" t="n">
        <f aca="false">Evidencia!J5</f>
        <v>3690</v>
      </c>
      <c r="J15" s="5" t="n">
        <f aca="false">Evidencia!J5</f>
        <v>3690</v>
      </c>
      <c r="K15" s="5" t="n">
        <f aca="false">Evidencia!J5</f>
        <v>3690</v>
      </c>
      <c r="L15" s="5" t="n">
        <f aca="false">Evidencia!J5</f>
        <v>3690</v>
      </c>
      <c r="M15" s="5" t="n">
        <f aca="false">Evidencia!J5</f>
        <v>3690</v>
      </c>
      <c r="N15" s="5" t="n">
        <f aca="false">Evidencia!J5</f>
        <v>3690</v>
      </c>
      <c r="O15" s="5" t="n">
        <f aca="false">Evidencia!J5</f>
        <v>3690</v>
      </c>
      <c r="P15" s="5" t="n">
        <f aca="false">Evidencia!J5</f>
        <v>3690</v>
      </c>
      <c r="Q15" s="5" t="n">
        <f aca="false">Evidencia!J5</f>
        <v>3690</v>
      </c>
    </row>
    <row r="16" customFormat="false" ht="19.5" hidden="false" customHeight="true" outlineLevel="0" collapsed="false">
      <c r="C16" s="4" t="s">
        <v>111</v>
      </c>
      <c r="D16" s="4" t="s">
        <v>110</v>
      </c>
      <c r="F16" s="5" t="n">
        <f aca="false">IF(COUNT(F15,Supuestos!$D$11,Supuestos!$D$45)=3,IF(0&lt;Supuestos!$D$45,F15*Supuestos!$D$11,0),"N/D")</f>
        <v>2767.5</v>
      </c>
      <c r="G16" s="5" t="n">
        <f aca="false">IF(COUNT(G15,Supuestos!$D$11,Supuestos!$D$45)=3,IF(1&lt;Supuestos!$D$45,G15*Supuestos!$D$11,0),"N/D")</f>
        <v>2767.5</v>
      </c>
      <c r="H16" s="5" t="n">
        <f aca="false">IF(COUNT(H15,Supuestos!$D$11,Supuestos!$D$45)=3,IF(2&lt;Supuestos!$D$45,H15*Supuestos!$D$11,0),"N/D")</f>
        <v>2767.5</v>
      </c>
      <c r="I16" s="5" t="n">
        <f aca="false">IF(COUNT(I15,Supuestos!$D$11,Supuestos!$D$45)=3,IF(3&lt;Supuestos!$D$45,I15*Supuestos!$D$11,0),"N/D")</f>
        <v>2767.5</v>
      </c>
      <c r="J16" s="5" t="n">
        <f aca="false">IF(COUNT(J15,Supuestos!$D$11,Supuestos!$D$45)=3,IF(4&lt;Supuestos!$D$45,J15*Supuestos!$D$11,0),"N/D")</f>
        <v>2767.5</v>
      </c>
      <c r="K16" s="5" t="n">
        <f aca="false">IF(COUNT(K15,Supuestos!$D$11,Supuestos!$D$45)=3,IF(5&lt;Supuestos!$D$45,K15*Supuestos!$D$11,0),"N/D")</f>
        <v>2767.5</v>
      </c>
      <c r="L16" s="5" t="n">
        <f aca="false">IF(COUNT(L15,Supuestos!$D$11,Supuestos!$D$45)=3,IF(6&lt;Supuestos!$D$45,L15*Supuestos!$D$11,0),"N/D")</f>
        <v>2767.5</v>
      </c>
      <c r="M16" s="5" t="n">
        <f aca="false">IF(COUNT(M15,Supuestos!$D$11,Supuestos!$D$45)=3,IF(7&lt;Supuestos!$D$45,M15*Supuestos!$D$11,0),"N/D")</f>
        <v>2767.5</v>
      </c>
      <c r="N16" s="5" t="n">
        <f aca="false">IF(COUNT(N15,Supuestos!$D$11,Supuestos!$D$45)=3,IF(8&lt;Supuestos!$D$45,N15*Supuestos!$D$11,0),"N/D")</f>
        <v>2767.5</v>
      </c>
      <c r="O16" s="5" t="n">
        <f aca="false">IF(COUNT(O15,Supuestos!$D$11,Supuestos!$D$45)=3,IF(9&lt;Supuestos!$D$45,O15*Supuestos!$D$11,0),"N/D")</f>
        <v>2767.5</v>
      </c>
      <c r="P16" s="5" t="n">
        <f aca="false">IF(COUNT(P15,Supuestos!$D$11,Supuestos!$D$45)=3,IF(10&lt;Supuestos!$D$45,P15*Supuestos!$D$11,0),"N/D")</f>
        <v>2767.5</v>
      </c>
      <c r="Q16" s="5" t="n">
        <f aca="false">IF(COUNT(Q15,Supuestos!$D$11,Supuestos!$D$45)=3,IF(11&lt;Supuestos!$D$45,Q15*Supuestos!$D$11,0),"N/D")</f>
        <v>2767.5</v>
      </c>
    </row>
    <row r="17" customFormat="false" ht="19.5" hidden="false" customHeight="true" outlineLevel="0" collapsed="false">
      <c r="C17" s="4" t="s">
        <v>112</v>
      </c>
      <c r="D17" s="4" t="s">
        <v>10</v>
      </c>
      <c r="F17" s="13" t="n">
        <f aca="false">IF(COUNT(F13,F16)=2,IF(F16&gt;0,F13/F16,"N/D"),"N/D")</f>
        <v>0.228846732911774</v>
      </c>
      <c r="G17" s="13" t="n">
        <f aca="false">IF(COUNT(G13,G16)=2,IF(G16&gt;0,G13/G16,"N/D"),"N/D")</f>
        <v>0.228846732911774</v>
      </c>
      <c r="H17" s="13" t="n">
        <f aca="false">IF(COUNT(H13,H16)=2,IF(H16&gt;0,H13/H16,"N/D"),"N/D")</f>
        <v>0.228846732911774</v>
      </c>
      <c r="I17" s="13" t="n">
        <f aca="false">IF(COUNT(I13,I16)=2,IF(I16&gt;0,I13/I16,"N/D"),"N/D")</f>
        <v>0.228846732911774</v>
      </c>
      <c r="J17" s="13" t="n">
        <f aca="false">IF(COUNT(J13,J16)=2,IF(J16&gt;0,J13/J16,"N/D"),"N/D")</f>
        <v>0.228846732911774</v>
      </c>
      <c r="K17" s="13" t="n">
        <f aca="false">IF(COUNT(K13,K16)=2,IF(K16&gt;0,K13/K16,"N/D"),"N/D")</f>
        <v>0.228846732911774</v>
      </c>
      <c r="L17" s="13" t="n">
        <f aca="false">IF(COUNT(L13,L16)=2,IF(L16&gt;0,L13/L16,"N/D"),"N/D")</f>
        <v>0.228846732911774</v>
      </c>
      <c r="M17" s="13" t="n">
        <f aca="false">IF(COUNT(M13,M16)=2,IF(M16&gt;0,M13/M16,"N/D"),"N/D")</f>
        <v>0.228846732911774</v>
      </c>
      <c r="N17" s="13" t="n">
        <f aca="false">IF(COUNT(N13,N16)=2,IF(N16&gt;0,N13/N16,"N/D"),"N/D")</f>
        <v>0.228846732911774</v>
      </c>
      <c r="O17" s="13" t="n">
        <f aca="false">IF(COUNT(O13,O16)=2,IF(O16&gt;0,O13/O16,"N/D"),"N/D")</f>
        <v>0.228846732911774</v>
      </c>
      <c r="P17" s="13" t="n">
        <f aca="false">IF(COUNT(P13,P16)=2,IF(P16&gt;0,P13/P16,"N/D"),"N/D")</f>
        <v>0.228846732911774</v>
      </c>
      <c r="Q17" s="13" t="n">
        <f aca="false">IF(COUNT(Q13,Q16)=2,IF(Q16&gt;0,Q13/Q16,"N/D"),"N/D")</f>
        <v>0.228846732911774</v>
      </c>
    </row>
    <row r="18" customFormat="false" ht="19.5" hidden="false" customHeight="true" outlineLevel="0" collapsed="false"/>
    <row r="19" customFormat="false" ht="19.5" hidden="false" customHeight="true" outlineLevel="0" collapsed="false">
      <c r="C19" s="4" t="s">
        <v>113</v>
      </c>
      <c r="D19" s="4" t="s">
        <v>12</v>
      </c>
      <c r="F19" s="8" t="n">
        <f aca="false">Cohortes!L63</f>
        <v>7795.99283154122</v>
      </c>
      <c r="G19" s="8" t="n">
        <f aca="false">Cohortes!M63</f>
        <v>20814.0381944444</v>
      </c>
      <c r="H19" s="8" t="n">
        <f aca="false">Cohortes!N63</f>
        <v>34499.4372759857</v>
      </c>
      <c r="I19" s="8" t="n">
        <f aca="false">Cohortes!O63</f>
        <v>46610.9583333333</v>
      </c>
      <c r="J19" s="8" t="n">
        <f aca="false">Cohortes!P63</f>
        <v>58785.483572282</v>
      </c>
      <c r="K19" s="8" t="n">
        <f aca="false">Cohortes!Q63</f>
        <v>70296.6574074074</v>
      </c>
      <c r="L19" s="8" t="n">
        <f aca="false">Cohortes!R63</f>
        <v>82049.8578840938</v>
      </c>
      <c r="M19" s="8" t="n">
        <f aca="false">Cohortes!S63</f>
        <v>93385.9278290387</v>
      </c>
      <c r="N19" s="8" t="n">
        <f aca="false">Cohortes!T63</f>
        <v>104449.70777027</v>
      </c>
      <c r="O19" s="8" t="n">
        <f aca="false">Cohortes!U63</f>
        <v>115836.101502712</v>
      </c>
      <c r="P19" s="8" t="n">
        <f aca="false">Cohortes!V63</f>
        <v>126666.449136637</v>
      </c>
      <c r="Q19" s="8" t="n">
        <f aca="false">Cohortes!W63</f>
        <v>137807.295446656</v>
      </c>
    </row>
    <row r="20" customFormat="false" ht="19.5" hidden="false" customHeight="true" outlineLevel="0" collapsed="false">
      <c r="C20" s="4" t="s">
        <v>114</v>
      </c>
      <c r="D20" s="4" t="s">
        <v>12</v>
      </c>
      <c r="F20" s="8" t="n">
        <f aca="false">Cohortes!L43</f>
        <v>14024.1111111111</v>
      </c>
      <c r="G20" s="8" t="n">
        <f aca="false">Cohortes!M43</f>
        <v>27447.875</v>
      </c>
      <c r="H20" s="8" t="n">
        <f aca="false">Cohortes!N43</f>
        <v>39983.125</v>
      </c>
      <c r="I20" s="8" t="n">
        <f aca="false">Cohortes!O43</f>
        <v>52110.1388888889</v>
      </c>
      <c r="J20" s="8" t="n">
        <f aca="false">Cohortes!P43</f>
        <v>63892.9537037037</v>
      </c>
      <c r="K20" s="8" t="n">
        <f aca="false">Cohortes!Q43</f>
        <v>75571.7083333333</v>
      </c>
      <c r="L20" s="8" t="n">
        <f aca="false">Cohortes!R43</f>
        <v>86960.1328828829</v>
      </c>
      <c r="M20" s="8" t="n">
        <f aca="false">Cohortes!S43</f>
        <v>98243.8482232232</v>
      </c>
      <c r="N20" s="8" t="n">
        <f aca="false">Cohortes!T43</f>
        <v>109526.91453954</v>
      </c>
      <c r="O20" s="8" t="n">
        <f aca="false">Cohortes!U43</f>
        <v>120577.413913914</v>
      </c>
      <c r="P20" s="8" t="n">
        <f aca="false">Cohortes!V43</f>
        <v>131626.831581582</v>
      </c>
      <c r="Q20" s="8" t="n">
        <f aca="false">Cohortes!W43</f>
        <v>142419.88475976</v>
      </c>
    </row>
    <row r="21" customFormat="false" ht="19.5" hidden="false" customHeight="true" outlineLevel="0" collapsed="false"/>
    <row r="22" customFormat="false" ht="19.5" hidden="false" customHeight="true" outlineLevel="0" collapsed="false">
      <c r="C22" s="4" t="s">
        <v>115</v>
      </c>
      <c r="D22" s="4" t="s">
        <v>15</v>
      </c>
      <c r="F22" s="8" t="str">
        <f aca="false">IF(COUNT(Supuestos!$D$45)=1,IF(0&gt;=Supuestos!$D$45,0,IF(AND(Supuestos!$D$16="Sí",Supuestos!$D$52="Saldo medio externo",COUNT(Supuestos!$D$17,F19)=2),F19*Supuestos!$D$17/12,"N/D")),"N/D")</f>
        <v>N/D</v>
      </c>
      <c r="G22" s="8" t="str">
        <f aca="false">IF(COUNT(Supuestos!$D$45)=1,IF(1&gt;=Supuestos!$D$45,0,IF(AND(Supuestos!$D$16="Sí",Supuestos!$D$52="Saldo medio externo",COUNT(Supuestos!$D$17,G19)=2),G19*Supuestos!$D$17/12,"N/D")),"N/D")</f>
        <v>N/D</v>
      </c>
      <c r="H22" s="8" t="str">
        <f aca="false">IF(COUNT(Supuestos!$D$45)=1,IF(2&gt;=Supuestos!$D$45,0,IF(AND(Supuestos!$D$16="Sí",Supuestos!$D$52="Saldo medio externo",COUNT(Supuestos!$D$17,H19)=2),H19*Supuestos!$D$17/12,"N/D")),"N/D")</f>
        <v>N/D</v>
      </c>
      <c r="I22" s="8" t="str">
        <f aca="false">IF(COUNT(Supuestos!$D$45)=1,IF(3&gt;=Supuestos!$D$45,0,IF(AND(Supuestos!$D$16="Sí",Supuestos!$D$52="Saldo medio externo",COUNT(Supuestos!$D$17,I19)=2),I19*Supuestos!$D$17/12,"N/D")),"N/D")</f>
        <v>N/D</v>
      </c>
      <c r="J22" s="8" t="str">
        <f aca="false">IF(COUNT(Supuestos!$D$45)=1,IF(4&gt;=Supuestos!$D$45,0,IF(AND(Supuestos!$D$16="Sí",Supuestos!$D$52="Saldo medio externo",COUNT(Supuestos!$D$17,J19)=2),J19*Supuestos!$D$17/12,"N/D")),"N/D")</f>
        <v>N/D</v>
      </c>
      <c r="K22" s="8" t="str">
        <f aca="false">IF(COUNT(Supuestos!$D$45)=1,IF(5&gt;=Supuestos!$D$45,0,IF(AND(Supuestos!$D$16="Sí",Supuestos!$D$52="Saldo medio externo",COUNT(Supuestos!$D$17,K19)=2),K19*Supuestos!$D$17/12,"N/D")),"N/D")</f>
        <v>N/D</v>
      </c>
      <c r="L22" s="8" t="str">
        <f aca="false">IF(COUNT(Supuestos!$D$45)=1,IF(6&gt;=Supuestos!$D$45,0,IF(AND(Supuestos!$D$16="Sí",Supuestos!$D$52="Saldo medio externo",COUNT(Supuestos!$D$17,L19)=2),L19*Supuestos!$D$17/12,"N/D")),"N/D")</f>
        <v>N/D</v>
      </c>
      <c r="M22" s="8" t="str">
        <f aca="false">IF(COUNT(Supuestos!$D$45)=1,IF(7&gt;=Supuestos!$D$45,0,IF(AND(Supuestos!$D$16="Sí",Supuestos!$D$52="Saldo medio externo",COUNT(Supuestos!$D$17,M19)=2),M19*Supuestos!$D$17/12,"N/D")),"N/D")</f>
        <v>N/D</v>
      </c>
      <c r="N22" s="8" t="str">
        <f aca="false">IF(COUNT(Supuestos!$D$45)=1,IF(8&gt;=Supuestos!$D$45,0,IF(AND(Supuestos!$D$16="Sí",Supuestos!$D$52="Saldo medio externo",COUNT(Supuestos!$D$17,N19)=2),N19*Supuestos!$D$17/12,"N/D")),"N/D")</f>
        <v>N/D</v>
      </c>
      <c r="O22" s="8" t="str">
        <f aca="false">IF(COUNT(Supuestos!$D$45)=1,IF(9&gt;=Supuestos!$D$45,0,IF(AND(Supuestos!$D$16="Sí",Supuestos!$D$52="Saldo medio externo",COUNT(Supuestos!$D$17,O19)=2),O19*Supuestos!$D$17/12,"N/D")),"N/D")</f>
        <v>N/D</v>
      </c>
      <c r="P22" s="8" t="str">
        <f aca="false">IF(COUNT(Supuestos!$D$45)=1,IF(10&gt;=Supuestos!$D$45,0,IF(AND(Supuestos!$D$16="Sí",Supuestos!$D$52="Saldo medio externo",COUNT(Supuestos!$D$17,P19)=2),P19*Supuestos!$D$17/12,"N/D")),"N/D")</f>
        <v>N/D</v>
      </c>
      <c r="Q22" s="8" t="str">
        <f aca="false">IF(COUNT(Supuestos!$D$45)=1,IF(11&gt;=Supuestos!$D$45,0,IF(AND(Supuestos!$D$16="Sí",Supuestos!$D$52="Saldo medio externo",COUNT(Supuestos!$D$17,Q19)=2),Q19*Supuestos!$D$17/12,"N/D")),"N/D")</f>
        <v>N/D</v>
      </c>
    </row>
    <row r="23" customFormat="false" ht="19.5" hidden="false" customHeight="true" outlineLevel="0" collapsed="false">
      <c r="C23" s="4" t="s">
        <v>116</v>
      </c>
      <c r="D23" s="4" t="s">
        <v>15</v>
      </c>
      <c r="F23" s="8" t="str">
        <f aca="false">IF(COUNT(Supuestos!$D$45)=1,IF(0&gt;=Supuestos!$D$45,0,IF(COUNT(Supuestos!F32)=1,IF(Supuestos!F32&gt;=0,Supuestos!F32,"N/D"),"N/D")),"N/D")</f>
        <v>N/D</v>
      </c>
      <c r="G23" s="8" t="str">
        <f aca="false">IF(COUNT(Supuestos!$D$45)=1,IF(1&gt;=Supuestos!$D$45,0,IF(COUNT(Supuestos!G32)=1,IF(Supuestos!G32&gt;=0,Supuestos!G32,"N/D"),"N/D")),"N/D")</f>
        <v>N/D</v>
      </c>
      <c r="H23" s="8" t="str">
        <f aca="false">IF(COUNT(Supuestos!$D$45)=1,IF(2&gt;=Supuestos!$D$45,0,IF(COUNT(Supuestos!H32)=1,IF(Supuestos!H32&gt;=0,Supuestos!H32,"N/D"),"N/D")),"N/D")</f>
        <v>N/D</v>
      </c>
      <c r="I23" s="8" t="str">
        <f aca="false">IF(COUNT(Supuestos!$D$45)=1,IF(3&gt;=Supuestos!$D$45,0,IF(COUNT(Supuestos!I32)=1,IF(Supuestos!I32&gt;=0,Supuestos!I32,"N/D"),"N/D")),"N/D")</f>
        <v>N/D</v>
      </c>
      <c r="J23" s="8" t="str">
        <f aca="false">IF(COUNT(Supuestos!$D$45)=1,IF(4&gt;=Supuestos!$D$45,0,IF(COUNT(Supuestos!J32)=1,IF(Supuestos!J32&gt;=0,Supuestos!J32,"N/D"),"N/D")),"N/D")</f>
        <v>N/D</v>
      </c>
      <c r="K23" s="8" t="str">
        <f aca="false">IF(COUNT(Supuestos!$D$45)=1,IF(5&gt;=Supuestos!$D$45,0,IF(COUNT(Supuestos!K32)=1,IF(Supuestos!K32&gt;=0,Supuestos!K32,"N/D"),"N/D")),"N/D")</f>
        <v>N/D</v>
      </c>
      <c r="L23" s="8" t="str">
        <f aca="false">IF(COUNT(Supuestos!$D$45)=1,IF(6&gt;=Supuestos!$D$45,0,IF(COUNT(Supuestos!L32)=1,IF(Supuestos!L32&gt;=0,Supuestos!L32,"N/D"),"N/D")),"N/D")</f>
        <v>N/D</v>
      </c>
      <c r="M23" s="8" t="str">
        <f aca="false">IF(COUNT(Supuestos!$D$45)=1,IF(7&gt;=Supuestos!$D$45,0,IF(COUNT(Supuestos!M32)=1,IF(Supuestos!M32&gt;=0,Supuestos!M32,"N/D"),"N/D")),"N/D")</f>
        <v>N/D</v>
      </c>
      <c r="N23" s="8" t="str">
        <f aca="false">IF(COUNT(Supuestos!$D$45)=1,IF(8&gt;=Supuestos!$D$45,0,IF(COUNT(Supuestos!N32)=1,IF(Supuestos!N32&gt;=0,Supuestos!N32,"N/D"),"N/D")),"N/D")</f>
        <v>N/D</v>
      </c>
      <c r="O23" s="8" t="str">
        <f aca="false">IF(COUNT(Supuestos!$D$45)=1,IF(9&gt;=Supuestos!$D$45,0,IF(COUNT(Supuestos!O32)=1,IF(Supuestos!O32&gt;=0,Supuestos!O32,"N/D"),"N/D")),"N/D")</f>
        <v>N/D</v>
      </c>
      <c r="P23" s="8" t="str">
        <f aca="false">IF(COUNT(Supuestos!$D$45)=1,IF(10&gt;=Supuestos!$D$45,0,IF(COUNT(Supuestos!P32)=1,IF(Supuestos!P32&gt;=0,Supuestos!P32,"N/D"),"N/D")),"N/D")</f>
        <v>N/D</v>
      </c>
      <c r="Q23" s="8" t="str">
        <f aca="false">IF(COUNT(Supuestos!$D$45)=1,IF(11&gt;=Supuestos!$D$45,0,IF(COUNT(Supuestos!Q32)=1,IF(Supuestos!Q32&gt;=0,Supuestos!Q32,"N/D"),"N/D")),"N/D")</f>
        <v>N/D</v>
      </c>
    </row>
    <row r="24" customFormat="false" ht="19.5" hidden="false" customHeight="true" outlineLevel="0" collapsed="false">
      <c r="C24" s="4" t="s">
        <v>117</v>
      </c>
      <c r="D24" s="4" t="s">
        <v>15</v>
      </c>
      <c r="F24" s="11" t="str">
        <f aca="false">IF(COUNT($F$22:F22)=1,SUM($F$22:F22),"N/D")</f>
        <v>N/D</v>
      </c>
      <c r="G24" s="11" t="str">
        <f aca="false">IF(COUNT($F$22:G22)=2,SUM($F$22:G22),"N/D")</f>
        <v>N/D</v>
      </c>
      <c r="H24" s="11" t="str">
        <f aca="false">IF(COUNT($F$22:H22)=3,SUM($F$22:H22),"N/D")</f>
        <v>N/D</v>
      </c>
      <c r="I24" s="11" t="str">
        <f aca="false">IF(COUNT($F$22:I22)=4,SUM($F$22:I22),"N/D")</f>
        <v>N/D</v>
      </c>
      <c r="J24" s="11" t="str">
        <f aca="false">IF(COUNT($F$22:J22)=5,SUM($F$22:J22),"N/D")</f>
        <v>N/D</v>
      </c>
      <c r="K24" s="11" t="str">
        <f aca="false">IF(COUNT($F$22:K22)=6,SUM($F$22:K22),"N/D")</f>
        <v>N/D</v>
      </c>
      <c r="L24" s="11" t="str">
        <f aca="false">IF(COUNT($F$22:L22)=7,SUM($F$22:L22),"N/D")</f>
        <v>N/D</v>
      </c>
      <c r="M24" s="11" t="str">
        <f aca="false">IF(COUNT($F$22:M22)=8,SUM($F$22:M22),"N/D")</f>
        <v>N/D</v>
      </c>
      <c r="N24" s="11" t="str">
        <f aca="false">IF(COUNT($F$22:N22)=9,SUM($F$22:N22),"N/D")</f>
        <v>N/D</v>
      </c>
      <c r="O24" s="11" t="str">
        <f aca="false">IF(COUNT($F$22:O22)=10,SUM($F$22:O22),"N/D")</f>
        <v>N/D</v>
      </c>
      <c r="P24" s="11" t="str">
        <f aca="false">IF(COUNT($F$22:P22)=11,SUM($F$22:P22),"N/D")</f>
        <v>N/D</v>
      </c>
      <c r="Q24" s="11" t="str">
        <f aca="false">IF(COUNT($F$22:Q22)=12,SUM($F$22:Q22),"N/D")</f>
        <v>N/D</v>
      </c>
    </row>
    <row r="25" customFormat="false" ht="19.5" hidden="false" customHeight="true" outlineLevel="0" collapsed="false">
      <c r="C25" s="4" t="s">
        <v>118</v>
      </c>
      <c r="D25" s="4" t="s">
        <v>15</v>
      </c>
      <c r="F25" s="11" t="str">
        <f aca="false">IF(COUNT($F$23:F23)=1,SUM($F$23:F23),"N/D")</f>
        <v>N/D</v>
      </c>
      <c r="G25" s="11" t="str">
        <f aca="false">IF(COUNT($F$23:G23)=2,SUM($F$23:G23),"N/D")</f>
        <v>N/D</v>
      </c>
      <c r="H25" s="11" t="str">
        <f aca="false">IF(COUNT($F$23:H23)=3,SUM($F$23:H23),"N/D")</f>
        <v>N/D</v>
      </c>
      <c r="I25" s="11" t="str">
        <f aca="false">IF(COUNT($F$23:I23)=4,SUM($F$23:I23),"N/D")</f>
        <v>N/D</v>
      </c>
      <c r="J25" s="11" t="str">
        <f aca="false">IF(COUNT($F$23:J23)=5,SUM($F$23:J23),"N/D")</f>
        <v>N/D</v>
      </c>
      <c r="K25" s="11" t="str">
        <f aca="false">IF(COUNT($F$23:K23)=6,SUM($F$23:K23),"N/D")</f>
        <v>N/D</v>
      </c>
      <c r="L25" s="11" t="str">
        <f aca="false">IF(COUNT($F$23:L23)=7,SUM($F$23:L23),"N/D")</f>
        <v>N/D</v>
      </c>
      <c r="M25" s="11" t="str">
        <f aca="false">IF(COUNT($F$23:M23)=8,SUM($F$23:M23),"N/D")</f>
        <v>N/D</v>
      </c>
      <c r="N25" s="11" t="str">
        <f aca="false">IF(COUNT($F$23:N23)=9,SUM($F$23:N23),"N/D")</f>
        <v>N/D</v>
      </c>
      <c r="O25" s="11" t="str">
        <f aca="false">IF(COUNT($F$23:O23)=10,SUM($F$23:O23),"N/D")</f>
        <v>N/D</v>
      </c>
      <c r="P25" s="11" t="str">
        <f aca="false">IF(COUNT($F$23:P23)=11,SUM($F$23:P23),"N/D")</f>
        <v>N/D</v>
      </c>
      <c r="Q25" s="11" t="str">
        <f aca="false">IF(COUNT($F$23:Q23)=12,SUM($F$23:Q23),"N/D")</f>
        <v>N/D</v>
      </c>
    </row>
    <row r="26" customFormat="false" ht="19.5" hidden="false" customHeight="true" outlineLevel="0" collapsed="false">
      <c r="C26" s="4" t="s">
        <v>119</v>
      </c>
      <c r="D26" s="4" t="s">
        <v>21</v>
      </c>
      <c r="F26" s="7" t="str">
        <f aca="false">IF(AND(Supuestos!$D$16="Sí",Supuestos!$D$19="Sí",COUNT(F24,F25)=2,F25&gt;0),(F24-F25)/F25,"N/D")</f>
        <v>N/D</v>
      </c>
      <c r="G26" s="7" t="str">
        <f aca="false">IF(AND(Supuestos!$D$16="Sí",Supuestos!$D$19="Sí",COUNT(G24,G25)=2,G25&gt;0),(G24-G25)/G25,"N/D")</f>
        <v>N/D</v>
      </c>
      <c r="H26" s="7" t="str">
        <f aca="false">IF(AND(Supuestos!$D$16="Sí",Supuestos!$D$19="Sí",COUNT(H24,H25)=2,H25&gt;0),(H24-H25)/H25,"N/D")</f>
        <v>N/D</v>
      </c>
      <c r="I26" s="7" t="str">
        <f aca="false">IF(AND(Supuestos!$D$16="Sí",Supuestos!$D$19="Sí",COUNT(I24,I25)=2,I25&gt;0),(I24-I25)/I25,"N/D")</f>
        <v>N/D</v>
      </c>
      <c r="J26" s="7" t="str">
        <f aca="false">IF(AND(Supuestos!$D$16="Sí",Supuestos!$D$19="Sí",COUNT(J24,J25)=2,J25&gt;0),(J24-J25)/J25,"N/D")</f>
        <v>N/D</v>
      </c>
      <c r="K26" s="7" t="str">
        <f aca="false">IF(AND(Supuestos!$D$16="Sí",Supuestos!$D$19="Sí",COUNT(K24,K25)=2,K25&gt;0),(K24-K25)/K25,"N/D")</f>
        <v>N/D</v>
      </c>
      <c r="L26" s="7" t="str">
        <f aca="false">IF(AND(Supuestos!$D$16="Sí",Supuestos!$D$19="Sí",COUNT(L24,L25)=2,L25&gt;0),(L24-L25)/L25,"N/D")</f>
        <v>N/D</v>
      </c>
      <c r="M26" s="7" t="str">
        <f aca="false">IF(AND(Supuestos!$D$16="Sí",Supuestos!$D$19="Sí",COUNT(M24,M25)=2,M25&gt;0),(M24-M25)/M25,"N/D")</f>
        <v>N/D</v>
      </c>
      <c r="N26" s="7" t="str">
        <f aca="false">IF(AND(Supuestos!$D$16="Sí",Supuestos!$D$19="Sí",COUNT(N24,N25)=2,N25&gt;0),(N24-N25)/N25,"N/D")</f>
        <v>N/D</v>
      </c>
      <c r="O26" s="7" t="str">
        <f aca="false">IF(AND(Supuestos!$D$16="Sí",Supuestos!$D$19="Sí",COUNT(O24,O25)=2,O25&gt;0),(O24-O25)/O25,"N/D")</f>
        <v>N/D</v>
      </c>
      <c r="P26" s="7" t="str">
        <f aca="false">IF(AND(Supuestos!$D$16="Sí",Supuestos!$D$19="Sí",COUNT(P24,P25)=2,P25&gt;0),(P24-P25)/P25,"N/D")</f>
        <v>N/D</v>
      </c>
      <c r="Q26" s="7" t="str">
        <f aca="false">IF(AND(Supuestos!$D$16="Sí",Supuestos!$D$19="Sí",COUNT(Q24,Q25)=2,Q25&gt;0),(Q24-Q25)/Q25,"N/D")</f>
        <v>N/D</v>
      </c>
    </row>
    <row r="27" customFormat="false" ht="19.5" hidden="false" customHeight="true" outlineLevel="0" collapsed="false">
      <c r="C27" s="4" t="s">
        <v>120</v>
      </c>
      <c r="D27" s="4" t="s">
        <v>121</v>
      </c>
      <c r="F27" s="21" t="str">
        <f aca="false">IF(COUNT(F26)=1,IF(F26&gt;=0,1,0),"N/D")</f>
        <v>N/D</v>
      </c>
      <c r="G27" s="21" t="str">
        <f aca="false">IF(COUNT(G26)=1,IF(G26&gt;=0,1,0),"N/D")</f>
        <v>N/D</v>
      </c>
      <c r="H27" s="21" t="str">
        <f aca="false">IF(COUNT(H26)=1,IF(H26&gt;=0,1,0),"N/D")</f>
        <v>N/D</v>
      </c>
      <c r="I27" s="21" t="str">
        <f aca="false">IF(COUNT(I26)=1,IF(I26&gt;=0,1,0),"N/D")</f>
        <v>N/D</v>
      </c>
      <c r="J27" s="21" t="str">
        <f aca="false">IF(COUNT(J26)=1,IF(J26&gt;=0,1,0),"N/D")</f>
        <v>N/D</v>
      </c>
      <c r="K27" s="21" t="str">
        <f aca="false">IF(COUNT(K26)=1,IF(K26&gt;=0,1,0),"N/D")</f>
        <v>N/D</v>
      </c>
      <c r="L27" s="21" t="str">
        <f aca="false">IF(COUNT(L26)=1,IF(L26&gt;=0,1,0),"N/D")</f>
        <v>N/D</v>
      </c>
      <c r="M27" s="21" t="str">
        <f aca="false">IF(COUNT(M26)=1,IF(M26&gt;=0,1,0),"N/D")</f>
        <v>N/D</v>
      </c>
      <c r="N27" s="21" t="str">
        <f aca="false">IF(COUNT(N26)=1,IF(N26&gt;=0,1,0),"N/D")</f>
        <v>N/D</v>
      </c>
      <c r="O27" s="21" t="str">
        <f aca="false">IF(COUNT(O26)=1,IF(O26&gt;=0,1,0),"N/D")</f>
        <v>N/D</v>
      </c>
      <c r="P27" s="21" t="str">
        <f aca="false">IF(COUNT(P26)=1,IF(P26&gt;=0,1,0),"N/D")</f>
        <v>N/D</v>
      </c>
      <c r="Q27" s="21" t="str">
        <f aca="false">IF(COUNT(Q26)=1,IF(Q26&gt;=0,1,0),"N/D")</f>
        <v>N/D</v>
      </c>
    </row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31.5" hidden="false" customHeight="true" outlineLevel="0" collapsed="false">
      <c r="C30" s="2" t="s">
        <v>122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31.5" hidden="false" customHeight="true" outlineLevel="0" collapsed="false">
      <c r="C31" s="2" t="s">
        <v>123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31.5" hidden="false" customHeight="true" outlineLevel="0" collapsed="false">
      <c r="C32" s="2" t="s">
        <v>124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31.5" hidden="false" customHeight="true" outlineLevel="0" collapsed="false">
      <c r="C33" s="2" t="s">
        <v>125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</sheetData>
  <mergeCells count="4">
    <mergeCell ref="C30:Q30"/>
    <mergeCell ref="C31:Q31"/>
    <mergeCell ref="C32:Q32"/>
    <mergeCell ref="C33:Q33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W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11" min="3" style="0" width="15"/>
    <col collapsed="false" customWidth="true" hidden="false" outlineLevel="0" max="23" min="12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126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30" hidden="false" customHeight="true" outlineLevel="0" collapsed="false">
      <c r="C6" s="3" t="s">
        <v>127</v>
      </c>
      <c r="D6" s="3" t="s">
        <v>128</v>
      </c>
      <c r="E6" s="3" t="s">
        <v>129</v>
      </c>
      <c r="F6" s="3" t="s">
        <v>130</v>
      </c>
      <c r="G6" s="3" t="s">
        <v>131</v>
      </c>
      <c r="H6" s="3" t="s">
        <v>132</v>
      </c>
      <c r="I6" s="3" t="s">
        <v>133</v>
      </c>
      <c r="J6" s="3" t="s">
        <v>134</v>
      </c>
      <c r="K6" s="3" t="s">
        <v>135</v>
      </c>
      <c r="L6" s="3" t="s">
        <v>91</v>
      </c>
      <c r="M6" s="3" t="s">
        <v>92</v>
      </c>
      <c r="N6" s="3" t="s">
        <v>93</v>
      </c>
      <c r="O6" s="3" t="s">
        <v>94</v>
      </c>
      <c r="P6" s="3" t="s">
        <v>95</v>
      </c>
      <c r="Q6" s="3" t="s">
        <v>96</v>
      </c>
      <c r="R6" s="3" t="s">
        <v>97</v>
      </c>
      <c r="S6" s="3" t="s">
        <v>98</v>
      </c>
      <c r="T6" s="3" t="s">
        <v>99</v>
      </c>
      <c r="U6" s="3" t="s">
        <v>100</v>
      </c>
      <c r="V6" s="3" t="s">
        <v>101</v>
      </c>
      <c r="W6" s="3" t="s">
        <v>102</v>
      </c>
    </row>
    <row r="7" customFormat="false" ht="19.5" hidden="false" customHeight="true" outlineLevel="0" collapsed="false">
      <c r="L7" s="22" t="n">
        <f aca="false">Supuestos!F31</f>
        <v>46388</v>
      </c>
      <c r="M7" s="22" t="n">
        <f aca="false">Supuestos!G31</f>
        <v>46419</v>
      </c>
      <c r="N7" s="22" t="n">
        <f aca="false">Supuestos!H31</f>
        <v>46447</v>
      </c>
      <c r="O7" s="22" t="n">
        <f aca="false">Supuestos!I31</f>
        <v>46478</v>
      </c>
      <c r="P7" s="22" t="n">
        <f aca="false">Supuestos!J31</f>
        <v>46508</v>
      </c>
      <c r="Q7" s="22" t="n">
        <f aca="false">Supuestos!K31</f>
        <v>46539</v>
      </c>
      <c r="R7" s="22" t="n">
        <f aca="false">Supuestos!L31</f>
        <v>46569</v>
      </c>
      <c r="S7" s="22" t="n">
        <f aca="false">Supuestos!M31</f>
        <v>46600</v>
      </c>
      <c r="T7" s="22" t="n">
        <f aca="false">Supuestos!N31</f>
        <v>46631</v>
      </c>
      <c r="U7" s="22" t="n">
        <f aca="false">Supuestos!O31</f>
        <v>46661</v>
      </c>
      <c r="V7" s="22" t="n">
        <f aca="false">Supuestos!P31</f>
        <v>46692</v>
      </c>
      <c r="W7" s="22" t="n">
        <f aca="false">Supuestos!Q31</f>
        <v>46722</v>
      </c>
    </row>
    <row r="8" customFormat="false" ht="19.5" hidden="false" customHeight="true" outlineLevel="0" collapsed="false"/>
    <row r="9" customFormat="false" ht="19.5" hidden="false" customHeight="true" outlineLevel="0" collapsed="false">
      <c r="C9" s="23" t="n">
        <f aca="false">IF(COUNT(Supuestos!F31,Supuestos!$D$14,Supuestos!$D$36)=3,MAX(Supuestos!$D$36,DATE(YEAR(Supuestos!F31),MONTH(Supuestos!F31),Supuestos!$D$14)),"N/D")</f>
        <v>46402</v>
      </c>
      <c r="D9" s="5" t="n">
        <f aca="false">Requisitos!F11</f>
        <v>8.23333333333333</v>
      </c>
      <c r="E9" s="8" t="n">
        <f aca="false">Supuestos!$D$8</f>
        <v>2500</v>
      </c>
      <c r="F9" s="7" t="n">
        <f aca="false">IF(COUNT(Supuestos!F44)=1,Supuestos!F44,"N/D")</f>
        <v>0.7</v>
      </c>
      <c r="G9" s="7" t="n">
        <f aca="false">IF(COUNT(Supuestos!$D$37)=1,Supuestos!$D$37,"N/D")</f>
        <v>0.95</v>
      </c>
      <c r="H9" s="7" t="n">
        <f aca="false">IF(COUNT(Supuestos!$D$38)=1,Supuestos!$D$38,"N/D")</f>
        <v>0.9</v>
      </c>
      <c r="I9" s="7" t="n">
        <f aca="false">IF(COUNT(Supuestos!$D$39)=1,Supuestos!$D$39,"N/D")</f>
        <v>0.85</v>
      </c>
      <c r="J9" s="7" t="n">
        <f aca="false">IF(COUNT(Supuestos!$D$40)=1,Supuestos!$D$40,"N/D")</f>
        <v>0.8</v>
      </c>
      <c r="K9" s="7" t="n">
        <f aca="false">IF(COUNT(Supuestos!$D$41)=1,Supuestos!$D$41,"N/D")</f>
        <v>0.75</v>
      </c>
      <c r="L9" s="11" t="n">
        <f aca="false">IF(COUNT($D9,$E9,L95)=3,$D9*$E9*L95,"N/D")</f>
        <v>20034.4444444444</v>
      </c>
      <c r="M9" s="11" t="n">
        <f aca="false">IF(COUNT($D9,$E9,M95)=3,$D9*$E9*M95,"N/D")</f>
        <v>19073.8888888889</v>
      </c>
      <c r="N9" s="11" t="n">
        <f aca="false">IF(COUNT($D9,$E9,N95)=3,$D9*$E9*N95,"N/D")</f>
        <v>18010.4166666667</v>
      </c>
      <c r="O9" s="11" t="n">
        <f aca="false">IF(COUNT($D9,$E9,O95)=3,$D9*$E9*O95,"N/D")</f>
        <v>17324.3055555556</v>
      </c>
      <c r="P9" s="11" t="n">
        <f aca="false">IF(COUNT($D9,$E9,P95)=3,$D9*$E9*P95,"N/D")</f>
        <v>16969.8148148148</v>
      </c>
      <c r="Q9" s="11" t="n">
        <f aca="false">IF(COUNT($D9,$E9,Q95)=3,$D9*$E9*Q95,"N/D")</f>
        <v>16626.7592592593</v>
      </c>
      <c r="R9" s="11" t="n">
        <f aca="false">IF(COUNT($D9,$E9,R95)=3,$D9*$E9*R95,"N/D")</f>
        <v>16372.0945945946</v>
      </c>
      <c r="S9" s="11" t="n">
        <f aca="false">IF(COUNT($D9,$E9,S95)=3,$D9*$E9*S95,"N/D")</f>
        <v>16199.6396396396</v>
      </c>
      <c r="T9" s="11" t="n">
        <f aca="false">IF(COUNT($D9,$E9,T95)=3,$D9*$E9*T95,"N/D")</f>
        <v>16032.7477477477</v>
      </c>
      <c r="U9" s="11" t="n">
        <f aca="false">IF(COUNT($D9,$E9,U95)=3,$D9*$E9*U95,"N/D")</f>
        <v>15860.2927927928</v>
      </c>
      <c r="V9" s="11" t="n">
        <f aca="false">IF(COUNT($D9,$E9,V95)=3,$D9*$E9*V95,"N/D")</f>
        <v>15693.4009009009</v>
      </c>
      <c r="W9" s="11" t="n">
        <f aca="false">IF(COUNT($D9,$E9,W95)=3,$D9*$E9*W95,"N/D")</f>
        <v>15520.9459459459</v>
      </c>
    </row>
    <row r="10" customFormat="false" ht="19.5" hidden="false" customHeight="true" outlineLevel="0" collapsed="false">
      <c r="C10" s="23" t="n">
        <f aca="false">IF(COUNT(Supuestos!G31,Supuestos!$D$14,Supuestos!$D$36)=3,MAX(Supuestos!$D$36,DATE(YEAR(Supuestos!G31),MONTH(Supuestos!G31),Supuestos!$D$14)),"N/D")</f>
        <v>46433</v>
      </c>
      <c r="D10" s="5" t="n">
        <f aca="false">Requisitos!G11</f>
        <v>8.23333333333333</v>
      </c>
      <c r="E10" s="8" t="n">
        <f aca="false">Supuestos!$D$8</f>
        <v>2500</v>
      </c>
      <c r="F10" s="7" t="n">
        <f aca="false">IF(COUNT(Supuestos!G44)=1,Supuestos!G44,"N/D")</f>
        <v>0.7</v>
      </c>
      <c r="G10" s="7" t="n">
        <f aca="false">IF(COUNT(Supuestos!$D$37)=1,Supuestos!$D$37,"N/D")</f>
        <v>0.95</v>
      </c>
      <c r="H10" s="7" t="n">
        <f aca="false">IF(COUNT(Supuestos!$D$38)=1,Supuestos!$D$38,"N/D")</f>
        <v>0.9</v>
      </c>
      <c r="I10" s="7" t="n">
        <f aca="false">IF(COUNT(Supuestos!$D$39)=1,Supuestos!$D$39,"N/D")</f>
        <v>0.85</v>
      </c>
      <c r="J10" s="7" t="n">
        <f aca="false">IF(COUNT(Supuestos!$D$40)=1,Supuestos!$D$40,"N/D")</f>
        <v>0.8</v>
      </c>
      <c r="K10" s="7" t="n">
        <f aca="false">IF(COUNT(Supuestos!$D$41)=1,Supuestos!$D$41,"N/D")</f>
        <v>0.75</v>
      </c>
      <c r="L10" s="11" t="n">
        <f aca="false">IF(COUNT($D10,$E10,L96)=3,$D10*$E10*L96,"N/D")</f>
        <v>0</v>
      </c>
      <c r="M10" s="11" t="n">
        <f aca="false">IF(COUNT($D10,$E10,M96)=3,$D10*$E10*M96,"N/D")</f>
        <v>20137.3611111111</v>
      </c>
      <c r="N10" s="11" t="n">
        <f aca="false">IF(COUNT($D10,$E10,N96)=3,$D10*$E10*N96,"N/D")</f>
        <v>19073.8888888889</v>
      </c>
      <c r="O10" s="11" t="n">
        <f aca="false">IF(COUNT($D10,$E10,O96)=3,$D10*$E10*O96,"N/D")</f>
        <v>18044.7222222222</v>
      </c>
      <c r="P10" s="11" t="n">
        <f aca="false">IF(COUNT($D10,$E10,P96)=3,$D10*$E10*P96,"N/D")</f>
        <v>17324.3055555556</v>
      </c>
      <c r="Q10" s="11" t="n">
        <f aca="false">IF(COUNT($D10,$E10,Q96)=3,$D10*$E10*Q96,"N/D")</f>
        <v>16981.25</v>
      </c>
      <c r="R10" s="11" t="n">
        <f aca="false">IF(COUNT($D10,$E10,R96)=3,$D10*$E10*R96,"N/D")</f>
        <v>16626.7592592593</v>
      </c>
      <c r="S10" s="11" t="n">
        <f aca="false">IF(COUNT($D10,$E10,S96)=3,$D10*$E10*S96,"N/D")</f>
        <v>16372.0945945946</v>
      </c>
      <c r="T10" s="11" t="n">
        <f aca="false">IF(COUNT($D10,$E10,T96)=3,$D10*$E10*T96,"N/D")</f>
        <v>16205.2027027027</v>
      </c>
      <c r="U10" s="11" t="n">
        <f aca="false">IF(COUNT($D10,$E10,U96)=3,$D10*$E10*U96,"N/D")</f>
        <v>16032.7477477477</v>
      </c>
      <c r="V10" s="11" t="n">
        <f aca="false">IF(COUNT($D10,$E10,V96)=3,$D10*$E10*V96,"N/D")</f>
        <v>15865.8558558559</v>
      </c>
      <c r="W10" s="11" t="n">
        <f aca="false">IF(COUNT($D10,$E10,W96)=3,$D10*$E10*W96,"N/D")</f>
        <v>15693.4009009009</v>
      </c>
    </row>
    <row r="11" customFormat="false" ht="19.5" hidden="false" customHeight="true" outlineLevel="0" collapsed="false">
      <c r="C11" s="23" t="n">
        <f aca="false">IF(COUNT(Supuestos!H31,Supuestos!$D$14,Supuestos!$D$36)=3,MAX(Supuestos!$D$36,DATE(YEAR(Supuestos!H31),MONTH(Supuestos!H31),Supuestos!$D$14)),"N/D")</f>
        <v>46461</v>
      </c>
      <c r="D11" s="5" t="n">
        <f aca="false">Requisitos!H11</f>
        <v>8.23333333333333</v>
      </c>
      <c r="E11" s="8" t="n">
        <f aca="false">Supuestos!$D$8</f>
        <v>2500</v>
      </c>
      <c r="F11" s="7" t="n">
        <f aca="false">IF(COUNT(Supuestos!H44)=1,Supuestos!H44,"N/D")</f>
        <v>0.7</v>
      </c>
      <c r="G11" s="7" t="n">
        <f aca="false">IF(COUNT(Supuestos!$D$37)=1,Supuestos!$D$37,"N/D")</f>
        <v>0.95</v>
      </c>
      <c r="H11" s="7" t="n">
        <f aca="false">IF(COUNT(Supuestos!$D$38)=1,Supuestos!$D$38,"N/D")</f>
        <v>0.9</v>
      </c>
      <c r="I11" s="7" t="n">
        <f aca="false">IF(COUNT(Supuestos!$D$39)=1,Supuestos!$D$39,"N/D")</f>
        <v>0.85</v>
      </c>
      <c r="J11" s="7" t="n">
        <f aca="false">IF(COUNT(Supuestos!$D$40)=1,Supuestos!$D$40,"N/D")</f>
        <v>0.8</v>
      </c>
      <c r="K11" s="7" t="n">
        <f aca="false">IF(COUNT(Supuestos!$D$41)=1,Supuestos!$D$41,"N/D")</f>
        <v>0.75</v>
      </c>
      <c r="L11" s="11" t="n">
        <f aca="false">IF(COUNT($D11,$E11,L97)=3,$D11*$E11*L97,"N/D")</f>
        <v>0</v>
      </c>
      <c r="M11" s="11" t="n">
        <f aca="false">IF(COUNT($D11,$E11,M97)=3,$D11*$E11*M97,"N/D")</f>
        <v>0</v>
      </c>
      <c r="N11" s="11" t="n">
        <f aca="false">IF(COUNT($D11,$E11,N97)=3,$D11*$E11*N97,"N/D")</f>
        <v>20034.4444444444</v>
      </c>
      <c r="O11" s="11" t="n">
        <f aca="false">IF(COUNT($D11,$E11,O97)=3,$D11*$E11*O97,"N/D")</f>
        <v>19005.2777777778</v>
      </c>
      <c r="P11" s="11" t="n">
        <f aca="false">IF(COUNT($D11,$E11,P97)=3,$D11*$E11*P97,"N/D")</f>
        <v>17941.8055555556</v>
      </c>
      <c r="Q11" s="11" t="n">
        <f aca="false">IF(COUNT($D11,$E11,Q97)=3,$D11*$E11*Q97,"N/D")</f>
        <v>17301.4351851852</v>
      </c>
      <c r="R11" s="11" t="n">
        <f aca="false">IF(COUNT($D11,$E11,R97)=3,$D11*$E11*R97,"N/D")</f>
        <v>16946.9444444444</v>
      </c>
      <c r="S11" s="11" t="n">
        <f aca="false">IF(COUNT($D11,$E11,S97)=3,$D11*$E11*S97,"N/D")</f>
        <v>16592.4537037037</v>
      </c>
      <c r="T11" s="11" t="n">
        <f aca="false">IF(COUNT($D11,$E11,T97)=3,$D11*$E11*T97,"N/D")</f>
        <v>16360.9684684685</v>
      </c>
      <c r="U11" s="11" t="n">
        <f aca="false">IF(COUNT($D11,$E11,U97)=3,$D11*$E11*U97,"N/D")</f>
        <v>16188.5135135135</v>
      </c>
      <c r="V11" s="11" t="n">
        <f aca="false">IF(COUNT($D11,$E11,V97)=3,$D11*$E11*V97,"N/D")</f>
        <v>16021.6216216216</v>
      </c>
      <c r="W11" s="11" t="n">
        <f aca="false">IF(COUNT($D11,$E11,W97)=3,$D11*$E11*W97,"N/D")</f>
        <v>15849.1666666667</v>
      </c>
    </row>
    <row r="12" customFormat="false" ht="19.5" hidden="false" customHeight="true" outlineLevel="0" collapsed="false">
      <c r="C12" s="23" t="n">
        <f aca="false">IF(COUNT(Supuestos!I31,Supuestos!$D$14,Supuestos!$D$36)=3,MAX(Supuestos!$D$36,DATE(YEAR(Supuestos!I31),MONTH(Supuestos!I31),Supuestos!$D$14)),"N/D")</f>
        <v>46492</v>
      </c>
      <c r="D12" s="5" t="n">
        <f aca="false">Requisitos!I11</f>
        <v>8.23333333333333</v>
      </c>
      <c r="E12" s="8" t="n">
        <f aca="false">Supuestos!$D$8</f>
        <v>2500</v>
      </c>
      <c r="F12" s="7" t="n">
        <f aca="false">IF(COUNT(Supuestos!I44)=1,Supuestos!I44,"N/D")</f>
        <v>0.7</v>
      </c>
      <c r="G12" s="7" t="n">
        <f aca="false">IF(COUNT(Supuestos!$D$37)=1,Supuestos!$D$37,"N/D")</f>
        <v>0.95</v>
      </c>
      <c r="H12" s="7" t="n">
        <f aca="false">IF(COUNT(Supuestos!$D$38)=1,Supuestos!$D$38,"N/D")</f>
        <v>0.9</v>
      </c>
      <c r="I12" s="7" t="n">
        <f aca="false">IF(COUNT(Supuestos!$D$39)=1,Supuestos!$D$39,"N/D")</f>
        <v>0.85</v>
      </c>
      <c r="J12" s="7" t="n">
        <f aca="false">IF(COUNT(Supuestos!$D$40)=1,Supuestos!$D$40,"N/D")</f>
        <v>0.8</v>
      </c>
      <c r="K12" s="7" t="n">
        <f aca="false">IF(COUNT(Supuestos!$D$41)=1,Supuestos!$D$41,"N/D")</f>
        <v>0.75</v>
      </c>
      <c r="L12" s="11" t="n">
        <f aca="false">IF(COUNT($D12,$E12,L98)=3,$D12*$E12*L98,"N/D")</f>
        <v>0</v>
      </c>
      <c r="M12" s="11" t="n">
        <f aca="false">IF(COUNT($D12,$E12,M98)=3,$D12*$E12*M98,"N/D")</f>
        <v>0</v>
      </c>
      <c r="N12" s="11" t="n">
        <f aca="false">IF(COUNT($D12,$E12,N98)=3,$D12*$E12*N98,"N/D")</f>
        <v>0</v>
      </c>
      <c r="O12" s="11" t="n">
        <f aca="false">IF(COUNT($D12,$E12,O98)=3,$D12*$E12*O98,"N/D")</f>
        <v>20068.75</v>
      </c>
      <c r="P12" s="11" t="n">
        <f aca="false">IF(COUNT($D12,$E12,P98)=3,$D12*$E12*P98,"N/D")</f>
        <v>19005.2777777778</v>
      </c>
      <c r="Q12" s="11" t="n">
        <f aca="false">IF(COUNT($D12,$E12,Q98)=3,$D12*$E12*Q98,"N/D")</f>
        <v>17976.1111111111</v>
      </c>
      <c r="R12" s="11" t="n">
        <f aca="false">IF(COUNT($D12,$E12,R98)=3,$D12*$E12*R98,"N/D")</f>
        <v>17301.4351851852</v>
      </c>
      <c r="S12" s="11" t="n">
        <f aca="false">IF(COUNT($D12,$E12,S98)=3,$D12*$E12*S98,"N/D")</f>
        <v>16946.9444444444</v>
      </c>
      <c r="T12" s="11" t="n">
        <f aca="false">IF(COUNT($D12,$E12,T98)=3,$D12*$E12*T98,"N/D")</f>
        <v>16603.8888888889</v>
      </c>
      <c r="U12" s="11" t="n">
        <f aca="false">IF(COUNT($D12,$E12,U98)=3,$D12*$E12*U98,"N/D")</f>
        <v>16360.9684684685</v>
      </c>
      <c r="V12" s="11" t="n">
        <f aca="false">IF(COUNT($D12,$E12,V98)=3,$D12*$E12*V98,"N/D")</f>
        <v>16194.0765765766</v>
      </c>
      <c r="W12" s="11" t="n">
        <f aca="false">IF(COUNT($D12,$E12,W98)=3,$D12*$E12*W98,"N/D")</f>
        <v>16021.6216216216</v>
      </c>
    </row>
    <row r="13" customFormat="false" ht="19.5" hidden="false" customHeight="true" outlineLevel="0" collapsed="false">
      <c r="C13" s="23" t="n">
        <f aca="false">IF(COUNT(Supuestos!J31,Supuestos!$D$14,Supuestos!$D$36)=3,MAX(Supuestos!$D$36,DATE(YEAR(Supuestos!J31),MONTH(Supuestos!J31),Supuestos!$D$14)),"N/D")</f>
        <v>46522</v>
      </c>
      <c r="D13" s="5" t="n">
        <f aca="false">Requisitos!J11</f>
        <v>8.23333333333333</v>
      </c>
      <c r="E13" s="8" t="n">
        <f aca="false">Supuestos!$D$8</f>
        <v>2500</v>
      </c>
      <c r="F13" s="7" t="n">
        <f aca="false">IF(COUNT(Supuestos!J44)=1,Supuestos!J44,"N/D")</f>
        <v>0.7</v>
      </c>
      <c r="G13" s="7" t="n">
        <f aca="false">IF(COUNT(Supuestos!$D$37)=1,Supuestos!$D$37,"N/D")</f>
        <v>0.95</v>
      </c>
      <c r="H13" s="7" t="n">
        <f aca="false">IF(COUNT(Supuestos!$D$38)=1,Supuestos!$D$38,"N/D")</f>
        <v>0.9</v>
      </c>
      <c r="I13" s="7" t="n">
        <f aca="false">IF(COUNT(Supuestos!$D$39)=1,Supuestos!$D$39,"N/D")</f>
        <v>0.85</v>
      </c>
      <c r="J13" s="7" t="n">
        <f aca="false">IF(COUNT(Supuestos!$D$40)=1,Supuestos!$D$40,"N/D")</f>
        <v>0.8</v>
      </c>
      <c r="K13" s="7" t="n">
        <f aca="false">IF(COUNT(Supuestos!$D$41)=1,Supuestos!$D$41,"N/D")</f>
        <v>0.75</v>
      </c>
      <c r="L13" s="11" t="n">
        <f aca="false">IF(COUNT($D13,$E13,L99)=3,$D13*$E13*L99,"N/D")</f>
        <v>0</v>
      </c>
      <c r="M13" s="11" t="n">
        <f aca="false">IF(COUNT($D13,$E13,M99)=3,$D13*$E13*M99,"N/D")</f>
        <v>0</v>
      </c>
      <c r="N13" s="11" t="n">
        <f aca="false">IF(COUNT($D13,$E13,N99)=3,$D13*$E13*N99,"N/D")</f>
        <v>0</v>
      </c>
      <c r="O13" s="11" t="n">
        <f aca="false">IF(COUNT($D13,$E13,O99)=3,$D13*$E13*O99,"N/D")</f>
        <v>0</v>
      </c>
      <c r="P13" s="11" t="n">
        <f aca="false">IF(COUNT($D13,$E13,P99)=3,$D13*$E13*P99,"N/D")</f>
        <v>20034.4444444444</v>
      </c>
      <c r="Q13" s="11" t="n">
        <f aca="false">IF(COUNT($D13,$E13,Q99)=3,$D13*$E13*Q99,"N/D")</f>
        <v>19005.2777777778</v>
      </c>
      <c r="R13" s="11" t="n">
        <f aca="false">IF(COUNT($D13,$E13,R99)=3,$D13*$E13*R99,"N/D")</f>
        <v>17941.8055555556</v>
      </c>
      <c r="S13" s="11" t="n">
        <f aca="false">IF(COUNT($D13,$E13,S99)=3,$D13*$E13*S99,"N/D")</f>
        <v>17290</v>
      </c>
      <c r="T13" s="11" t="n">
        <f aca="false">IF(COUNT($D13,$E13,T99)=3,$D13*$E13*T99,"N/D")</f>
        <v>16946.9444444444</v>
      </c>
      <c r="U13" s="11" t="n">
        <f aca="false">IF(COUNT($D13,$E13,U99)=3,$D13*$E13*U99,"N/D")</f>
        <v>16592.4537037037</v>
      </c>
      <c r="V13" s="11" t="n">
        <f aca="false">IF(COUNT($D13,$E13,V99)=3,$D13*$E13*V99,"N/D")</f>
        <v>16360.9684684685</v>
      </c>
      <c r="W13" s="11" t="n">
        <f aca="false">IF(COUNT($D13,$E13,W99)=3,$D13*$E13*W99,"N/D")</f>
        <v>16188.5135135135</v>
      </c>
    </row>
    <row r="14" customFormat="false" ht="19.5" hidden="false" customHeight="true" outlineLevel="0" collapsed="false">
      <c r="C14" s="23" t="n">
        <f aca="false">IF(COUNT(Supuestos!K31,Supuestos!$D$14,Supuestos!$D$36)=3,MAX(Supuestos!$D$36,DATE(YEAR(Supuestos!K31),MONTH(Supuestos!K31),Supuestos!$D$14)),"N/D")</f>
        <v>46553</v>
      </c>
      <c r="D14" s="5" t="n">
        <f aca="false">Requisitos!K11</f>
        <v>8.23333333333333</v>
      </c>
      <c r="E14" s="8" t="n">
        <f aca="false">Supuestos!$D$8</f>
        <v>2500</v>
      </c>
      <c r="F14" s="7" t="n">
        <f aca="false">IF(COUNT(Supuestos!K44)=1,Supuestos!K44,"N/D")</f>
        <v>0.7</v>
      </c>
      <c r="G14" s="7" t="n">
        <f aca="false">IF(COUNT(Supuestos!$D$37)=1,Supuestos!$D$37,"N/D")</f>
        <v>0.95</v>
      </c>
      <c r="H14" s="7" t="n">
        <f aca="false">IF(COUNT(Supuestos!$D$38)=1,Supuestos!$D$38,"N/D")</f>
        <v>0.9</v>
      </c>
      <c r="I14" s="7" t="n">
        <f aca="false">IF(COUNT(Supuestos!$D$39)=1,Supuestos!$D$39,"N/D")</f>
        <v>0.85</v>
      </c>
      <c r="J14" s="7" t="n">
        <f aca="false">IF(COUNT(Supuestos!$D$40)=1,Supuestos!$D$40,"N/D")</f>
        <v>0.8</v>
      </c>
      <c r="K14" s="7" t="n">
        <f aca="false">IF(COUNT(Supuestos!$D$41)=1,Supuestos!$D$41,"N/D")</f>
        <v>0.75</v>
      </c>
      <c r="L14" s="11" t="n">
        <f aca="false">IF(COUNT($D14,$E14,L100)=3,$D14*$E14*L100,"N/D")</f>
        <v>0</v>
      </c>
      <c r="M14" s="11" t="n">
        <f aca="false">IF(COUNT($D14,$E14,M100)=3,$D14*$E14*M100,"N/D")</f>
        <v>0</v>
      </c>
      <c r="N14" s="11" t="n">
        <f aca="false">IF(COUNT($D14,$E14,N100)=3,$D14*$E14*N100,"N/D")</f>
        <v>0</v>
      </c>
      <c r="O14" s="11" t="n">
        <f aca="false">IF(COUNT($D14,$E14,O100)=3,$D14*$E14*O100,"N/D")</f>
        <v>0</v>
      </c>
      <c r="P14" s="11" t="n">
        <f aca="false">IF(COUNT($D14,$E14,P100)=3,$D14*$E14*P100,"N/D")</f>
        <v>0</v>
      </c>
      <c r="Q14" s="11" t="n">
        <f aca="false">IF(COUNT($D14,$E14,Q100)=3,$D14*$E14*Q100,"N/D")</f>
        <v>20068.75</v>
      </c>
      <c r="R14" s="11" t="n">
        <f aca="false">IF(COUNT($D14,$E14,R100)=3,$D14*$E14*R100,"N/D")</f>
        <v>19005.2777777778</v>
      </c>
      <c r="S14" s="11" t="n">
        <f aca="false">IF(COUNT($D14,$E14,S100)=3,$D14*$E14*S100,"N/D")</f>
        <v>17941.8055555556</v>
      </c>
      <c r="T14" s="11" t="n">
        <f aca="false">IF(COUNT($D14,$E14,T100)=3,$D14*$E14*T100,"N/D")</f>
        <v>17301.4351851852</v>
      </c>
      <c r="U14" s="11" t="n">
        <f aca="false">IF(COUNT($D14,$E14,U100)=3,$D14*$E14*U100,"N/D")</f>
        <v>16946.9444444444</v>
      </c>
      <c r="V14" s="11" t="n">
        <f aca="false">IF(COUNT($D14,$E14,V100)=3,$D14*$E14*V100,"N/D")</f>
        <v>16603.8888888889</v>
      </c>
      <c r="W14" s="11" t="n">
        <f aca="false">IF(COUNT($D14,$E14,W100)=3,$D14*$E14*W100,"N/D")</f>
        <v>16360.9684684685</v>
      </c>
    </row>
    <row r="15" customFormat="false" ht="19.5" hidden="false" customHeight="true" outlineLevel="0" collapsed="false">
      <c r="C15" s="23" t="n">
        <f aca="false">IF(COUNT(Supuestos!L31,Supuestos!$D$14,Supuestos!$D$36)=3,MAX(Supuestos!$D$36,DATE(YEAR(Supuestos!L31),MONTH(Supuestos!L31),Supuestos!$D$14)),"N/D")</f>
        <v>46583</v>
      </c>
      <c r="D15" s="5" t="n">
        <f aca="false">Requisitos!L11</f>
        <v>8.23333333333333</v>
      </c>
      <c r="E15" s="8" t="n">
        <f aca="false">Supuestos!$D$8</f>
        <v>2500</v>
      </c>
      <c r="F15" s="7" t="n">
        <f aca="false">IF(COUNT(Supuestos!L44)=1,Supuestos!L44,"N/D")</f>
        <v>0.7</v>
      </c>
      <c r="G15" s="7" t="n">
        <f aca="false">IF(COUNT(Supuestos!$D$37)=1,Supuestos!$D$37,"N/D")</f>
        <v>0.95</v>
      </c>
      <c r="H15" s="7" t="n">
        <f aca="false">IF(COUNT(Supuestos!$D$38)=1,Supuestos!$D$38,"N/D")</f>
        <v>0.9</v>
      </c>
      <c r="I15" s="7" t="n">
        <f aca="false">IF(COUNT(Supuestos!$D$39)=1,Supuestos!$D$39,"N/D")</f>
        <v>0.85</v>
      </c>
      <c r="J15" s="7" t="n">
        <f aca="false">IF(COUNT(Supuestos!$D$40)=1,Supuestos!$D$40,"N/D")</f>
        <v>0.8</v>
      </c>
      <c r="K15" s="7" t="n">
        <f aca="false">IF(COUNT(Supuestos!$D$41)=1,Supuestos!$D$41,"N/D")</f>
        <v>0.75</v>
      </c>
      <c r="L15" s="11" t="n">
        <f aca="false">IF(COUNT($D15,$E15,L101)=3,$D15*$E15*L101,"N/D")</f>
        <v>0</v>
      </c>
      <c r="M15" s="11" t="n">
        <f aca="false">IF(COUNT($D15,$E15,M101)=3,$D15*$E15*M101,"N/D")</f>
        <v>0</v>
      </c>
      <c r="N15" s="11" t="n">
        <f aca="false">IF(COUNT($D15,$E15,N101)=3,$D15*$E15*N101,"N/D")</f>
        <v>0</v>
      </c>
      <c r="O15" s="11" t="n">
        <f aca="false">IF(COUNT($D15,$E15,O101)=3,$D15*$E15*O101,"N/D")</f>
        <v>0</v>
      </c>
      <c r="P15" s="11" t="n">
        <f aca="false">IF(COUNT($D15,$E15,P101)=3,$D15*$E15*P101,"N/D")</f>
        <v>0</v>
      </c>
      <c r="Q15" s="11" t="n">
        <f aca="false">IF(COUNT($D15,$E15,Q101)=3,$D15*$E15*Q101,"N/D")</f>
        <v>0</v>
      </c>
      <c r="R15" s="11" t="n">
        <f aca="false">IF(COUNT($D15,$E15,R101)=3,$D15*$E15*R101,"N/D")</f>
        <v>20034.4444444444</v>
      </c>
      <c r="S15" s="11" t="n">
        <f aca="false">IF(COUNT($D15,$E15,S101)=3,$D15*$E15*S101,"N/D")</f>
        <v>18970.9722222222</v>
      </c>
      <c r="T15" s="11" t="n">
        <f aca="false">IF(COUNT($D15,$E15,T101)=3,$D15*$E15*T101,"N/D")</f>
        <v>17941.8055555556</v>
      </c>
      <c r="U15" s="11" t="n">
        <f aca="false">IF(COUNT($D15,$E15,U101)=3,$D15*$E15*U101,"N/D")</f>
        <v>17290</v>
      </c>
      <c r="V15" s="11" t="n">
        <f aca="false">IF(COUNT($D15,$E15,V101)=3,$D15*$E15*V101,"N/D")</f>
        <v>16946.9444444444</v>
      </c>
      <c r="W15" s="11" t="n">
        <f aca="false">IF(COUNT($D15,$E15,W101)=3,$D15*$E15*W101,"N/D")</f>
        <v>16592.4537037037</v>
      </c>
    </row>
    <row r="16" customFormat="false" ht="19.5" hidden="false" customHeight="true" outlineLevel="0" collapsed="false">
      <c r="C16" s="23" t="n">
        <f aca="false">IF(COUNT(Supuestos!M31,Supuestos!$D$14,Supuestos!$D$36)=3,MAX(Supuestos!$D$36,DATE(YEAR(Supuestos!M31),MONTH(Supuestos!M31),Supuestos!$D$14)),"N/D")</f>
        <v>46614</v>
      </c>
      <c r="D16" s="5" t="n">
        <f aca="false">Requisitos!M11</f>
        <v>8.23333333333333</v>
      </c>
      <c r="E16" s="8" t="n">
        <f aca="false">Supuestos!$D$8</f>
        <v>2500</v>
      </c>
      <c r="F16" s="7" t="n">
        <f aca="false">IF(COUNT(Supuestos!M44)=1,Supuestos!M44,"N/D")</f>
        <v>0.7</v>
      </c>
      <c r="G16" s="7" t="n">
        <f aca="false">IF(COUNT(Supuestos!$D$37)=1,Supuestos!$D$37,"N/D")</f>
        <v>0.95</v>
      </c>
      <c r="H16" s="7" t="n">
        <f aca="false">IF(COUNT(Supuestos!$D$38)=1,Supuestos!$D$38,"N/D")</f>
        <v>0.9</v>
      </c>
      <c r="I16" s="7" t="n">
        <f aca="false">IF(COUNT(Supuestos!$D$39)=1,Supuestos!$D$39,"N/D")</f>
        <v>0.85</v>
      </c>
      <c r="J16" s="7" t="n">
        <f aca="false">IF(COUNT(Supuestos!$D$40)=1,Supuestos!$D$40,"N/D")</f>
        <v>0.8</v>
      </c>
      <c r="K16" s="7" t="n">
        <f aca="false">IF(COUNT(Supuestos!$D$41)=1,Supuestos!$D$41,"N/D")</f>
        <v>0.75</v>
      </c>
      <c r="L16" s="11" t="n">
        <f aca="false">IF(COUNT($D16,$E16,L102)=3,$D16*$E16*L102,"N/D")</f>
        <v>0</v>
      </c>
      <c r="M16" s="11" t="n">
        <f aca="false">IF(COUNT($D16,$E16,M102)=3,$D16*$E16*M102,"N/D")</f>
        <v>0</v>
      </c>
      <c r="N16" s="11" t="n">
        <f aca="false">IF(COUNT($D16,$E16,N102)=3,$D16*$E16*N102,"N/D")</f>
        <v>0</v>
      </c>
      <c r="O16" s="11" t="n">
        <f aca="false">IF(COUNT($D16,$E16,O102)=3,$D16*$E16*O102,"N/D")</f>
        <v>0</v>
      </c>
      <c r="P16" s="11" t="n">
        <f aca="false">IF(COUNT($D16,$E16,P102)=3,$D16*$E16*P102,"N/D")</f>
        <v>0</v>
      </c>
      <c r="Q16" s="11" t="n">
        <f aca="false">IF(COUNT($D16,$E16,Q102)=3,$D16*$E16*Q102,"N/D")</f>
        <v>0</v>
      </c>
      <c r="R16" s="11" t="n">
        <f aca="false">IF(COUNT($D16,$E16,R102)=3,$D16*$E16*R102,"N/D")</f>
        <v>0</v>
      </c>
      <c r="S16" s="11" t="n">
        <f aca="false">IF(COUNT($D16,$E16,S102)=3,$D16*$E16*S102,"N/D")</f>
        <v>20034.4444444444</v>
      </c>
      <c r="T16" s="11" t="n">
        <f aca="false">IF(COUNT($D16,$E16,T102)=3,$D16*$E16*T102,"N/D")</f>
        <v>19005.2777777778</v>
      </c>
      <c r="U16" s="11" t="n">
        <f aca="false">IF(COUNT($D16,$E16,U102)=3,$D16*$E16*U102,"N/D")</f>
        <v>17941.8055555556</v>
      </c>
      <c r="V16" s="11" t="n">
        <f aca="false">IF(COUNT($D16,$E16,V102)=3,$D16*$E16*V102,"N/D")</f>
        <v>17301.4351851852</v>
      </c>
      <c r="W16" s="11" t="n">
        <f aca="false">IF(COUNT($D16,$E16,W102)=3,$D16*$E16*W102,"N/D")</f>
        <v>16946.9444444444</v>
      </c>
    </row>
    <row r="17" customFormat="false" ht="19.5" hidden="false" customHeight="true" outlineLevel="0" collapsed="false">
      <c r="C17" s="23" t="n">
        <f aca="false">IF(COUNT(Supuestos!N31,Supuestos!$D$14,Supuestos!$D$36)=3,MAX(Supuestos!$D$36,DATE(YEAR(Supuestos!N31),MONTH(Supuestos!N31),Supuestos!$D$14)),"N/D")</f>
        <v>46645</v>
      </c>
      <c r="D17" s="5" t="n">
        <f aca="false">Requisitos!N11</f>
        <v>8.23333333333333</v>
      </c>
      <c r="E17" s="8" t="n">
        <f aca="false">Supuestos!$D$8</f>
        <v>2500</v>
      </c>
      <c r="F17" s="7" t="n">
        <f aca="false">IF(COUNT(Supuestos!N44)=1,Supuestos!N44,"N/D")</f>
        <v>0.7</v>
      </c>
      <c r="G17" s="7" t="n">
        <f aca="false">IF(COUNT(Supuestos!$D$37)=1,Supuestos!$D$37,"N/D")</f>
        <v>0.95</v>
      </c>
      <c r="H17" s="7" t="n">
        <f aca="false">IF(COUNT(Supuestos!$D$38)=1,Supuestos!$D$38,"N/D")</f>
        <v>0.9</v>
      </c>
      <c r="I17" s="7" t="n">
        <f aca="false">IF(COUNT(Supuestos!$D$39)=1,Supuestos!$D$39,"N/D")</f>
        <v>0.85</v>
      </c>
      <c r="J17" s="7" t="n">
        <f aca="false">IF(COUNT(Supuestos!$D$40)=1,Supuestos!$D$40,"N/D")</f>
        <v>0.8</v>
      </c>
      <c r="K17" s="7" t="n">
        <f aca="false">IF(COUNT(Supuestos!$D$41)=1,Supuestos!$D$41,"N/D")</f>
        <v>0.75</v>
      </c>
      <c r="L17" s="11" t="n">
        <f aca="false">IF(COUNT($D17,$E17,L103)=3,$D17*$E17*L103,"N/D")</f>
        <v>0</v>
      </c>
      <c r="M17" s="11" t="n">
        <f aca="false">IF(COUNT($D17,$E17,M103)=3,$D17*$E17*M103,"N/D")</f>
        <v>0</v>
      </c>
      <c r="N17" s="11" t="n">
        <f aca="false">IF(COUNT($D17,$E17,N103)=3,$D17*$E17*N103,"N/D")</f>
        <v>0</v>
      </c>
      <c r="O17" s="11" t="n">
        <f aca="false">IF(COUNT($D17,$E17,O103)=3,$D17*$E17*O103,"N/D")</f>
        <v>0</v>
      </c>
      <c r="P17" s="11" t="n">
        <f aca="false">IF(COUNT($D17,$E17,P103)=3,$D17*$E17*P103,"N/D")</f>
        <v>0</v>
      </c>
      <c r="Q17" s="11" t="n">
        <f aca="false">IF(COUNT($D17,$E17,Q103)=3,$D17*$E17*Q103,"N/D")</f>
        <v>0</v>
      </c>
      <c r="R17" s="11" t="n">
        <f aca="false">IF(COUNT($D17,$E17,R103)=3,$D17*$E17*R103,"N/D")</f>
        <v>0</v>
      </c>
      <c r="S17" s="11" t="n">
        <f aca="false">IF(COUNT($D17,$E17,S103)=3,$D17*$E17*S103,"N/D")</f>
        <v>0</v>
      </c>
      <c r="T17" s="11" t="n">
        <f aca="false">IF(COUNT($D17,$E17,T103)=3,$D17*$E17*T103,"N/D")</f>
        <v>20068.75</v>
      </c>
      <c r="U17" s="11" t="n">
        <f aca="false">IF(COUNT($D17,$E17,U103)=3,$D17*$E17*U103,"N/D")</f>
        <v>19005.2777777778</v>
      </c>
      <c r="V17" s="11" t="n">
        <f aca="false">IF(COUNT($D17,$E17,V103)=3,$D17*$E17*V103,"N/D")</f>
        <v>17976.1111111111</v>
      </c>
      <c r="W17" s="11" t="n">
        <f aca="false">IF(COUNT($D17,$E17,W103)=3,$D17*$E17*W103,"N/D")</f>
        <v>17301.4351851852</v>
      </c>
    </row>
    <row r="18" customFormat="false" ht="19.5" hidden="false" customHeight="true" outlineLevel="0" collapsed="false">
      <c r="C18" s="23" t="n">
        <f aca="false">IF(COUNT(Supuestos!O31,Supuestos!$D$14,Supuestos!$D$36)=3,MAX(Supuestos!$D$36,DATE(YEAR(Supuestos!O31),MONTH(Supuestos!O31),Supuestos!$D$14)),"N/D")</f>
        <v>46675</v>
      </c>
      <c r="D18" s="5" t="n">
        <f aca="false">Requisitos!O11</f>
        <v>8.23333333333333</v>
      </c>
      <c r="E18" s="8" t="n">
        <f aca="false">Supuestos!$D$8</f>
        <v>2500</v>
      </c>
      <c r="F18" s="7" t="n">
        <f aca="false">IF(COUNT(Supuestos!O44)=1,Supuestos!O44,"N/D")</f>
        <v>0.7</v>
      </c>
      <c r="G18" s="7" t="n">
        <f aca="false">IF(COUNT(Supuestos!$D$37)=1,Supuestos!$D$37,"N/D")</f>
        <v>0.95</v>
      </c>
      <c r="H18" s="7" t="n">
        <f aca="false">IF(COUNT(Supuestos!$D$38)=1,Supuestos!$D$38,"N/D")</f>
        <v>0.9</v>
      </c>
      <c r="I18" s="7" t="n">
        <f aca="false">IF(COUNT(Supuestos!$D$39)=1,Supuestos!$D$39,"N/D")</f>
        <v>0.85</v>
      </c>
      <c r="J18" s="7" t="n">
        <f aca="false">IF(COUNT(Supuestos!$D$40)=1,Supuestos!$D$40,"N/D")</f>
        <v>0.8</v>
      </c>
      <c r="K18" s="7" t="n">
        <f aca="false">IF(COUNT(Supuestos!$D$41)=1,Supuestos!$D$41,"N/D")</f>
        <v>0.75</v>
      </c>
      <c r="L18" s="11" t="n">
        <f aca="false">IF(COUNT($D18,$E18,L104)=3,$D18*$E18*L104,"N/D")</f>
        <v>0</v>
      </c>
      <c r="M18" s="11" t="n">
        <f aca="false">IF(COUNT($D18,$E18,M104)=3,$D18*$E18*M104,"N/D")</f>
        <v>0</v>
      </c>
      <c r="N18" s="11" t="n">
        <f aca="false">IF(COUNT($D18,$E18,N104)=3,$D18*$E18*N104,"N/D")</f>
        <v>0</v>
      </c>
      <c r="O18" s="11" t="n">
        <f aca="false">IF(COUNT($D18,$E18,O104)=3,$D18*$E18*O104,"N/D")</f>
        <v>0</v>
      </c>
      <c r="P18" s="11" t="n">
        <f aca="false">IF(COUNT($D18,$E18,P104)=3,$D18*$E18*P104,"N/D")</f>
        <v>0</v>
      </c>
      <c r="Q18" s="11" t="n">
        <f aca="false">IF(COUNT($D18,$E18,Q104)=3,$D18*$E18*Q104,"N/D")</f>
        <v>0</v>
      </c>
      <c r="R18" s="11" t="n">
        <f aca="false">IF(COUNT($D18,$E18,R104)=3,$D18*$E18*R104,"N/D")</f>
        <v>0</v>
      </c>
      <c r="S18" s="11" t="n">
        <f aca="false">IF(COUNT($D18,$E18,S104)=3,$D18*$E18*S104,"N/D")</f>
        <v>0</v>
      </c>
      <c r="T18" s="11" t="n">
        <f aca="false">IF(COUNT($D18,$E18,T104)=3,$D18*$E18*T104,"N/D")</f>
        <v>0</v>
      </c>
      <c r="U18" s="11" t="n">
        <f aca="false">IF(COUNT($D18,$E18,U104)=3,$D18*$E18*U104,"N/D")</f>
        <v>20034.4444444444</v>
      </c>
      <c r="V18" s="11" t="n">
        <f aca="false">IF(COUNT($D18,$E18,V104)=3,$D18*$E18*V104,"N/D")</f>
        <v>19005.2777777778</v>
      </c>
      <c r="W18" s="11" t="n">
        <f aca="false">IF(COUNT($D18,$E18,W104)=3,$D18*$E18*W104,"N/D")</f>
        <v>17941.8055555556</v>
      </c>
    </row>
    <row r="19" customFormat="false" ht="19.5" hidden="false" customHeight="true" outlineLevel="0" collapsed="false">
      <c r="C19" s="23" t="n">
        <f aca="false">IF(COUNT(Supuestos!P31,Supuestos!$D$14,Supuestos!$D$36)=3,MAX(Supuestos!$D$36,DATE(YEAR(Supuestos!P31),MONTH(Supuestos!P31),Supuestos!$D$14)),"N/D")</f>
        <v>46706</v>
      </c>
      <c r="D19" s="5" t="n">
        <f aca="false">Requisitos!P11</f>
        <v>8.23333333333333</v>
      </c>
      <c r="E19" s="8" t="n">
        <f aca="false">Supuestos!$D$8</f>
        <v>2500</v>
      </c>
      <c r="F19" s="7" t="n">
        <f aca="false">IF(COUNT(Supuestos!P44)=1,Supuestos!P44,"N/D")</f>
        <v>0.7</v>
      </c>
      <c r="G19" s="7" t="n">
        <f aca="false">IF(COUNT(Supuestos!$D$37)=1,Supuestos!$D$37,"N/D")</f>
        <v>0.95</v>
      </c>
      <c r="H19" s="7" t="n">
        <f aca="false">IF(COUNT(Supuestos!$D$38)=1,Supuestos!$D$38,"N/D")</f>
        <v>0.9</v>
      </c>
      <c r="I19" s="7" t="n">
        <f aca="false">IF(COUNT(Supuestos!$D$39)=1,Supuestos!$D$39,"N/D")</f>
        <v>0.85</v>
      </c>
      <c r="J19" s="7" t="n">
        <f aca="false">IF(COUNT(Supuestos!$D$40)=1,Supuestos!$D$40,"N/D")</f>
        <v>0.8</v>
      </c>
      <c r="K19" s="7" t="n">
        <f aca="false">IF(COUNT(Supuestos!$D$41)=1,Supuestos!$D$41,"N/D")</f>
        <v>0.75</v>
      </c>
      <c r="L19" s="11" t="n">
        <f aca="false">IF(COUNT($D19,$E19,L105)=3,$D19*$E19*L105,"N/D")</f>
        <v>0</v>
      </c>
      <c r="M19" s="11" t="n">
        <f aca="false">IF(COUNT($D19,$E19,M105)=3,$D19*$E19*M105,"N/D")</f>
        <v>0</v>
      </c>
      <c r="N19" s="11" t="n">
        <f aca="false">IF(COUNT($D19,$E19,N105)=3,$D19*$E19*N105,"N/D")</f>
        <v>0</v>
      </c>
      <c r="O19" s="11" t="n">
        <f aca="false">IF(COUNT($D19,$E19,O105)=3,$D19*$E19*O105,"N/D")</f>
        <v>0</v>
      </c>
      <c r="P19" s="11" t="n">
        <f aca="false">IF(COUNT($D19,$E19,P105)=3,$D19*$E19*P105,"N/D")</f>
        <v>0</v>
      </c>
      <c r="Q19" s="11" t="n">
        <f aca="false">IF(COUNT($D19,$E19,Q105)=3,$D19*$E19*Q105,"N/D")</f>
        <v>0</v>
      </c>
      <c r="R19" s="11" t="n">
        <f aca="false">IF(COUNT($D19,$E19,R105)=3,$D19*$E19*R105,"N/D")</f>
        <v>0</v>
      </c>
      <c r="S19" s="11" t="n">
        <f aca="false">IF(COUNT($D19,$E19,S105)=3,$D19*$E19*S105,"N/D")</f>
        <v>0</v>
      </c>
      <c r="T19" s="11" t="n">
        <f aca="false">IF(COUNT($D19,$E19,T105)=3,$D19*$E19*T105,"N/D")</f>
        <v>0</v>
      </c>
      <c r="U19" s="11" t="n">
        <f aca="false">IF(COUNT($D19,$E19,U105)=3,$D19*$E19*U105,"N/D")</f>
        <v>0</v>
      </c>
      <c r="V19" s="11" t="n">
        <f aca="false">IF(COUNT($D19,$E19,V105)=3,$D19*$E19*V105,"N/D")</f>
        <v>20068.75</v>
      </c>
      <c r="W19" s="11" t="n">
        <f aca="false">IF(COUNT($D19,$E19,W105)=3,$D19*$E19*W105,"N/D")</f>
        <v>19005.2777777778</v>
      </c>
    </row>
    <row r="20" customFormat="false" ht="19.5" hidden="false" customHeight="true" outlineLevel="0" collapsed="false">
      <c r="C20" s="23" t="n">
        <f aca="false">IF(COUNT(Supuestos!Q31,Supuestos!$D$14,Supuestos!$D$36)=3,MAX(Supuestos!$D$36,DATE(YEAR(Supuestos!Q31),MONTH(Supuestos!Q31),Supuestos!$D$14)),"N/D")</f>
        <v>46736</v>
      </c>
      <c r="D20" s="5" t="n">
        <f aca="false">Requisitos!Q11</f>
        <v>8.23333333333333</v>
      </c>
      <c r="E20" s="8" t="n">
        <f aca="false">Supuestos!$D$8</f>
        <v>2500</v>
      </c>
      <c r="F20" s="7" t="n">
        <f aca="false">IF(COUNT(Supuestos!Q44)=1,Supuestos!Q44,"N/D")</f>
        <v>0.7</v>
      </c>
      <c r="G20" s="7" t="n">
        <f aca="false">IF(COUNT(Supuestos!$D$37)=1,Supuestos!$D$37,"N/D")</f>
        <v>0.95</v>
      </c>
      <c r="H20" s="7" t="n">
        <f aca="false">IF(COUNT(Supuestos!$D$38)=1,Supuestos!$D$38,"N/D")</f>
        <v>0.9</v>
      </c>
      <c r="I20" s="7" t="n">
        <f aca="false">IF(COUNT(Supuestos!$D$39)=1,Supuestos!$D$39,"N/D")</f>
        <v>0.85</v>
      </c>
      <c r="J20" s="7" t="n">
        <f aca="false">IF(COUNT(Supuestos!$D$40)=1,Supuestos!$D$40,"N/D")</f>
        <v>0.8</v>
      </c>
      <c r="K20" s="7" t="n">
        <f aca="false">IF(COUNT(Supuestos!$D$41)=1,Supuestos!$D$41,"N/D")</f>
        <v>0.75</v>
      </c>
      <c r="L20" s="11" t="n">
        <f aca="false">IF(COUNT($D20,$E20,L106)=3,$D20*$E20*L106,"N/D")</f>
        <v>0</v>
      </c>
      <c r="M20" s="11" t="n">
        <f aca="false">IF(COUNT($D20,$E20,M106)=3,$D20*$E20*M106,"N/D")</f>
        <v>0</v>
      </c>
      <c r="N20" s="11" t="n">
        <f aca="false">IF(COUNT($D20,$E20,N106)=3,$D20*$E20*N106,"N/D")</f>
        <v>0</v>
      </c>
      <c r="O20" s="11" t="n">
        <f aca="false">IF(COUNT($D20,$E20,O106)=3,$D20*$E20*O106,"N/D")</f>
        <v>0</v>
      </c>
      <c r="P20" s="11" t="n">
        <f aca="false">IF(COUNT($D20,$E20,P106)=3,$D20*$E20*P106,"N/D")</f>
        <v>0</v>
      </c>
      <c r="Q20" s="11" t="n">
        <f aca="false">IF(COUNT($D20,$E20,Q106)=3,$D20*$E20*Q106,"N/D")</f>
        <v>0</v>
      </c>
      <c r="R20" s="11" t="n">
        <f aca="false">IF(COUNT($D20,$E20,R106)=3,$D20*$E20*R106,"N/D")</f>
        <v>0</v>
      </c>
      <c r="S20" s="11" t="n">
        <f aca="false">IF(COUNT($D20,$E20,S106)=3,$D20*$E20*S106,"N/D")</f>
        <v>0</v>
      </c>
      <c r="T20" s="11" t="n">
        <f aca="false">IF(COUNT($D20,$E20,T106)=3,$D20*$E20*T106,"N/D")</f>
        <v>0</v>
      </c>
      <c r="U20" s="11" t="n">
        <f aca="false">IF(COUNT($D20,$E20,U106)=3,$D20*$E20*U106,"N/D")</f>
        <v>0</v>
      </c>
      <c r="V20" s="11" t="n">
        <f aca="false">IF(COUNT($D20,$E20,V106)=3,$D20*$E20*V106,"N/D")</f>
        <v>0</v>
      </c>
      <c r="W20" s="11" t="n">
        <f aca="false">IF(COUNT($D20,$E20,W106)=3,$D20*$E20*W106,"N/D")</f>
        <v>20034.4444444444</v>
      </c>
    </row>
    <row r="21" customFormat="false" ht="19.5" hidden="false" customHeight="true" outlineLevel="0" collapsed="false"/>
    <row r="22" customFormat="false" ht="19.5" hidden="false" customHeight="true" outlineLevel="0" collapsed="false">
      <c r="C22" s="4" t="s">
        <v>136</v>
      </c>
      <c r="L22" s="11" t="n">
        <f aca="false">IF(COUNT(L9:L20)=12,SUM(L9:L20),"N/D")</f>
        <v>20034.4444444444</v>
      </c>
      <c r="M22" s="11" t="n">
        <f aca="false">IF(COUNT(M9:M20)=12,SUM(M9:M20),"N/D")</f>
        <v>39211.25</v>
      </c>
      <c r="N22" s="11" t="n">
        <f aca="false">IF(COUNT(N9:N20)=12,SUM(N9:N20),"N/D")</f>
        <v>57118.75</v>
      </c>
      <c r="O22" s="11" t="n">
        <f aca="false">IF(COUNT(O9:O20)=12,SUM(O9:O20),"N/D")</f>
        <v>74443.0555555556</v>
      </c>
      <c r="P22" s="11" t="n">
        <f aca="false">IF(COUNT(P9:P20)=12,SUM(P9:P20),"N/D")</f>
        <v>91275.6481481482</v>
      </c>
      <c r="Q22" s="11" t="n">
        <f aca="false">IF(COUNT(Q9:Q20)=12,SUM(Q9:Q20),"N/D")</f>
        <v>107959.583333333</v>
      </c>
      <c r="R22" s="11" t="n">
        <f aca="false">IF(COUNT(R9:R20)=12,SUM(R9:R20),"N/D")</f>
        <v>124228.761261261</v>
      </c>
      <c r="S22" s="11" t="n">
        <f aca="false">IF(COUNT(S9:S20)=12,SUM(S9:S20),"N/D")</f>
        <v>140348.354604605</v>
      </c>
      <c r="T22" s="11" t="n">
        <f aca="false">IF(COUNT(T9:T20)=12,SUM(T9:T20),"N/D")</f>
        <v>156467.020770771</v>
      </c>
      <c r="U22" s="11" t="n">
        <f aca="false">IF(COUNT(U9:U20)=12,SUM(U9:U20),"N/D")</f>
        <v>172253.448448448</v>
      </c>
      <c r="V22" s="11" t="n">
        <f aca="false">IF(COUNT(V9:V20)=12,SUM(V9:V20),"N/D")</f>
        <v>188038.330830831</v>
      </c>
      <c r="W22" s="11" t="n">
        <f aca="false">IF(COUNT(W9:W20)=12,SUM(W9:W20),"N/D")</f>
        <v>203456.978228228</v>
      </c>
    </row>
    <row r="23" customFormat="false" ht="19.5" hidden="false" customHeight="true" outlineLevel="0" collapsed="false"/>
    <row r="24" customFormat="false" ht="31.5" hidden="false" customHeight="true" outlineLevel="0" collapsed="false">
      <c r="C24" s="2" t="s">
        <v>137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30" hidden="false" customHeight="true" outlineLevel="0" collapsed="false">
      <c r="C28" s="24" t="s">
        <v>138</v>
      </c>
      <c r="D28" s="24"/>
      <c r="E28" s="24"/>
      <c r="F28" s="24"/>
      <c r="G28" s="24"/>
      <c r="H28" s="24"/>
      <c r="I28" s="24"/>
      <c r="J28" s="24"/>
      <c r="K28" s="24"/>
      <c r="L28" s="3" t="s">
        <v>91</v>
      </c>
      <c r="M28" s="3" t="s">
        <v>92</v>
      </c>
      <c r="N28" s="3" t="s">
        <v>93</v>
      </c>
      <c r="O28" s="3" t="s">
        <v>94</v>
      </c>
      <c r="P28" s="3" t="s">
        <v>95</v>
      </c>
      <c r="Q28" s="3" t="s">
        <v>96</v>
      </c>
      <c r="R28" s="3" t="s">
        <v>97</v>
      </c>
      <c r="S28" s="3" t="s">
        <v>98</v>
      </c>
      <c r="T28" s="3" t="s">
        <v>99</v>
      </c>
      <c r="U28" s="3" t="s">
        <v>100</v>
      </c>
      <c r="V28" s="3" t="s">
        <v>101</v>
      </c>
      <c r="W28" s="3" t="s">
        <v>102</v>
      </c>
    </row>
    <row r="29" customFormat="false" ht="19.5" hidden="false" customHeight="true" outlineLevel="0" collapsed="false"/>
    <row r="30" customFormat="false" ht="19.5" hidden="false" customHeight="true" outlineLevel="0" collapsed="false">
      <c r="C30" s="20" t="n">
        <f aca="false">C9</f>
        <v>46402</v>
      </c>
      <c r="L30" s="11" t="n">
        <f aca="false">IF(COUNT(L9,$F9)=2,L9*$F9,"N/D")</f>
        <v>14024.1111111111</v>
      </c>
      <c r="M30" s="11" t="n">
        <f aca="false">IF(COUNT(M9,$F9)=2,M9*$F9,"N/D")</f>
        <v>13351.7222222222</v>
      </c>
      <c r="N30" s="11" t="n">
        <f aca="false">IF(COUNT(N9,$F9)=2,N9*$F9,"N/D")</f>
        <v>12607.2916666667</v>
      </c>
      <c r="O30" s="11" t="n">
        <f aca="false">IF(COUNT(O9,$F9)=2,O9*$F9,"N/D")</f>
        <v>12127.0138888889</v>
      </c>
      <c r="P30" s="11" t="n">
        <f aca="false">IF(COUNT(P9,$F9)=2,P9*$F9,"N/D")</f>
        <v>11878.8703703704</v>
      </c>
      <c r="Q30" s="11" t="n">
        <f aca="false">IF(COUNT(Q9,$F9)=2,Q9*$F9,"N/D")</f>
        <v>11638.7314814815</v>
      </c>
      <c r="R30" s="11" t="n">
        <f aca="false">IF(COUNT(R9,$F9)=2,R9*$F9,"N/D")</f>
        <v>11460.4662162162</v>
      </c>
      <c r="S30" s="11" t="n">
        <f aca="false">IF(COUNT(S9,$F9)=2,S9*$F9,"N/D")</f>
        <v>11339.7477477477</v>
      </c>
      <c r="T30" s="11" t="n">
        <f aca="false">IF(COUNT(T9,$F9)=2,T9*$F9,"N/D")</f>
        <v>11222.9234234234</v>
      </c>
      <c r="U30" s="11" t="n">
        <f aca="false">IF(COUNT(U9,$F9)=2,U9*$F9,"N/D")</f>
        <v>11102.204954955</v>
      </c>
      <c r="V30" s="11" t="n">
        <f aca="false">IF(COUNT(V9,$F9)=2,V9*$F9,"N/D")</f>
        <v>10985.3806306306</v>
      </c>
      <c r="W30" s="11" t="n">
        <f aca="false">IF(COUNT(W9,$F9)=2,W9*$F9,"N/D")</f>
        <v>10864.6621621622</v>
      </c>
    </row>
    <row r="31" customFormat="false" ht="19.5" hidden="false" customHeight="true" outlineLevel="0" collapsed="false">
      <c r="C31" s="20" t="n">
        <f aca="false">C10</f>
        <v>46433</v>
      </c>
      <c r="L31" s="11" t="n">
        <f aca="false">IF(COUNT(L10,$F10)=2,L10*$F10,"N/D")</f>
        <v>0</v>
      </c>
      <c r="M31" s="11" t="n">
        <f aca="false">IF(COUNT(M10,$F10)=2,M10*$F10,"N/D")</f>
        <v>14096.1527777778</v>
      </c>
      <c r="N31" s="11" t="n">
        <f aca="false">IF(COUNT(N10,$F10)=2,N10*$F10,"N/D")</f>
        <v>13351.7222222222</v>
      </c>
      <c r="O31" s="11" t="n">
        <f aca="false">IF(COUNT(O10,$F10)=2,O10*$F10,"N/D")</f>
        <v>12631.3055555556</v>
      </c>
      <c r="P31" s="11" t="n">
        <f aca="false">IF(COUNT(P10,$F10)=2,P10*$F10,"N/D")</f>
        <v>12127.0138888889</v>
      </c>
      <c r="Q31" s="11" t="n">
        <f aca="false">IF(COUNT(Q10,$F10)=2,Q10*$F10,"N/D")</f>
        <v>11886.875</v>
      </c>
      <c r="R31" s="11" t="n">
        <f aca="false">IF(COUNT(R10,$F10)=2,R10*$F10,"N/D")</f>
        <v>11638.7314814815</v>
      </c>
      <c r="S31" s="11" t="n">
        <f aca="false">IF(COUNT(S10,$F10)=2,S10*$F10,"N/D")</f>
        <v>11460.4662162162</v>
      </c>
      <c r="T31" s="11" t="n">
        <f aca="false">IF(COUNT(T10,$F10)=2,T10*$F10,"N/D")</f>
        <v>11343.6418918919</v>
      </c>
      <c r="U31" s="11" t="n">
        <f aca="false">IF(COUNT(U10,$F10)=2,U10*$F10,"N/D")</f>
        <v>11222.9234234234</v>
      </c>
      <c r="V31" s="11" t="n">
        <f aca="false">IF(COUNT(V10,$F10)=2,V10*$F10,"N/D")</f>
        <v>11106.0990990991</v>
      </c>
      <c r="W31" s="11" t="n">
        <f aca="false">IF(COUNT(W10,$F10)=2,W10*$F10,"N/D")</f>
        <v>10985.3806306306</v>
      </c>
    </row>
    <row r="32" customFormat="false" ht="19.5" hidden="false" customHeight="true" outlineLevel="0" collapsed="false">
      <c r="C32" s="20" t="n">
        <f aca="false">C11</f>
        <v>46461</v>
      </c>
      <c r="L32" s="11" t="n">
        <f aca="false">IF(COUNT(L11,$F11)=2,L11*$F11,"N/D")</f>
        <v>0</v>
      </c>
      <c r="M32" s="11" t="n">
        <f aca="false">IF(COUNT(M11,$F11)=2,M11*$F11,"N/D")</f>
        <v>0</v>
      </c>
      <c r="N32" s="11" t="n">
        <f aca="false">IF(COUNT(N11,$F11)=2,N11*$F11,"N/D")</f>
        <v>14024.1111111111</v>
      </c>
      <c r="O32" s="11" t="n">
        <f aca="false">IF(COUNT(O11,$F11)=2,O11*$F11,"N/D")</f>
        <v>13303.6944444444</v>
      </c>
      <c r="P32" s="11" t="n">
        <f aca="false">IF(COUNT(P11,$F11)=2,P11*$F11,"N/D")</f>
        <v>12559.2638888889</v>
      </c>
      <c r="Q32" s="11" t="n">
        <f aca="false">IF(COUNT(Q11,$F11)=2,Q11*$F11,"N/D")</f>
        <v>12111.0046296296</v>
      </c>
      <c r="R32" s="11" t="n">
        <f aca="false">IF(COUNT(R11,$F11)=2,R11*$F11,"N/D")</f>
        <v>11862.8611111111</v>
      </c>
      <c r="S32" s="11" t="n">
        <f aca="false">IF(COUNT(S11,$F11)=2,S11*$F11,"N/D")</f>
        <v>11614.7175925926</v>
      </c>
      <c r="T32" s="11" t="n">
        <f aca="false">IF(COUNT(T11,$F11)=2,T11*$F11,"N/D")</f>
        <v>11452.6779279279</v>
      </c>
      <c r="U32" s="11" t="n">
        <f aca="false">IF(COUNT(U11,$F11)=2,U11*$F11,"N/D")</f>
        <v>11331.9594594595</v>
      </c>
      <c r="V32" s="11" t="n">
        <f aca="false">IF(COUNT(V11,$F11)=2,V11*$F11,"N/D")</f>
        <v>11215.1351351351</v>
      </c>
      <c r="W32" s="11" t="n">
        <f aca="false">IF(COUNT(W11,$F11)=2,W11*$F11,"N/D")</f>
        <v>11094.4166666667</v>
      </c>
    </row>
    <row r="33" customFormat="false" ht="19.5" hidden="false" customHeight="true" outlineLevel="0" collapsed="false">
      <c r="C33" s="20" t="n">
        <f aca="false">C12</f>
        <v>46492</v>
      </c>
      <c r="L33" s="11" t="n">
        <f aca="false">IF(COUNT(L12,$F12)=2,L12*$F12,"N/D")</f>
        <v>0</v>
      </c>
      <c r="M33" s="11" t="n">
        <f aca="false">IF(COUNT(M12,$F12)=2,M12*$F12,"N/D")</f>
        <v>0</v>
      </c>
      <c r="N33" s="11" t="n">
        <f aca="false">IF(COUNT(N12,$F12)=2,N12*$F12,"N/D")</f>
        <v>0</v>
      </c>
      <c r="O33" s="11" t="n">
        <f aca="false">IF(COUNT(O12,$F12)=2,O12*$F12,"N/D")</f>
        <v>14048.125</v>
      </c>
      <c r="P33" s="11" t="n">
        <f aca="false">IF(COUNT(P12,$F12)=2,P12*$F12,"N/D")</f>
        <v>13303.6944444444</v>
      </c>
      <c r="Q33" s="11" t="n">
        <f aca="false">IF(COUNT(Q12,$F12)=2,Q12*$F12,"N/D")</f>
        <v>12583.2777777778</v>
      </c>
      <c r="R33" s="11" t="n">
        <f aca="false">IF(COUNT(R12,$F12)=2,R12*$F12,"N/D")</f>
        <v>12111.0046296296</v>
      </c>
      <c r="S33" s="11" t="n">
        <f aca="false">IF(COUNT(S12,$F12)=2,S12*$F12,"N/D")</f>
        <v>11862.8611111111</v>
      </c>
      <c r="T33" s="11" t="n">
        <f aca="false">IF(COUNT(T12,$F12)=2,T12*$F12,"N/D")</f>
        <v>11622.7222222222</v>
      </c>
      <c r="U33" s="11" t="n">
        <f aca="false">IF(COUNT(U12,$F12)=2,U12*$F12,"N/D")</f>
        <v>11452.6779279279</v>
      </c>
      <c r="V33" s="11" t="n">
        <f aca="false">IF(COUNT(V12,$F12)=2,V12*$F12,"N/D")</f>
        <v>11335.8536036036</v>
      </c>
      <c r="W33" s="11" t="n">
        <f aca="false">IF(COUNT(W12,$F12)=2,W12*$F12,"N/D")</f>
        <v>11215.1351351351</v>
      </c>
    </row>
    <row r="34" customFormat="false" ht="19.5" hidden="false" customHeight="true" outlineLevel="0" collapsed="false">
      <c r="C34" s="20" t="n">
        <f aca="false">C13</f>
        <v>46522</v>
      </c>
      <c r="L34" s="11" t="n">
        <f aca="false">IF(COUNT(L13,$F13)=2,L13*$F13,"N/D")</f>
        <v>0</v>
      </c>
      <c r="M34" s="11" t="n">
        <f aca="false">IF(COUNT(M13,$F13)=2,M13*$F13,"N/D")</f>
        <v>0</v>
      </c>
      <c r="N34" s="11" t="n">
        <f aca="false">IF(COUNT(N13,$F13)=2,N13*$F13,"N/D")</f>
        <v>0</v>
      </c>
      <c r="O34" s="11" t="n">
        <f aca="false">IF(COUNT(O13,$F13)=2,O13*$F13,"N/D")</f>
        <v>0</v>
      </c>
      <c r="P34" s="11" t="n">
        <f aca="false">IF(COUNT(P13,$F13)=2,P13*$F13,"N/D")</f>
        <v>14024.1111111111</v>
      </c>
      <c r="Q34" s="11" t="n">
        <f aca="false">IF(COUNT(Q13,$F13)=2,Q13*$F13,"N/D")</f>
        <v>13303.6944444444</v>
      </c>
      <c r="R34" s="11" t="n">
        <f aca="false">IF(COUNT(R13,$F13)=2,R13*$F13,"N/D")</f>
        <v>12559.2638888889</v>
      </c>
      <c r="S34" s="11" t="n">
        <f aca="false">IF(COUNT(S13,$F13)=2,S13*$F13,"N/D")</f>
        <v>12103</v>
      </c>
      <c r="T34" s="11" t="n">
        <f aca="false">IF(COUNT(T13,$F13)=2,T13*$F13,"N/D")</f>
        <v>11862.8611111111</v>
      </c>
      <c r="U34" s="11" t="n">
        <f aca="false">IF(COUNT(U13,$F13)=2,U13*$F13,"N/D")</f>
        <v>11614.7175925926</v>
      </c>
      <c r="V34" s="11" t="n">
        <f aca="false">IF(COUNT(V13,$F13)=2,V13*$F13,"N/D")</f>
        <v>11452.6779279279</v>
      </c>
      <c r="W34" s="11" t="n">
        <f aca="false">IF(COUNT(W13,$F13)=2,W13*$F13,"N/D")</f>
        <v>11331.9594594595</v>
      </c>
    </row>
    <row r="35" customFormat="false" ht="19.5" hidden="false" customHeight="true" outlineLevel="0" collapsed="false">
      <c r="C35" s="20" t="n">
        <f aca="false">C14</f>
        <v>46553</v>
      </c>
      <c r="L35" s="11" t="n">
        <f aca="false">IF(COUNT(L14,$F14)=2,L14*$F14,"N/D")</f>
        <v>0</v>
      </c>
      <c r="M35" s="11" t="n">
        <f aca="false">IF(COUNT(M14,$F14)=2,M14*$F14,"N/D")</f>
        <v>0</v>
      </c>
      <c r="N35" s="11" t="n">
        <f aca="false">IF(COUNT(N14,$F14)=2,N14*$F14,"N/D")</f>
        <v>0</v>
      </c>
      <c r="O35" s="11" t="n">
        <f aca="false">IF(COUNT(O14,$F14)=2,O14*$F14,"N/D")</f>
        <v>0</v>
      </c>
      <c r="P35" s="11" t="n">
        <f aca="false">IF(COUNT(P14,$F14)=2,P14*$F14,"N/D")</f>
        <v>0</v>
      </c>
      <c r="Q35" s="11" t="n">
        <f aca="false">IF(COUNT(Q14,$F14)=2,Q14*$F14,"N/D")</f>
        <v>14048.125</v>
      </c>
      <c r="R35" s="11" t="n">
        <f aca="false">IF(COUNT(R14,$F14)=2,R14*$F14,"N/D")</f>
        <v>13303.6944444444</v>
      </c>
      <c r="S35" s="11" t="n">
        <f aca="false">IF(COUNT(S14,$F14)=2,S14*$F14,"N/D")</f>
        <v>12559.2638888889</v>
      </c>
      <c r="T35" s="11" t="n">
        <f aca="false">IF(COUNT(T14,$F14)=2,T14*$F14,"N/D")</f>
        <v>12111.0046296296</v>
      </c>
      <c r="U35" s="11" t="n">
        <f aca="false">IF(COUNT(U14,$F14)=2,U14*$F14,"N/D")</f>
        <v>11862.8611111111</v>
      </c>
      <c r="V35" s="11" t="n">
        <f aca="false">IF(COUNT(V14,$F14)=2,V14*$F14,"N/D")</f>
        <v>11622.7222222222</v>
      </c>
      <c r="W35" s="11" t="n">
        <f aca="false">IF(COUNT(W14,$F14)=2,W14*$F14,"N/D")</f>
        <v>11452.6779279279</v>
      </c>
    </row>
    <row r="36" customFormat="false" ht="19.5" hidden="false" customHeight="true" outlineLevel="0" collapsed="false">
      <c r="C36" s="20" t="n">
        <f aca="false">C15</f>
        <v>46583</v>
      </c>
      <c r="L36" s="11" t="n">
        <f aca="false">IF(COUNT(L15,$F15)=2,L15*$F15,"N/D")</f>
        <v>0</v>
      </c>
      <c r="M36" s="11" t="n">
        <f aca="false">IF(COUNT(M15,$F15)=2,M15*$F15,"N/D")</f>
        <v>0</v>
      </c>
      <c r="N36" s="11" t="n">
        <f aca="false">IF(COUNT(N15,$F15)=2,N15*$F15,"N/D")</f>
        <v>0</v>
      </c>
      <c r="O36" s="11" t="n">
        <f aca="false">IF(COUNT(O15,$F15)=2,O15*$F15,"N/D")</f>
        <v>0</v>
      </c>
      <c r="P36" s="11" t="n">
        <f aca="false">IF(COUNT(P15,$F15)=2,P15*$F15,"N/D")</f>
        <v>0</v>
      </c>
      <c r="Q36" s="11" t="n">
        <f aca="false">IF(COUNT(Q15,$F15)=2,Q15*$F15,"N/D")</f>
        <v>0</v>
      </c>
      <c r="R36" s="11" t="n">
        <f aca="false">IF(COUNT(R15,$F15)=2,R15*$F15,"N/D")</f>
        <v>14024.1111111111</v>
      </c>
      <c r="S36" s="11" t="n">
        <f aca="false">IF(COUNT(S15,$F15)=2,S15*$F15,"N/D")</f>
        <v>13279.6805555556</v>
      </c>
      <c r="T36" s="11" t="n">
        <f aca="false">IF(COUNT(T15,$F15)=2,T15*$F15,"N/D")</f>
        <v>12559.2638888889</v>
      </c>
      <c r="U36" s="11" t="n">
        <f aca="false">IF(COUNT(U15,$F15)=2,U15*$F15,"N/D")</f>
        <v>12103</v>
      </c>
      <c r="V36" s="11" t="n">
        <f aca="false">IF(COUNT(V15,$F15)=2,V15*$F15,"N/D")</f>
        <v>11862.8611111111</v>
      </c>
      <c r="W36" s="11" t="n">
        <f aca="false">IF(COUNT(W15,$F15)=2,W15*$F15,"N/D")</f>
        <v>11614.7175925926</v>
      </c>
    </row>
    <row r="37" customFormat="false" ht="19.5" hidden="false" customHeight="true" outlineLevel="0" collapsed="false">
      <c r="C37" s="20" t="n">
        <f aca="false">C16</f>
        <v>46614</v>
      </c>
      <c r="L37" s="11" t="n">
        <f aca="false">IF(COUNT(L16,$F16)=2,L16*$F16,"N/D")</f>
        <v>0</v>
      </c>
      <c r="M37" s="11" t="n">
        <f aca="false">IF(COUNT(M16,$F16)=2,M16*$F16,"N/D")</f>
        <v>0</v>
      </c>
      <c r="N37" s="11" t="n">
        <f aca="false">IF(COUNT(N16,$F16)=2,N16*$F16,"N/D")</f>
        <v>0</v>
      </c>
      <c r="O37" s="11" t="n">
        <f aca="false">IF(COUNT(O16,$F16)=2,O16*$F16,"N/D")</f>
        <v>0</v>
      </c>
      <c r="P37" s="11" t="n">
        <f aca="false">IF(COUNT(P16,$F16)=2,P16*$F16,"N/D")</f>
        <v>0</v>
      </c>
      <c r="Q37" s="11" t="n">
        <f aca="false">IF(COUNT(Q16,$F16)=2,Q16*$F16,"N/D")</f>
        <v>0</v>
      </c>
      <c r="R37" s="11" t="n">
        <f aca="false">IF(COUNT(R16,$F16)=2,R16*$F16,"N/D")</f>
        <v>0</v>
      </c>
      <c r="S37" s="11" t="n">
        <f aca="false">IF(COUNT(S16,$F16)=2,S16*$F16,"N/D")</f>
        <v>14024.1111111111</v>
      </c>
      <c r="T37" s="11" t="n">
        <f aca="false">IF(COUNT(T16,$F16)=2,T16*$F16,"N/D")</f>
        <v>13303.6944444444</v>
      </c>
      <c r="U37" s="11" t="n">
        <f aca="false">IF(COUNT(U16,$F16)=2,U16*$F16,"N/D")</f>
        <v>12559.2638888889</v>
      </c>
      <c r="V37" s="11" t="n">
        <f aca="false">IF(COUNT(V16,$F16)=2,V16*$F16,"N/D")</f>
        <v>12111.0046296296</v>
      </c>
      <c r="W37" s="11" t="n">
        <f aca="false">IF(COUNT(W16,$F16)=2,W16*$F16,"N/D")</f>
        <v>11862.8611111111</v>
      </c>
    </row>
    <row r="38" customFormat="false" ht="19.5" hidden="false" customHeight="true" outlineLevel="0" collapsed="false">
      <c r="C38" s="20" t="n">
        <f aca="false">C17</f>
        <v>46645</v>
      </c>
      <c r="L38" s="11" t="n">
        <f aca="false">IF(COUNT(L17,$F17)=2,L17*$F17,"N/D")</f>
        <v>0</v>
      </c>
      <c r="M38" s="11" t="n">
        <f aca="false">IF(COUNT(M17,$F17)=2,M17*$F17,"N/D")</f>
        <v>0</v>
      </c>
      <c r="N38" s="11" t="n">
        <f aca="false">IF(COUNT(N17,$F17)=2,N17*$F17,"N/D")</f>
        <v>0</v>
      </c>
      <c r="O38" s="11" t="n">
        <f aca="false">IF(COUNT(O17,$F17)=2,O17*$F17,"N/D")</f>
        <v>0</v>
      </c>
      <c r="P38" s="11" t="n">
        <f aca="false">IF(COUNT(P17,$F17)=2,P17*$F17,"N/D")</f>
        <v>0</v>
      </c>
      <c r="Q38" s="11" t="n">
        <f aca="false">IF(COUNT(Q17,$F17)=2,Q17*$F17,"N/D")</f>
        <v>0</v>
      </c>
      <c r="R38" s="11" t="n">
        <f aca="false">IF(COUNT(R17,$F17)=2,R17*$F17,"N/D")</f>
        <v>0</v>
      </c>
      <c r="S38" s="11" t="n">
        <f aca="false">IF(COUNT(S17,$F17)=2,S17*$F17,"N/D")</f>
        <v>0</v>
      </c>
      <c r="T38" s="11" t="n">
        <f aca="false">IF(COUNT(T17,$F17)=2,T17*$F17,"N/D")</f>
        <v>14048.125</v>
      </c>
      <c r="U38" s="11" t="n">
        <f aca="false">IF(COUNT(U17,$F17)=2,U17*$F17,"N/D")</f>
        <v>13303.6944444444</v>
      </c>
      <c r="V38" s="11" t="n">
        <f aca="false">IF(COUNT(V17,$F17)=2,V17*$F17,"N/D")</f>
        <v>12583.2777777778</v>
      </c>
      <c r="W38" s="11" t="n">
        <f aca="false">IF(COUNT(W17,$F17)=2,W17*$F17,"N/D")</f>
        <v>12111.0046296296</v>
      </c>
    </row>
    <row r="39" customFormat="false" ht="19.5" hidden="false" customHeight="true" outlineLevel="0" collapsed="false">
      <c r="C39" s="20" t="n">
        <f aca="false">C18</f>
        <v>46675</v>
      </c>
      <c r="L39" s="11" t="n">
        <f aca="false">IF(COUNT(L18,$F18)=2,L18*$F18,"N/D")</f>
        <v>0</v>
      </c>
      <c r="M39" s="11" t="n">
        <f aca="false">IF(COUNT(M18,$F18)=2,M18*$F18,"N/D")</f>
        <v>0</v>
      </c>
      <c r="N39" s="11" t="n">
        <f aca="false">IF(COUNT(N18,$F18)=2,N18*$F18,"N/D")</f>
        <v>0</v>
      </c>
      <c r="O39" s="11" t="n">
        <f aca="false">IF(COUNT(O18,$F18)=2,O18*$F18,"N/D")</f>
        <v>0</v>
      </c>
      <c r="P39" s="11" t="n">
        <f aca="false">IF(COUNT(P18,$F18)=2,P18*$F18,"N/D")</f>
        <v>0</v>
      </c>
      <c r="Q39" s="11" t="n">
        <f aca="false">IF(COUNT(Q18,$F18)=2,Q18*$F18,"N/D")</f>
        <v>0</v>
      </c>
      <c r="R39" s="11" t="n">
        <f aca="false">IF(COUNT(R18,$F18)=2,R18*$F18,"N/D")</f>
        <v>0</v>
      </c>
      <c r="S39" s="11" t="n">
        <f aca="false">IF(COUNT(S18,$F18)=2,S18*$F18,"N/D")</f>
        <v>0</v>
      </c>
      <c r="T39" s="11" t="n">
        <f aca="false">IF(COUNT(T18,$F18)=2,T18*$F18,"N/D")</f>
        <v>0</v>
      </c>
      <c r="U39" s="11" t="n">
        <f aca="false">IF(COUNT(U18,$F18)=2,U18*$F18,"N/D")</f>
        <v>14024.1111111111</v>
      </c>
      <c r="V39" s="11" t="n">
        <f aca="false">IF(COUNT(V18,$F18)=2,V18*$F18,"N/D")</f>
        <v>13303.6944444444</v>
      </c>
      <c r="W39" s="11" t="n">
        <f aca="false">IF(COUNT(W18,$F18)=2,W18*$F18,"N/D")</f>
        <v>12559.2638888889</v>
      </c>
    </row>
    <row r="40" customFormat="false" ht="19.5" hidden="false" customHeight="true" outlineLevel="0" collapsed="false">
      <c r="C40" s="20" t="n">
        <f aca="false">C19</f>
        <v>46706</v>
      </c>
      <c r="L40" s="11" t="n">
        <f aca="false">IF(COUNT(L19,$F19)=2,L19*$F19,"N/D")</f>
        <v>0</v>
      </c>
      <c r="M40" s="11" t="n">
        <f aca="false">IF(COUNT(M19,$F19)=2,M19*$F19,"N/D")</f>
        <v>0</v>
      </c>
      <c r="N40" s="11" t="n">
        <f aca="false">IF(COUNT(N19,$F19)=2,N19*$F19,"N/D")</f>
        <v>0</v>
      </c>
      <c r="O40" s="11" t="n">
        <f aca="false">IF(COUNT(O19,$F19)=2,O19*$F19,"N/D")</f>
        <v>0</v>
      </c>
      <c r="P40" s="11" t="n">
        <f aca="false">IF(COUNT(P19,$F19)=2,P19*$F19,"N/D")</f>
        <v>0</v>
      </c>
      <c r="Q40" s="11" t="n">
        <f aca="false">IF(COUNT(Q19,$F19)=2,Q19*$F19,"N/D")</f>
        <v>0</v>
      </c>
      <c r="R40" s="11" t="n">
        <f aca="false">IF(COUNT(R19,$F19)=2,R19*$F19,"N/D")</f>
        <v>0</v>
      </c>
      <c r="S40" s="11" t="n">
        <f aca="false">IF(COUNT(S19,$F19)=2,S19*$F19,"N/D")</f>
        <v>0</v>
      </c>
      <c r="T40" s="11" t="n">
        <f aca="false">IF(COUNT(T19,$F19)=2,T19*$F19,"N/D")</f>
        <v>0</v>
      </c>
      <c r="U40" s="11" t="n">
        <f aca="false">IF(COUNT(U19,$F19)=2,U19*$F19,"N/D")</f>
        <v>0</v>
      </c>
      <c r="V40" s="11" t="n">
        <f aca="false">IF(COUNT(V19,$F19)=2,V19*$F19,"N/D")</f>
        <v>14048.125</v>
      </c>
      <c r="W40" s="11" t="n">
        <f aca="false">IF(COUNT(W19,$F19)=2,W19*$F19,"N/D")</f>
        <v>13303.6944444444</v>
      </c>
    </row>
    <row r="41" customFormat="false" ht="19.5" hidden="false" customHeight="true" outlineLevel="0" collapsed="false">
      <c r="C41" s="20" t="n">
        <f aca="false">C20</f>
        <v>46736</v>
      </c>
      <c r="L41" s="11" t="n">
        <f aca="false">IF(COUNT(L20,$F20)=2,L20*$F20,"N/D")</f>
        <v>0</v>
      </c>
      <c r="M41" s="11" t="n">
        <f aca="false">IF(COUNT(M20,$F20)=2,M20*$F20,"N/D")</f>
        <v>0</v>
      </c>
      <c r="N41" s="11" t="n">
        <f aca="false">IF(COUNT(N20,$F20)=2,N20*$F20,"N/D")</f>
        <v>0</v>
      </c>
      <c r="O41" s="11" t="n">
        <f aca="false">IF(COUNT(O20,$F20)=2,O20*$F20,"N/D")</f>
        <v>0</v>
      </c>
      <c r="P41" s="11" t="n">
        <f aca="false">IF(COUNT(P20,$F20)=2,P20*$F20,"N/D")</f>
        <v>0</v>
      </c>
      <c r="Q41" s="11" t="n">
        <f aca="false">IF(COUNT(Q20,$F20)=2,Q20*$F20,"N/D")</f>
        <v>0</v>
      </c>
      <c r="R41" s="11" t="n">
        <f aca="false">IF(COUNT(R20,$F20)=2,R20*$F20,"N/D")</f>
        <v>0</v>
      </c>
      <c r="S41" s="11" t="n">
        <f aca="false">IF(COUNT(S20,$F20)=2,S20*$F20,"N/D")</f>
        <v>0</v>
      </c>
      <c r="T41" s="11" t="n">
        <f aca="false">IF(COUNT(T20,$F20)=2,T20*$F20,"N/D")</f>
        <v>0</v>
      </c>
      <c r="U41" s="11" t="n">
        <f aca="false">IF(COUNT(U20,$F20)=2,U20*$F20,"N/D")</f>
        <v>0</v>
      </c>
      <c r="V41" s="11" t="n">
        <f aca="false">IF(COUNT(V20,$F20)=2,V20*$F20,"N/D")</f>
        <v>0</v>
      </c>
      <c r="W41" s="11" t="n">
        <f aca="false">IF(COUNT(W20,$F20)=2,W20*$F20,"N/D")</f>
        <v>14024.1111111111</v>
      </c>
    </row>
    <row r="42" customFormat="false" ht="19.5" hidden="false" customHeight="true" outlineLevel="0" collapsed="false"/>
    <row r="43" customFormat="false" ht="19.5" hidden="false" customHeight="true" outlineLevel="0" collapsed="false">
      <c r="C43" s="4" t="s">
        <v>139</v>
      </c>
      <c r="L43" s="11" t="n">
        <f aca="false">IF(COUNT(L30:L41)=12,SUM(L30:L41),"N/D")</f>
        <v>14024.1111111111</v>
      </c>
      <c r="M43" s="11" t="n">
        <f aca="false">IF(COUNT(M30:M41)=12,SUM(M30:M41),"N/D")</f>
        <v>27447.875</v>
      </c>
      <c r="N43" s="11" t="n">
        <f aca="false">IF(COUNT(N30:N41)=12,SUM(N30:N41),"N/D")</f>
        <v>39983.125</v>
      </c>
      <c r="O43" s="11" t="n">
        <f aca="false">IF(COUNT(O30:O41)=12,SUM(O30:O41),"N/D")</f>
        <v>52110.1388888889</v>
      </c>
      <c r="P43" s="11" t="n">
        <f aca="false">IF(COUNT(P30:P41)=12,SUM(P30:P41),"N/D")</f>
        <v>63892.9537037037</v>
      </c>
      <c r="Q43" s="11" t="n">
        <f aca="false">IF(COUNT(Q30:Q41)=12,SUM(Q30:Q41),"N/D")</f>
        <v>75571.7083333333</v>
      </c>
      <c r="R43" s="11" t="n">
        <f aca="false">IF(COUNT(R30:R41)=12,SUM(R30:R41),"N/D")</f>
        <v>86960.1328828829</v>
      </c>
      <c r="S43" s="11" t="n">
        <f aca="false">IF(COUNT(S30:S41)=12,SUM(S30:S41),"N/D")</f>
        <v>98243.8482232232</v>
      </c>
      <c r="T43" s="11" t="n">
        <f aca="false">IF(COUNT(T30:T41)=12,SUM(T30:T41),"N/D")</f>
        <v>109526.91453954</v>
      </c>
      <c r="U43" s="11" t="n">
        <f aca="false">IF(COUNT(U30:U41)=12,SUM(U30:U41),"N/D")</f>
        <v>120577.413913914</v>
      </c>
      <c r="V43" s="11" t="n">
        <f aca="false">IF(COUNT(V30:V41)=12,SUM(V30:V41),"N/D")</f>
        <v>131626.831581582</v>
      </c>
      <c r="W43" s="11" t="n">
        <f aca="false">IF(COUNT(W30:W41)=12,SUM(W30:W41),"N/D")</f>
        <v>142419.88475976</v>
      </c>
    </row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30" hidden="false" customHeight="true" outlineLevel="0" collapsed="false">
      <c r="C48" s="24" t="s">
        <v>140</v>
      </c>
      <c r="D48" s="24"/>
      <c r="E48" s="24"/>
      <c r="F48" s="24"/>
      <c r="G48" s="24"/>
      <c r="H48" s="24"/>
      <c r="I48" s="24"/>
      <c r="J48" s="24"/>
      <c r="K48" s="24"/>
      <c r="L48" s="3" t="s">
        <v>91</v>
      </c>
      <c r="M48" s="3" t="s">
        <v>92</v>
      </c>
      <c r="N48" s="3" t="s">
        <v>93</v>
      </c>
      <c r="O48" s="3" t="s">
        <v>94</v>
      </c>
      <c r="P48" s="3" t="s">
        <v>95</v>
      </c>
      <c r="Q48" s="3" t="s">
        <v>96</v>
      </c>
      <c r="R48" s="3" t="s">
        <v>97</v>
      </c>
      <c r="S48" s="3" t="s">
        <v>98</v>
      </c>
      <c r="T48" s="3" t="s">
        <v>99</v>
      </c>
      <c r="U48" s="3" t="s">
        <v>100</v>
      </c>
      <c r="V48" s="3" t="s">
        <v>101</v>
      </c>
      <c r="W48" s="3" t="s">
        <v>102</v>
      </c>
    </row>
    <row r="49" customFormat="false" ht="19.5" hidden="false" customHeight="true" outlineLevel="0" collapsed="false"/>
    <row r="50" customFormat="false" ht="19.5" hidden="false" customHeight="true" outlineLevel="0" collapsed="false">
      <c r="C50" s="20" t="n">
        <f aca="false">C9</f>
        <v>46402</v>
      </c>
      <c r="L50" s="8" t="n">
        <f aca="false">IF(COUNT($D9,$E9,$F9,L9,0,Supuestos!$D$45)=6,IF(0&gt;=Supuestos!$D$45,0,IF($C9&gt;EOMONTH(L$7,0),0,IF($C9&gt;=DATE(YEAR(L$7),MONTH(L$7),1),($D9*$E9+L9)/2*(EOMONTH(L$7,0)-$C9+1)/DAY(EOMONTH(L$7,0)),(0+L9)/2))*$F9),"N/D")</f>
        <v>7795.99283154122</v>
      </c>
      <c r="M50" s="8" t="n">
        <f aca="false">IF(COUNT($D9,$E9,$F9,M9,L9,Supuestos!$D$45)=6,IF(1&gt;=Supuestos!$D$45,0,IF($C9&gt;EOMONTH(M$7,0),0,IF($C9&gt;=DATE(YEAR(M$7),MONTH(M$7),1),($D9*$E9+M9)/2*(EOMONTH(M$7,0)-$C9+1)/DAY(EOMONTH(M$7,0)),(L9+M9)/2))*$F9),"N/D")</f>
        <v>13687.9166666667</v>
      </c>
      <c r="N50" s="8" t="n">
        <f aca="false">IF(COUNT($D9,$E9,$F9,N9,M9,Supuestos!$D$45)=6,IF(2&gt;=Supuestos!$D$45,0,IF($C9&gt;EOMONTH(N$7,0),0,IF($C9&gt;=DATE(YEAR(N$7),MONTH(N$7),1),($D9*$E9+N9)/2*(EOMONTH(N$7,0)-$C9+1)/DAY(EOMONTH(N$7,0)),(M9+N9)/2))*$F9),"N/D")</f>
        <v>12979.5069444444</v>
      </c>
      <c r="O50" s="8" t="n">
        <f aca="false">IF(COUNT($D9,$E9,$F9,O9,N9,Supuestos!$D$45)=6,IF(3&gt;=Supuestos!$D$45,0,IF($C9&gt;EOMONTH(O$7,0),0,IF($C9&gt;=DATE(YEAR(O$7),MONTH(O$7),1),($D9*$E9+O9)/2*(EOMONTH(O$7,0)-$C9+1)/DAY(EOMONTH(O$7,0)),(N9+O9)/2))*$F9),"N/D")</f>
        <v>12367.1527777778</v>
      </c>
      <c r="P50" s="8" t="n">
        <f aca="false">IF(COUNT($D9,$E9,$F9,P9,O9,Supuestos!$D$45)=6,IF(4&gt;=Supuestos!$D$45,0,IF($C9&gt;EOMONTH(P$7,0),0,IF($C9&gt;=DATE(YEAR(P$7),MONTH(P$7),1),($D9*$E9+P9)/2*(EOMONTH(P$7,0)-$C9+1)/DAY(EOMONTH(P$7,0)),(O9+P9)/2))*$F9),"N/D")</f>
        <v>12002.9421296296</v>
      </c>
      <c r="Q50" s="8" t="n">
        <f aca="false">IF(COUNT($D9,$E9,$F9,Q9,P9,Supuestos!$D$45)=6,IF(5&gt;=Supuestos!$D$45,0,IF($C9&gt;EOMONTH(Q$7,0),0,IF($C9&gt;=DATE(YEAR(Q$7),MONTH(Q$7),1),($D9*$E9+Q9)/2*(EOMONTH(Q$7,0)-$C9+1)/DAY(EOMONTH(Q$7,0)),(P9+Q9)/2))*$F9),"N/D")</f>
        <v>11758.8009259259</v>
      </c>
      <c r="R50" s="8" t="n">
        <f aca="false">IF(COUNT($D9,$E9,$F9,R9,Q9,Supuestos!$D$45)=6,IF(6&gt;=Supuestos!$D$45,0,IF($C9&gt;EOMONTH(R$7,0),0,IF($C9&gt;=DATE(YEAR(R$7),MONTH(R$7),1),($D9*$E9+R9)/2*(EOMONTH(R$7,0)-$C9+1)/DAY(EOMONTH(R$7,0)),(Q9+R9)/2))*$F9),"N/D")</f>
        <v>11549.5988488489</v>
      </c>
      <c r="S50" s="8" t="n">
        <f aca="false">IF(COUNT($D9,$E9,$F9,S9,R9,Supuestos!$D$45)=6,IF(7&gt;=Supuestos!$D$45,0,IF($C9&gt;EOMONTH(S$7,0),0,IF($C9&gt;=DATE(YEAR(S$7),MONTH(S$7),1),($D9*$E9+S9)/2*(EOMONTH(S$7,0)-$C9+1)/DAY(EOMONTH(S$7,0)),(R9+S9)/2))*$F9),"N/D")</f>
        <v>11400.106981982</v>
      </c>
      <c r="T50" s="8" t="n">
        <f aca="false">IF(COUNT($D9,$E9,$F9,T9,S9,Supuestos!$D$45)=6,IF(8&gt;=Supuestos!$D$45,0,IF($C9&gt;EOMONTH(T$7,0),0,IF($C9&gt;=DATE(YEAR(T$7),MONTH(T$7),1),($D9*$E9+T9)/2*(EOMONTH(T$7,0)-$C9+1)/DAY(EOMONTH(T$7,0)),(S9+T9)/2))*$F9),"N/D")</f>
        <v>11281.3355855856</v>
      </c>
      <c r="U50" s="8" t="n">
        <f aca="false">IF(COUNT($D9,$E9,$F9,U9,T9,Supuestos!$D$45)=6,IF(9&gt;=Supuestos!$D$45,0,IF($C9&gt;EOMONTH(U$7,0),0,IF($C9&gt;=DATE(YEAR(U$7),MONTH(U$7),1),($D9*$E9+U9)/2*(EOMONTH(U$7,0)-$C9+1)/DAY(EOMONTH(U$7,0)),(T9+U9)/2))*$F9),"N/D")</f>
        <v>11162.5641891892</v>
      </c>
      <c r="V50" s="8" t="n">
        <f aca="false">IF(COUNT($D9,$E9,$F9,V9,U9,Supuestos!$D$45)=6,IF(10&gt;=Supuestos!$D$45,0,IF($C9&gt;EOMONTH(V$7,0),0,IF($C9&gt;=DATE(YEAR(V$7),MONTH(V$7),1),($D9*$E9+V9)/2*(EOMONTH(V$7,0)-$C9+1)/DAY(EOMONTH(V$7,0)),(U9+V9)/2))*$F9),"N/D")</f>
        <v>11043.7927927928</v>
      </c>
      <c r="W50" s="8" t="n">
        <f aca="false">IF(COUNT($D9,$E9,$F9,W9,V9,Supuestos!$D$45)=6,IF(11&gt;=Supuestos!$D$45,0,IF($C9&gt;EOMONTH(W$7,0),0,IF($C9&gt;=DATE(YEAR(W$7),MONTH(W$7),1),($D9*$E9+W9)/2*(EOMONTH(W$7,0)-$C9+1)/DAY(EOMONTH(W$7,0)),(V9+W9)/2))*$F9),"N/D")</f>
        <v>10925.0213963964</v>
      </c>
    </row>
    <row r="51" customFormat="false" ht="19.5" hidden="false" customHeight="true" outlineLevel="0" collapsed="false">
      <c r="C51" s="20" t="n">
        <f aca="false">C10</f>
        <v>46433</v>
      </c>
      <c r="L51" s="8" t="n">
        <f aca="false">IF(COUNT($D10,$E10,$F10,L10,0,Supuestos!$D$45)=6,IF(0&gt;=Supuestos!$D$45,0,IF($C10&gt;EOMONTH(L$7,0),0,IF($C10&gt;=DATE(YEAR(L$7),MONTH(L$7),1),($D10*$E10+L10)/2*(EOMONTH(L$7,0)-$C10+1)/DAY(EOMONTH(L$7,0)),(0+L10)/2))*$F10),"N/D")</f>
        <v>0</v>
      </c>
      <c r="M51" s="8" t="n">
        <f aca="false">IF(COUNT($D10,$E10,$F10,M10,L10,Supuestos!$D$45)=6,IF(1&gt;=Supuestos!$D$45,0,IF($C10&gt;EOMONTH(M$7,0),0,IF($C10&gt;=DATE(YEAR(M$7),MONTH(M$7),1),($D10*$E10+M10)/2*(EOMONTH(M$7,0)-$C10+1)/DAY(EOMONTH(M$7,0)),(L10+M10)/2))*$F10),"N/D")</f>
        <v>7126.12152777778</v>
      </c>
      <c r="N51" s="8" t="n">
        <f aca="false">IF(COUNT($D10,$E10,$F10,N10,M10,Supuestos!$D$45)=6,IF(2&gt;=Supuestos!$D$45,0,IF($C10&gt;EOMONTH(N$7,0),0,IF($C10&gt;=DATE(YEAR(N$7),MONTH(N$7),1),($D10*$E10+N10)/2*(EOMONTH(N$7,0)-$C10+1)/DAY(EOMONTH(N$7,0)),(M10+N10)/2))*$F10),"N/D")</f>
        <v>13723.9375</v>
      </c>
      <c r="O51" s="8" t="n">
        <f aca="false">IF(COUNT($D10,$E10,$F10,O10,N10,Supuestos!$D$45)=6,IF(3&gt;=Supuestos!$D$45,0,IF($C10&gt;EOMONTH(O$7,0),0,IF($C10&gt;=DATE(YEAR(O$7),MONTH(O$7),1),($D10*$E10+O10)/2*(EOMONTH(O$7,0)-$C10+1)/DAY(EOMONTH(O$7,0)),(N10+O10)/2))*$F10),"N/D")</f>
        <v>12991.5138888889</v>
      </c>
      <c r="P51" s="8" t="n">
        <f aca="false">IF(COUNT($D10,$E10,$F10,P10,O10,Supuestos!$D$45)=6,IF(4&gt;=Supuestos!$D$45,0,IF($C10&gt;EOMONTH(P$7,0),0,IF($C10&gt;=DATE(YEAR(P$7),MONTH(P$7),1),($D10*$E10+P10)/2*(EOMONTH(P$7,0)-$C10+1)/DAY(EOMONTH(P$7,0)),(O10+P10)/2))*$F10),"N/D")</f>
        <v>12379.1597222222</v>
      </c>
      <c r="Q51" s="8" t="n">
        <f aca="false">IF(COUNT($D10,$E10,$F10,Q10,P10,Supuestos!$D$45)=6,IF(5&gt;=Supuestos!$D$45,0,IF($C10&gt;EOMONTH(Q$7,0),0,IF($C10&gt;=DATE(YEAR(Q$7),MONTH(Q$7),1),($D10*$E10+Q10)/2*(EOMONTH(Q$7,0)-$C10+1)/DAY(EOMONTH(Q$7,0)),(P10+Q10)/2))*$F10),"N/D")</f>
        <v>12006.9444444444</v>
      </c>
      <c r="R51" s="8" t="n">
        <f aca="false">IF(COUNT($D10,$E10,$F10,R10,Q10,Supuestos!$D$45)=6,IF(6&gt;=Supuestos!$D$45,0,IF($C10&gt;EOMONTH(R$7,0),0,IF($C10&gt;=DATE(YEAR(R$7),MONTH(R$7),1),($D10*$E10+R10)/2*(EOMONTH(R$7,0)-$C10+1)/DAY(EOMONTH(R$7,0)),(Q10+R10)/2))*$F10),"N/D")</f>
        <v>11762.8032407407</v>
      </c>
      <c r="S51" s="8" t="n">
        <f aca="false">IF(COUNT($D10,$E10,$F10,S10,R10,Supuestos!$D$45)=6,IF(7&gt;=Supuestos!$D$45,0,IF($C10&gt;EOMONTH(S$7,0),0,IF($C10&gt;=DATE(YEAR(S$7),MONTH(S$7),1),($D10*$E10+S10)/2*(EOMONTH(S$7,0)-$C10+1)/DAY(EOMONTH(S$7,0)),(R10+S10)/2))*$F10),"N/D")</f>
        <v>11549.5988488489</v>
      </c>
      <c r="T51" s="8" t="n">
        <f aca="false">IF(COUNT($D10,$E10,$F10,T10,S10,Supuestos!$D$45)=6,IF(8&gt;=Supuestos!$D$45,0,IF($C10&gt;EOMONTH(T$7,0),0,IF($C10&gt;=DATE(YEAR(T$7),MONTH(T$7),1),($D10*$E10+T10)/2*(EOMONTH(T$7,0)-$C10+1)/DAY(EOMONTH(T$7,0)),(S10+T10)/2))*$F10),"N/D")</f>
        <v>11402.0540540541</v>
      </c>
      <c r="U51" s="8" t="n">
        <f aca="false">IF(COUNT($D10,$E10,$F10,U10,T10,Supuestos!$D$45)=6,IF(9&gt;=Supuestos!$D$45,0,IF($C10&gt;EOMONTH(U$7,0),0,IF($C10&gt;=DATE(YEAR(U$7),MONTH(U$7),1),($D10*$E10+U10)/2*(EOMONTH(U$7,0)-$C10+1)/DAY(EOMONTH(U$7,0)),(T10+U10)/2))*$F10),"N/D")</f>
        <v>11283.2826576577</v>
      </c>
      <c r="V51" s="8" t="n">
        <f aca="false">IF(COUNT($D10,$E10,$F10,V10,U10,Supuestos!$D$45)=6,IF(10&gt;=Supuestos!$D$45,0,IF($C10&gt;EOMONTH(V$7,0),0,IF($C10&gt;=DATE(YEAR(V$7),MONTH(V$7),1),($D10*$E10+V10)/2*(EOMONTH(V$7,0)-$C10+1)/DAY(EOMONTH(V$7,0)),(U10+V10)/2))*$F10),"N/D")</f>
        <v>11164.5112612613</v>
      </c>
      <c r="W51" s="8" t="n">
        <f aca="false">IF(COUNT($D10,$E10,$F10,W10,V10,Supuestos!$D$45)=6,IF(11&gt;=Supuestos!$D$45,0,IF($C10&gt;EOMONTH(W$7,0),0,IF($C10&gt;=DATE(YEAR(W$7),MONTH(W$7),1),($D10*$E10+W10)/2*(EOMONTH(W$7,0)-$C10+1)/DAY(EOMONTH(W$7,0)),(V10+W10)/2))*$F10),"N/D")</f>
        <v>11045.7398648649</v>
      </c>
    </row>
    <row r="52" customFormat="false" ht="19.5" hidden="false" customHeight="true" outlineLevel="0" collapsed="false">
      <c r="C52" s="20" t="n">
        <f aca="false">C11</f>
        <v>46461</v>
      </c>
      <c r="L52" s="8" t="n">
        <f aca="false">IF(COUNT($D11,$E11,$F11,L11,0,Supuestos!$D$45)=6,IF(0&gt;=Supuestos!$D$45,0,IF($C11&gt;EOMONTH(L$7,0),0,IF($C11&gt;=DATE(YEAR(L$7),MONTH(L$7),1),($D11*$E11+L11)/2*(EOMONTH(L$7,0)-$C11+1)/DAY(EOMONTH(L$7,0)),(0+L11)/2))*$F11),"N/D")</f>
        <v>0</v>
      </c>
      <c r="M52" s="8" t="n">
        <f aca="false">IF(COUNT($D11,$E11,$F11,M11,L11,Supuestos!$D$45)=6,IF(1&gt;=Supuestos!$D$45,0,IF($C11&gt;EOMONTH(M$7,0),0,IF($C11&gt;=DATE(YEAR(M$7),MONTH(M$7),1),($D11*$E11+M11)/2*(EOMONTH(M$7,0)-$C11+1)/DAY(EOMONTH(M$7,0)),(L11+M11)/2))*$F11),"N/D")</f>
        <v>0</v>
      </c>
      <c r="N52" s="8" t="n">
        <f aca="false">IF(COUNT($D11,$E11,$F11,N11,M11,Supuestos!$D$45)=6,IF(2&gt;=Supuestos!$D$45,0,IF($C11&gt;EOMONTH(N$7,0),0,IF($C11&gt;=DATE(YEAR(N$7),MONTH(N$7),1),($D11*$E11+N11)/2*(EOMONTH(N$7,0)-$C11+1)/DAY(EOMONTH(N$7,0)),(M11+N11)/2))*$F11),"N/D")</f>
        <v>7795.99283154122</v>
      </c>
      <c r="O52" s="8" t="n">
        <f aca="false">IF(COUNT($D11,$E11,$F11,O11,N11,Supuestos!$D$45)=6,IF(3&gt;=Supuestos!$D$45,0,IF($C11&gt;EOMONTH(O$7,0),0,IF($C11&gt;=DATE(YEAR(O$7),MONTH(O$7),1),($D11*$E11+O11)/2*(EOMONTH(O$7,0)-$C11+1)/DAY(EOMONTH(O$7,0)),(N11+O11)/2))*$F11),"N/D")</f>
        <v>13663.9027777778</v>
      </c>
      <c r="P52" s="8" t="n">
        <f aca="false">IF(COUNT($D11,$E11,$F11,P11,O11,Supuestos!$D$45)=6,IF(4&gt;=Supuestos!$D$45,0,IF($C11&gt;EOMONTH(P$7,0),0,IF($C11&gt;=DATE(YEAR(P$7),MONTH(P$7),1),($D11*$E11+P11)/2*(EOMONTH(P$7,0)-$C11+1)/DAY(EOMONTH(P$7,0)),(O11+P11)/2))*$F11),"N/D")</f>
        <v>12931.4791666667</v>
      </c>
      <c r="Q52" s="8" t="n">
        <f aca="false">IF(COUNT($D11,$E11,$F11,Q11,P11,Supuestos!$D$45)=6,IF(5&gt;=Supuestos!$D$45,0,IF($C11&gt;EOMONTH(Q$7,0),0,IF($C11&gt;=DATE(YEAR(Q$7),MONTH(Q$7),1),($D11*$E11+Q11)/2*(EOMONTH(Q$7,0)-$C11+1)/DAY(EOMONTH(Q$7,0)),(P11+Q11)/2))*$F11),"N/D")</f>
        <v>12335.1342592593</v>
      </c>
      <c r="R52" s="8" t="n">
        <f aca="false">IF(COUNT($D11,$E11,$F11,R11,Q11,Supuestos!$D$45)=6,IF(6&gt;=Supuestos!$D$45,0,IF($C11&gt;EOMONTH(R$7,0),0,IF($C11&gt;=DATE(YEAR(R$7),MONTH(R$7),1),($D11*$E11+R11)/2*(EOMONTH(R$7,0)-$C11+1)/DAY(EOMONTH(R$7,0)),(Q11+R11)/2))*$F11),"N/D")</f>
        <v>11986.9328703704</v>
      </c>
      <c r="S52" s="8" t="n">
        <f aca="false">IF(COUNT($D11,$E11,$F11,S11,R11,Supuestos!$D$45)=6,IF(7&gt;=Supuestos!$D$45,0,IF($C11&gt;EOMONTH(S$7,0),0,IF($C11&gt;=DATE(YEAR(S$7),MONTH(S$7),1),($D11*$E11+S11)/2*(EOMONTH(S$7,0)-$C11+1)/DAY(EOMONTH(S$7,0)),(R11+S11)/2))*$F11),"N/D")</f>
        <v>11738.7893518519</v>
      </c>
      <c r="T52" s="8" t="n">
        <f aca="false">IF(COUNT($D11,$E11,$F11,T11,S11,Supuestos!$D$45)=6,IF(8&gt;=Supuestos!$D$45,0,IF($C11&gt;EOMONTH(T$7,0),0,IF($C11&gt;=DATE(YEAR(T$7),MONTH(T$7),1),($D11*$E11+T11)/2*(EOMONTH(T$7,0)-$C11+1)/DAY(EOMONTH(T$7,0)),(S11+T11)/2))*$F11),"N/D")</f>
        <v>11533.6977602603</v>
      </c>
      <c r="U52" s="8" t="n">
        <f aca="false">IF(COUNT($D11,$E11,$F11,U11,T11,Supuestos!$D$45)=6,IF(9&gt;=Supuestos!$D$45,0,IF($C11&gt;EOMONTH(U$7,0),0,IF($C11&gt;=DATE(YEAR(U$7),MONTH(U$7),1),($D11*$E11+U11)/2*(EOMONTH(U$7,0)-$C11+1)/DAY(EOMONTH(U$7,0)),(T11+U11)/2))*$F11),"N/D")</f>
        <v>11392.3186936937</v>
      </c>
      <c r="V52" s="8" t="n">
        <f aca="false">IF(COUNT($D11,$E11,$F11,V11,U11,Supuestos!$D$45)=6,IF(10&gt;=Supuestos!$D$45,0,IF($C11&gt;EOMONTH(V$7,0),0,IF($C11&gt;=DATE(YEAR(V$7),MONTH(V$7),1),($D11*$E11+V11)/2*(EOMONTH(V$7,0)-$C11+1)/DAY(EOMONTH(V$7,0)),(U11+V11)/2))*$F11),"N/D")</f>
        <v>11273.5472972973</v>
      </c>
      <c r="W52" s="8" t="n">
        <f aca="false">IF(COUNT($D11,$E11,$F11,W11,V11,Supuestos!$D$45)=6,IF(11&gt;=Supuestos!$D$45,0,IF($C11&gt;EOMONTH(W$7,0),0,IF($C11&gt;=DATE(YEAR(W$7),MONTH(W$7),1),($D11*$E11+W11)/2*(EOMONTH(W$7,0)-$C11+1)/DAY(EOMONTH(W$7,0)),(V11+W11)/2))*$F11),"N/D")</f>
        <v>11154.7759009009</v>
      </c>
    </row>
    <row r="53" customFormat="false" ht="19.5" hidden="false" customHeight="true" outlineLevel="0" collapsed="false">
      <c r="C53" s="20" t="n">
        <f aca="false">C12</f>
        <v>46492</v>
      </c>
      <c r="L53" s="8" t="n">
        <f aca="false">IF(COUNT($D12,$E12,$F12,L12,0,Supuestos!$D$45)=6,IF(0&gt;=Supuestos!$D$45,0,IF($C12&gt;EOMONTH(L$7,0),0,IF($C12&gt;=DATE(YEAR(L$7),MONTH(L$7),1),($D12*$E12+L12)/2*(EOMONTH(L$7,0)-$C12+1)/DAY(EOMONTH(L$7,0)),(0+L12)/2))*$F12),"N/D")</f>
        <v>0</v>
      </c>
      <c r="M53" s="8" t="n">
        <f aca="false">IF(COUNT($D12,$E12,$F12,M12,L12,Supuestos!$D$45)=6,IF(1&gt;=Supuestos!$D$45,0,IF($C12&gt;EOMONTH(M$7,0),0,IF($C12&gt;=DATE(YEAR(M$7),MONTH(M$7),1),($D12*$E12+M12)/2*(EOMONTH(M$7,0)-$C12+1)/DAY(EOMONTH(M$7,0)),(L12+M12)/2))*$F12),"N/D")</f>
        <v>0</v>
      </c>
      <c r="N53" s="8" t="n">
        <f aca="false">IF(COUNT($D12,$E12,$F12,N12,M12,Supuestos!$D$45)=6,IF(2&gt;=Supuestos!$D$45,0,IF($C12&gt;EOMONTH(N$7,0),0,IF($C12&gt;=DATE(YEAR(N$7),MONTH(N$7),1),($D12*$E12+N12)/2*(EOMONTH(N$7,0)-$C12+1)/DAY(EOMONTH(N$7,0)),(M12+N12)/2))*$F12),"N/D")</f>
        <v>0</v>
      </c>
      <c r="O53" s="8" t="n">
        <f aca="false">IF(COUNT($D12,$E12,$F12,O12,N12,Supuestos!$D$45)=6,IF(3&gt;=Supuestos!$D$45,0,IF($C12&gt;EOMONTH(O$7,0),0,IF($C12&gt;=DATE(YEAR(O$7),MONTH(O$7),1),($D12*$E12+O12)/2*(EOMONTH(O$7,0)-$C12+1)/DAY(EOMONTH(O$7,0)),(N12+O12)/2))*$F12),"N/D")</f>
        <v>7588.38888888889</v>
      </c>
      <c r="P53" s="8" t="n">
        <f aca="false">IF(COUNT($D12,$E12,$F12,P12,O12,Supuestos!$D$45)=6,IF(4&gt;=Supuestos!$D$45,0,IF($C12&gt;EOMONTH(P$7,0),0,IF($C12&gt;=DATE(YEAR(P$7),MONTH(P$7),1),($D12*$E12+P12)/2*(EOMONTH(P$7,0)-$C12+1)/DAY(EOMONTH(P$7,0)),(O12+P12)/2))*$F12),"N/D")</f>
        <v>13675.9097222222</v>
      </c>
      <c r="Q53" s="8" t="n">
        <f aca="false">IF(COUNT($D12,$E12,$F12,Q12,P12,Supuestos!$D$45)=6,IF(5&gt;=Supuestos!$D$45,0,IF($C12&gt;EOMONTH(Q$7,0),0,IF($C12&gt;=DATE(YEAR(Q$7),MONTH(Q$7),1),($D12*$E12+Q12)/2*(EOMONTH(Q$7,0)-$C12+1)/DAY(EOMONTH(Q$7,0)),(P12+Q12)/2))*$F12),"N/D")</f>
        <v>12943.4861111111</v>
      </c>
      <c r="R53" s="8" t="n">
        <f aca="false">IF(COUNT($D12,$E12,$F12,R12,Q12,Supuestos!$D$45)=6,IF(6&gt;=Supuestos!$D$45,0,IF($C12&gt;EOMONTH(R$7,0),0,IF($C12&gt;=DATE(YEAR(R$7),MONTH(R$7),1),($D12*$E12+R12)/2*(EOMONTH(R$7,0)-$C12+1)/DAY(EOMONTH(R$7,0)),(Q12+R12)/2))*$F12),"N/D")</f>
        <v>12347.1412037037</v>
      </c>
      <c r="S53" s="8" t="n">
        <f aca="false">IF(COUNT($D12,$E12,$F12,S12,R12,Supuestos!$D$45)=6,IF(7&gt;=Supuestos!$D$45,0,IF($C12&gt;EOMONTH(S$7,0),0,IF($C12&gt;=DATE(YEAR(S$7),MONTH(S$7),1),($D12*$E12+S12)/2*(EOMONTH(S$7,0)-$C12+1)/DAY(EOMONTH(S$7,0)),(R12+S12)/2))*$F12),"N/D")</f>
        <v>11986.9328703704</v>
      </c>
      <c r="T53" s="8" t="n">
        <f aca="false">IF(COUNT($D12,$E12,$F12,T12,S12,Supuestos!$D$45)=6,IF(8&gt;=Supuestos!$D$45,0,IF($C12&gt;EOMONTH(T$7,0),0,IF($C12&gt;=DATE(YEAR(T$7),MONTH(T$7),1),($D12*$E12+T12)/2*(EOMONTH(T$7,0)-$C12+1)/DAY(EOMONTH(T$7,0)),(S12+T12)/2))*$F12),"N/D")</f>
        <v>11742.7916666667</v>
      </c>
      <c r="U53" s="8" t="n">
        <f aca="false">IF(COUNT($D12,$E12,$F12,U12,T12,Supuestos!$D$45)=6,IF(9&gt;=Supuestos!$D$45,0,IF($C12&gt;EOMONTH(U$7,0),0,IF($C12&gt;=DATE(YEAR(U$7),MONTH(U$7),1),($D12*$E12+U12)/2*(EOMONTH(U$7,0)-$C12+1)/DAY(EOMONTH(U$7,0)),(T12+U12)/2))*$F12),"N/D")</f>
        <v>11537.7000750751</v>
      </c>
      <c r="V53" s="8" t="n">
        <f aca="false">IF(COUNT($D12,$E12,$F12,V12,U12,Supuestos!$D$45)=6,IF(10&gt;=Supuestos!$D$45,0,IF($C12&gt;EOMONTH(V$7,0),0,IF($C12&gt;=DATE(YEAR(V$7),MONTH(V$7),1),($D12*$E12+V12)/2*(EOMONTH(V$7,0)-$C12+1)/DAY(EOMONTH(V$7,0)),(U12+V12)/2))*$F12),"N/D")</f>
        <v>11394.2657657658</v>
      </c>
      <c r="W53" s="8" t="n">
        <f aca="false">IF(COUNT($D12,$E12,$F12,W12,V12,Supuestos!$D$45)=6,IF(11&gt;=Supuestos!$D$45,0,IF($C12&gt;EOMONTH(W$7,0),0,IF($C12&gt;=DATE(YEAR(W$7),MONTH(W$7),1),($D12*$E12+W12)/2*(EOMONTH(W$7,0)-$C12+1)/DAY(EOMONTH(W$7,0)),(V12+W12)/2))*$F12),"N/D")</f>
        <v>11275.4943693694</v>
      </c>
    </row>
    <row r="54" customFormat="false" ht="19.5" hidden="false" customHeight="true" outlineLevel="0" collapsed="false">
      <c r="C54" s="20" t="n">
        <f aca="false">C13</f>
        <v>46522</v>
      </c>
      <c r="L54" s="8" t="n">
        <f aca="false">IF(COUNT($D13,$E13,$F13,L13,0,Supuestos!$D$45)=6,IF(0&gt;=Supuestos!$D$45,0,IF($C13&gt;EOMONTH(L$7,0),0,IF($C13&gt;=DATE(YEAR(L$7),MONTH(L$7),1),($D13*$E13+L13)/2*(EOMONTH(L$7,0)-$C13+1)/DAY(EOMONTH(L$7,0)),(0+L13)/2))*$F13),"N/D")</f>
        <v>0</v>
      </c>
      <c r="M54" s="8" t="n">
        <f aca="false">IF(COUNT($D13,$E13,$F13,M13,L13,Supuestos!$D$45)=6,IF(1&gt;=Supuestos!$D$45,0,IF($C13&gt;EOMONTH(M$7,0),0,IF($C13&gt;=DATE(YEAR(M$7),MONTH(M$7),1),($D13*$E13+M13)/2*(EOMONTH(M$7,0)-$C13+1)/DAY(EOMONTH(M$7,0)),(L13+M13)/2))*$F13),"N/D")</f>
        <v>0</v>
      </c>
      <c r="N54" s="8" t="n">
        <f aca="false">IF(COUNT($D13,$E13,$F13,N13,M13,Supuestos!$D$45)=6,IF(2&gt;=Supuestos!$D$45,0,IF($C13&gt;EOMONTH(N$7,0),0,IF($C13&gt;=DATE(YEAR(N$7),MONTH(N$7),1),($D13*$E13+N13)/2*(EOMONTH(N$7,0)-$C13+1)/DAY(EOMONTH(N$7,0)),(M13+N13)/2))*$F13),"N/D")</f>
        <v>0</v>
      </c>
      <c r="O54" s="8" t="n">
        <f aca="false">IF(COUNT($D13,$E13,$F13,O13,N13,Supuestos!$D$45)=6,IF(3&gt;=Supuestos!$D$45,0,IF($C13&gt;EOMONTH(O$7,0),0,IF($C13&gt;=DATE(YEAR(O$7),MONTH(O$7),1),($D13*$E13+O13)/2*(EOMONTH(O$7,0)-$C13+1)/DAY(EOMONTH(O$7,0)),(N13+O13)/2))*$F13),"N/D")</f>
        <v>0</v>
      </c>
      <c r="P54" s="8" t="n">
        <f aca="false">IF(COUNT($D13,$E13,$F13,P13,O13,Supuestos!$D$45)=6,IF(4&gt;=Supuestos!$D$45,0,IF($C13&gt;EOMONTH(P$7,0),0,IF($C13&gt;=DATE(YEAR(P$7),MONTH(P$7),1),($D13*$E13+P13)/2*(EOMONTH(P$7,0)-$C13+1)/DAY(EOMONTH(P$7,0)),(O13+P13)/2))*$F13),"N/D")</f>
        <v>7795.99283154122</v>
      </c>
      <c r="Q54" s="8" t="n">
        <f aca="false">IF(COUNT($D13,$E13,$F13,Q13,P13,Supuestos!$D$45)=6,IF(5&gt;=Supuestos!$D$45,0,IF($C13&gt;EOMONTH(Q$7,0),0,IF($C13&gt;=DATE(YEAR(Q$7),MONTH(Q$7),1),($D13*$E13+Q13)/2*(EOMONTH(Q$7,0)-$C13+1)/DAY(EOMONTH(Q$7,0)),(P13+Q13)/2))*$F13),"N/D")</f>
        <v>13663.9027777778</v>
      </c>
      <c r="R54" s="8" t="n">
        <f aca="false">IF(COUNT($D13,$E13,$F13,R13,Q13,Supuestos!$D$45)=6,IF(6&gt;=Supuestos!$D$45,0,IF($C13&gt;EOMONTH(R$7,0),0,IF($C13&gt;=DATE(YEAR(R$7),MONTH(R$7),1),($D13*$E13+R13)/2*(EOMONTH(R$7,0)-$C13+1)/DAY(EOMONTH(R$7,0)),(Q13+R13)/2))*$F13),"N/D")</f>
        <v>12931.4791666667</v>
      </c>
      <c r="S54" s="8" t="n">
        <f aca="false">IF(COUNT($D13,$E13,$F13,S13,R13,Supuestos!$D$45)=6,IF(7&gt;=Supuestos!$D$45,0,IF($C13&gt;EOMONTH(S$7,0),0,IF($C13&gt;=DATE(YEAR(S$7),MONTH(S$7),1),($D13*$E13+S13)/2*(EOMONTH(S$7,0)-$C13+1)/DAY(EOMONTH(S$7,0)),(R13+S13)/2))*$F13),"N/D")</f>
        <v>12331.1319444444</v>
      </c>
      <c r="T54" s="8" t="n">
        <f aca="false">IF(COUNT($D13,$E13,$F13,T13,S13,Supuestos!$D$45)=6,IF(8&gt;=Supuestos!$D$45,0,IF($C13&gt;EOMONTH(T$7,0),0,IF($C13&gt;=DATE(YEAR(T$7),MONTH(T$7),1),($D13*$E13+T13)/2*(EOMONTH(T$7,0)-$C13+1)/DAY(EOMONTH(T$7,0)),(S13+T13)/2))*$F13),"N/D")</f>
        <v>11982.9305555556</v>
      </c>
      <c r="U54" s="8" t="n">
        <f aca="false">IF(COUNT($D13,$E13,$F13,U13,T13,Supuestos!$D$45)=6,IF(9&gt;=Supuestos!$D$45,0,IF($C13&gt;EOMONTH(U$7,0),0,IF($C13&gt;=DATE(YEAR(U$7),MONTH(U$7),1),($D13*$E13+U13)/2*(EOMONTH(U$7,0)-$C13+1)/DAY(EOMONTH(U$7,0)),(T13+U13)/2))*$F13),"N/D")</f>
        <v>11738.7893518519</v>
      </c>
      <c r="V54" s="8" t="n">
        <f aca="false">IF(COUNT($D13,$E13,$F13,V13,U13,Supuestos!$D$45)=6,IF(10&gt;=Supuestos!$D$45,0,IF($C13&gt;EOMONTH(V$7,0),0,IF($C13&gt;=DATE(YEAR(V$7),MONTH(V$7),1),($D13*$E13+V13)/2*(EOMONTH(V$7,0)-$C13+1)/DAY(EOMONTH(V$7,0)),(U13+V13)/2))*$F13),"N/D")</f>
        <v>11533.6977602603</v>
      </c>
      <c r="W54" s="8" t="n">
        <f aca="false">IF(COUNT($D13,$E13,$F13,W13,V13,Supuestos!$D$45)=6,IF(11&gt;=Supuestos!$D$45,0,IF($C13&gt;EOMONTH(W$7,0),0,IF($C13&gt;=DATE(YEAR(W$7),MONTH(W$7),1),($D13*$E13+W13)/2*(EOMONTH(W$7,0)-$C13+1)/DAY(EOMONTH(W$7,0)),(V13+W13)/2))*$F13),"N/D")</f>
        <v>11392.3186936937</v>
      </c>
    </row>
    <row r="55" customFormat="false" ht="19.5" hidden="false" customHeight="true" outlineLevel="0" collapsed="false">
      <c r="C55" s="20" t="n">
        <f aca="false">C14</f>
        <v>46553</v>
      </c>
      <c r="L55" s="8" t="n">
        <f aca="false">IF(COUNT($D14,$E14,$F14,L14,0,Supuestos!$D$45)=6,IF(0&gt;=Supuestos!$D$45,0,IF($C14&gt;EOMONTH(L$7,0),0,IF($C14&gt;=DATE(YEAR(L$7),MONTH(L$7),1),($D14*$E14+L14)/2*(EOMONTH(L$7,0)-$C14+1)/DAY(EOMONTH(L$7,0)),(0+L14)/2))*$F14),"N/D")</f>
        <v>0</v>
      </c>
      <c r="M55" s="8" t="n">
        <f aca="false">IF(COUNT($D14,$E14,$F14,M14,L14,Supuestos!$D$45)=6,IF(1&gt;=Supuestos!$D$45,0,IF($C14&gt;EOMONTH(M$7,0),0,IF($C14&gt;=DATE(YEAR(M$7),MONTH(M$7),1),($D14*$E14+M14)/2*(EOMONTH(M$7,0)-$C14+1)/DAY(EOMONTH(M$7,0)),(L14+M14)/2))*$F14),"N/D")</f>
        <v>0</v>
      </c>
      <c r="N55" s="8" t="n">
        <f aca="false">IF(COUNT($D14,$E14,$F14,N14,M14,Supuestos!$D$45)=6,IF(2&gt;=Supuestos!$D$45,0,IF($C14&gt;EOMONTH(N$7,0),0,IF($C14&gt;=DATE(YEAR(N$7),MONTH(N$7),1),($D14*$E14+N14)/2*(EOMONTH(N$7,0)-$C14+1)/DAY(EOMONTH(N$7,0)),(M14+N14)/2))*$F14),"N/D")</f>
        <v>0</v>
      </c>
      <c r="O55" s="8" t="n">
        <f aca="false">IF(COUNT($D14,$E14,$F14,O14,N14,Supuestos!$D$45)=6,IF(3&gt;=Supuestos!$D$45,0,IF($C14&gt;EOMONTH(O$7,0),0,IF($C14&gt;=DATE(YEAR(O$7),MONTH(O$7),1),($D14*$E14+O14)/2*(EOMONTH(O$7,0)-$C14+1)/DAY(EOMONTH(O$7,0)),(N14+O14)/2))*$F14),"N/D")</f>
        <v>0</v>
      </c>
      <c r="P55" s="8" t="n">
        <f aca="false">IF(COUNT($D14,$E14,$F14,P14,O14,Supuestos!$D$45)=6,IF(4&gt;=Supuestos!$D$45,0,IF($C14&gt;EOMONTH(P$7,0),0,IF($C14&gt;=DATE(YEAR(P$7),MONTH(P$7),1),($D14*$E14+P14)/2*(EOMONTH(P$7,0)-$C14+1)/DAY(EOMONTH(P$7,0)),(O14+P14)/2))*$F14),"N/D")</f>
        <v>0</v>
      </c>
      <c r="Q55" s="8" t="n">
        <f aca="false">IF(COUNT($D14,$E14,$F14,Q14,P14,Supuestos!$D$45)=6,IF(5&gt;=Supuestos!$D$45,0,IF($C14&gt;EOMONTH(Q$7,0),0,IF($C14&gt;=DATE(YEAR(Q$7),MONTH(Q$7),1),($D14*$E14+Q14)/2*(EOMONTH(Q$7,0)-$C14+1)/DAY(EOMONTH(Q$7,0)),(P14+Q14)/2))*$F14),"N/D")</f>
        <v>7588.38888888889</v>
      </c>
      <c r="R55" s="8" t="n">
        <f aca="false">IF(COUNT($D14,$E14,$F14,R14,Q14,Supuestos!$D$45)=6,IF(6&gt;=Supuestos!$D$45,0,IF($C14&gt;EOMONTH(R$7,0),0,IF($C14&gt;=DATE(YEAR(R$7),MONTH(R$7),1),($D14*$E14+R14)/2*(EOMONTH(R$7,0)-$C14+1)/DAY(EOMONTH(R$7,0)),(Q14+R14)/2))*$F14),"N/D")</f>
        <v>13675.9097222222</v>
      </c>
      <c r="S55" s="8" t="n">
        <f aca="false">IF(COUNT($D14,$E14,$F14,S14,R14,Supuestos!$D$45)=6,IF(7&gt;=Supuestos!$D$45,0,IF($C14&gt;EOMONTH(S$7,0),0,IF($C14&gt;=DATE(YEAR(S$7),MONTH(S$7),1),($D14*$E14+S14)/2*(EOMONTH(S$7,0)-$C14+1)/DAY(EOMONTH(S$7,0)),(R14+S14)/2))*$F14),"N/D")</f>
        <v>12931.4791666667</v>
      </c>
      <c r="T55" s="8" t="n">
        <f aca="false">IF(COUNT($D14,$E14,$F14,T14,S14,Supuestos!$D$45)=6,IF(8&gt;=Supuestos!$D$45,0,IF($C14&gt;EOMONTH(T$7,0),0,IF($C14&gt;=DATE(YEAR(T$7),MONTH(T$7),1),($D14*$E14+T14)/2*(EOMONTH(T$7,0)-$C14+1)/DAY(EOMONTH(T$7,0)),(S14+T14)/2))*$F14),"N/D")</f>
        <v>12335.1342592593</v>
      </c>
      <c r="U55" s="8" t="n">
        <f aca="false">IF(COUNT($D14,$E14,$F14,U14,T14,Supuestos!$D$45)=6,IF(9&gt;=Supuestos!$D$45,0,IF($C14&gt;EOMONTH(U$7,0),0,IF($C14&gt;=DATE(YEAR(U$7),MONTH(U$7),1),($D14*$E14+U14)/2*(EOMONTH(U$7,0)-$C14+1)/DAY(EOMONTH(U$7,0)),(T14+U14)/2))*$F14),"N/D")</f>
        <v>11986.9328703704</v>
      </c>
      <c r="V55" s="8" t="n">
        <f aca="false">IF(COUNT($D14,$E14,$F14,V14,U14,Supuestos!$D$45)=6,IF(10&gt;=Supuestos!$D$45,0,IF($C14&gt;EOMONTH(V$7,0),0,IF($C14&gt;=DATE(YEAR(V$7),MONTH(V$7),1),($D14*$E14+V14)/2*(EOMONTH(V$7,0)-$C14+1)/DAY(EOMONTH(V$7,0)),(U14+V14)/2))*$F14),"N/D")</f>
        <v>11742.7916666667</v>
      </c>
      <c r="W55" s="8" t="n">
        <f aca="false">IF(COUNT($D14,$E14,$F14,W14,V14,Supuestos!$D$45)=6,IF(11&gt;=Supuestos!$D$45,0,IF($C14&gt;EOMONTH(W$7,0),0,IF($C14&gt;=DATE(YEAR(W$7),MONTH(W$7),1),($D14*$E14+W14)/2*(EOMONTH(W$7,0)-$C14+1)/DAY(EOMONTH(W$7,0)),(V14+W14)/2))*$F14),"N/D")</f>
        <v>11537.7000750751</v>
      </c>
    </row>
    <row r="56" customFormat="false" ht="19.5" hidden="false" customHeight="true" outlineLevel="0" collapsed="false">
      <c r="C56" s="20" t="n">
        <f aca="false">C15</f>
        <v>46583</v>
      </c>
      <c r="L56" s="8" t="n">
        <f aca="false">IF(COUNT($D15,$E15,$F15,L15,0,Supuestos!$D$45)=6,IF(0&gt;=Supuestos!$D$45,0,IF($C15&gt;EOMONTH(L$7,0),0,IF($C15&gt;=DATE(YEAR(L$7),MONTH(L$7),1),($D15*$E15+L15)/2*(EOMONTH(L$7,0)-$C15+1)/DAY(EOMONTH(L$7,0)),(0+L15)/2))*$F15),"N/D")</f>
        <v>0</v>
      </c>
      <c r="M56" s="8" t="n">
        <f aca="false">IF(COUNT($D15,$E15,$F15,M15,L15,Supuestos!$D$45)=6,IF(1&gt;=Supuestos!$D$45,0,IF($C15&gt;EOMONTH(M$7,0),0,IF($C15&gt;=DATE(YEAR(M$7),MONTH(M$7),1),($D15*$E15+M15)/2*(EOMONTH(M$7,0)-$C15+1)/DAY(EOMONTH(M$7,0)),(L15+M15)/2))*$F15),"N/D")</f>
        <v>0</v>
      </c>
      <c r="N56" s="8" t="n">
        <f aca="false">IF(COUNT($D15,$E15,$F15,N15,M15,Supuestos!$D$45)=6,IF(2&gt;=Supuestos!$D$45,0,IF($C15&gt;EOMONTH(N$7,0),0,IF($C15&gt;=DATE(YEAR(N$7),MONTH(N$7),1),($D15*$E15+N15)/2*(EOMONTH(N$7,0)-$C15+1)/DAY(EOMONTH(N$7,0)),(M15+N15)/2))*$F15),"N/D")</f>
        <v>0</v>
      </c>
      <c r="O56" s="8" t="n">
        <f aca="false">IF(COUNT($D15,$E15,$F15,O15,N15,Supuestos!$D$45)=6,IF(3&gt;=Supuestos!$D$45,0,IF($C15&gt;EOMONTH(O$7,0),0,IF($C15&gt;=DATE(YEAR(O$7),MONTH(O$7),1),($D15*$E15+O15)/2*(EOMONTH(O$7,0)-$C15+1)/DAY(EOMONTH(O$7,0)),(N15+O15)/2))*$F15),"N/D")</f>
        <v>0</v>
      </c>
      <c r="P56" s="8" t="n">
        <f aca="false">IF(COUNT($D15,$E15,$F15,P15,O15,Supuestos!$D$45)=6,IF(4&gt;=Supuestos!$D$45,0,IF($C15&gt;EOMONTH(P$7,0),0,IF($C15&gt;=DATE(YEAR(P$7),MONTH(P$7),1),($D15*$E15+P15)/2*(EOMONTH(P$7,0)-$C15+1)/DAY(EOMONTH(P$7,0)),(O15+P15)/2))*$F15),"N/D")</f>
        <v>0</v>
      </c>
      <c r="Q56" s="8" t="n">
        <f aca="false">IF(COUNT($D15,$E15,$F15,Q15,P15,Supuestos!$D$45)=6,IF(5&gt;=Supuestos!$D$45,0,IF($C15&gt;EOMONTH(Q$7,0),0,IF($C15&gt;=DATE(YEAR(Q$7),MONTH(Q$7),1),($D15*$E15+Q15)/2*(EOMONTH(Q$7,0)-$C15+1)/DAY(EOMONTH(Q$7,0)),(P15+Q15)/2))*$F15),"N/D")</f>
        <v>0</v>
      </c>
      <c r="R56" s="8" t="n">
        <f aca="false">IF(COUNT($D15,$E15,$F15,R15,Q15,Supuestos!$D$45)=6,IF(6&gt;=Supuestos!$D$45,0,IF($C15&gt;EOMONTH(R$7,0),0,IF($C15&gt;=DATE(YEAR(R$7),MONTH(R$7),1),($D15*$E15+R15)/2*(EOMONTH(R$7,0)-$C15+1)/DAY(EOMONTH(R$7,0)),(Q15+R15)/2))*$F15),"N/D")</f>
        <v>7795.99283154122</v>
      </c>
      <c r="S56" s="8" t="n">
        <f aca="false">IF(COUNT($D15,$E15,$F15,S15,R15,Supuestos!$D$45)=6,IF(7&gt;=Supuestos!$D$45,0,IF($C15&gt;EOMONTH(S$7,0),0,IF($C15&gt;=DATE(YEAR(S$7),MONTH(S$7),1),($D15*$E15+S15)/2*(EOMONTH(S$7,0)-$C15+1)/DAY(EOMONTH(S$7,0)),(R15+S15)/2))*$F15),"N/D")</f>
        <v>13651.8958333333</v>
      </c>
      <c r="T56" s="8" t="n">
        <f aca="false">IF(COUNT($D15,$E15,$F15,T15,S15,Supuestos!$D$45)=6,IF(8&gt;=Supuestos!$D$45,0,IF($C15&gt;EOMONTH(T$7,0),0,IF($C15&gt;=DATE(YEAR(T$7),MONTH(T$7),1),($D15*$E15+T15)/2*(EOMONTH(T$7,0)-$C15+1)/DAY(EOMONTH(T$7,0)),(S15+T15)/2))*$F15),"N/D")</f>
        <v>12919.4722222222</v>
      </c>
      <c r="U56" s="8" t="n">
        <f aca="false">IF(COUNT($D15,$E15,$F15,U15,T15,Supuestos!$D$45)=6,IF(9&gt;=Supuestos!$D$45,0,IF($C15&gt;EOMONTH(U$7,0),0,IF($C15&gt;=DATE(YEAR(U$7),MONTH(U$7),1),($D15*$E15+U15)/2*(EOMONTH(U$7,0)-$C15+1)/DAY(EOMONTH(U$7,0)),(T15+U15)/2))*$F15),"N/D")</f>
        <v>12331.1319444444</v>
      </c>
      <c r="V56" s="8" t="n">
        <f aca="false">IF(COUNT($D15,$E15,$F15,V15,U15,Supuestos!$D$45)=6,IF(10&gt;=Supuestos!$D$45,0,IF($C15&gt;EOMONTH(V$7,0),0,IF($C15&gt;=DATE(YEAR(V$7),MONTH(V$7),1),($D15*$E15+V15)/2*(EOMONTH(V$7,0)-$C15+1)/DAY(EOMONTH(V$7,0)),(U15+V15)/2))*$F15),"N/D")</f>
        <v>11982.9305555556</v>
      </c>
      <c r="W56" s="8" t="n">
        <f aca="false">IF(COUNT($D15,$E15,$F15,W15,V15,Supuestos!$D$45)=6,IF(11&gt;=Supuestos!$D$45,0,IF($C15&gt;EOMONTH(W$7,0),0,IF($C15&gt;=DATE(YEAR(W$7),MONTH(W$7),1),($D15*$E15+W15)/2*(EOMONTH(W$7,0)-$C15+1)/DAY(EOMONTH(W$7,0)),(V15+W15)/2))*$F15),"N/D")</f>
        <v>11738.7893518519</v>
      </c>
    </row>
    <row r="57" customFormat="false" ht="19.5" hidden="false" customHeight="true" outlineLevel="0" collapsed="false">
      <c r="C57" s="20" t="n">
        <f aca="false">C16</f>
        <v>46614</v>
      </c>
      <c r="L57" s="8" t="n">
        <f aca="false">IF(COUNT($D16,$E16,$F16,L16,0,Supuestos!$D$45)=6,IF(0&gt;=Supuestos!$D$45,0,IF($C16&gt;EOMONTH(L$7,0),0,IF($C16&gt;=DATE(YEAR(L$7),MONTH(L$7),1),($D16*$E16+L16)/2*(EOMONTH(L$7,0)-$C16+1)/DAY(EOMONTH(L$7,0)),(0+L16)/2))*$F16),"N/D")</f>
        <v>0</v>
      </c>
      <c r="M57" s="8" t="n">
        <f aca="false">IF(COUNT($D16,$E16,$F16,M16,L16,Supuestos!$D$45)=6,IF(1&gt;=Supuestos!$D$45,0,IF($C16&gt;EOMONTH(M$7,0),0,IF($C16&gt;=DATE(YEAR(M$7),MONTH(M$7),1),($D16*$E16+M16)/2*(EOMONTH(M$7,0)-$C16+1)/DAY(EOMONTH(M$7,0)),(L16+M16)/2))*$F16),"N/D")</f>
        <v>0</v>
      </c>
      <c r="N57" s="8" t="n">
        <f aca="false">IF(COUNT($D16,$E16,$F16,N16,M16,Supuestos!$D$45)=6,IF(2&gt;=Supuestos!$D$45,0,IF($C16&gt;EOMONTH(N$7,0),0,IF($C16&gt;=DATE(YEAR(N$7),MONTH(N$7),1),($D16*$E16+N16)/2*(EOMONTH(N$7,0)-$C16+1)/DAY(EOMONTH(N$7,0)),(M16+N16)/2))*$F16),"N/D")</f>
        <v>0</v>
      </c>
      <c r="O57" s="8" t="n">
        <f aca="false">IF(COUNT($D16,$E16,$F16,O16,N16,Supuestos!$D$45)=6,IF(3&gt;=Supuestos!$D$45,0,IF($C16&gt;EOMONTH(O$7,0),0,IF($C16&gt;=DATE(YEAR(O$7),MONTH(O$7),1),($D16*$E16+O16)/2*(EOMONTH(O$7,0)-$C16+1)/DAY(EOMONTH(O$7,0)),(N16+O16)/2))*$F16),"N/D")</f>
        <v>0</v>
      </c>
      <c r="P57" s="8" t="n">
        <f aca="false">IF(COUNT($D16,$E16,$F16,P16,O16,Supuestos!$D$45)=6,IF(4&gt;=Supuestos!$D$45,0,IF($C16&gt;EOMONTH(P$7,0),0,IF($C16&gt;=DATE(YEAR(P$7),MONTH(P$7),1),($D16*$E16+P16)/2*(EOMONTH(P$7,0)-$C16+1)/DAY(EOMONTH(P$7,0)),(O16+P16)/2))*$F16),"N/D")</f>
        <v>0</v>
      </c>
      <c r="Q57" s="8" t="n">
        <f aca="false">IF(COUNT($D16,$E16,$F16,Q16,P16,Supuestos!$D$45)=6,IF(5&gt;=Supuestos!$D$45,0,IF($C16&gt;EOMONTH(Q$7,0),0,IF($C16&gt;=DATE(YEAR(Q$7),MONTH(Q$7),1),($D16*$E16+Q16)/2*(EOMONTH(Q$7,0)-$C16+1)/DAY(EOMONTH(Q$7,0)),(P16+Q16)/2))*$F16),"N/D")</f>
        <v>0</v>
      </c>
      <c r="R57" s="8" t="n">
        <f aca="false">IF(COUNT($D16,$E16,$F16,R16,Q16,Supuestos!$D$45)=6,IF(6&gt;=Supuestos!$D$45,0,IF($C16&gt;EOMONTH(R$7,0),0,IF($C16&gt;=DATE(YEAR(R$7),MONTH(R$7),1),($D16*$E16+R16)/2*(EOMONTH(R$7,0)-$C16+1)/DAY(EOMONTH(R$7,0)),(Q16+R16)/2))*$F16),"N/D")</f>
        <v>0</v>
      </c>
      <c r="S57" s="8" t="n">
        <f aca="false">IF(COUNT($D16,$E16,$F16,S16,R16,Supuestos!$D$45)=6,IF(7&gt;=Supuestos!$D$45,0,IF($C16&gt;EOMONTH(S$7,0),0,IF($C16&gt;=DATE(YEAR(S$7),MONTH(S$7),1),($D16*$E16+S16)/2*(EOMONTH(S$7,0)-$C16+1)/DAY(EOMONTH(S$7,0)),(R16+S16)/2))*$F16),"N/D")</f>
        <v>7795.99283154122</v>
      </c>
      <c r="T57" s="8" t="n">
        <f aca="false">IF(COUNT($D16,$E16,$F16,T16,S16,Supuestos!$D$45)=6,IF(8&gt;=Supuestos!$D$45,0,IF($C16&gt;EOMONTH(T$7,0),0,IF($C16&gt;=DATE(YEAR(T$7),MONTH(T$7),1),($D16*$E16+T16)/2*(EOMONTH(T$7,0)-$C16+1)/DAY(EOMONTH(T$7,0)),(S16+T16)/2))*$F16),"N/D")</f>
        <v>13663.9027777778</v>
      </c>
      <c r="U57" s="8" t="n">
        <f aca="false">IF(COUNT($D16,$E16,$F16,U16,T16,Supuestos!$D$45)=6,IF(9&gt;=Supuestos!$D$45,0,IF($C16&gt;EOMONTH(U$7,0),0,IF($C16&gt;=DATE(YEAR(U$7),MONTH(U$7),1),($D16*$E16+U16)/2*(EOMONTH(U$7,0)-$C16+1)/DAY(EOMONTH(U$7,0)),(T16+U16)/2))*$F16),"N/D")</f>
        <v>12931.4791666667</v>
      </c>
      <c r="V57" s="8" t="n">
        <f aca="false">IF(COUNT($D16,$E16,$F16,V16,U16,Supuestos!$D$45)=6,IF(10&gt;=Supuestos!$D$45,0,IF($C16&gt;EOMONTH(V$7,0),0,IF($C16&gt;=DATE(YEAR(V$7),MONTH(V$7),1),($D16*$E16+V16)/2*(EOMONTH(V$7,0)-$C16+1)/DAY(EOMONTH(V$7,0)),(U16+V16)/2))*$F16),"N/D")</f>
        <v>12335.1342592593</v>
      </c>
      <c r="W57" s="8" t="n">
        <f aca="false">IF(COUNT($D16,$E16,$F16,W16,V16,Supuestos!$D$45)=6,IF(11&gt;=Supuestos!$D$45,0,IF($C16&gt;EOMONTH(W$7,0),0,IF($C16&gt;=DATE(YEAR(W$7),MONTH(W$7),1),($D16*$E16+W16)/2*(EOMONTH(W$7,0)-$C16+1)/DAY(EOMONTH(W$7,0)),(V16+W16)/2))*$F16),"N/D")</f>
        <v>11986.9328703704</v>
      </c>
    </row>
    <row r="58" customFormat="false" ht="19.5" hidden="false" customHeight="true" outlineLevel="0" collapsed="false">
      <c r="C58" s="20" t="n">
        <f aca="false">C17</f>
        <v>46645</v>
      </c>
      <c r="L58" s="8" t="n">
        <f aca="false">IF(COUNT($D17,$E17,$F17,L17,0,Supuestos!$D$45)=6,IF(0&gt;=Supuestos!$D$45,0,IF($C17&gt;EOMONTH(L$7,0),0,IF($C17&gt;=DATE(YEAR(L$7),MONTH(L$7),1),($D17*$E17+L17)/2*(EOMONTH(L$7,0)-$C17+1)/DAY(EOMONTH(L$7,0)),(0+L17)/2))*$F17),"N/D")</f>
        <v>0</v>
      </c>
      <c r="M58" s="8" t="n">
        <f aca="false">IF(COUNT($D17,$E17,$F17,M17,L17,Supuestos!$D$45)=6,IF(1&gt;=Supuestos!$D$45,0,IF($C17&gt;EOMONTH(M$7,0),0,IF($C17&gt;=DATE(YEAR(M$7),MONTH(M$7),1),($D17*$E17+M17)/2*(EOMONTH(M$7,0)-$C17+1)/DAY(EOMONTH(M$7,0)),(L17+M17)/2))*$F17),"N/D")</f>
        <v>0</v>
      </c>
      <c r="N58" s="8" t="n">
        <f aca="false">IF(COUNT($D17,$E17,$F17,N17,M17,Supuestos!$D$45)=6,IF(2&gt;=Supuestos!$D$45,0,IF($C17&gt;EOMONTH(N$7,0),0,IF($C17&gt;=DATE(YEAR(N$7),MONTH(N$7),1),($D17*$E17+N17)/2*(EOMONTH(N$7,0)-$C17+1)/DAY(EOMONTH(N$7,0)),(M17+N17)/2))*$F17),"N/D")</f>
        <v>0</v>
      </c>
      <c r="O58" s="8" t="n">
        <f aca="false">IF(COUNT($D17,$E17,$F17,O17,N17,Supuestos!$D$45)=6,IF(3&gt;=Supuestos!$D$45,0,IF($C17&gt;EOMONTH(O$7,0),0,IF($C17&gt;=DATE(YEAR(O$7),MONTH(O$7),1),($D17*$E17+O17)/2*(EOMONTH(O$7,0)-$C17+1)/DAY(EOMONTH(O$7,0)),(N17+O17)/2))*$F17),"N/D")</f>
        <v>0</v>
      </c>
      <c r="P58" s="8" t="n">
        <f aca="false">IF(COUNT($D17,$E17,$F17,P17,O17,Supuestos!$D$45)=6,IF(4&gt;=Supuestos!$D$45,0,IF($C17&gt;EOMONTH(P$7,0),0,IF($C17&gt;=DATE(YEAR(P$7),MONTH(P$7),1),($D17*$E17+P17)/2*(EOMONTH(P$7,0)-$C17+1)/DAY(EOMONTH(P$7,0)),(O17+P17)/2))*$F17),"N/D")</f>
        <v>0</v>
      </c>
      <c r="Q58" s="8" t="n">
        <f aca="false">IF(COUNT($D17,$E17,$F17,Q17,P17,Supuestos!$D$45)=6,IF(5&gt;=Supuestos!$D$45,0,IF($C17&gt;EOMONTH(Q$7,0),0,IF($C17&gt;=DATE(YEAR(Q$7),MONTH(Q$7),1),($D17*$E17+Q17)/2*(EOMONTH(Q$7,0)-$C17+1)/DAY(EOMONTH(Q$7,0)),(P17+Q17)/2))*$F17),"N/D")</f>
        <v>0</v>
      </c>
      <c r="R58" s="8" t="n">
        <f aca="false">IF(COUNT($D17,$E17,$F17,R17,Q17,Supuestos!$D$45)=6,IF(6&gt;=Supuestos!$D$45,0,IF($C17&gt;EOMONTH(R$7,0),0,IF($C17&gt;=DATE(YEAR(R$7),MONTH(R$7),1),($D17*$E17+R17)/2*(EOMONTH(R$7,0)-$C17+1)/DAY(EOMONTH(R$7,0)),(Q17+R17)/2))*$F17),"N/D")</f>
        <v>0</v>
      </c>
      <c r="S58" s="8" t="n">
        <f aca="false">IF(COUNT($D17,$E17,$F17,S17,R17,Supuestos!$D$45)=6,IF(7&gt;=Supuestos!$D$45,0,IF($C17&gt;EOMONTH(S$7,0),0,IF($C17&gt;=DATE(YEAR(S$7),MONTH(S$7),1),($D17*$E17+S17)/2*(EOMONTH(S$7,0)-$C17+1)/DAY(EOMONTH(S$7,0)),(R17+S17)/2))*$F17),"N/D")</f>
        <v>0</v>
      </c>
      <c r="T58" s="8" t="n">
        <f aca="false">IF(COUNT($D17,$E17,$F17,T17,S17,Supuestos!$D$45)=6,IF(8&gt;=Supuestos!$D$45,0,IF($C17&gt;EOMONTH(T$7,0),0,IF($C17&gt;=DATE(YEAR(T$7),MONTH(T$7),1),($D17*$E17+T17)/2*(EOMONTH(T$7,0)-$C17+1)/DAY(EOMONTH(T$7,0)),(S17+T17)/2))*$F17),"N/D")</f>
        <v>7588.38888888889</v>
      </c>
      <c r="U58" s="8" t="n">
        <f aca="false">IF(COUNT($D17,$E17,$F17,U17,T17,Supuestos!$D$45)=6,IF(9&gt;=Supuestos!$D$45,0,IF($C17&gt;EOMONTH(U$7,0),0,IF($C17&gt;=DATE(YEAR(U$7),MONTH(U$7),1),($D17*$E17+U17)/2*(EOMONTH(U$7,0)-$C17+1)/DAY(EOMONTH(U$7,0)),(T17+U17)/2))*$F17),"N/D")</f>
        <v>13675.9097222222</v>
      </c>
      <c r="V58" s="8" t="n">
        <f aca="false">IF(COUNT($D17,$E17,$F17,V17,U17,Supuestos!$D$45)=6,IF(10&gt;=Supuestos!$D$45,0,IF($C17&gt;EOMONTH(V$7,0),0,IF($C17&gt;=DATE(YEAR(V$7),MONTH(V$7),1),($D17*$E17+V17)/2*(EOMONTH(V$7,0)-$C17+1)/DAY(EOMONTH(V$7,0)),(U17+V17)/2))*$F17),"N/D")</f>
        <v>12943.4861111111</v>
      </c>
      <c r="W58" s="8" t="n">
        <f aca="false">IF(COUNT($D17,$E17,$F17,W17,V17,Supuestos!$D$45)=6,IF(11&gt;=Supuestos!$D$45,0,IF($C17&gt;EOMONTH(W$7,0),0,IF($C17&gt;=DATE(YEAR(W$7),MONTH(W$7),1),($D17*$E17+W17)/2*(EOMONTH(W$7,0)-$C17+1)/DAY(EOMONTH(W$7,0)),(V17+W17)/2))*$F17),"N/D")</f>
        <v>12347.1412037037</v>
      </c>
    </row>
    <row r="59" customFormat="false" ht="19.5" hidden="false" customHeight="true" outlineLevel="0" collapsed="false">
      <c r="C59" s="20" t="n">
        <f aca="false">C18</f>
        <v>46675</v>
      </c>
      <c r="L59" s="8" t="n">
        <f aca="false">IF(COUNT($D18,$E18,$F18,L18,0,Supuestos!$D$45)=6,IF(0&gt;=Supuestos!$D$45,0,IF($C18&gt;EOMONTH(L$7,0),0,IF($C18&gt;=DATE(YEAR(L$7),MONTH(L$7),1),($D18*$E18+L18)/2*(EOMONTH(L$7,0)-$C18+1)/DAY(EOMONTH(L$7,0)),(0+L18)/2))*$F18),"N/D")</f>
        <v>0</v>
      </c>
      <c r="M59" s="8" t="n">
        <f aca="false">IF(COUNT($D18,$E18,$F18,M18,L18,Supuestos!$D$45)=6,IF(1&gt;=Supuestos!$D$45,0,IF($C18&gt;EOMONTH(M$7,0),0,IF($C18&gt;=DATE(YEAR(M$7),MONTH(M$7),1),($D18*$E18+M18)/2*(EOMONTH(M$7,0)-$C18+1)/DAY(EOMONTH(M$7,0)),(L18+M18)/2))*$F18),"N/D")</f>
        <v>0</v>
      </c>
      <c r="N59" s="8" t="n">
        <f aca="false">IF(COUNT($D18,$E18,$F18,N18,M18,Supuestos!$D$45)=6,IF(2&gt;=Supuestos!$D$45,0,IF($C18&gt;EOMONTH(N$7,0),0,IF($C18&gt;=DATE(YEAR(N$7),MONTH(N$7),1),($D18*$E18+N18)/2*(EOMONTH(N$7,0)-$C18+1)/DAY(EOMONTH(N$7,0)),(M18+N18)/2))*$F18),"N/D")</f>
        <v>0</v>
      </c>
      <c r="O59" s="8" t="n">
        <f aca="false">IF(COUNT($D18,$E18,$F18,O18,N18,Supuestos!$D$45)=6,IF(3&gt;=Supuestos!$D$45,0,IF($C18&gt;EOMONTH(O$7,0),0,IF($C18&gt;=DATE(YEAR(O$7),MONTH(O$7),1),($D18*$E18+O18)/2*(EOMONTH(O$7,0)-$C18+1)/DAY(EOMONTH(O$7,0)),(N18+O18)/2))*$F18),"N/D")</f>
        <v>0</v>
      </c>
      <c r="P59" s="8" t="n">
        <f aca="false">IF(COUNT($D18,$E18,$F18,P18,O18,Supuestos!$D$45)=6,IF(4&gt;=Supuestos!$D$45,0,IF($C18&gt;EOMONTH(P$7,0),0,IF($C18&gt;=DATE(YEAR(P$7),MONTH(P$7),1),($D18*$E18+P18)/2*(EOMONTH(P$7,0)-$C18+1)/DAY(EOMONTH(P$7,0)),(O18+P18)/2))*$F18),"N/D")</f>
        <v>0</v>
      </c>
      <c r="Q59" s="8" t="n">
        <f aca="false">IF(COUNT($D18,$E18,$F18,Q18,P18,Supuestos!$D$45)=6,IF(5&gt;=Supuestos!$D$45,0,IF($C18&gt;EOMONTH(Q$7,0),0,IF($C18&gt;=DATE(YEAR(Q$7),MONTH(Q$7),1),($D18*$E18+Q18)/2*(EOMONTH(Q$7,0)-$C18+1)/DAY(EOMONTH(Q$7,0)),(P18+Q18)/2))*$F18),"N/D")</f>
        <v>0</v>
      </c>
      <c r="R59" s="8" t="n">
        <f aca="false">IF(COUNT($D18,$E18,$F18,R18,Q18,Supuestos!$D$45)=6,IF(6&gt;=Supuestos!$D$45,0,IF($C18&gt;EOMONTH(R$7,0),0,IF($C18&gt;=DATE(YEAR(R$7),MONTH(R$7),1),($D18*$E18+R18)/2*(EOMONTH(R$7,0)-$C18+1)/DAY(EOMONTH(R$7,0)),(Q18+R18)/2))*$F18),"N/D")</f>
        <v>0</v>
      </c>
      <c r="S59" s="8" t="n">
        <f aca="false">IF(COUNT($D18,$E18,$F18,S18,R18,Supuestos!$D$45)=6,IF(7&gt;=Supuestos!$D$45,0,IF($C18&gt;EOMONTH(S$7,0),0,IF($C18&gt;=DATE(YEAR(S$7),MONTH(S$7),1),($D18*$E18+S18)/2*(EOMONTH(S$7,0)-$C18+1)/DAY(EOMONTH(S$7,0)),(R18+S18)/2))*$F18),"N/D")</f>
        <v>0</v>
      </c>
      <c r="T59" s="8" t="n">
        <f aca="false">IF(COUNT($D18,$E18,$F18,T18,S18,Supuestos!$D$45)=6,IF(8&gt;=Supuestos!$D$45,0,IF($C18&gt;EOMONTH(T$7,0),0,IF($C18&gt;=DATE(YEAR(T$7),MONTH(T$7),1),($D18*$E18+T18)/2*(EOMONTH(T$7,0)-$C18+1)/DAY(EOMONTH(T$7,0)),(S18+T18)/2))*$F18),"N/D")</f>
        <v>0</v>
      </c>
      <c r="U59" s="8" t="n">
        <f aca="false">IF(COUNT($D18,$E18,$F18,U18,T18,Supuestos!$D$45)=6,IF(9&gt;=Supuestos!$D$45,0,IF($C18&gt;EOMONTH(U$7,0),0,IF($C18&gt;=DATE(YEAR(U$7),MONTH(U$7),1),($D18*$E18+U18)/2*(EOMONTH(U$7,0)-$C18+1)/DAY(EOMONTH(U$7,0)),(T18+U18)/2))*$F18),"N/D")</f>
        <v>7795.99283154122</v>
      </c>
      <c r="V59" s="8" t="n">
        <f aca="false">IF(COUNT($D18,$E18,$F18,V18,U18,Supuestos!$D$45)=6,IF(10&gt;=Supuestos!$D$45,0,IF($C18&gt;EOMONTH(V$7,0),0,IF($C18&gt;=DATE(YEAR(V$7),MONTH(V$7),1),($D18*$E18+V18)/2*(EOMONTH(V$7,0)-$C18+1)/DAY(EOMONTH(V$7,0)),(U18+V18)/2))*$F18),"N/D")</f>
        <v>13663.9027777778</v>
      </c>
      <c r="W59" s="8" t="n">
        <f aca="false">IF(COUNT($D18,$E18,$F18,W18,V18,Supuestos!$D$45)=6,IF(11&gt;=Supuestos!$D$45,0,IF($C18&gt;EOMONTH(W$7,0),0,IF($C18&gt;=DATE(YEAR(W$7),MONTH(W$7),1),($D18*$E18+W18)/2*(EOMONTH(W$7,0)-$C18+1)/DAY(EOMONTH(W$7,0)),(V18+W18)/2))*$F18),"N/D")</f>
        <v>12931.4791666667</v>
      </c>
    </row>
    <row r="60" customFormat="false" ht="19.5" hidden="false" customHeight="true" outlineLevel="0" collapsed="false">
      <c r="C60" s="20" t="n">
        <f aca="false">C19</f>
        <v>46706</v>
      </c>
      <c r="L60" s="8" t="n">
        <f aca="false">IF(COUNT($D19,$E19,$F19,L19,0,Supuestos!$D$45)=6,IF(0&gt;=Supuestos!$D$45,0,IF($C19&gt;EOMONTH(L$7,0),0,IF($C19&gt;=DATE(YEAR(L$7),MONTH(L$7),1),($D19*$E19+L19)/2*(EOMONTH(L$7,0)-$C19+1)/DAY(EOMONTH(L$7,0)),(0+L19)/2))*$F19),"N/D")</f>
        <v>0</v>
      </c>
      <c r="M60" s="8" t="n">
        <f aca="false">IF(COUNT($D19,$E19,$F19,M19,L19,Supuestos!$D$45)=6,IF(1&gt;=Supuestos!$D$45,0,IF($C19&gt;EOMONTH(M$7,0),0,IF($C19&gt;=DATE(YEAR(M$7),MONTH(M$7),1),($D19*$E19+M19)/2*(EOMONTH(M$7,0)-$C19+1)/DAY(EOMONTH(M$7,0)),(L19+M19)/2))*$F19),"N/D")</f>
        <v>0</v>
      </c>
      <c r="N60" s="8" t="n">
        <f aca="false">IF(COUNT($D19,$E19,$F19,N19,M19,Supuestos!$D$45)=6,IF(2&gt;=Supuestos!$D$45,0,IF($C19&gt;EOMONTH(N$7,0),0,IF($C19&gt;=DATE(YEAR(N$7),MONTH(N$7),1),($D19*$E19+N19)/2*(EOMONTH(N$7,0)-$C19+1)/DAY(EOMONTH(N$7,0)),(M19+N19)/2))*$F19),"N/D")</f>
        <v>0</v>
      </c>
      <c r="O60" s="8" t="n">
        <f aca="false">IF(COUNT($D19,$E19,$F19,O19,N19,Supuestos!$D$45)=6,IF(3&gt;=Supuestos!$D$45,0,IF($C19&gt;EOMONTH(O$7,0),0,IF($C19&gt;=DATE(YEAR(O$7),MONTH(O$7),1),($D19*$E19+O19)/2*(EOMONTH(O$7,0)-$C19+1)/DAY(EOMONTH(O$7,0)),(N19+O19)/2))*$F19),"N/D")</f>
        <v>0</v>
      </c>
      <c r="P60" s="8" t="n">
        <f aca="false">IF(COUNT($D19,$E19,$F19,P19,O19,Supuestos!$D$45)=6,IF(4&gt;=Supuestos!$D$45,0,IF($C19&gt;EOMONTH(P$7,0),0,IF($C19&gt;=DATE(YEAR(P$7),MONTH(P$7),1),($D19*$E19+P19)/2*(EOMONTH(P$7,0)-$C19+1)/DAY(EOMONTH(P$7,0)),(O19+P19)/2))*$F19),"N/D")</f>
        <v>0</v>
      </c>
      <c r="Q60" s="8" t="n">
        <f aca="false">IF(COUNT($D19,$E19,$F19,Q19,P19,Supuestos!$D$45)=6,IF(5&gt;=Supuestos!$D$45,0,IF($C19&gt;EOMONTH(Q$7,0),0,IF($C19&gt;=DATE(YEAR(Q$7),MONTH(Q$7),1),($D19*$E19+Q19)/2*(EOMONTH(Q$7,0)-$C19+1)/DAY(EOMONTH(Q$7,0)),(P19+Q19)/2))*$F19),"N/D")</f>
        <v>0</v>
      </c>
      <c r="R60" s="8" t="n">
        <f aca="false">IF(COUNT($D19,$E19,$F19,R19,Q19,Supuestos!$D$45)=6,IF(6&gt;=Supuestos!$D$45,0,IF($C19&gt;EOMONTH(R$7,0),0,IF($C19&gt;=DATE(YEAR(R$7),MONTH(R$7),1),($D19*$E19+R19)/2*(EOMONTH(R$7,0)-$C19+1)/DAY(EOMONTH(R$7,0)),(Q19+R19)/2))*$F19),"N/D")</f>
        <v>0</v>
      </c>
      <c r="S60" s="8" t="n">
        <f aca="false">IF(COUNT($D19,$E19,$F19,S19,R19,Supuestos!$D$45)=6,IF(7&gt;=Supuestos!$D$45,0,IF($C19&gt;EOMONTH(S$7,0),0,IF($C19&gt;=DATE(YEAR(S$7),MONTH(S$7),1),($D19*$E19+S19)/2*(EOMONTH(S$7,0)-$C19+1)/DAY(EOMONTH(S$7,0)),(R19+S19)/2))*$F19),"N/D")</f>
        <v>0</v>
      </c>
      <c r="T60" s="8" t="n">
        <f aca="false">IF(COUNT($D19,$E19,$F19,T19,S19,Supuestos!$D$45)=6,IF(8&gt;=Supuestos!$D$45,0,IF($C19&gt;EOMONTH(T$7,0),0,IF($C19&gt;=DATE(YEAR(T$7),MONTH(T$7),1),($D19*$E19+T19)/2*(EOMONTH(T$7,0)-$C19+1)/DAY(EOMONTH(T$7,0)),(S19+T19)/2))*$F19),"N/D")</f>
        <v>0</v>
      </c>
      <c r="U60" s="8" t="n">
        <f aca="false">IF(COUNT($D19,$E19,$F19,U19,T19,Supuestos!$D$45)=6,IF(9&gt;=Supuestos!$D$45,0,IF($C19&gt;EOMONTH(U$7,0),0,IF($C19&gt;=DATE(YEAR(U$7),MONTH(U$7),1),($D19*$E19+U19)/2*(EOMONTH(U$7,0)-$C19+1)/DAY(EOMONTH(U$7,0)),(T19+U19)/2))*$F19),"N/D")</f>
        <v>0</v>
      </c>
      <c r="V60" s="8" t="n">
        <f aca="false">IF(COUNT($D19,$E19,$F19,V19,U19,Supuestos!$D$45)=6,IF(10&gt;=Supuestos!$D$45,0,IF($C19&gt;EOMONTH(V$7,0),0,IF($C19&gt;=DATE(YEAR(V$7),MONTH(V$7),1),($D19*$E19+V19)/2*(EOMONTH(V$7,0)-$C19+1)/DAY(EOMONTH(V$7,0)),(U19+V19)/2))*$F19),"N/D")</f>
        <v>7588.38888888889</v>
      </c>
      <c r="W60" s="8" t="n">
        <f aca="false">IF(COUNT($D19,$E19,$F19,W19,V19,Supuestos!$D$45)=6,IF(11&gt;=Supuestos!$D$45,0,IF($C19&gt;EOMONTH(W$7,0),0,IF($C19&gt;=DATE(YEAR(W$7),MONTH(W$7),1),($D19*$E19+W19)/2*(EOMONTH(W$7,0)-$C19+1)/DAY(EOMONTH(W$7,0)),(V19+W19)/2))*$F19),"N/D")</f>
        <v>13675.9097222222</v>
      </c>
    </row>
    <row r="61" customFormat="false" ht="19.5" hidden="false" customHeight="true" outlineLevel="0" collapsed="false">
      <c r="C61" s="20" t="n">
        <f aca="false">C20</f>
        <v>46736</v>
      </c>
      <c r="L61" s="8" t="n">
        <f aca="false">IF(COUNT($D20,$E20,$F20,L20,0,Supuestos!$D$45)=6,IF(0&gt;=Supuestos!$D$45,0,IF($C20&gt;EOMONTH(L$7,0),0,IF($C20&gt;=DATE(YEAR(L$7),MONTH(L$7),1),($D20*$E20+L20)/2*(EOMONTH(L$7,0)-$C20+1)/DAY(EOMONTH(L$7,0)),(0+L20)/2))*$F20),"N/D")</f>
        <v>0</v>
      </c>
      <c r="M61" s="8" t="n">
        <f aca="false">IF(COUNT($D20,$E20,$F20,M20,L20,Supuestos!$D$45)=6,IF(1&gt;=Supuestos!$D$45,0,IF($C20&gt;EOMONTH(M$7,0),0,IF($C20&gt;=DATE(YEAR(M$7),MONTH(M$7),1),($D20*$E20+M20)/2*(EOMONTH(M$7,0)-$C20+1)/DAY(EOMONTH(M$7,0)),(L20+M20)/2))*$F20),"N/D")</f>
        <v>0</v>
      </c>
      <c r="N61" s="8" t="n">
        <f aca="false">IF(COUNT($D20,$E20,$F20,N20,M20,Supuestos!$D$45)=6,IF(2&gt;=Supuestos!$D$45,0,IF($C20&gt;EOMONTH(N$7,0),0,IF($C20&gt;=DATE(YEAR(N$7),MONTH(N$7),1),($D20*$E20+N20)/2*(EOMONTH(N$7,0)-$C20+1)/DAY(EOMONTH(N$7,0)),(M20+N20)/2))*$F20),"N/D")</f>
        <v>0</v>
      </c>
      <c r="O61" s="8" t="n">
        <f aca="false">IF(COUNT($D20,$E20,$F20,O20,N20,Supuestos!$D$45)=6,IF(3&gt;=Supuestos!$D$45,0,IF($C20&gt;EOMONTH(O$7,0),0,IF($C20&gt;=DATE(YEAR(O$7),MONTH(O$7),1),($D20*$E20+O20)/2*(EOMONTH(O$7,0)-$C20+1)/DAY(EOMONTH(O$7,0)),(N20+O20)/2))*$F20),"N/D")</f>
        <v>0</v>
      </c>
      <c r="P61" s="8" t="n">
        <f aca="false">IF(COUNT($D20,$E20,$F20,P20,O20,Supuestos!$D$45)=6,IF(4&gt;=Supuestos!$D$45,0,IF($C20&gt;EOMONTH(P$7,0),0,IF($C20&gt;=DATE(YEAR(P$7),MONTH(P$7),1),($D20*$E20+P20)/2*(EOMONTH(P$7,0)-$C20+1)/DAY(EOMONTH(P$7,0)),(O20+P20)/2))*$F20),"N/D")</f>
        <v>0</v>
      </c>
      <c r="Q61" s="8" t="n">
        <f aca="false">IF(COUNT($D20,$E20,$F20,Q20,P20,Supuestos!$D$45)=6,IF(5&gt;=Supuestos!$D$45,0,IF($C20&gt;EOMONTH(Q$7,0),0,IF($C20&gt;=DATE(YEAR(Q$7),MONTH(Q$7),1),($D20*$E20+Q20)/2*(EOMONTH(Q$7,0)-$C20+1)/DAY(EOMONTH(Q$7,0)),(P20+Q20)/2))*$F20),"N/D")</f>
        <v>0</v>
      </c>
      <c r="R61" s="8" t="n">
        <f aca="false">IF(COUNT($D20,$E20,$F20,R20,Q20,Supuestos!$D$45)=6,IF(6&gt;=Supuestos!$D$45,0,IF($C20&gt;EOMONTH(R$7,0),0,IF($C20&gt;=DATE(YEAR(R$7),MONTH(R$7),1),($D20*$E20+R20)/2*(EOMONTH(R$7,0)-$C20+1)/DAY(EOMONTH(R$7,0)),(Q20+R20)/2))*$F20),"N/D")</f>
        <v>0</v>
      </c>
      <c r="S61" s="8" t="n">
        <f aca="false">IF(COUNT($D20,$E20,$F20,S20,R20,Supuestos!$D$45)=6,IF(7&gt;=Supuestos!$D$45,0,IF($C20&gt;EOMONTH(S$7,0),0,IF($C20&gt;=DATE(YEAR(S$7),MONTH(S$7),1),($D20*$E20+S20)/2*(EOMONTH(S$7,0)-$C20+1)/DAY(EOMONTH(S$7,0)),(R20+S20)/2))*$F20),"N/D")</f>
        <v>0</v>
      </c>
      <c r="T61" s="8" t="n">
        <f aca="false">IF(COUNT($D20,$E20,$F20,T20,S20,Supuestos!$D$45)=6,IF(8&gt;=Supuestos!$D$45,0,IF($C20&gt;EOMONTH(T$7,0),0,IF($C20&gt;=DATE(YEAR(T$7),MONTH(T$7),1),($D20*$E20+T20)/2*(EOMONTH(T$7,0)-$C20+1)/DAY(EOMONTH(T$7,0)),(S20+T20)/2))*$F20),"N/D")</f>
        <v>0</v>
      </c>
      <c r="U61" s="8" t="n">
        <f aca="false">IF(COUNT($D20,$E20,$F20,U20,T20,Supuestos!$D$45)=6,IF(9&gt;=Supuestos!$D$45,0,IF($C20&gt;EOMONTH(U$7,0),0,IF($C20&gt;=DATE(YEAR(U$7),MONTH(U$7),1),($D20*$E20+U20)/2*(EOMONTH(U$7,0)-$C20+1)/DAY(EOMONTH(U$7,0)),(T20+U20)/2))*$F20),"N/D")</f>
        <v>0</v>
      </c>
      <c r="V61" s="8" t="n">
        <f aca="false">IF(COUNT($D20,$E20,$F20,V20,U20,Supuestos!$D$45)=6,IF(10&gt;=Supuestos!$D$45,0,IF($C20&gt;EOMONTH(V$7,0),0,IF($C20&gt;=DATE(YEAR(V$7),MONTH(V$7),1),($D20*$E20+V20)/2*(EOMONTH(V$7,0)-$C20+1)/DAY(EOMONTH(V$7,0)),(U20+V20)/2))*$F20),"N/D")</f>
        <v>0</v>
      </c>
      <c r="W61" s="8" t="n">
        <f aca="false">IF(COUNT($D20,$E20,$F20,W20,V20,Supuestos!$D$45)=6,IF(11&gt;=Supuestos!$D$45,0,IF($C20&gt;EOMONTH(W$7,0),0,IF($C20&gt;=DATE(YEAR(W$7),MONTH(W$7),1),($D20*$E20+W20)/2*(EOMONTH(W$7,0)-$C20+1)/DAY(EOMONTH(W$7,0)),(V20+W20)/2))*$F20),"N/D")</f>
        <v>7795.99283154122</v>
      </c>
    </row>
    <row r="62" customFormat="false" ht="19.5" hidden="false" customHeight="true" outlineLevel="0" collapsed="false"/>
    <row r="63" customFormat="false" ht="19.5" hidden="false" customHeight="true" outlineLevel="0" collapsed="false">
      <c r="C63" s="4" t="s">
        <v>86</v>
      </c>
      <c r="L63" s="11" t="n">
        <f aca="false">IF(COUNT(L50:L61)=12,SUM(L50:L61),"N/D")</f>
        <v>7795.99283154122</v>
      </c>
      <c r="M63" s="11" t="n">
        <f aca="false">IF(COUNT(M50:M61)=12,SUM(M50:M61),"N/D")</f>
        <v>20814.0381944444</v>
      </c>
      <c r="N63" s="11" t="n">
        <f aca="false">IF(COUNT(N50:N61)=12,SUM(N50:N61),"N/D")</f>
        <v>34499.4372759857</v>
      </c>
      <c r="O63" s="11" t="n">
        <f aca="false">IF(COUNT(O50:O61)=12,SUM(O50:O61),"N/D")</f>
        <v>46610.9583333333</v>
      </c>
      <c r="P63" s="11" t="n">
        <f aca="false">IF(COUNT(P50:P61)=12,SUM(P50:P61),"N/D")</f>
        <v>58785.483572282</v>
      </c>
      <c r="Q63" s="11" t="n">
        <f aca="false">IF(COUNT(Q50:Q61)=12,SUM(Q50:Q61),"N/D")</f>
        <v>70296.6574074074</v>
      </c>
      <c r="R63" s="11" t="n">
        <f aca="false">IF(COUNT(R50:R61)=12,SUM(R50:R61),"N/D")</f>
        <v>82049.8578840938</v>
      </c>
      <c r="S63" s="11" t="n">
        <f aca="false">IF(COUNT(S50:S61)=12,SUM(S50:S61),"N/D")</f>
        <v>93385.9278290387</v>
      </c>
      <c r="T63" s="11" t="n">
        <f aca="false">IF(COUNT(T50:T61)=12,SUM(T50:T61),"N/D")</f>
        <v>104449.70777027</v>
      </c>
      <c r="U63" s="11" t="n">
        <f aca="false">IF(COUNT(U50:U61)=12,SUM(U50:U61),"N/D")</f>
        <v>115836.101502712</v>
      </c>
      <c r="V63" s="11" t="n">
        <f aca="false">IF(COUNT(V50:V61)=12,SUM(V50:V61),"N/D")</f>
        <v>126666.449136637</v>
      </c>
      <c r="W63" s="11" t="n">
        <f aca="false">IF(COUNT(W50:W61)=12,SUM(W50:W61),"N/D")</f>
        <v>137807.295446656</v>
      </c>
    </row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30" hidden="false" customHeight="true" outlineLevel="0" collapsed="false">
      <c r="C66" s="3" t="s">
        <v>127</v>
      </c>
      <c r="D66" s="3" t="s">
        <v>141</v>
      </c>
      <c r="E66" s="3" t="s">
        <v>142</v>
      </c>
      <c r="F66" s="3" t="s">
        <v>143</v>
      </c>
      <c r="G66" s="3" t="s">
        <v>144</v>
      </c>
      <c r="H66" s="3" t="s">
        <v>145</v>
      </c>
      <c r="I66" s="3" t="s">
        <v>146</v>
      </c>
    </row>
    <row r="67" customFormat="false" ht="19.5" hidden="false" customHeight="true" outlineLevel="0" collapsed="false">
      <c r="C67" s="20" t="n">
        <f aca="false">C9</f>
        <v>46402</v>
      </c>
      <c r="D67" s="10" t="n">
        <f aca="false">D9</f>
        <v>8.23333333333333</v>
      </c>
      <c r="E67" s="8" t="n">
        <f aca="false">IF(COUNT($C9,Supuestos!$D$45)=2,IF($C9+30&gt;EOMONTH(INDEX(Supuestos!$F$31:$Q$31,1,Supuestos!$D$45),0),"Fuera ventana",IF(COUNT($D9,$E9,$G9)=3,$D9*$E9*$G9,"N/D")),"N/D")</f>
        <v>19554.1666666667</v>
      </c>
      <c r="F67" s="8" t="n">
        <f aca="false">IF(COUNT($C9,Supuestos!$D$45)=2,IF($C9+60&gt;EOMONTH(INDEX(Supuestos!$F$31:$Q$31,1,Supuestos!$D$45),0),"Fuera ventana",IF(COUNT($D9,$E9,$H9)=3,$D9*$E9*$H9,"N/D")),"N/D")</f>
        <v>18525</v>
      </c>
      <c r="G67" s="8" t="n">
        <f aca="false">IF(COUNT($C9,Supuestos!$D$45)=2,IF($C9+90&gt;EOMONTH(INDEX(Supuestos!$F$31:$Q$31,1,Supuestos!$D$45),0),"Fuera ventana",IF(COUNT($D9,$E9,$I9)=3,$D9*$E9*$I9,"N/D")),"N/D")</f>
        <v>17495.8333333333</v>
      </c>
      <c r="H67" s="8" t="n">
        <f aca="false">IF(COUNT($C9,Supuestos!$D$45)=2,IF($C9+180&gt;EOMONTH(INDEX(Supuestos!$F$31:$Q$31,1,Supuestos!$D$45),0),"Fuera ventana",IF(COUNT($D9,$E9,$J9)=3,$D9*$E9*$J9,"N/D")),"N/D")</f>
        <v>16466.6666666667</v>
      </c>
      <c r="I67" s="8" t="str">
        <f aca="false">IF(COUNT($C9,Supuestos!$D$45)=2,IF($C9+365&gt;EOMONTH(INDEX(Supuestos!$F$31:$Q$31,1,Supuestos!$D$45),0),"Fuera ventana",IF(COUNT($D9,$E9,$K9)=3,$D9*$E9*$K9,"N/D")),"N/D")</f>
        <v>Fuera ventana</v>
      </c>
    </row>
    <row r="68" customFormat="false" ht="19.5" hidden="false" customHeight="true" outlineLevel="0" collapsed="false">
      <c r="C68" s="20" t="n">
        <f aca="false">C10</f>
        <v>46433</v>
      </c>
      <c r="D68" s="10" t="n">
        <f aca="false">D10</f>
        <v>8.23333333333333</v>
      </c>
      <c r="E68" s="8" t="n">
        <f aca="false">IF(COUNT($C10,Supuestos!$D$45)=2,IF($C10+30&gt;EOMONTH(INDEX(Supuestos!$F$31:$Q$31,1,Supuestos!$D$45),0),"Fuera ventana",IF(COUNT($D10,$E10,$G10)=3,$D10*$E10*$G10,"N/D")),"N/D")</f>
        <v>19554.1666666667</v>
      </c>
      <c r="F68" s="8" t="n">
        <f aca="false">IF(COUNT($C10,Supuestos!$D$45)=2,IF($C10+60&gt;EOMONTH(INDEX(Supuestos!$F$31:$Q$31,1,Supuestos!$D$45),0),"Fuera ventana",IF(COUNT($D10,$E10,$H10)=3,$D10*$E10*$H10,"N/D")),"N/D")</f>
        <v>18525</v>
      </c>
      <c r="G68" s="8" t="n">
        <f aca="false">IF(COUNT($C10,Supuestos!$D$45)=2,IF($C10+90&gt;EOMONTH(INDEX(Supuestos!$F$31:$Q$31,1,Supuestos!$D$45),0),"Fuera ventana",IF(COUNT($D10,$E10,$I10)=3,$D10*$E10*$I10,"N/D")),"N/D")</f>
        <v>17495.8333333333</v>
      </c>
      <c r="H68" s="8" t="n">
        <f aca="false">IF(COUNT($C10,Supuestos!$D$45)=2,IF($C10+180&gt;EOMONTH(INDEX(Supuestos!$F$31:$Q$31,1,Supuestos!$D$45),0),"Fuera ventana",IF(COUNT($D10,$E10,$J10)=3,$D10*$E10*$J10,"N/D")),"N/D")</f>
        <v>16466.6666666667</v>
      </c>
      <c r="I68" s="8" t="str">
        <f aca="false">IF(COUNT($C10,Supuestos!$D$45)=2,IF($C10+365&gt;EOMONTH(INDEX(Supuestos!$F$31:$Q$31,1,Supuestos!$D$45),0),"Fuera ventana",IF(COUNT($D10,$E10,$K10)=3,$D10*$E10*$K10,"N/D")),"N/D")</f>
        <v>Fuera ventana</v>
      </c>
    </row>
    <row r="69" customFormat="false" ht="19.5" hidden="false" customHeight="true" outlineLevel="0" collapsed="false">
      <c r="C69" s="20" t="n">
        <f aca="false">C11</f>
        <v>46461</v>
      </c>
      <c r="D69" s="10" t="n">
        <f aca="false">D11</f>
        <v>8.23333333333333</v>
      </c>
      <c r="E69" s="8" t="n">
        <f aca="false">IF(COUNT($C11,Supuestos!$D$45)=2,IF($C11+30&gt;EOMONTH(INDEX(Supuestos!$F$31:$Q$31,1,Supuestos!$D$45),0),"Fuera ventana",IF(COUNT($D11,$E11,$G11)=3,$D11*$E11*$G11,"N/D")),"N/D")</f>
        <v>19554.1666666667</v>
      </c>
      <c r="F69" s="8" t="n">
        <f aca="false">IF(COUNT($C11,Supuestos!$D$45)=2,IF($C11+60&gt;EOMONTH(INDEX(Supuestos!$F$31:$Q$31,1,Supuestos!$D$45),0),"Fuera ventana",IF(COUNT($D11,$E11,$H11)=3,$D11*$E11*$H11,"N/D")),"N/D")</f>
        <v>18525</v>
      </c>
      <c r="G69" s="8" t="n">
        <f aca="false">IF(COUNT($C11,Supuestos!$D$45)=2,IF($C11+90&gt;EOMONTH(INDEX(Supuestos!$F$31:$Q$31,1,Supuestos!$D$45),0),"Fuera ventana",IF(COUNT($D11,$E11,$I11)=3,$D11*$E11*$I11,"N/D")),"N/D")</f>
        <v>17495.8333333333</v>
      </c>
      <c r="H69" s="8" t="n">
        <f aca="false">IF(COUNT($C11,Supuestos!$D$45)=2,IF($C11+180&gt;EOMONTH(INDEX(Supuestos!$F$31:$Q$31,1,Supuestos!$D$45),0),"Fuera ventana",IF(COUNT($D11,$E11,$J11)=3,$D11*$E11*$J11,"N/D")),"N/D")</f>
        <v>16466.6666666667</v>
      </c>
      <c r="I69" s="8" t="str">
        <f aca="false">IF(COUNT($C11,Supuestos!$D$45)=2,IF($C11+365&gt;EOMONTH(INDEX(Supuestos!$F$31:$Q$31,1,Supuestos!$D$45),0),"Fuera ventana",IF(COUNT($D11,$E11,$K11)=3,$D11*$E11*$K11,"N/D")),"N/D")</f>
        <v>Fuera ventana</v>
      </c>
    </row>
    <row r="70" customFormat="false" ht="19.5" hidden="false" customHeight="true" outlineLevel="0" collapsed="false">
      <c r="C70" s="20" t="n">
        <f aca="false">C12</f>
        <v>46492</v>
      </c>
      <c r="D70" s="10" t="n">
        <f aca="false">D12</f>
        <v>8.23333333333333</v>
      </c>
      <c r="E70" s="8" t="n">
        <f aca="false">IF(COUNT($C12,Supuestos!$D$45)=2,IF($C12+30&gt;EOMONTH(INDEX(Supuestos!$F$31:$Q$31,1,Supuestos!$D$45),0),"Fuera ventana",IF(COUNT($D12,$E12,$G12)=3,$D12*$E12*$G12,"N/D")),"N/D")</f>
        <v>19554.1666666667</v>
      </c>
      <c r="F70" s="8" t="n">
        <f aca="false">IF(COUNT($C12,Supuestos!$D$45)=2,IF($C12+60&gt;EOMONTH(INDEX(Supuestos!$F$31:$Q$31,1,Supuestos!$D$45),0),"Fuera ventana",IF(COUNT($D12,$E12,$H12)=3,$D12*$E12*$H12,"N/D")),"N/D")</f>
        <v>18525</v>
      </c>
      <c r="G70" s="8" t="n">
        <f aca="false">IF(COUNT($C12,Supuestos!$D$45)=2,IF($C12+90&gt;EOMONTH(INDEX(Supuestos!$F$31:$Q$31,1,Supuestos!$D$45),0),"Fuera ventana",IF(COUNT($D12,$E12,$I12)=3,$D12*$E12*$I12,"N/D")),"N/D")</f>
        <v>17495.8333333333</v>
      </c>
      <c r="H70" s="8" t="n">
        <f aca="false">IF(COUNT($C12,Supuestos!$D$45)=2,IF($C12+180&gt;EOMONTH(INDEX(Supuestos!$F$31:$Q$31,1,Supuestos!$D$45),0),"Fuera ventana",IF(COUNT($D12,$E12,$J12)=3,$D12*$E12*$J12,"N/D")),"N/D")</f>
        <v>16466.6666666667</v>
      </c>
      <c r="I70" s="8" t="str">
        <f aca="false">IF(COUNT($C12,Supuestos!$D$45)=2,IF($C12+365&gt;EOMONTH(INDEX(Supuestos!$F$31:$Q$31,1,Supuestos!$D$45),0),"Fuera ventana",IF(COUNT($D12,$E12,$K12)=3,$D12*$E12*$K12,"N/D")),"N/D")</f>
        <v>Fuera ventana</v>
      </c>
    </row>
    <row r="71" customFormat="false" ht="19.5" hidden="false" customHeight="true" outlineLevel="0" collapsed="false">
      <c r="C71" s="20" t="n">
        <f aca="false">C13</f>
        <v>46522</v>
      </c>
      <c r="D71" s="10" t="n">
        <f aca="false">D13</f>
        <v>8.23333333333333</v>
      </c>
      <c r="E71" s="8" t="n">
        <f aca="false">IF(COUNT($C13,Supuestos!$D$45)=2,IF($C13+30&gt;EOMONTH(INDEX(Supuestos!$F$31:$Q$31,1,Supuestos!$D$45),0),"Fuera ventana",IF(COUNT($D13,$E13,$G13)=3,$D13*$E13*$G13,"N/D")),"N/D")</f>
        <v>19554.1666666667</v>
      </c>
      <c r="F71" s="8" t="n">
        <f aca="false">IF(COUNT($C13,Supuestos!$D$45)=2,IF($C13+60&gt;EOMONTH(INDEX(Supuestos!$F$31:$Q$31,1,Supuestos!$D$45),0),"Fuera ventana",IF(COUNT($D13,$E13,$H13)=3,$D13*$E13*$H13,"N/D")),"N/D")</f>
        <v>18525</v>
      </c>
      <c r="G71" s="8" t="n">
        <f aca="false">IF(COUNT($C13,Supuestos!$D$45)=2,IF($C13+90&gt;EOMONTH(INDEX(Supuestos!$F$31:$Q$31,1,Supuestos!$D$45),0),"Fuera ventana",IF(COUNT($D13,$E13,$I13)=3,$D13*$E13*$I13,"N/D")),"N/D")</f>
        <v>17495.8333333333</v>
      </c>
      <c r="H71" s="8" t="n">
        <f aca="false">IF(COUNT($C13,Supuestos!$D$45)=2,IF($C13+180&gt;EOMONTH(INDEX(Supuestos!$F$31:$Q$31,1,Supuestos!$D$45),0),"Fuera ventana",IF(COUNT($D13,$E13,$J13)=3,$D13*$E13*$J13,"N/D")),"N/D")</f>
        <v>16466.6666666667</v>
      </c>
      <c r="I71" s="8" t="str">
        <f aca="false">IF(COUNT($C13,Supuestos!$D$45)=2,IF($C13+365&gt;EOMONTH(INDEX(Supuestos!$F$31:$Q$31,1,Supuestos!$D$45),0),"Fuera ventana",IF(COUNT($D13,$E13,$K13)=3,$D13*$E13*$K13,"N/D")),"N/D")</f>
        <v>Fuera ventana</v>
      </c>
    </row>
    <row r="72" customFormat="false" ht="19.5" hidden="false" customHeight="true" outlineLevel="0" collapsed="false">
      <c r="C72" s="20" t="n">
        <f aca="false">C14</f>
        <v>46553</v>
      </c>
      <c r="D72" s="10" t="n">
        <f aca="false">D14</f>
        <v>8.23333333333333</v>
      </c>
      <c r="E72" s="8" t="n">
        <f aca="false">IF(COUNT($C14,Supuestos!$D$45)=2,IF($C14+30&gt;EOMONTH(INDEX(Supuestos!$F$31:$Q$31,1,Supuestos!$D$45),0),"Fuera ventana",IF(COUNT($D14,$E14,$G14)=3,$D14*$E14*$G14,"N/D")),"N/D")</f>
        <v>19554.1666666667</v>
      </c>
      <c r="F72" s="8" t="n">
        <f aca="false">IF(COUNT($C14,Supuestos!$D$45)=2,IF($C14+60&gt;EOMONTH(INDEX(Supuestos!$F$31:$Q$31,1,Supuestos!$D$45),0),"Fuera ventana",IF(COUNT($D14,$E14,$H14)=3,$D14*$E14*$H14,"N/D")),"N/D")</f>
        <v>18525</v>
      </c>
      <c r="G72" s="8" t="n">
        <f aca="false">IF(COUNT($C14,Supuestos!$D$45)=2,IF($C14+90&gt;EOMONTH(INDEX(Supuestos!$F$31:$Q$31,1,Supuestos!$D$45),0),"Fuera ventana",IF(COUNT($D14,$E14,$I14)=3,$D14*$E14*$I14,"N/D")),"N/D")</f>
        <v>17495.8333333333</v>
      </c>
      <c r="H72" s="8" t="n">
        <f aca="false">IF(COUNT($C14,Supuestos!$D$45)=2,IF($C14+180&gt;EOMONTH(INDEX(Supuestos!$F$31:$Q$31,1,Supuestos!$D$45),0),"Fuera ventana",IF(COUNT($D14,$E14,$J14)=3,$D14*$E14*$J14,"N/D")),"N/D")</f>
        <v>16466.6666666667</v>
      </c>
      <c r="I72" s="8" t="str">
        <f aca="false">IF(COUNT($C14,Supuestos!$D$45)=2,IF($C14+365&gt;EOMONTH(INDEX(Supuestos!$F$31:$Q$31,1,Supuestos!$D$45),0),"Fuera ventana",IF(COUNT($D14,$E14,$K14)=3,$D14*$E14*$K14,"N/D")),"N/D")</f>
        <v>Fuera ventana</v>
      </c>
    </row>
    <row r="73" customFormat="false" ht="19.5" hidden="false" customHeight="true" outlineLevel="0" collapsed="false">
      <c r="C73" s="20" t="n">
        <f aca="false">C15</f>
        <v>46583</v>
      </c>
      <c r="D73" s="10" t="n">
        <f aca="false">D15</f>
        <v>8.23333333333333</v>
      </c>
      <c r="E73" s="8" t="n">
        <f aca="false">IF(COUNT($C15,Supuestos!$D$45)=2,IF($C15+30&gt;EOMONTH(INDEX(Supuestos!$F$31:$Q$31,1,Supuestos!$D$45),0),"Fuera ventana",IF(COUNT($D15,$E15,$G15)=3,$D15*$E15*$G15,"N/D")),"N/D")</f>
        <v>19554.1666666667</v>
      </c>
      <c r="F73" s="8" t="n">
        <f aca="false">IF(COUNT($C15,Supuestos!$D$45)=2,IF($C15+60&gt;EOMONTH(INDEX(Supuestos!$F$31:$Q$31,1,Supuestos!$D$45),0),"Fuera ventana",IF(COUNT($D15,$E15,$H15)=3,$D15*$E15*$H15,"N/D")),"N/D")</f>
        <v>18525</v>
      </c>
      <c r="G73" s="8" t="n">
        <f aca="false">IF(COUNT($C15,Supuestos!$D$45)=2,IF($C15+90&gt;EOMONTH(INDEX(Supuestos!$F$31:$Q$31,1,Supuestos!$D$45),0),"Fuera ventana",IF(COUNT($D15,$E15,$I15)=3,$D15*$E15*$I15,"N/D")),"N/D")</f>
        <v>17495.8333333333</v>
      </c>
      <c r="H73" s="8" t="str">
        <f aca="false">IF(COUNT($C15,Supuestos!$D$45)=2,IF($C15+180&gt;EOMONTH(INDEX(Supuestos!$F$31:$Q$31,1,Supuestos!$D$45),0),"Fuera ventana",IF(COUNT($D15,$E15,$J15)=3,$D15*$E15*$J15,"N/D")),"N/D")</f>
        <v>Fuera ventana</v>
      </c>
      <c r="I73" s="8" t="str">
        <f aca="false">IF(COUNT($C15,Supuestos!$D$45)=2,IF($C15+365&gt;EOMONTH(INDEX(Supuestos!$F$31:$Q$31,1,Supuestos!$D$45),0),"Fuera ventana",IF(COUNT($D15,$E15,$K15)=3,$D15*$E15*$K15,"N/D")),"N/D")</f>
        <v>Fuera ventana</v>
      </c>
    </row>
    <row r="74" customFormat="false" ht="19.5" hidden="false" customHeight="true" outlineLevel="0" collapsed="false">
      <c r="C74" s="20" t="n">
        <f aca="false">C16</f>
        <v>46614</v>
      </c>
      <c r="D74" s="10" t="n">
        <f aca="false">D16</f>
        <v>8.23333333333333</v>
      </c>
      <c r="E74" s="8" t="n">
        <f aca="false">IF(COUNT($C16,Supuestos!$D$45)=2,IF($C16+30&gt;EOMONTH(INDEX(Supuestos!$F$31:$Q$31,1,Supuestos!$D$45),0),"Fuera ventana",IF(COUNT($D16,$E16,$G16)=3,$D16*$E16*$G16,"N/D")),"N/D")</f>
        <v>19554.1666666667</v>
      </c>
      <c r="F74" s="8" t="n">
        <f aca="false">IF(COUNT($C16,Supuestos!$D$45)=2,IF($C16+60&gt;EOMONTH(INDEX(Supuestos!$F$31:$Q$31,1,Supuestos!$D$45),0),"Fuera ventana",IF(COUNT($D16,$E16,$H16)=3,$D16*$E16*$H16,"N/D")),"N/D")</f>
        <v>18525</v>
      </c>
      <c r="G74" s="8" t="n">
        <f aca="false">IF(COUNT($C16,Supuestos!$D$45)=2,IF($C16+90&gt;EOMONTH(INDEX(Supuestos!$F$31:$Q$31,1,Supuestos!$D$45),0),"Fuera ventana",IF(COUNT($D16,$E16,$I16)=3,$D16*$E16*$I16,"N/D")),"N/D")</f>
        <v>17495.8333333333</v>
      </c>
      <c r="H74" s="8" t="str">
        <f aca="false">IF(COUNT($C16,Supuestos!$D$45)=2,IF($C16+180&gt;EOMONTH(INDEX(Supuestos!$F$31:$Q$31,1,Supuestos!$D$45),0),"Fuera ventana",IF(COUNT($D16,$E16,$J16)=3,$D16*$E16*$J16,"N/D")),"N/D")</f>
        <v>Fuera ventana</v>
      </c>
      <c r="I74" s="8" t="str">
        <f aca="false">IF(COUNT($C16,Supuestos!$D$45)=2,IF($C16+365&gt;EOMONTH(INDEX(Supuestos!$F$31:$Q$31,1,Supuestos!$D$45),0),"Fuera ventana",IF(COUNT($D16,$E16,$K16)=3,$D16*$E16*$K16,"N/D")),"N/D")</f>
        <v>Fuera ventana</v>
      </c>
    </row>
    <row r="75" customFormat="false" ht="19.5" hidden="false" customHeight="true" outlineLevel="0" collapsed="false">
      <c r="C75" s="20" t="n">
        <f aca="false">C17</f>
        <v>46645</v>
      </c>
      <c r="D75" s="10" t="n">
        <f aca="false">D17</f>
        <v>8.23333333333333</v>
      </c>
      <c r="E75" s="8" t="n">
        <f aca="false">IF(COUNT($C17,Supuestos!$D$45)=2,IF($C17+30&gt;EOMONTH(INDEX(Supuestos!$F$31:$Q$31,1,Supuestos!$D$45),0),"Fuera ventana",IF(COUNT($D17,$E17,$G17)=3,$D17*$E17*$G17,"N/D")),"N/D")</f>
        <v>19554.1666666667</v>
      </c>
      <c r="F75" s="8" t="n">
        <f aca="false">IF(COUNT($C17,Supuestos!$D$45)=2,IF($C17+60&gt;EOMONTH(INDEX(Supuestos!$F$31:$Q$31,1,Supuestos!$D$45),0),"Fuera ventana",IF(COUNT($D17,$E17,$H17)=3,$D17*$E17*$H17,"N/D")),"N/D")</f>
        <v>18525</v>
      </c>
      <c r="G75" s="8" t="n">
        <f aca="false">IF(COUNT($C17,Supuestos!$D$45)=2,IF($C17+90&gt;EOMONTH(INDEX(Supuestos!$F$31:$Q$31,1,Supuestos!$D$45),0),"Fuera ventana",IF(COUNT($D17,$E17,$I17)=3,$D17*$E17*$I17,"N/D")),"N/D")</f>
        <v>17495.8333333333</v>
      </c>
      <c r="H75" s="8" t="str">
        <f aca="false">IF(COUNT($C17,Supuestos!$D$45)=2,IF($C17+180&gt;EOMONTH(INDEX(Supuestos!$F$31:$Q$31,1,Supuestos!$D$45),0),"Fuera ventana",IF(COUNT($D17,$E17,$J17)=3,$D17*$E17*$J17,"N/D")),"N/D")</f>
        <v>Fuera ventana</v>
      </c>
      <c r="I75" s="8" t="str">
        <f aca="false">IF(COUNT($C17,Supuestos!$D$45)=2,IF($C17+365&gt;EOMONTH(INDEX(Supuestos!$F$31:$Q$31,1,Supuestos!$D$45),0),"Fuera ventana",IF(COUNT($D17,$E17,$K17)=3,$D17*$E17*$K17,"N/D")),"N/D")</f>
        <v>Fuera ventana</v>
      </c>
    </row>
    <row r="76" customFormat="false" ht="19.5" hidden="false" customHeight="true" outlineLevel="0" collapsed="false">
      <c r="C76" s="20" t="n">
        <f aca="false">C18</f>
        <v>46675</v>
      </c>
      <c r="D76" s="10" t="n">
        <f aca="false">D18</f>
        <v>8.23333333333333</v>
      </c>
      <c r="E76" s="8" t="n">
        <f aca="false">IF(COUNT($C18,Supuestos!$D$45)=2,IF($C18+30&gt;EOMONTH(INDEX(Supuestos!$F$31:$Q$31,1,Supuestos!$D$45),0),"Fuera ventana",IF(COUNT($D18,$E18,$G18)=3,$D18*$E18*$G18,"N/D")),"N/D")</f>
        <v>19554.1666666667</v>
      </c>
      <c r="F76" s="8" t="n">
        <f aca="false">IF(COUNT($C18,Supuestos!$D$45)=2,IF($C18+60&gt;EOMONTH(INDEX(Supuestos!$F$31:$Q$31,1,Supuestos!$D$45),0),"Fuera ventana",IF(COUNT($D18,$E18,$H18)=3,$D18*$E18*$H18,"N/D")),"N/D")</f>
        <v>18525</v>
      </c>
      <c r="G76" s="8" t="str">
        <f aca="false">IF(COUNT($C18,Supuestos!$D$45)=2,IF($C18+90&gt;EOMONTH(INDEX(Supuestos!$F$31:$Q$31,1,Supuestos!$D$45),0),"Fuera ventana",IF(COUNT($D18,$E18,$I18)=3,$D18*$E18*$I18,"N/D")),"N/D")</f>
        <v>Fuera ventana</v>
      </c>
      <c r="H76" s="8" t="str">
        <f aca="false">IF(COUNT($C18,Supuestos!$D$45)=2,IF($C18+180&gt;EOMONTH(INDEX(Supuestos!$F$31:$Q$31,1,Supuestos!$D$45),0),"Fuera ventana",IF(COUNT($D18,$E18,$J18)=3,$D18*$E18*$J18,"N/D")),"N/D")</f>
        <v>Fuera ventana</v>
      </c>
      <c r="I76" s="8" t="str">
        <f aca="false">IF(COUNT($C18,Supuestos!$D$45)=2,IF($C18+365&gt;EOMONTH(INDEX(Supuestos!$F$31:$Q$31,1,Supuestos!$D$45),0),"Fuera ventana",IF(COUNT($D18,$E18,$K18)=3,$D18*$E18*$K18,"N/D")),"N/D")</f>
        <v>Fuera ventana</v>
      </c>
    </row>
    <row r="77" customFormat="false" ht="19.5" hidden="false" customHeight="true" outlineLevel="0" collapsed="false">
      <c r="C77" s="20" t="n">
        <f aca="false">C19</f>
        <v>46706</v>
      </c>
      <c r="D77" s="10" t="n">
        <f aca="false">D19</f>
        <v>8.23333333333333</v>
      </c>
      <c r="E77" s="8" t="n">
        <f aca="false">IF(COUNT($C19,Supuestos!$D$45)=2,IF($C19+30&gt;EOMONTH(INDEX(Supuestos!$F$31:$Q$31,1,Supuestos!$D$45),0),"Fuera ventana",IF(COUNT($D19,$E19,$G19)=3,$D19*$E19*$G19,"N/D")),"N/D")</f>
        <v>19554.1666666667</v>
      </c>
      <c r="F77" s="8" t="str">
        <f aca="false">IF(COUNT($C19,Supuestos!$D$45)=2,IF($C19+60&gt;EOMONTH(INDEX(Supuestos!$F$31:$Q$31,1,Supuestos!$D$45),0),"Fuera ventana",IF(COUNT($D19,$E19,$H19)=3,$D19*$E19*$H19,"N/D")),"N/D")</f>
        <v>Fuera ventana</v>
      </c>
      <c r="G77" s="8" t="str">
        <f aca="false">IF(COUNT($C19,Supuestos!$D$45)=2,IF($C19+90&gt;EOMONTH(INDEX(Supuestos!$F$31:$Q$31,1,Supuestos!$D$45),0),"Fuera ventana",IF(COUNT($D19,$E19,$I19)=3,$D19*$E19*$I19,"N/D")),"N/D")</f>
        <v>Fuera ventana</v>
      </c>
      <c r="H77" s="8" t="str">
        <f aca="false">IF(COUNT($C19,Supuestos!$D$45)=2,IF($C19+180&gt;EOMONTH(INDEX(Supuestos!$F$31:$Q$31,1,Supuestos!$D$45),0),"Fuera ventana",IF(COUNT($D19,$E19,$J19)=3,$D19*$E19*$J19,"N/D")),"N/D")</f>
        <v>Fuera ventana</v>
      </c>
      <c r="I77" s="8" t="str">
        <f aca="false">IF(COUNT($C19,Supuestos!$D$45)=2,IF($C19+365&gt;EOMONTH(INDEX(Supuestos!$F$31:$Q$31,1,Supuestos!$D$45),0),"Fuera ventana",IF(COUNT($D19,$E19,$K19)=3,$D19*$E19*$K19,"N/D")),"N/D")</f>
        <v>Fuera ventana</v>
      </c>
    </row>
    <row r="78" customFormat="false" ht="19.5" hidden="false" customHeight="true" outlineLevel="0" collapsed="false">
      <c r="C78" s="20" t="n">
        <f aca="false">C20</f>
        <v>46736</v>
      </c>
      <c r="D78" s="10" t="n">
        <f aca="false">D20</f>
        <v>8.23333333333333</v>
      </c>
      <c r="E78" s="8" t="str">
        <f aca="false">IF(COUNT($C20,Supuestos!$D$45)=2,IF($C20+30&gt;EOMONTH(INDEX(Supuestos!$F$31:$Q$31,1,Supuestos!$D$45),0),"Fuera ventana",IF(COUNT($D20,$E20,$G20)=3,$D20*$E20*$G20,"N/D")),"N/D")</f>
        <v>Fuera ventana</v>
      </c>
      <c r="F78" s="8" t="str">
        <f aca="false">IF(COUNT($C20,Supuestos!$D$45)=2,IF($C20+60&gt;EOMONTH(INDEX(Supuestos!$F$31:$Q$31,1,Supuestos!$D$45),0),"Fuera ventana",IF(COUNT($D20,$E20,$H20)=3,$D20*$E20*$H20,"N/D")),"N/D")</f>
        <v>Fuera ventana</v>
      </c>
      <c r="G78" s="8" t="str">
        <f aca="false">IF(COUNT($C20,Supuestos!$D$45)=2,IF($C20+90&gt;EOMONTH(INDEX(Supuestos!$F$31:$Q$31,1,Supuestos!$D$45),0),"Fuera ventana",IF(COUNT($D20,$E20,$I20)=3,$D20*$E20*$I20,"N/D")),"N/D")</f>
        <v>Fuera ventana</v>
      </c>
      <c r="H78" s="8" t="str">
        <f aca="false">IF(COUNT($C20,Supuestos!$D$45)=2,IF($C20+180&gt;EOMONTH(INDEX(Supuestos!$F$31:$Q$31,1,Supuestos!$D$45),0),"Fuera ventana",IF(COUNT($D20,$E20,$J20)=3,$D20*$E20*$J20,"N/D")),"N/D")</f>
        <v>Fuera ventana</v>
      </c>
      <c r="I78" s="8" t="str">
        <f aca="false">IF(COUNT($C20,Supuestos!$D$45)=2,IF($C20+365&gt;EOMONTH(INDEX(Supuestos!$F$31:$Q$31,1,Supuestos!$D$45),0),"Fuera ventana",IF(COUNT($D20,$E20,$K20)=3,$D20*$E20*$K20,"N/D")),"N/D")</f>
        <v>Fuera ventana</v>
      </c>
    </row>
    <row r="79" customFormat="false" ht="19.5" hidden="false" customHeight="true" outlineLevel="0" collapsed="false"/>
    <row r="80" customFormat="false" ht="30" hidden="false" customHeight="true" outlineLevel="0" collapsed="false">
      <c r="C80" s="24" t="s">
        <v>147</v>
      </c>
      <c r="D80" s="24"/>
      <c r="E80" s="24"/>
      <c r="F80" s="24"/>
      <c r="G80" s="24"/>
      <c r="H80" s="24"/>
      <c r="I80" s="24"/>
      <c r="J80" s="24"/>
      <c r="K80" s="24"/>
      <c r="L80" s="3" t="s">
        <v>91</v>
      </c>
      <c r="M80" s="3" t="s">
        <v>92</v>
      </c>
      <c r="N80" s="3" t="s">
        <v>93</v>
      </c>
      <c r="O80" s="3" t="s">
        <v>94</v>
      </c>
      <c r="P80" s="3" t="s">
        <v>95</v>
      </c>
      <c r="Q80" s="3" t="s">
        <v>96</v>
      </c>
      <c r="R80" s="3" t="s">
        <v>97</v>
      </c>
      <c r="S80" s="3" t="s">
        <v>98</v>
      </c>
      <c r="T80" s="3" t="s">
        <v>99</v>
      </c>
      <c r="U80" s="3" t="s">
        <v>100</v>
      </c>
      <c r="V80" s="3" t="s">
        <v>101</v>
      </c>
      <c r="W80" s="3" t="s">
        <v>102</v>
      </c>
    </row>
    <row r="81" customFormat="false" ht="19.5" hidden="false" customHeight="true" outlineLevel="0" collapsed="false"/>
    <row r="82" customFormat="false" ht="19.5" hidden="false" customHeight="true" outlineLevel="0" collapsed="false">
      <c r="C82" s="20" t="n">
        <f aca="false">C9</f>
        <v>46402</v>
      </c>
      <c r="L82" s="21" t="n">
        <f aca="false">IF(COUNT(L$7,$C9)=2,EOMONTH(L$7,0)-$C9,"N/D")</f>
        <v>16</v>
      </c>
      <c r="M82" s="21" t="n">
        <f aca="false">IF(COUNT(M$7,$C9)=2,EOMONTH(M$7,0)-$C9,"N/D")</f>
        <v>44</v>
      </c>
      <c r="N82" s="21" t="n">
        <f aca="false">IF(COUNT(N$7,$C9)=2,EOMONTH(N$7,0)-$C9,"N/D")</f>
        <v>75</v>
      </c>
      <c r="O82" s="21" t="n">
        <f aca="false">IF(COUNT(O$7,$C9)=2,EOMONTH(O$7,0)-$C9,"N/D")</f>
        <v>105</v>
      </c>
      <c r="P82" s="21" t="n">
        <f aca="false">IF(COUNT(P$7,$C9)=2,EOMONTH(P$7,0)-$C9,"N/D")</f>
        <v>136</v>
      </c>
      <c r="Q82" s="21" t="n">
        <f aca="false">IF(COUNT(Q$7,$C9)=2,EOMONTH(Q$7,0)-$C9,"N/D")</f>
        <v>166</v>
      </c>
      <c r="R82" s="21" t="n">
        <f aca="false">IF(COUNT(R$7,$C9)=2,EOMONTH(R$7,0)-$C9,"N/D")</f>
        <v>197</v>
      </c>
      <c r="S82" s="21" t="n">
        <f aca="false">IF(COUNT(S$7,$C9)=2,EOMONTH(S$7,0)-$C9,"N/D")</f>
        <v>228</v>
      </c>
      <c r="T82" s="21" t="n">
        <f aca="false">IF(COUNT(T$7,$C9)=2,EOMONTH(T$7,0)-$C9,"N/D")</f>
        <v>258</v>
      </c>
      <c r="U82" s="21" t="n">
        <f aca="false">IF(COUNT(U$7,$C9)=2,EOMONTH(U$7,0)-$C9,"N/D")</f>
        <v>289</v>
      </c>
      <c r="V82" s="21" t="n">
        <f aca="false">IF(COUNT(V$7,$C9)=2,EOMONTH(V$7,0)-$C9,"N/D")</f>
        <v>319</v>
      </c>
      <c r="W82" s="21" t="n">
        <f aca="false">IF(COUNT(W$7,$C9)=2,EOMONTH(W$7,0)-$C9,"N/D")</f>
        <v>350</v>
      </c>
    </row>
    <row r="83" customFormat="false" ht="19.5" hidden="false" customHeight="true" outlineLevel="0" collapsed="false">
      <c r="C83" s="20" t="n">
        <f aca="false">C10</f>
        <v>46433</v>
      </c>
      <c r="L83" s="21" t="n">
        <f aca="false">IF(COUNT(L$7,$C10)=2,EOMONTH(L$7,0)-$C10,"N/D")</f>
        <v>-15</v>
      </c>
      <c r="M83" s="21" t="n">
        <f aca="false">IF(COUNT(M$7,$C10)=2,EOMONTH(M$7,0)-$C10,"N/D")</f>
        <v>13</v>
      </c>
      <c r="N83" s="21" t="n">
        <f aca="false">IF(COUNT(N$7,$C10)=2,EOMONTH(N$7,0)-$C10,"N/D")</f>
        <v>44</v>
      </c>
      <c r="O83" s="21" t="n">
        <f aca="false">IF(COUNT(O$7,$C10)=2,EOMONTH(O$7,0)-$C10,"N/D")</f>
        <v>74</v>
      </c>
      <c r="P83" s="21" t="n">
        <f aca="false">IF(COUNT(P$7,$C10)=2,EOMONTH(P$7,0)-$C10,"N/D")</f>
        <v>105</v>
      </c>
      <c r="Q83" s="21" t="n">
        <f aca="false">IF(COUNT(Q$7,$C10)=2,EOMONTH(Q$7,0)-$C10,"N/D")</f>
        <v>135</v>
      </c>
      <c r="R83" s="21" t="n">
        <f aca="false">IF(COUNT(R$7,$C10)=2,EOMONTH(R$7,0)-$C10,"N/D")</f>
        <v>166</v>
      </c>
      <c r="S83" s="21" t="n">
        <f aca="false">IF(COUNT(S$7,$C10)=2,EOMONTH(S$7,0)-$C10,"N/D")</f>
        <v>197</v>
      </c>
      <c r="T83" s="21" t="n">
        <f aca="false">IF(COUNT(T$7,$C10)=2,EOMONTH(T$7,0)-$C10,"N/D")</f>
        <v>227</v>
      </c>
      <c r="U83" s="21" t="n">
        <f aca="false">IF(COUNT(U$7,$C10)=2,EOMONTH(U$7,0)-$C10,"N/D")</f>
        <v>258</v>
      </c>
      <c r="V83" s="21" t="n">
        <f aca="false">IF(COUNT(V$7,$C10)=2,EOMONTH(V$7,0)-$C10,"N/D")</f>
        <v>288</v>
      </c>
      <c r="W83" s="21" t="n">
        <f aca="false">IF(COUNT(W$7,$C10)=2,EOMONTH(W$7,0)-$C10,"N/D")</f>
        <v>319</v>
      </c>
    </row>
    <row r="84" customFormat="false" ht="19.5" hidden="false" customHeight="true" outlineLevel="0" collapsed="false">
      <c r="C84" s="20" t="n">
        <f aca="false">C11</f>
        <v>46461</v>
      </c>
      <c r="L84" s="21" t="n">
        <f aca="false">IF(COUNT(L$7,$C11)=2,EOMONTH(L$7,0)-$C11,"N/D")</f>
        <v>-43</v>
      </c>
      <c r="M84" s="21" t="n">
        <f aca="false">IF(COUNT(M$7,$C11)=2,EOMONTH(M$7,0)-$C11,"N/D")</f>
        <v>-15</v>
      </c>
      <c r="N84" s="21" t="n">
        <f aca="false">IF(COUNT(N$7,$C11)=2,EOMONTH(N$7,0)-$C11,"N/D")</f>
        <v>16</v>
      </c>
      <c r="O84" s="21" t="n">
        <f aca="false">IF(COUNT(O$7,$C11)=2,EOMONTH(O$7,0)-$C11,"N/D")</f>
        <v>46</v>
      </c>
      <c r="P84" s="21" t="n">
        <f aca="false">IF(COUNT(P$7,$C11)=2,EOMONTH(P$7,0)-$C11,"N/D")</f>
        <v>77</v>
      </c>
      <c r="Q84" s="21" t="n">
        <f aca="false">IF(COUNT(Q$7,$C11)=2,EOMONTH(Q$7,0)-$C11,"N/D")</f>
        <v>107</v>
      </c>
      <c r="R84" s="21" t="n">
        <f aca="false">IF(COUNT(R$7,$C11)=2,EOMONTH(R$7,0)-$C11,"N/D")</f>
        <v>138</v>
      </c>
      <c r="S84" s="21" t="n">
        <f aca="false">IF(COUNT(S$7,$C11)=2,EOMONTH(S$7,0)-$C11,"N/D")</f>
        <v>169</v>
      </c>
      <c r="T84" s="21" t="n">
        <f aca="false">IF(COUNT(T$7,$C11)=2,EOMONTH(T$7,0)-$C11,"N/D")</f>
        <v>199</v>
      </c>
      <c r="U84" s="21" t="n">
        <f aca="false">IF(COUNT(U$7,$C11)=2,EOMONTH(U$7,0)-$C11,"N/D")</f>
        <v>230</v>
      </c>
      <c r="V84" s="21" t="n">
        <f aca="false">IF(COUNT(V$7,$C11)=2,EOMONTH(V$7,0)-$C11,"N/D")</f>
        <v>260</v>
      </c>
      <c r="W84" s="21" t="n">
        <f aca="false">IF(COUNT(W$7,$C11)=2,EOMONTH(W$7,0)-$C11,"N/D")</f>
        <v>291</v>
      </c>
    </row>
    <row r="85" customFormat="false" ht="19.5" hidden="false" customHeight="true" outlineLevel="0" collapsed="false">
      <c r="C85" s="20" t="n">
        <f aca="false">C12</f>
        <v>46492</v>
      </c>
      <c r="L85" s="21" t="n">
        <f aca="false">IF(COUNT(L$7,$C12)=2,EOMONTH(L$7,0)-$C12,"N/D")</f>
        <v>-74</v>
      </c>
      <c r="M85" s="21" t="n">
        <f aca="false">IF(COUNT(M$7,$C12)=2,EOMONTH(M$7,0)-$C12,"N/D")</f>
        <v>-46</v>
      </c>
      <c r="N85" s="21" t="n">
        <f aca="false">IF(COUNT(N$7,$C12)=2,EOMONTH(N$7,0)-$C12,"N/D")</f>
        <v>-15</v>
      </c>
      <c r="O85" s="21" t="n">
        <f aca="false">IF(COUNT(O$7,$C12)=2,EOMONTH(O$7,0)-$C12,"N/D")</f>
        <v>15</v>
      </c>
      <c r="P85" s="21" t="n">
        <f aca="false">IF(COUNT(P$7,$C12)=2,EOMONTH(P$7,0)-$C12,"N/D")</f>
        <v>46</v>
      </c>
      <c r="Q85" s="21" t="n">
        <f aca="false">IF(COUNT(Q$7,$C12)=2,EOMONTH(Q$7,0)-$C12,"N/D")</f>
        <v>76</v>
      </c>
      <c r="R85" s="21" t="n">
        <f aca="false">IF(COUNT(R$7,$C12)=2,EOMONTH(R$7,0)-$C12,"N/D")</f>
        <v>107</v>
      </c>
      <c r="S85" s="21" t="n">
        <f aca="false">IF(COUNT(S$7,$C12)=2,EOMONTH(S$7,0)-$C12,"N/D")</f>
        <v>138</v>
      </c>
      <c r="T85" s="21" t="n">
        <f aca="false">IF(COUNT(T$7,$C12)=2,EOMONTH(T$7,0)-$C12,"N/D")</f>
        <v>168</v>
      </c>
      <c r="U85" s="21" t="n">
        <f aca="false">IF(COUNT(U$7,$C12)=2,EOMONTH(U$7,0)-$C12,"N/D")</f>
        <v>199</v>
      </c>
      <c r="V85" s="21" t="n">
        <f aca="false">IF(COUNT(V$7,$C12)=2,EOMONTH(V$7,0)-$C12,"N/D")</f>
        <v>229</v>
      </c>
      <c r="W85" s="21" t="n">
        <f aca="false">IF(COUNT(W$7,$C12)=2,EOMONTH(W$7,0)-$C12,"N/D")</f>
        <v>260</v>
      </c>
    </row>
    <row r="86" customFormat="false" ht="19.5" hidden="false" customHeight="true" outlineLevel="0" collapsed="false">
      <c r="C86" s="20" t="n">
        <f aca="false">C13</f>
        <v>46522</v>
      </c>
      <c r="L86" s="21" t="n">
        <f aca="false">IF(COUNT(L$7,$C13)=2,EOMONTH(L$7,0)-$C13,"N/D")</f>
        <v>-104</v>
      </c>
      <c r="M86" s="21" t="n">
        <f aca="false">IF(COUNT(M$7,$C13)=2,EOMONTH(M$7,0)-$C13,"N/D")</f>
        <v>-76</v>
      </c>
      <c r="N86" s="21" t="n">
        <f aca="false">IF(COUNT(N$7,$C13)=2,EOMONTH(N$7,0)-$C13,"N/D")</f>
        <v>-45</v>
      </c>
      <c r="O86" s="21" t="n">
        <f aca="false">IF(COUNT(O$7,$C13)=2,EOMONTH(O$7,0)-$C13,"N/D")</f>
        <v>-15</v>
      </c>
      <c r="P86" s="21" t="n">
        <f aca="false">IF(COUNT(P$7,$C13)=2,EOMONTH(P$7,0)-$C13,"N/D")</f>
        <v>16</v>
      </c>
      <c r="Q86" s="21" t="n">
        <f aca="false">IF(COUNT(Q$7,$C13)=2,EOMONTH(Q$7,0)-$C13,"N/D")</f>
        <v>46</v>
      </c>
      <c r="R86" s="21" t="n">
        <f aca="false">IF(COUNT(R$7,$C13)=2,EOMONTH(R$7,0)-$C13,"N/D")</f>
        <v>77</v>
      </c>
      <c r="S86" s="21" t="n">
        <f aca="false">IF(COUNT(S$7,$C13)=2,EOMONTH(S$7,0)-$C13,"N/D")</f>
        <v>108</v>
      </c>
      <c r="T86" s="21" t="n">
        <f aca="false">IF(COUNT(T$7,$C13)=2,EOMONTH(T$7,0)-$C13,"N/D")</f>
        <v>138</v>
      </c>
      <c r="U86" s="21" t="n">
        <f aca="false">IF(COUNT(U$7,$C13)=2,EOMONTH(U$7,0)-$C13,"N/D")</f>
        <v>169</v>
      </c>
      <c r="V86" s="21" t="n">
        <f aca="false">IF(COUNT(V$7,$C13)=2,EOMONTH(V$7,0)-$C13,"N/D")</f>
        <v>199</v>
      </c>
      <c r="W86" s="21" t="n">
        <f aca="false">IF(COUNT(W$7,$C13)=2,EOMONTH(W$7,0)-$C13,"N/D")</f>
        <v>230</v>
      </c>
    </row>
    <row r="87" customFormat="false" ht="19.5" hidden="false" customHeight="true" outlineLevel="0" collapsed="false">
      <c r="C87" s="20" t="n">
        <f aca="false">C14</f>
        <v>46553</v>
      </c>
      <c r="L87" s="21" t="n">
        <f aca="false">IF(COUNT(L$7,$C14)=2,EOMONTH(L$7,0)-$C14,"N/D")</f>
        <v>-135</v>
      </c>
      <c r="M87" s="21" t="n">
        <f aca="false">IF(COUNT(M$7,$C14)=2,EOMONTH(M$7,0)-$C14,"N/D")</f>
        <v>-107</v>
      </c>
      <c r="N87" s="21" t="n">
        <f aca="false">IF(COUNT(N$7,$C14)=2,EOMONTH(N$7,0)-$C14,"N/D")</f>
        <v>-76</v>
      </c>
      <c r="O87" s="21" t="n">
        <f aca="false">IF(COUNT(O$7,$C14)=2,EOMONTH(O$7,0)-$C14,"N/D")</f>
        <v>-46</v>
      </c>
      <c r="P87" s="21" t="n">
        <f aca="false">IF(COUNT(P$7,$C14)=2,EOMONTH(P$7,0)-$C14,"N/D")</f>
        <v>-15</v>
      </c>
      <c r="Q87" s="21" t="n">
        <f aca="false">IF(COUNT(Q$7,$C14)=2,EOMONTH(Q$7,0)-$C14,"N/D")</f>
        <v>15</v>
      </c>
      <c r="R87" s="21" t="n">
        <f aca="false">IF(COUNT(R$7,$C14)=2,EOMONTH(R$7,0)-$C14,"N/D")</f>
        <v>46</v>
      </c>
      <c r="S87" s="21" t="n">
        <f aca="false">IF(COUNT(S$7,$C14)=2,EOMONTH(S$7,0)-$C14,"N/D")</f>
        <v>77</v>
      </c>
      <c r="T87" s="21" t="n">
        <f aca="false">IF(COUNT(T$7,$C14)=2,EOMONTH(T$7,0)-$C14,"N/D")</f>
        <v>107</v>
      </c>
      <c r="U87" s="21" t="n">
        <f aca="false">IF(COUNT(U$7,$C14)=2,EOMONTH(U$7,0)-$C14,"N/D")</f>
        <v>138</v>
      </c>
      <c r="V87" s="21" t="n">
        <f aca="false">IF(COUNT(V$7,$C14)=2,EOMONTH(V$7,0)-$C14,"N/D")</f>
        <v>168</v>
      </c>
      <c r="W87" s="21" t="n">
        <f aca="false">IF(COUNT(W$7,$C14)=2,EOMONTH(W$7,0)-$C14,"N/D")</f>
        <v>199</v>
      </c>
    </row>
    <row r="88" customFormat="false" ht="19.5" hidden="false" customHeight="true" outlineLevel="0" collapsed="false">
      <c r="C88" s="20" t="n">
        <f aca="false">C15</f>
        <v>46583</v>
      </c>
      <c r="L88" s="21" t="n">
        <f aca="false">IF(COUNT(L$7,$C15)=2,EOMONTH(L$7,0)-$C15,"N/D")</f>
        <v>-165</v>
      </c>
      <c r="M88" s="21" t="n">
        <f aca="false">IF(COUNT(M$7,$C15)=2,EOMONTH(M$7,0)-$C15,"N/D")</f>
        <v>-137</v>
      </c>
      <c r="N88" s="21" t="n">
        <f aca="false">IF(COUNT(N$7,$C15)=2,EOMONTH(N$7,0)-$C15,"N/D")</f>
        <v>-106</v>
      </c>
      <c r="O88" s="21" t="n">
        <f aca="false">IF(COUNT(O$7,$C15)=2,EOMONTH(O$7,0)-$C15,"N/D")</f>
        <v>-76</v>
      </c>
      <c r="P88" s="21" t="n">
        <f aca="false">IF(COUNT(P$7,$C15)=2,EOMONTH(P$7,0)-$C15,"N/D")</f>
        <v>-45</v>
      </c>
      <c r="Q88" s="21" t="n">
        <f aca="false">IF(COUNT(Q$7,$C15)=2,EOMONTH(Q$7,0)-$C15,"N/D")</f>
        <v>-15</v>
      </c>
      <c r="R88" s="21" t="n">
        <f aca="false">IF(COUNT(R$7,$C15)=2,EOMONTH(R$7,0)-$C15,"N/D")</f>
        <v>16</v>
      </c>
      <c r="S88" s="21" t="n">
        <f aca="false">IF(COUNT(S$7,$C15)=2,EOMONTH(S$7,0)-$C15,"N/D")</f>
        <v>47</v>
      </c>
      <c r="T88" s="21" t="n">
        <f aca="false">IF(COUNT(T$7,$C15)=2,EOMONTH(T$7,0)-$C15,"N/D")</f>
        <v>77</v>
      </c>
      <c r="U88" s="21" t="n">
        <f aca="false">IF(COUNT(U$7,$C15)=2,EOMONTH(U$7,0)-$C15,"N/D")</f>
        <v>108</v>
      </c>
      <c r="V88" s="21" t="n">
        <f aca="false">IF(COUNT(V$7,$C15)=2,EOMONTH(V$7,0)-$C15,"N/D")</f>
        <v>138</v>
      </c>
      <c r="W88" s="21" t="n">
        <f aca="false">IF(COUNT(W$7,$C15)=2,EOMONTH(W$7,0)-$C15,"N/D")</f>
        <v>169</v>
      </c>
    </row>
    <row r="89" customFormat="false" ht="19.5" hidden="false" customHeight="true" outlineLevel="0" collapsed="false">
      <c r="C89" s="20" t="n">
        <f aca="false">C16</f>
        <v>46614</v>
      </c>
      <c r="L89" s="21" t="n">
        <f aca="false">IF(COUNT(L$7,$C16)=2,EOMONTH(L$7,0)-$C16,"N/D")</f>
        <v>-196</v>
      </c>
      <c r="M89" s="21" t="n">
        <f aca="false">IF(COUNT(M$7,$C16)=2,EOMONTH(M$7,0)-$C16,"N/D")</f>
        <v>-168</v>
      </c>
      <c r="N89" s="21" t="n">
        <f aca="false">IF(COUNT(N$7,$C16)=2,EOMONTH(N$7,0)-$C16,"N/D")</f>
        <v>-137</v>
      </c>
      <c r="O89" s="21" t="n">
        <f aca="false">IF(COUNT(O$7,$C16)=2,EOMONTH(O$7,0)-$C16,"N/D")</f>
        <v>-107</v>
      </c>
      <c r="P89" s="21" t="n">
        <f aca="false">IF(COUNT(P$7,$C16)=2,EOMONTH(P$7,0)-$C16,"N/D")</f>
        <v>-76</v>
      </c>
      <c r="Q89" s="21" t="n">
        <f aca="false">IF(COUNT(Q$7,$C16)=2,EOMONTH(Q$7,0)-$C16,"N/D")</f>
        <v>-46</v>
      </c>
      <c r="R89" s="21" t="n">
        <f aca="false">IF(COUNT(R$7,$C16)=2,EOMONTH(R$7,0)-$C16,"N/D")</f>
        <v>-15</v>
      </c>
      <c r="S89" s="21" t="n">
        <f aca="false">IF(COUNT(S$7,$C16)=2,EOMONTH(S$7,0)-$C16,"N/D")</f>
        <v>16</v>
      </c>
      <c r="T89" s="21" t="n">
        <f aca="false">IF(COUNT(T$7,$C16)=2,EOMONTH(T$7,0)-$C16,"N/D")</f>
        <v>46</v>
      </c>
      <c r="U89" s="21" t="n">
        <f aca="false">IF(COUNT(U$7,$C16)=2,EOMONTH(U$7,0)-$C16,"N/D")</f>
        <v>77</v>
      </c>
      <c r="V89" s="21" t="n">
        <f aca="false">IF(COUNT(V$7,$C16)=2,EOMONTH(V$7,0)-$C16,"N/D")</f>
        <v>107</v>
      </c>
      <c r="W89" s="21" t="n">
        <f aca="false">IF(COUNT(W$7,$C16)=2,EOMONTH(W$7,0)-$C16,"N/D")</f>
        <v>138</v>
      </c>
    </row>
    <row r="90" customFormat="false" ht="19.5" hidden="false" customHeight="true" outlineLevel="0" collapsed="false">
      <c r="C90" s="20" t="n">
        <f aca="false">C17</f>
        <v>46645</v>
      </c>
      <c r="L90" s="21" t="n">
        <f aca="false">IF(COUNT(L$7,$C17)=2,EOMONTH(L$7,0)-$C17,"N/D")</f>
        <v>-227</v>
      </c>
      <c r="M90" s="21" t="n">
        <f aca="false">IF(COUNT(M$7,$C17)=2,EOMONTH(M$7,0)-$C17,"N/D")</f>
        <v>-199</v>
      </c>
      <c r="N90" s="21" t="n">
        <f aca="false">IF(COUNT(N$7,$C17)=2,EOMONTH(N$7,0)-$C17,"N/D")</f>
        <v>-168</v>
      </c>
      <c r="O90" s="21" t="n">
        <f aca="false">IF(COUNT(O$7,$C17)=2,EOMONTH(O$7,0)-$C17,"N/D")</f>
        <v>-138</v>
      </c>
      <c r="P90" s="21" t="n">
        <f aca="false">IF(COUNT(P$7,$C17)=2,EOMONTH(P$7,0)-$C17,"N/D")</f>
        <v>-107</v>
      </c>
      <c r="Q90" s="21" t="n">
        <f aca="false">IF(COUNT(Q$7,$C17)=2,EOMONTH(Q$7,0)-$C17,"N/D")</f>
        <v>-77</v>
      </c>
      <c r="R90" s="21" t="n">
        <f aca="false">IF(COUNT(R$7,$C17)=2,EOMONTH(R$7,0)-$C17,"N/D")</f>
        <v>-46</v>
      </c>
      <c r="S90" s="21" t="n">
        <f aca="false">IF(COUNT(S$7,$C17)=2,EOMONTH(S$7,0)-$C17,"N/D")</f>
        <v>-15</v>
      </c>
      <c r="T90" s="21" t="n">
        <f aca="false">IF(COUNT(T$7,$C17)=2,EOMONTH(T$7,0)-$C17,"N/D")</f>
        <v>15</v>
      </c>
      <c r="U90" s="21" t="n">
        <f aca="false">IF(COUNT(U$7,$C17)=2,EOMONTH(U$7,0)-$C17,"N/D")</f>
        <v>46</v>
      </c>
      <c r="V90" s="21" t="n">
        <f aca="false">IF(COUNT(V$7,$C17)=2,EOMONTH(V$7,0)-$C17,"N/D")</f>
        <v>76</v>
      </c>
      <c r="W90" s="21" t="n">
        <f aca="false">IF(COUNT(W$7,$C17)=2,EOMONTH(W$7,0)-$C17,"N/D")</f>
        <v>107</v>
      </c>
    </row>
    <row r="91" customFormat="false" ht="19.5" hidden="false" customHeight="true" outlineLevel="0" collapsed="false">
      <c r="C91" s="20" t="n">
        <f aca="false">C18</f>
        <v>46675</v>
      </c>
      <c r="L91" s="21" t="n">
        <f aca="false">IF(COUNT(L$7,$C18)=2,EOMONTH(L$7,0)-$C18,"N/D")</f>
        <v>-257</v>
      </c>
      <c r="M91" s="21" t="n">
        <f aca="false">IF(COUNT(M$7,$C18)=2,EOMONTH(M$7,0)-$C18,"N/D")</f>
        <v>-229</v>
      </c>
      <c r="N91" s="21" t="n">
        <f aca="false">IF(COUNT(N$7,$C18)=2,EOMONTH(N$7,0)-$C18,"N/D")</f>
        <v>-198</v>
      </c>
      <c r="O91" s="21" t="n">
        <f aca="false">IF(COUNT(O$7,$C18)=2,EOMONTH(O$7,0)-$C18,"N/D")</f>
        <v>-168</v>
      </c>
      <c r="P91" s="21" t="n">
        <f aca="false">IF(COUNT(P$7,$C18)=2,EOMONTH(P$7,0)-$C18,"N/D")</f>
        <v>-137</v>
      </c>
      <c r="Q91" s="21" t="n">
        <f aca="false">IF(COUNT(Q$7,$C18)=2,EOMONTH(Q$7,0)-$C18,"N/D")</f>
        <v>-107</v>
      </c>
      <c r="R91" s="21" t="n">
        <f aca="false">IF(COUNT(R$7,$C18)=2,EOMONTH(R$7,0)-$C18,"N/D")</f>
        <v>-76</v>
      </c>
      <c r="S91" s="21" t="n">
        <f aca="false">IF(COUNT(S$7,$C18)=2,EOMONTH(S$7,0)-$C18,"N/D")</f>
        <v>-45</v>
      </c>
      <c r="T91" s="21" t="n">
        <f aca="false">IF(COUNT(T$7,$C18)=2,EOMONTH(T$7,0)-$C18,"N/D")</f>
        <v>-15</v>
      </c>
      <c r="U91" s="21" t="n">
        <f aca="false">IF(COUNT(U$7,$C18)=2,EOMONTH(U$7,0)-$C18,"N/D")</f>
        <v>16</v>
      </c>
      <c r="V91" s="21" t="n">
        <f aca="false">IF(COUNT(V$7,$C18)=2,EOMONTH(V$7,0)-$C18,"N/D")</f>
        <v>46</v>
      </c>
      <c r="W91" s="21" t="n">
        <f aca="false">IF(COUNT(W$7,$C18)=2,EOMONTH(W$7,0)-$C18,"N/D")</f>
        <v>77</v>
      </c>
    </row>
    <row r="92" customFormat="false" ht="19.5" hidden="false" customHeight="true" outlineLevel="0" collapsed="false">
      <c r="C92" s="20" t="n">
        <f aca="false">C19</f>
        <v>46706</v>
      </c>
      <c r="L92" s="21" t="n">
        <f aca="false">IF(COUNT(L$7,$C19)=2,EOMONTH(L$7,0)-$C19,"N/D")</f>
        <v>-288</v>
      </c>
      <c r="M92" s="21" t="n">
        <f aca="false">IF(COUNT(M$7,$C19)=2,EOMONTH(M$7,0)-$C19,"N/D")</f>
        <v>-260</v>
      </c>
      <c r="N92" s="21" t="n">
        <f aca="false">IF(COUNT(N$7,$C19)=2,EOMONTH(N$7,0)-$C19,"N/D")</f>
        <v>-229</v>
      </c>
      <c r="O92" s="21" t="n">
        <f aca="false">IF(COUNT(O$7,$C19)=2,EOMONTH(O$7,0)-$C19,"N/D")</f>
        <v>-199</v>
      </c>
      <c r="P92" s="21" t="n">
        <f aca="false">IF(COUNT(P$7,$C19)=2,EOMONTH(P$7,0)-$C19,"N/D")</f>
        <v>-168</v>
      </c>
      <c r="Q92" s="21" t="n">
        <f aca="false">IF(COUNT(Q$7,$C19)=2,EOMONTH(Q$7,0)-$C19,"N/D")</f>
        <v>-138</v>
      </c>
      <c r="R92" s="21" t="n">
        <f aca="false">IF(COUNT(R$7,$C19)=2,EOMONTH(R$7,0)-$C19,"N/D")</f>
        <v>-107</v>
      </c>
      <c r="S92" s="21" t="n">
        <f aca="false">IF(COUNT(S$7,$C19)=2,EOMONTH(S$7,0)-$C19,"N/D")</f>
        <v>-76</v>
      </c>
      <c r="T92" s="21" t="n">
        <f aca="false">IF(COUNT(T$7,$C19)=2,EOMONTH(T$7,0)-$C19,"N/D")</f>
        <v>-46</v>
      </c>
      <c r="U92" s="21" t="n">
        <f aca="false">IF(COUNT(U$7,$C19)=2,EOMONTH(U$7,0)-$C19,"N/D")</f>
        <v>-15</v>
      </c>
      <c r="V92" s="21" t="n">
        <f aca="false">IF(COUNT(V$7,$C19)=2,EOMONTH(V$7,0)-$C19,"N/D")</f>
        <v>15</v>
      </c>
      <c r="W92" s="21" t="n">
        <f aca="false">IF(COUNT(W$7,$C19)=2,EOMONTH(W$7,0)-$C19,"N/D")</f>
        <v>46</v>
      </c>
    </row>
    <row r="93" customFormat="false" ht="19.5" hidden="false" customHeight="true" outlineLevel="0" collapsed="false">
      <c r="C93" s="20" t="n">
        <f aca="false">C20</f>
        <v>46736</v>
      </c>
      <c r="L93" s="21" t="n">
        <f aca="false">IF(COUNT(L$7,$C20)=2,EOMONTH(L$7,0)-$C20,"N/D")</f>
        <v>-318</v>
      </c>
      <c r="M93" s="21" t="n">
        <f aca="false">IF(COUNT(M$7,$C20)=2,EOMONTH(M$7,0)-$C20,"N/D")</f>
        <v>-290</v>
      </c>
      <c r="N93" s="21" t="n">
        <f aca="false">IF(COUNT(N$7,$C20)=2,EOMONTH(N$7,0)-$C20,"N/D")</f>
        <v>-259</v>
      </c>
      <c r="O93" s="21" t="n">
        <f aca="false">IF(COUNT(O$7,$C20)=2,EOMONTH(O$7,0)-$C20,"N/D")</f>
        <v>-229</v>
      </c>
      <c r="P93" s="21" t="n">
        <f aca="false">IF(COUNT(P$7,$C20)=2,EOMONTH(P$7,0)-$C20,"N/D")</f>
        <v>-198</v>
      </c>
      <c r="Q93" s="21" t="n">
        <f aca="false">IF(COUNT(Q$7,$C20)=2,EOMONTH(Q$7,0)-$C20,"N/D")</f>
        <v>-168</v>
      </c>
      <c r="R93" s="21" t="n">
        <f aca="false">IF(COUNT(R$7,$C20)=2,EOMONTH(R$7,0)-$C20,"N/D")</f>
        <v>-137</v>
      </c>
      <c r="S93" s="21" t="n">
        <f aca="false">IF(COUNT(S$7,$C20)=2,EOMONTH(S$7,0)-$C20,"N/D")</f>
        <v>-106</v>
      </c>
      <c r="T93" s="21" t="n">
        <f aca="false">IF(COUNT(T$7,$C20)=2,EOMONTH(T$7,0)-$C20,"N/D")</f>
        <v>-76</v>
      </c>
      <c r="U93" s="21" t="n">
        <f aca="false">IF(COUNT(U$7,$C20)=2,EOMONTH(U$7,0)-$C20,"N/D")</f>
        <v>-45</v>
      </c>
      <c r="V93" s="21" t="n">
        <f aca="false">IF(COUNT(V$7,$C20)=2,EOMONTH(V$7,0)-$C20,"N/D")</f>
        <v>-15</v>
      </c>
      <c r="W93" s="21" t="n">
        <f aca="false">IF(COUNT(W$7,$C20)=2,EOMONTH(W$7,0)-$C20,"N/D")</f>
        <v>16</v>
      </c>
    </row>
    <row r="94" customFormat="false" ht="30" hidden="false" customHeight="true" outlineLevel="0" collapsed="false">
      <c r="C94" s="24" t="s">
        <v>148</v>
      </c>
      <c r="D94" s="24"/>
      <c r="E94" s="24"/>
      <c r="F94" s="24"/>
      <c r="G94" s="24"/>
      <c r="H94" s="24"/>
      <c r="I94" s="24"/>
      <c r="J94" s="24"/>
      <c r="K94" s="24"/>
      <c r="L94" s="3" t="s">
        <v>91</v>
      </c>
      <c r="M94" s="3" t="s">
        <v>92</v>
      </c>
      <c r="N94" s="3" t="s">
        <v>93</v>
      </c>
      <c r="O94" s="3" t="s">
        <v>94</v>
      </c>
      <c r="P94" s="3" t="s">
        <v>95</v>
      </c>
      <c r="Q94" s="3" t="s">
        <v>96</v>
      </c>
      <c r="R94" s="3" t="s">
        <v>97</v>
      </c>
      <c r="S94" s="3" t="s">
        <v>98</v>
      </c>
      <c r="T94" s="3" t="s">
        <v>99</v>
      </c>
      <c r="U94" s="3" t="s">
        <v>100</v>
      </c>
      <c r="V94" s="3" t="s">
        <v>101</v>
      </c>
      <c r="W94" s="3" t="s">
        <v>102</v>
      </c>
    </row>
    <row r="95" customFormat="false" ht="19.5" hidden="false" customHeight="true" outlineLevel="0" collapsed="false">
      <c r="C95" s="20" t="n">
        <f aca="false">C9</f>
        <v>46402</v>
      </c>
      <c r="L95" s="7" t="n">
        <f aca="false">IF(COUNT(L82,$G9:$K9,Supuestos!$D$45)=7,IF(0&gt;=Supuestos!$D$45,0,IF(L82&lt;0,0,IF(L82&lt;30,1+($G9-1)*L82/30,IF(L82&lt;60,$G9+($H9-$G9)*(L82-30)/30,IF(L82&lt;90,$H9+($I9-$H9)*(L82-60)/30,IF(L82&lt;180,$I9+($J9-$I9)*(L82-90)/90,IF(L82&lt;=365,$J9+($K9-$J9)*(L82-180)/185,$K9))))))),"N/D")</f>
        <v>0.973333333333333</v>
      </c>
      <c r="M95" s="7" t="n">
        <f aca="false">IF(COUNT(M82,$G9:$K9,Supuestos!$D$45)=7,IF(1&gt;=Supuestos!$D$45,0,IF(M82&lt;0,0,IF(M82&lt;30,1+($G9-1)*M82/30,IF(M82&lt;60,$G9+($H9-$G9)*(M82-30)/30,IF(M82&lt;90,$H9+($I9-$H9)*(M82-60)/30,IF(M82&lt;180,$I9+($J9-$I9)*(M82-90)/90,IF(M82&lt;=365,$J9+($K9-$J9)*(M82-180)/185,$K9))))))),"N/D")</f>
        <v>0.926666666666667</v>
      </c>
      <c r="N95" s="7" t="n">
        <f aca="false">IF(COUNT(N82,$G9:$K9,Supuestos!$D$45)=7,IF(2&gt;=Supuestos!$D$45,0,IF(N82&lt;0,0,IF(N82&lt;30,1+($G9-1)*N82/30,IF(N82&lt;60,$G9+($H9-$G9)*(N82-30)/30,IF(N82&lt;90,$H9+($I9-$H9)*(N82-60)/30,IF(N82&lt;180,$I9+($J9-$I9)*(N82-90)/90,IF(N82&lt;=365,$J9+($K9-$J9)*(N82-180)/185,$K9))))))),"N/D")</f>
        <v>0.875</v>
      </c>
      <c r="O95" s="7" t="n">
        <f aca="false">IF(COUNT(O82,$G9:$K9,Supuestos!$D$45)=7,IF(3&gt;=Supuestos!$D$45,0,IF(O82&lt;0,0,IF(O82&lt;30,1+($G9-1)*O82/30,IF(O82&lt;60,$G9+($H9-$G9)*(O82-30)/30,IF(O82&lt;90,$H9+($I9-$H9)*(O82-60)/30,IF(O82&lt;180,$I9+($J9-$I9)*(O82-90)/90,IF(O82&lt;=365,$J9+($K9-$J9)*(O82-180)/185,$K9))))))),"N/D")</f>
        <v>0.841666666666667</v>
      </c>
      <c r="P95" s="7" t="n">
        <f aca="false">IF(COUNT(P82,$G9:$K9,Supuestos!$D$45)=7,IF(4&gt;=Supuestos!$D$45,0,IF(P82&lt;0,0,IF(P82&lt;30,1+($G9-1)*P82/30,IF(P82&lt;60,$G9+($H9-$G9)*(P82-30)/30,IF(P82&lt;90,$H9+($I9-$H9)*(P82-60)/30,IF(P82&lt;180,$I9+($J9-$I9)*(P82-90)/90,IF(P82&lt;=365,$J9+($K9-$J9)*(P82-180)/185,$K9))))))),"N/D")</f>
        <v>0.824444444444444</v>
      </c>
      <c r="Q95" s="7" t="n">
        <f aca="false">IF(COUNT(Q82,$G9:$K9,Supuestos!$D$45)=7,IF(5&gt;=Supuestos!$D$45,0,IF(Q82&lt;0,0,IF(Q82&lt;30,1+($G9-1)*Q82/30,IF(Q82&lt;60,$G9+($H9-$G9)*(Q82-30)/30,IF(Q82&lt;90,$H9+($I9-$H9)*(Q82-60)/30,IF(Q82&lt;180,$I9+($J9-$I9)*(Q82-90)/90,IF(Q82&lt;=365,$J9+($K9-$J9)*(Q82-180)/185,$K9))))))),"N/D")</f>
        <v>0.807777777777778</v>
      </c>
      <c r="R95" s="7" t="n">
        <f aca="false">IF(COUNT(R82,$G9:$K9,Supuestos!$D$45)=7,IF(6&gt;=Supuestos!$D$45,0,IF(R82&lt;0,0,IF(R82&lt;30,1+($G9-1)*R82/30,IF(R82&lt;60,$G9+($H9-$G9)*(R82-30)/30,IF(R82&lt;90,$H9+($I9-$H9)*(R82-60)/30,IF(R82&lt;180,$I9+($J9-$I9)*(R82-90)/90,IF(R82&lt;=365,$J9+($K9-$J9)*(R82-180)/185,$K9))))))),"N/D")</f>
        <v>0.795405405405406</v>
      </c>
      <c r="S95" s="7" t="n">
        <f aca="false">IF(COUNT(S82,$G9:$K9,Supuestos!$D$45)=7,IF(7&gt;=Supuestos!$D$45,0,IF(S82&lt;0,0,IF(S82&lt;30,1+($G9-1)*S82/30,IF(S82&lt;60,$G9+($H9-$G9)*(S82-30)/30,IF(S82&lt;90,$H9+($I9-$H9)*(S82-60)/30,IF(S82&lt;180,$I9+($J9-$I9)*(S82-90)/90,IF(S82&lt;=365,$J9+($K9-$J9)*(S82-180)/185,$K9))))))),"N/D")</f>
        <v>0.787027027027027</v>
      </c>
      <c r="T95" s="7" t="n">
        <f aca="false">IF(COUNT(T82,$G9:$K9,Supuestos!$D$45)=7,IF(8&gt;=Supuestos!$D$45,0,IF(T82&lt;0,0,IF(T82&lt;30,1+($G9-1)*T82/30,IF(T82&lt;60,$G9+($H9-$G9)*(T82-30)/30,IF(T82&lt;90,$H9+($I9-$H9)*(T82-60)/30,IF(T82&lt;180,$I9+($J9-$I9)*(T82-90)/90,IF(T82&lt;=365,$J9+($K9-$J9)*(T82-180)/185,$K9))))))),"N/D")</f>
        <v>0.778918918918919</v>
      </c>
      <c r="U95" s="7" t="n">
        <f aca="false">IF(COUNT(U82,$G9:$K9,Supuestos!$D$45)=7,IF(9&gt;=Supuestos!$D$45,0,IF(U82&lt;0,0,IF(U82&lt;30,1+($G9-1)*U82/30,IF(U82&lt;60,$G9+($H9-$G9)*(U82-30)/30,IF(U82&lt;90,$H9+($I9-$H9)*(U82-60)/30,IF(U82&lt;180,$I9+($J9-$I9)*(U82-90)/90,IF(U82&lt;=365,$J9+($K9-$J9)*(U82-180)/185,$K9))))))),"N/D")</f>
        <v>0.770540540540541</v>
      </c>
      <c r="V95" s="7" t="n">
        <f aca="false">IF(COUNT(V82,$G9:$K9,Supuestos!$D$45)=7,IF(10&gt;=Supuestos!$D$45,0,IF(V82&lt;0,0,IF(V82&lt;30,1+($G9-1)*V82/30,IF(V82&lt;60,$G9+($H9-$G9)*(V82-30)/30,IF(V82&lt;90,$H9+($I9-$H9)*(V82-60)/30,IF(V82&lt;180,$I9+($J9-$I9)*(V82-90)/90,IF(V82&lt;=365,$J9+($K9-$J9)*(V82-180)/185,$K9))))))),"N/D")</f>
        <v>0.762432432432432</v>
      </c>
      <c r="W95" s="7" t="n">
        <f aca="false">IF(COUNT(W82,$G9:$K9,Supuestos!$D$45)=7,IF(11&gt;=Supuestos!$D$45,0,IF(W82&lt;0,0,IF(W82&lt;30,1+($G9-1)*W82/30,IF(W82&lt;60,$G9+($H9-$G9)*(W82-30)/30,IF(W82&lt;90,$H9+($I9-$H9)*(W82-60)/30,IF(W82&lt;180,$I9+($J9-$I9)*(W82-90)/90,IF(W82&lt;=365,$J9+($K9-$J9)*(W82-180)/185,$K9))))))),"N/D")</f>
        <v>0.754054054054054</v>
      </c>
    </row>
    <row r="96" customFormat="false" ht="19.5" hidden="false" customHeight="true" outlineLevel="0" collapsed="false">
      <c r="C96" s="20" t="n">
        <f aca="false">C10</f>
        <v>46433</v>
      </c>
      <c r="L96" s="7" t="n">
        <f aca="false">IF(COUNT(L83,$G10:$K10,Supuestos!$D$45)=7,IF(0&gt;=Supuestos!$D$45,0,IF(L83&lt;0,0,IF(L83&lt;30,1+($G10-1)*L83/30,IF(L83&lt;60,$G10+($H10-$G10)*(L83-30)/30,IF(L83&lt;90,$H10+($I10-$H10)*(L83-60)/30,IF(L83&lt;180,$I10+($J10-$I10)*(L83-90)/90,IF(L83&lt;=365,$J10+($K10-$J10)*(L83-180)/185,$K10))))))),"N/D")</f>
        <v>0</v>
      </c>
      <c r="M96" s="7" t="n">
        <f aca="false">IF(COUNT(M83,$G10:$K10,Supuestos!$D$45)=7,IF(1&gt;=Supuestos!$D$45,0,IF(M83&lt;0,0,IF(M83&lt;30,1+($G10-1)*M83/30,IF(M83&lt;60,$G10+($H10-$G10)*(M83-30)/30,IF(M83&lt;90,$H10+($I10-$H10)*(M83-60)/30,IF(M83&lt;180,$I10+($J10-$I10)*(M83-90)/90,IF(M83&lt;=365,$J10+($K10-$J10)*(M83-180)/185,$K10))))))),"N/D")</f>
        <v>0.978333333333333</v>
      </c>
      <c r="N96" s="7" t="n">
        <f aca="false">IF(COUNT(N83,$G10:$K10,Supuestos!$D$45)=7,IF(2&gt;=Supuestos!$D$45,0,IF(N83&lt;0,0,IF(N83&lt;30,1+($G10-1)*N83/30,IF(N83&lt;60,$G10+($H10-$G10)*(N83-30)/30,IF(N83&lt;90,$H10+($I10-$H10)*(N83-60)/30,IF(N83&lt;180,$I10+($J10-$I10)*(N83-90)/90,IF(N83&lt;=365,$J10+($K10-$J10)*(N83-180)/185,$K10))))))),"N/D")</f>
        <v>0.926666666666667</v>
      </c>
      <c r="O96" s="7" t="n">
        <f aca="false">IF(COUNT(O83,$G10:$K10,Supuestos!$D$45)=7,IF(3&gt;=Supuestos!$D$45,0,IF(O83&lt;0,0,IF(O83&lt;30,1+($G10-1)*O83/30,IF(O83&lt;60,$G10+($H10-$G10)*(O83-30)/30,IF(O83&lt;90,$H10+($I10-$H10)*(O83-60)/30,IF(O83&lt;180,$I10+($J10-$I10)*(O83-90)/90,IF(O83&lt;=365,$J10+($K10-$J10)*(O83-180)/185,$K10))))))),"N/D")</f>
        <v>0.876666666666667</v>
      </c>
      <c r="P96" s="7" t="n">
        <f aca="false">IF(COUNT(P83,$G10:$K10,Supuestos!$D$45)=7,IF(4&gt;=Supuestos!$D$45,0,IF(P83&lt;0,0,IF(P83&lt;30,1+($G10-1)*P83/30,IF(P83&lt;60,$G10+($H10-$G10)*(P83-30)/30,IF(P83&lt;90,$H10+($I10-$H10)*(P83-60)/30,IF(P83&lt;180,$I10+($J10-$I10)*(P83-90)/90,IF(P83&lt;=365,$J10+($K10-$J10)*(P83-180)/185,$K10))))))),"N/D")</f>
        <v>0.841666666666667</v>
      </c>
      <c r="Q96" s="7" t="n">
        <f aca="false">IF(COUNT(Q83,$G10:$K10,Supuestos!$D$45)=7,IF(5&gt;=Supuestos!$D$45,0,IF(Q83&lt;0,0,IF(Q83&lt;30,1+($G10-1)*Q83/30,IF(Q83&lt;60,$G10+($H10-$G10)*(Q83-30)/30,IF(Q83&lt;90,$H10+($I10-$H10)*(Q83-60)/30,IF(Q83&lt;180,$I10+($J10-$I10)*(Q83-90)/90,IF(Q83&lt;=365,$J10+($K10-$J10)*(Q83-180)/185,$K10))))))),"N/D")</f>
        <v>0.825</v>
      </c>
      <c r="R96" s="7" t="n">
        <f aca="false">IF(COUNT(R83,$G10:$K10,Supuestos!$D$45)=7,IF(6&gt;=Supuestos!$D$45,0,IF(R83&lt;0,0,IF(R83&lt;30,1+($G10-1)*R83/30,IF(R83&lt;60,$G10+($H10-$G10)*(R83-30)/30,IF(R83&lt;90,$H10+($I10-$H10)*(R83-60)/30,IF(R83&lt;180,$I10+($J10-$I10)*(R83-90)/90,IF(R83&lt;=365,$J10+($K10-$J10)*(R83-180)/185,$K10))))))),"N/D")</f>
        <v>0.807777777777778</v>
      </c>
      <c r="S96" s="7" t="n">
        <f aca="false">IF(COUNT(S83,$G10:$K10,Supuestos!$D$45)=7,IF(7&gt;=Supuestos!$D$45,0,IF(S83&lt;0,0,IF(S83&lt;30,1+($G10-1)*S83/30,IF(S83&lt;60,$G10+($H10-$G10)*(S83-30)/30,IF(S83&lt;90,$H10+($I10-$H10)*(S83-60)/30,IF(S83&lt;180,$I10+($J10-$I10)*(S83-90)/90,IF(S83&lt;=365,$J10+($K10-$J10)*(S83-180)/185,$K10))))))),"N/D")</f>
        <v>0.795405405405406</v>
      </c>
      <c r="T96" s="7" t="n">
        <f aca="false">IF(COUNT(T83,$G10:$K10,Supuestos!$D$45)=7,IF(8&gt;=Supuestos!$D$45,0,IF(T83&lt;0,0,IF(T83&lt;30,1+($G10-1)*T83/30,IF(T83&lt;60,$G10+($H10-$G10)*(T83-30)/30,IF(T83&lt;90,$H10+($I10-$H10)*(T83-60)/30,IF(T83&lt;180,$I10+($J10-$I10)*(T83-90)/90,IF(T83&lt;=365,$J10+($K10-$J10)*(T83-180)/185,$K10))))))),"N/D")</f>
        <v>0.787297297297297</v>
      </c>
      <c r="U96" s="7" t="n">
        <f aca="false">IF(COUNT(U83,$G10:$K10,Supuestos!$D$45)=7,IF(9&gt;=Supuestos!$D$45,0,IF(U83&lt;0,0,IF(U83&lt;30,1+($G10-1)*U83/30,IF(U83&lt;60,$G10+($H10-$G10)*(U83-30)/30,IF(U83&lt;90,$H10+($I10-$H10)*(U83-60)/30,IF(U83&lt;180,$I10+($J10-$I10)*(U83-90)/90,IF(U83&lt;=365,$J10+($K10-$J10)*(U83-180)/185,$K10))))))),"N/D")</f>
        <v>0.778918918918919</v>
      </c>
      <c r="V96" s="7" t="n">
        <f aca="false">IF(COUNT(V83,$G10:$K10,Supuestos!$D$45)=7,IF(10&gt;=Supuestos!$D$45,0,IF(V83&lt;0,0,IF(V83&lt;30,1+($G10-1)*V83/30,IF(V83&lt;60,$G10+($H10-$G10)*(V83-30)/30,IF(V83&lt;90,$H10+($I10-$H10)*(V83-60)/30,IF(V83&lt;180,$I10+($J10-$I10)*(V83-90)/90,IF(V83&lt;=365,$J10+($K10-$J10)*(V83-180)/185,$K10))))))),"N/D")</f>
        <v>0.770810810810811</v>
      </c>
      <c r="W96" s="7" t="n">
        <f aca="false">IF(COUNT(W83,$G10:$K10,Supuestos!$D$45)=7,IF(11&gt;=Supuestos!$D$45,0,IF(W83&lt;0,0,IF(W83&lt;30,1+($G10-1)*W83/30,IF(W83&lt;60,$G10+($H10-$G10)*(W83-30)/30,IF(W83&lt;90,$H10+($I10-$H10)*(W83-60)/30,IF(W83&lt;180,$I10+($J10-$I10)*(W83-90)/90,IF(W83&lt;=365,$J10+($K10-$J10)*(W83-180)/185,$K10))))))),"N/D")</f>
        <v>0.762432432432432</v>
      </c>
    </row>
    <row r="97" customFormat="false" ht="19.5" hidden="false" customHeight="true" outlineLevel="0" collapsed="false">
      <c r="C97" s="20" t="n">
        <f aca="false">C11</f>
        <v>46461</v>
      </c>
      <c r="L97" s="7" t="n">
        <f aca="false">IF(COUNT(L84,$G11:$K11,Supuestos!$D$45)=7,IF(0&gt;=Supuestos!$D$45,0,IF(L84&lt;0,0,IF(L84&lt;30,1+($G11-1)*L84/30,IF(L84&lt;60,$G11+($H11-$G11)*(L84-30)/30,IF(L84&lt;90,$H11+($I11-$H11)*(L84-60)/30,IF(L84&lt;180,$I11+($J11-$I11)*(L84-90)/90,IF(L84&lt;=365,$J11+($K11-$J11)*(L84-180)/185,$K11))))))),"N/D")</f>
        <v>0</v>
      </c>
      <c r="M97" s="7" t="n">
        <f aca="false">IF(COUNT(M84,$G11:$K11,Supuestos!$D$45)=7,IF(1&gt;=Supuestos!$D$45,0,IF(M84&lt;0,0,IF(M84&lt;30,1+($G11-1)*M84/30,IF(M84&lt;60,$G11+($H11-$G11)*(M84-30)/30,IF(M84&lt;90,$H11+($I11-$H11)*(M84-60)/30,IF(M84&lt;180,$I11+($J11-$I11)*(M84-90)/90,IF(M84&lt;=365,$J11+($K11-$J11)*(M84-180)/185,$K11))))))),"N/D")</f>
        <v>0</v>
      </c>
      <c r="N97" s="7" t="n">
        <f aca="false">IF(COUNT(N84,$G11:$K11,Supuestos!$D$45)=7,IF(2&gt;=Supuestos!$D$45,0,IF(N84&lt;0,0,IF(N84&lt;30,1+($G11-1)*N84/30,IF(N84&lt;60,$G11+($H11-$G11)*(N84-30)/30,IF(N84&lt;90,$H11+($I11-$H11)*(N84-60)/30,IF(N84&lt;180,$I11+($J11-$I11)*(N84-90)/90,IF(N84&lt;=365,$J11+($K11-$J11)*(N84-180)/185,$K11))))))),"N/D")</f>
        <v>0.973333333333333</v>
      </c>
      <c r="O97" s="7" t="n">
        <f aca="false">IF(COUNT(O84,$G11:$K11,Supuestos!$D$45)=7,IF(3&gt;=Supuestos!$D$45,0,IF(O84&lt;0,0,IF(O84&lt;30,1+($G11-1)*O84/30,IF(O84&lt;60,$G11+($H11-$G11)*(O84-30)/30,IF(O84&lt;90,$H11+($I11-$H11)*(O84-60)/30,IF(O84&lt;180,$I11+($J11-$I11)*(O84-90)/90,IF(O84&lt;=365,$J11+($K11-$J11)*(O84-180)/185,$K11))))))),"N/D")</f>
        <v>0.923333333333333</v>
      </c>
      <c r="P97" s="7" t="n">
        <f aca="false">IF(COUNT(P84,$G11:$K11,Supuestos!$D$45)=7,IF(4&gt;=Supuestos!$D$45,0,IF(P84&lt;0,0,IF(P84&lt;30,1+($G11-1)*P84/30,IF(P84&lt;60,$G11+($H11-$G11)*(P84-30)/30,IF(P84&lt;90,$H11+($I11-$H11)*(P84-60)/30,IF(P84&lt;180,$I11+($J11-$I11)*(P84-90)/90,IF(P84&lt;=365,$J11+($K11-$J11)*(P84-180)/185,$K11))))))),"N/D")</f>
        <v>0.871666666666667</v>
      </c>
      <c r="Q97" s="7" t="n">
        <f aca="false">IF(COUNT(Q84,$G11:$K11,Supuestos!$D$45)=7,IF(5&gt;=Supuestos!$D$45,0,IF(Q84&lt;0,0,IF(Q84&lt;30,1+($G11-1)*Q84/30,IF(Q84&lt;60,$G11+($H11-$G11)*(Q84-30)/30,IF(Q84&lt;90,$H11+($I11-$H11)*(Q84-60)/30,IF(Q84&lt;180,$I11+($J11-$I11)*(Q84-90)/90,IF(Q84&lt;=365,$J11+($K11-$J11)*(Q84-180)/185,$K11))))))),"N/D")</f>
        <v>0.840555555555556</v>
      </c>
      <c r="R97" s="7" t="n">
        <f aca="false">IF(COUNT(R84,$G11:$K11,Supuestos!$D$45)=7,IF(6&gt;=Supuestos!$D$45,0,IF(R84&lt;0,0,IF(R84&lt;30,1+($G11-1)*R84/30,IF(R84&lt;60,$G11+($H11-$G11)*(R84-30)/30,IF(R84&lt;90,$H11+($I11-$H11)*(R84-60)/30,IF(R84&lt;180,$I11+($J11-$I11)*(R84-90)/90,IF(R84&lt;=365,$J11+($K11-$J11)*(R84-180)/185,$K11))))))),"N/D")</f>
        <v>0.823333333333333</v>
      </c>
      <c r="S97" s="7" t="n">
        <f aca="false">IF(COUNT(S84,$G11:$K11,Supuestos!$D$45)=7,IF(7&gt;=Supuestos!$D$45,0,IF(S84&lt;0,0,IF(S84&lt;30,1+($G11-1)*S84/30,IF(S84&lt;60,$G11+($H11-$G11)*(S84-30)/30,IF(S84&lt;90,$H11+($I11-$H11)*(S84-60)/30,IF(S84&lt;180,$I11+($J11-$I11)*(S84-90)/90,IF(S84&lt;=365,$J11+($K11-$J11)*(S84-180)/185,$K11))))))),"N/D")</f>
        <v>0.806111111111111</v>
      </c>
      <c r="T97" s="7" t="n">
        <f aca="false">IF(COUNT(T84,$G11:$K11,Supuestos!$D$45)=7,IF(8&gt;=Supuestos!$D$45,0,IF(T84&lt;0,0,IF(T84&lt;30,1+($G11-1)*T84/30,IF(T84&lt;60,$G11+($H11-$G11)*(T84-30)/30,IF(T84&lt;90,$H11+($I11-$H11)*(T84-60)/30,IF(T84&lt;180,$I11+($J11-$I11)*(T84-90)/90,IF(T84&lt;=365,$J11+($K11-$J11)*(T84-180)/185,$K11))))))),"N/D")</f>
        <v>0.794864864864865</v>
      </c>
      <c r="U97" s="7" t="n">
        <f aca="false">IF(COUNT(U84,$G11:$K11,Supuestos!$D$45)=7,IF(9&gt;=Supuestos!$D$45,0,IF(U84&lt;0,0,IF(U84&lt;30,1+($G11-1)*U84/30,IF(U84&lt;60,$G11+($H11-$G11)*(U84-30)/30,IF(U84&lt;90,$H11+($I11-$H11)*(U84-60)/30,IF(U84&lt;180,$I11+($J11-$I11)*(U84-90)/90,IF(U84&lt;=365,$J11+($K11-$J11)*(U84-180)/185,$K11))))))),"N/D")</f>
        <v>0.786486486486487</v>
      </c>
      <c r="V97" s="7" t="n">
        <f aca="false">IF(COUNT(V84,$G11:$K11,Supuestos!$D$45)=7,IF(10&gt;=Supuestos!$D$45,0,IF(V84&lt;0,0,IF(V84&lt;30,1+($G11-1)*V84/30,IF(V84&lt;60,$G11+($H11-$G11)*(V84-30)/30,IF(V84&lt;90,$H11+($I11-$H11)*(V84-60)/30,IF(V84&lt;180,$I11+($J11-$I11)*(V84-90)/90,IF(V84&lt;=365,$J11+($K11-$J11)*(V84-180)/185,$K11))))))),"N/D")</f>
        <v>0.778378378378378</v>
      </c>
      <c r="W97" s="7" t="n">
        <f aca="false">IF(COUNT(W84,$G11:$K11,Supuestos!$D$45)=7,IF(11&gt;=Supuestos!$D$45,0,IF(W84&lt;0,0,IF(W84&lt;30,1+($G11-1)*W84/30,IF(W84&lt;60,$G11+($H11-$G11)*(W84-30)/30,IF(W84&lt;90,$H11+($I11-$H11)*(W84-60)/30,IF(W84&lt;180,$I11+($J11-$I11)*(W84-90)/90,IF(W84&lt;=365,$J11+($K11-$J11)*(W84-180)/185,$K11))))))),"N/D")</f>
        <v>0.77</v>
      </c>
    </row>
    <row r="98" customFormat="false" ht="19.5" hidden="false" customHeight="true" outlineLevel="0" collapsed="false">
      <c r="C98" s="20" t="n">
        <f aca="false">C12</f>
        <v>46492</v>
      </c>
      <c r="L98" s="7" t="n">
        <f aca="false">IF(COUNT(L85,$G12:$K12,Supuestos!$D$45)=7,IF(0&gt;=Supuestos!$D$45,0,IF(L85&lt;0,0,IF(L85&lt;30,1+($G12-1)*L85/30,IF(L85&lt;60,$G12+($H12-$G12)*(L85-30)/30,IF(L85&lt;90,$H12+($I12-$H12)*(L85-60)/30,IF(L85&lt;180,$I12+($J12-$I12)*(L85-90)/90,IF(L85&lt;=365,$J12+($K12-$J12)*(L85-180)/185,$K12))))))),"N/D")</f>
        <v>0</v>
      </c>
      <c r="M98" s="7" t="n">
        <f aca="false">IF(COUNT(M85,$G12:$K12,Supuestos!$D$45)=7,IF(1&gt;=Supuestos!$D$45,0,IF(M85&lt;0,0,IF(M85&lt;30,1+($G12-1)*M85/30,IF(M85&lt;60,$G12+($H12-$G12)*(M85-30)/30,IF(M85&lt;90,$H12+($I12-$H12)*(M85-60)/30,IF(M85&lt;180,$I12+($J12-$I12)*(M85-90)/90,IF(M85&lt;=365,$J12+($K12-$J12)*(M85-180)/185,$K12))))))),"N/D")</f>
        <v>0</v>
      </c>
      <c r="N98" s="7" t="n">
        <f aca="false">IF(COUNT(N85,$G12:$K12,Supuestos!$D$45)=7,IF(2&gt;=Supuestos!$D$45,0,IF(N85&lt;0,0,IF(N85&lt;30,1+($G12-1)*N85/30,IF(N85&lt;60,$G12+($H12-$G12)*(N85-30)/30,IF(N85&lt;90,$H12+($I12-$H12)*(N85-60)/30,IF(N85&lt;180,$I12+($J12-$I12)*(N85-90)/90,IF(N85&lt;=365,$J12+($K12-$J12)*(N85-180)/185,$K12))))))),"N/D")</f>
        <v>0</v>
      </c>
      <c r="O98" s="7" t="n">
        <f aca="false">IF(COUNT(O85,$G12:$K12,Supuestos!$D$45)=7,IF(3&gt;=Supuestos!$D$45,0,IF(O85&lt;0,0,IF(O85&lt;30,1+($G12-1)*O85/30,IF(O85&lt;60,$G12+($H12-$G12)*(O85-30)/30,IF(O85&lt;90,$H12+($I12-$H12)*(O85-60)/30,IF(O85&lt;180,$I12+($J12-$I12)*(O85-90)/90,IF(O85&lt;=365,$J12+($K12-$J12)*(O85-180)/185,$K12))))))),"N/D")</f>
        <v>0.975</v>
      </c>
      <c r="P98" s="7" t="n">
        <f aca="false">IF(COUNT(P85,$G12:$K12,Supuestos!$D$45)=7,IF(4&gt;=Supuestos!$D$45,0,IF(P85&lt;0,0,IF(P85&lt;30,1+($G12-1)*P85/30,IF(P85&lt;60,$G12+($H12-$G12)*(P85-30)/30,IF(P85&lt;90,$H12+($I12-$H12)*(P85-60)/30,IF(P85&lt;180,$I12+($J12-$I12)*(P85-90)/90,IF(P85&lt;=365,$J12+($K12-$J12)*(P85-180)/185,$K12))))))),"N/D")</f>
        <v>0.923333333333333</v>
      </c>
      <c r="Q98" s="7" t="n">
        <f aca="false">IF(COUNT(Q85,$G12:$K12,Supuestos!$D$45)=7,IF(5&gt;=Supuestos!$D$45,0,IF(Q85&lt;0,0,IF(Q85&lt;30,1+($G12-1)*Q85/30,IF(Q85&lt;60,$G12+($H12-$G12)*(Q85-30)/30,IF(Q85&lt;90,$H12+($I12-$H12)*(Q85-60)/30,IF(Q85&lt;180,$I12+($J12-$I12)*(Q85-90)/90,IF(Q85&lt;=365,$J12+($K12-$J12)*(Q85-180)/185,$K12))))))),"N/D")</f>
        <v>0.873333333333333</v>
      </c>
      <c r="R98" s="7" t="n">
        <f aca="false">IF(COUNT(R85,$G12:$K12,Supuestos!$D$45)=7,IF(6&gt;=Supuestos!$D$45,0,IF(R85&lt;0,0,IF(R85&lt;30,1+($G12-1)*R85/30,IF(R85&lt;60,$G12+($H12-$G12)*(R85-30)/30,IF(R85&lt;90,$H12+($I12-$H12)*(R85-60)/30,IF(R85&lt;180,$I12+($J12-$I12)*(R85-90)/90,IF(R85&lt;=365,$J12+($K12-$J12)*(R85-180)/185,$K12))))))),"N/D")</f>
        <v>0.840555555555556</v>
      </c>
      <c r="S98" s="7" t="n">
        <f aca="false">IF(COUNT(S85,$G12:$K12,Supuestos!$D$45)=7,IF(7&gt;=Supuestos!$D$45,0,IF(S85&lt;0,0,IF(S85&lt;30,1+($G12-1)*S85/30,IF(S85&lt;60,$G12+($H12-$G12)*(S85-30)/30,IF(S85&lt;90,$H12+($I12-$H12)*(S85-60)/30,IF(S85&lt;180,$I12+($J12-$I12)*(S85-90)/90,IF(S85&lt;=365,$J12+($K12-$J12)*(S85-180)/185,$K12))))))),"N/D")</f>
        <v>0.823333333333333</v>
      </c>
      <c r="T98" s="7" t="n">
        <f aca="false">IF(COUNT(T85,$G12:$K12,Supuestos!$D$45)=7,IF(8&gt;=Supuestos!$D$45,0,IF(T85&lt;0,0,IF(T85&lt;30,1+($G12-1)*T85/30,IF(T85&lt;60,$G12+($H12-$G12)*(T85-30)/30,IF(T85&lt;90,$H12+($I12-$H12)*(T85-60)/30,IF(T85&lt;180,$I12+($J12-$I12)*(T85-90)/90,IF(T85&lt;=365,$J12+($K12-$J12)*(T85-180)/185,$K12))))))),"N/D")</f>
        <v>0.806666666666667</v>
      </c>
      <c r="U98" s="7" t="n">
        <f aca="false">IF(COUNT(U85,$G12:$K12,Supuestos!$D$45)=7,IF(9&gt;=Supuestos!$D$45,0,IF(U85&lt;0,0,IF(U85&lt;30,1+($G12-1)*U85/30,IF(U85&lt;60,$G12+($H12-$G12)*(U85-30)/30,IF(U85&lt;90,$H12+($I12-$H12)*(U85-60)/30,IF(U85&lt;180,$I12+($J12-$I12)*(U85-90)/90,IF(U85&lt;=365,$J12+($K12-$J12)*(U85-180)/185,$K12))))))),"N/D")</f>
        <v>0.794864864864865</v>
      </c>
      <c r="V98" s="7" t="n">
        <f aca="false">IF(COUNT(V85,$G12:$K12,Supuestos!$D$45)=7,IF(10&gt;=Supuestos!$D$45,0,IF(V85&lt;0,0,IF(V85&lt;30,1+($G12-1)*V85/30,IF(V85&lt;60,$G12+($H12-$G12)*(V85-30)/30,IF(V85&lt;90,$H12+($I12-$H12)*(V85-60)/30,IF(V85&lt;180,$I12+($J12-$I12)*(V85-90)/90,IF(V85&lt;=365,$J12+($K12-$J12)*(V85-180)/185,$K12))))))),"N/D")</f>
        <v>0.786756756756757</v>
      </c>
      <c r="W98" s="7" t="n">
        <f aca="false">IF(COUNT(W85,$G12:$K12,Supuestos!$D$45)=7,IF(11&gt;=Supuestos!$D$45,0,IF(W85&lt;0,0,IF(W85&lt;30,1+($G12-1)*W85/30,IF(W85&lt;60,$G12+($H12-$G12)*(W85-30)/30,IF(W85&lt;90,$H12+($I12-$H12)*(W85-60)/30,IF(W85&lt;180,$I12+($J12-$I12)*(W85-90)/90,IF(W85&lt;=365,$J12+($K12-$J12)*(W85-180)/185,$K12))))))),"N/D")</f>
        <v>0.778378378378378</v>
      </c>
    </row>
    <row r="99" customFormat="false" ht="19.5" hidden="false" customHeight="true" outlineLevel="0" collapsed="false">
      <c r="C99" s="20" t="n">
        <f aca="false">C13</f>
        <v>46522</v>
      </c>
      <c r="L99" s="7" t="n">
        <f aca="false">IF(COUNT(L86,$G13:$K13,Supuestos!$D$45)=7,IF(0&gt;=Supuestos!$D$45,0,IF(L86&lt;0,0,IF(L86&lt;30,1+($G13-1)*L86/30,IF(L86&lt;60,$G13+($H13-$G13)*(L86-30)/30,IF(L86&lt;90,$H13+($I13-$H13)*(L86-60)/30,IF(L86&lt;180,$I13+($J13-$I13)*(L86-90)/90,IF(L86&lt;=365,$J13+($K13-$J13)*(L86-180)/185,$K13))))))),"N/D")</f>
        <v>0</v>
      </c>
      <c r="M99" s="7" t="n">
        <f aca="false">IF(COUNT(M86,$G13:$K13,Supuestos!$D$45)=7,IF(1&gt;=Supuestos!$D$45,0,IF(M86&lt;0,0,IF(M86&lt;30,1+($G13-1)*M86/30,IF(M86&lt;60,$G13+($H13-$G13)*(M86-30)/30,IF(M86&lt;90,$H13+($I13-$H13)*(M86-60)/30,IF(M86&lt;180,$I13+($J13-$I13)*(M86-90)/90,IF(M86&lt;=365,$J13+($K13-$J13)*(M86-180)/185,$K13))))))),"N/D")</f>
        <v>0</v>
      </c>
      <c r="N99" s="7" t="n">
        <f aca="false">IF(COUNT(N86,$G13:$K13,Supuestos!$D$45)=7,IF(2&gt;=Supuestos!$D$45,0,IF(N86&lt;0,0,IF(N86&lt;30,1+($G13-1)*N86/30,IF(N86&lt;60,$G13+($H13-$G13)*(N86-30)/30,IF(N86&lt;90,$H13+($I13-$H13)*(N86-60)/30,IF(N86&lt;180,$I13+($J13-$I13)*(N86-90)/90,IF(N86&lt;=365,$J13+($K13-$J13)*(N86-180)/185,$K13))))))),"N/D")</f>
        <v>0</v>
      </c>
      <c r="O99" s="7" t="n">
        <f aca="false">IF(COUNT(O86,$G13:$K13,Supuestos!$D$45)=7,IF(3&gt;=Supuestos!$D$45,0,IF(O86&lt;0,0,IF(O86&lt;30,1+($G13-1)*O86/30,IF(O86&lt;60,$G13+($H13-$G13)*(O86-30)/30,IF(O86&lt;90,$H13+($I13-$H13)*(O86-60)/30,IF(O86&lt;180,$I13+($J13-$I13)*(O86-90)/90,IF(O86&lt;=365,$J13+($K13-$J13)*(O86-180)/185,$K13))))))),"N/D")</f>
        <v>0</v>
      </c>
      <c r="P99" s="7" t="n">
        <f aca="false">IF(COUNT(P86,$G13:$K13,Supuestos!$D$45)=7,IF(4&gt;=Supuestos!$D$45,0,IF(P86&lt;0,0,IF(P86&lt;30,1+($G13-1)*P86/30,IF(P86&lt;60,$G13+($H13-$G13)*(P86-30)/30,IF(P86&lt;90,$H13+($I13-$H13)*(P86-60)/30,IF(P86&lt;180,$I13+($J13-$I13)*(P86-90)/90,IF(P86&lt;=365,$J13+($K13-$J13)*(P86-180)/185,$K13))))))),"N/D")</f>
        <v>0.973333333333333</v>
      </c>
      <c r="Q99" s="7" t="n">
        <f aca="false">IF(COUNT(Q86,$G13:$K13,Supuestos!$D$45)=7,IF(5&gt;=Supuestos!$D$45,0,IF(Q86&lt;0,0,IF(Q86&lt;30,1+($G13-1)*Q86/30,IF(Q86&lt;60,$G13+($H13-$G13)*(Q86-30)/30,IF(Q86&lt;90,$H13+($I13-$H13)*(Q86-60)/30,IF(Q86&lt;180,$I13+($J13-$I13)*(Q86-90)/90,IF(Q86&lt;=365,$J13+($K13-$J13)*(Q86-180)/185,$K13))))))),"N/D")</f>
        <v>0.923333333333333</v>
      </c>
      <c r="R99" s="7" t="n">
        <f aca="false">IF(COUNT(R86,$G13:$K13,Supuestos!$D$45)=7,IF(6&gt;=Supuestos!$D$45,0,IF(R86&lt;0,0,IF(R86&lt;30,1+($G13-1)*R86/30,IF(R86&lt;60,$G13+($H13-$G13)*(R86-30)/30,IF(R86&lt;90,$H13+($I13-$H13)*(R86-60)/30,IF(R86&lt;180,$I13+($J13-$I13)*(R86-90)/90,IF(R86&lt;=365,$J13+($K13-$J13)*(R86-180)/185,$K13))))))),"N/D")</f>
        <v>0.871666666666667</v>
      </c>
      <c r="S99" s="7" t="n">
        <f aca="false">IF(COUNT(S86,$G13:$K13,Supuestos!$D$45)=7,IF(7&gt;=Supuestos!$D$45,0,IF(S86&lt;0,0,IF(S86&lt;30,1+($G13-1)*S86/30,IF(S86&lt;60,$G13+($H13-$G13)*(S86-30)/30,IF(S86&lt;90,$H13+($I13-$H13)*(S86-60)/30,IF(S86&lt;180,$I13+($J13-$I13)*(S86-90)/90,IF(S86&lt;=365,$J13+($K13-$J13)*(S86-180)/185,$K13))))))),"N/D")</f>
        <v>0.84</v>
      </c>
      <c r="T99" s="7" t="n">
        <f aca="false">IF(COUNT(T86,$G13:$K13,Supuestos!$D$45)=7,IF(8&gt;=Supuestos!$D$45,0,IF(T86&lt;0,0,IF(T86&lt;30,1+($G13-1)*T86/30,IF(T86&lt;60,$G13+($H13-$G13)*(T86-30)/30,IF(T86&lt;90,$H13+($I13-$H13)*(T86-60)/30,IF(T86&lt;180,$I13+($J13-$I13)*(T86-90)/90,IF(T86&lt;=365,$J13+($K13-$J13)*(T86-180)/185,$K13))))))),"N/D")</f>
        <v>0.823333333333333</v>
      </c>
      <c r="U99" s="7" t="n">
        <f aca="false">IF(COUNT(U86,$G13:$K13,Supuestos!$D$45)=7,IF(9&gt;=Supuestos!$D$45,0,IF(U86&lt;0,0,IF(U86&lt;30,1+($G13-1)*U86/30,IF(U86&lt;60,$G13+($H13-$G13)*(U86-30)/30,IF(U86&lt;90,$H13+($I13-$H13)*(U86-60)/30,IF(U86&lt;180,$I13+($J13-$I13)*(U86-90)/90,IF(U86&lt;=365,$J13+($K13-$J13)*(U86-180)/185,$K13))))))),"N/D")</f>
        <v>0.806111111111111</v>
      </c>
      <c r="V99" s="7" t="n">
        <f aca="false">IF(COUNT(V86,$G13:$K13,Supuestos!$D$45)=7,IF(10&gt;=Supuestos!$D$45,0,IF(V86&lt;0,0,IF(V86&lt;30,1+($G13-1)*V86/30,IF(V86&lt;60,$G13+($H13-$G13)*(V86-30)/30,IF(V86&lt;90,$H13+($I13-$H13)*(V86-60)/30,IF(V86&lt;180,$I13+($J13-$I13)*(V86-90)/90,IF(V86&lt;=365,$J13+($K13-$J13)*(V86-180)/185,$K13))))))),"N/D")</f>
        <v>0.794864864864865</v>
      </c>
      <c r="W99" s="7" t="n">
        <f aca="false">IF(COUNT(W86,$G13:$K13,Supuestos!$D$45)=7,IF(11&gt;=Supuestos!$D$45,0,IF(W86&lt;0,0,IF(W86&lt;30,1+($G13-1)*W86/30,IF(W86&lt;60,$G13+($H13-$G13)*(W86-30)/30,IF(W86&lt;90,$H13+($I13-$H13)*(W86-60)/30,IF(W86&lt;180,$I13+($J13-$I13)*(W86-90)/90,IF(W86&lt;=365,$J13+($K13-$J13)*(W86-180)/185,$K13))))))),"N/D")</f>
        <v>0.786486486486487</v>
      </c>
    </row>
    <row r="100" customFormat="false" ht="19.5" hidden="false" customHeight="true" outlineLevel="0" collapsed="false">
      <c r="C100" s="20" t="n">
        <f aca="false">C14</f>
        <v>46553</v>
      </c>
      <c r="L100" s="7" t="n">
        <f aca="false">IF(COUNT(L87,$G14:$K14,Supuestos!$D$45)=7,IF(0&gt;=Supuestos!$D$45,0,IF(L87&lt;0,0,IF(L87&lt;30,1+($G14-1)*L87/30,IF(L87&lt;60,$G14+($H14-$G14)*(L87-30)/30,IF(L87&lt;90,$H14+($I14-$H14)*(L87-60)/30,IF(L87&lt;180,$I14+($J14-$I14)*(L87-90)/90,IF(L87&lt;=365,$J14+($K14-$J14)*(L87-180)/185,$K14))))))),"N/D")</f>
        <v>0</v>
      </c>
      <c r="M100" s="7" t="n">
        <f aca="false">IF(COUNT(M87,$G14:$K14,Supuestos!$D$45)=7,IF(1&gt;=Supuestos!$D$45,0,IF(M87&lt;0,0,IF(M87&lt;30,1+($G14-1)*M87/30,IF(M87&lt;60,$G14+($H14-$G14)*(M87-30)/30,IF(M87&lt;90,$H14+($I14-$H14)*(M87-60)/30,IF(M87&lt;180,$I14+($J14-$I14)*(M87-90)/90,IF(M87&lt;=365,$J14+($K14-$J14)*(M87-180)/185,$K14))))))),"N/D")</f>
        <v>0</v>
      </c>
      <c r="N100" s="7" t="n">
        <f aca="false">IF(COUNT(N87,$G14:$K14,Supuestos!$D$45)=7,IF(2&gt;=Supuestos!$D$45,0,IF(N87&lt;0,0,IF(N87&lt;30,1+($G14-1)*N87/30,IF(N87&lt;60,$G14+($H14-$G14)*(N87-30)/30,IF(N87&lt;90,$H14+($I14-$H14)*(N87-60)/30,IF(N87&lt;180,$I14+($J14-$I14)*(N87-90)/90,IF(N87&lt;=365,$J14+($K14-$J14)*(N87-180)/185,$K14))))))),"N/D")</f>
        <v>0</v>
      </c>
      <c r="O100" s="7" t="n">
        <f aca="false">IF(COUNT(O87,$G14:$K14,Supuestos!$D$45)=7,IF(3&gt;=Supuestos!$D$45,0,IF(O87&lt;0,0,IF(O87&lt;30,1+($G14-1)*O87/30,IF(O87&lt;60,$G14+($H14-$G14)*(O87-30)/30,IF(O87&lt;90,$H14+($I14-$H14)*(O87-60)/30,IF(O87&lt;180,$I14+($J14-$I14)*(O87-90)/90,IF(O87&lt;=365,$J14+($K14-$J14)*(O87-180)/185,$K14))))))),"N/D")</f>
        <v>0</v>
      </c>
      <c r="P100" s="7" t="n">
        <f aca="false">IF(COUNT(P87,$G14:$K14,Supuestos!$D$45)=7,IF(4&gt;=Supuestos!$D$45,0,IF(P87&lt;0,0,IF(P87&lt;30,1+($G14-1)*P87/30,IF(P87&lt;60,$G14+($H14-$G14)*(P87-30)/30,IF(P87&lt;90,$H14+($I14-$H14)*(P87-60)/30,IF(P87&lt;180,$I14+($J14-$I14)*(P87-90)/90,IF(P87&lt;=365,$J14+($K14-$J14)*(P87-180)/185,$K14))))))),"N/D")</f>
        <v>0</v>
      </c>
      <c r="Q100" s="7" t="n">
        <f aca="false">IF(COUNT(Q87,$G14:$K14,Supuestos!$D$45)=7,IF(5&gt;=Supuestos!$D$45,0,IF(Q87&lt;0,0,IF(Q87&lt;30,1+($G14-1)*Q87/30,IF(Q87&lt;60,$G14+($H14-$G14)*(Q87-30)/30,IF(Q87&lt;90,$H14+($I14-$H14)*(Q87-60)/30,IF(Q87&lt;180,$I14+($J14-$I14)*(Q87-90)/90,IF(Q87&lt;=365,$J14+($K14-$J14)*(Q87-180)/185,$K14))))))),"N/D")</f>
        <v>0.975</v>
      </c>
      <c r="R100" s="7" t="n">
        <f aca="false">IF(COUNT(R87,$G14:$K14,Supuestos!$D$45)=7,IF(6&gt;=Supuestos!$D$45,0,IF(R87&lt;0,0,IF(R87&lt;30,1+($G14-1)*R87/30,IF(R87&lt;60,$G14+($H14-$G14)*(R87-30)/30,IF(R87&lt;90,$H14+($I14-$H14)*(R87-60)/30,IF(R87&lt;180,$I14+($J14-$I14)*(R87-90)/90,IF(R87&lt;=365,$J14+($K14-$J14)*(R87-180)/185,$K14))))))),"N/D")</f>
        <v>0.923333333333333</v>
      </c>
      <c r="S100" s="7" t="n">
        <f aca="false">IF(COUNT(S87,$G14:$K14,Supuestos!$D$45)=7,IF(7&gt;=Supuestos!$D$45,0,IF(S87&lt;0,0,IF(S87&lt;30,1+($G14-1)*S87/30,IF(S87&lt;60,$G14+($H14-$G14)*(S87-30)/30,IF(S87&lt;90,$H14+($I14-$H14)*(S87-60)/30,IF(S87&lt;180,$I14+($J14-$I14)*(S87-90)/90,IF(S87&lt;=365,$J14+($K14-$J14)*(S87-180)/185,$K14))))))),"N/D")</f>
        <v>0.871666666666667</v>
      </c>
      <c r="T100" s="7" t="n">
        <f aca="false">IF(COUNT(T87,$G14:$K14,Supuestos!$D$45)=7,IF(8&gt;=Supuestos!$D$45,0,IF(T87&lt;0,0,IF(T87&lt;30,1+($G14-1)*T87/30,IF(T87&lt;60,$G14+($H14-$G14)*(T87-30)/30,IF(T87&lt;90,$H14+($I14-$H14)*(T87-60)/30,IF(T87&lt;180,$I14+($J14-$I14)*(T87-90)/90,IF(T87&lt;=365,$J14+($K14-$J14)*(T87-180)/185,$K14))))))),"N/D")</f>
        <v>0.840555555555556</v>
      </c>
      <c r="U100" s="7" t="n">
        <f aca="false">IF(COUNT(U87,$G14:$K14,Supuestos!$D$45)=7,IF(9&gt;=Supuestos!$D$45,0,IF(U87&lt;0,0,IF(U87&lt;30,1+($G14-1)*U87/30,IF(U87&lt;60,$G14+($H14-$G14)*(U87-30)/30,IF(U87&lt;90,$H14+($I14-$H14)*(U87-60)/30,IF(U87&lt;180,$I14+($J14-$I14)*(U87-90)/90,IF(U87&lt;=365,$J14+($K14-$J14)*(U87-180)/185,$K14))))))),"N/D")</f>
        <v>0.823333333333333</v>
      </c>
      <c r="V100" s="7" t="n">
        <f aca="false">IF(COUNT(V87,$G14:$K14,Supuestos!$D$45)=7,IF(10&gt;=Supuestos!$D$45,0,IF(V87&lt;0,0,IF(V87&lt;30,1+($G14-1)*V87/30,IF(V87&lt;60,$G14+($H14-$G14)*(V87-30)/30,IF(V87&lt;90,$H14+($I14-$H14)*(V87-60)/30,IF(V87&lt;180,$I14+($J14-$I14)*(V87-90)/90,IF(V87&lt;=365,$J14+($K14-$J14)*(V87-180)/185,$K14))))))),"N/D")</f>
        <v>0.806666666666667</v>
      </c>
      <c r="W100" s="7" t="n">
        <f aca="false">IF(COUNT(W87,$G14:$K14,Supuestos!$D$45)=7,IF(11&gt;=Supuestos!$D$45,0,IF(W87&lt;0,0,IF(W87&lt;30,1+($G14-1)*W87/30,IF(W87&lt;60,$G14+($H14-$G14)*(W87-30)/30,IF(W87&lt;90,$H14+($I14-$H14)*(W87-60)/30,IF(W87&lt;180,$I14+($J14-$I14)*(W87-90)/90,IF(W87&lt;=365,$J14+($K14-$J14)*(W87-180)/185,$K14))))))),"N/D")</f>
        <v>0.794864864864865</v>
      </c>
    </row>
    <row r="101" customFormat="false" ht="19.5" hidden="false" customHeight="true" outlineLevel="0" collapsed="false">
      <c r="C101" s="20" t="n">
        <f aca="false">C15</f>
        <v>46583</v>
      </c>
      <c r="L101" s="7" t="n">
        <f aca="false">IF(COUNT(L88,$G15:$K15,Supuestos!$D$45)=7,IF(0&gt;=Supuestos!$D$45,0,IF(L88&lt;0,0,IF(L88&lt;30,1+($G15-1)*L88/30,IF(L88&lt;60,$G15+($H15-$G15)*(L88-30)/30,IF(L88&lt;90,$H15+($I15-$H15)*(L88-60)/30,IF(L88&lt;180,$I15+($J15-$I15)*(L88-90)/90,IF(L88&lt;=365,$J15+($K15-$J15)*(L88-180)/185,$K15))))))),"N/D")</f>
        <v>0</v>
      </c>
      <c r="M101" s="7" t="n">
        <f aca="false">IF(COUNT(M88,$G15:$K15,Supuestos!$D$45)=7,IF(1&gt;=Supuestos!$D$45,0,IF(M88&lt;0,0,IF(M88&lt;30,1+($G15-1)*M88/30,IF(M88&lt;60,$G15+($H15-$G15)*(M88-30)/30,IF(M88&lt;90,$H15+($I15-$H15)*(M88-60)/30,IF(M88&lt;180,$I15+($J15-$I15)*(M88-90)/90,IF(M88&lt;=365,$J15+($K15-$J15)*(M88-180)/185,$K15))))))),"N/D")</f>
        <v>0</v>
      </c>
      <c r="N101" s="7" t="n">
        <f aca="false">IF(COUNT(N88,$G15:$K15,Supuestos!$D$45)=7,IF(2&gt;=Supuestos!$D$45,0,IF(N88&lt;0,0,IF(N88&lt;30,1+($G15-1)*N88/30,IF(N88&lt;60,$G15+($H15-$G15)*(N88-30)/30,IF(N88&lt;90,$H15+($I15-$H15)*(N88-60)/30,IF(N88&lt;180,$I15+($J15-$I15)*(N88-90)/90,IF(N88&lt;=365,$J15+($K15-$J15)*(N88-180)/185,$K15))))))),"N/D")</f>
        <v>0</v>
      </c>
      <c r="O101" s="7" t="n">
        <f aca="false">IF(COUNT(O88,$G15:$K15,Supuestos!$D$45)=7,IF(3&gt;=Supuestos!$D$45,0,IF(O88&lt;0,0,IF(O88&lt;30,1+($G15-1)*O88/30,IF(O88&lt;60,$G15+($H15-$G15)*(O88-30)/30,IF(O88&lt;90,$H15+($I15-$H15)*(O88-60)/30,IF(O88&lt;180,$I15+($J15-$I15)*(O88-90)/90,IF(O88&lt;=365,$J15+($K15-$J15)*(O88-180)/185,$K15))))))),"N/D")</f>
        <v>0</v>
      </c>
      <c r="P101" s="7" t="n">
        <f aca="false">IF(COUNT(P88,$G15:$K15,Supuestos!$D$45)=7,IF(4&gt;=Supuestos!$D$45,0,IF(P88&lt;0,0,IF(P88&lt;30,1+($G15-1)*P88/30,IF(P88&lt;60,$G15+($H15-$G15)*(P88-30)/30,IF(P88&lt;90,$H15+($I15-$H15)*(P88-60)/30,IF(P88&lt;180,$I15+($J15-$I15)*(P88-90)/90,IF(P88&lt;=365,$J15+($K15-$J15)*(P88-180)/185,$K15))))))),"N/D")</f>
        <v>0</v>
      </c>
      <c r="Q101" s="7" t="n">
        <f aca="false">IF(COUNT(Q88,$G15:$K15,Supuestos!$D$45)=7,IF(5&gt;=Supuestos!$D$45,0,IF(Q88&lt;0,0,IF(Q88&lt;30,1+($G15-1)*Q88/30,IF(Q88&lt;60,$G15+($H15-$G15)*(Q88-30)/30,IF(Q88&lt;90,$H15+($I15-$H15)*(Q88-60)/30,IF(Q88&lt;180,$I15+($J15-$I15)*(Q88-90)/90,IF(Q88&lt;=365,$J15+($K15-$J15)*(Q88-180)/185,$K15))))))),"N/D")</f>
        <v>0</v>
      </c>
      <c r="R101" s="7" t="n">
        <f aca="false">IF(COUNT(R88,$G15:$K15,Supuestos!$D$45)=7,IF(6&gt;=Supuestos!$D$45,0,IF(R88&lt;0,0,IF(R88&lt;30,1+($G15-1)*R88/30,IF(R88&lt;60,$G15+($H15-$G15)*(R88-30)/30,IF(R88&lt;90,$H15+($I15-$H15)*(R88-60)/30,IF(R88&lt;180,$I15+($J15-$I15)*(R88-90)/90,IF(R88&lt;=365,$J15+($K15-$J15)*(R88-180)/185,$K15))))))),"N/D")</f>
        <v>0.973333333333333</v>
      </c>
      <c r="S101" s="7" t="n">
        <f aca="false">IF(COUNT(S88,$G15:$K15,Supuestos!$D$45)=7,IF(7&gt;=Supuestos!$D$45,0,IF(S88&lt;0,0,IF(S88&lt;30,1+($G15-1)*S88/30,IF(S88&lt;60,$G15+($H15-$G15)*(S88-30)/30,IF(S88&lt;90,$H15+($I15-$H15)*(S88-60)/30,IF(S88&lt;180,$I15+($J15-$I15)*(S88-90)/90,IF(S88&lt;=365,$J15+($K15-$J15)*(S88-180)/185,$K15))))))),"N/D")</f>
        <v>0.921666666666667</v>
      </c>
      <c r="T101" s="7" t="n">
        <f aca="false">IF(COUNT(T88,$G15:$K15,Supuestos!$D$45)=7,IF(8&gt;=Supuestos!$D$45,0,IF(T88&lt;0,0,IF(T88&lt;30,1+($G15-1)*T88/30,IF(T88&lt;60,$G15+($H15-$G15)*(T88-30)/30,IF(T88&lt;90,$H15+($I15-$H15)*(T88-60)/30,IF(T88&lt;180,$I15+($J15-$I15)*(T88-90)/90,IF(T88&lt;=365,$J15+($K15-$J15)*(T88-180)/185,$K15))))))),"N/D")</f>
        <v>0.871666666666667</v>
      </c>
      <c r="U101" s="7" t="n">
        <f aca="false">IF(COUNT(U88,$G15:$K15,Supuestos!$D$45)=7,IF(9&gt;=Supuestos!$D$45,0,IF(U88&lt;0,0,IF(U88&lt;30,1+($G15-1)*U88/30,IF(U88&lt;60,$G15+($H15-$G15)*(U88-30)/30,IF(U88&lt;90,$H15+($I15-$H15)*(U88-60)/30,IF(U88&lt;180,$I15+($J15-$I15)*(U88-90)/90,IF(U88&lt;=365,$J15+($K15-$J15)*(U88-180)/185,$K15))))))),"N/D")</f>
        <v>0.84</v>
      </c>
      <c r="V101" s="7" t="n">
        <f aca="false">IF(COUNT(V88,$G15:$K15,Supuestos!$D$45)=7,IF(10&gt;=Supuestos!$D$45,0,IF(V88&lt;0,0,IF(V88&lt;30,1+($G15-1)*V88/30,IF(V88&lt;60,$G15+($H15-$G15)*(V88-30)/30,IF(V88&lt;90,$H15+($I15-$H15)*(V88-60)/30,IF(V88&lt;180,$I15+($J15-$I15)*(V88-90)/90,IF(V88&lt;=365,$J15+($K15-$J15)*(V88-180)/185,$K15))))))),"N/D")</f>
        <v>0.823333333333333</v>
      </c>
      <c r="W101" s="7" t="n">
        <f aca="false">IF(COUNT(W88,$G15:$K15,Supuestos!$D$45)=7,IF(11&gt;=Supuestos!$D$45,0,IF(W88&lt;0,0,IF(W88&lt;30,1+($G15-1)*W88/30,IF(W88&lt;60,$G15+($H15-$G15)*(W88-30)/30,IF(W88&lt;90,$H15+($I15-$H15)*(W88-60)/30,IF(W88&lt;180,$I15+($J15-$I15)*(W88-90)/90,IF(W88&lt;=365,$J15+($K15-$J15)*(W88-180)/185,$K15))))))),"N/D")</f>
        <v>0.806111111111111</v>
      </c>
    </row>
    <row r="102" customFormat="false" ht="19.5" hidden="false" customHeight="true" outlineLevel="0" collapsed="false">
      <c r="C102" s="20" t="n">
        <f aca="false">C16</f>
        <v>46614</v>
      </c>
      <c r="L102" s="7" t="n">
        <f aca="false">IF(COUNT(L89,$G16:$K16,Supuestos!$D$45)=7,IF(0&gt;=Supuestos!$D$45,0,IF(L89&lt;0,0,IF(L89&lt;30,1+($G16-1)*L89/30,IF(L89&lt;60,$G16+($H16-$G16)*(L89-30)/30,IF(L89&lt;90,$H16+($I16-$H16)*(L89-60)/30,IF(L89&lt;180,$I16+($J16-$I16)*(L89-90)/90,IF(L89&lt;=365,$J16+($K16-$J16)*(L89-180)/185,$K16))))))),"N/D")</f>
        <v>0</v>
      </c>
      <c r="M102" s="7" t="n">
        <f aca="false">IF(COUNT(M89,$G16:$K16,Supuestos!$D$45)=7,IF(1&gt;=Supuestos!$D$45,0,IF(M89&lt;0,0,IF(M89&lt;30,1+($G16-1)*M89/30,IF(M89&lt;60,$G16+($H16-$G16)*(M89-30)/30,IF(M89&lt;90,$H16+($I16-$H16)*(M89-60)/30,IF(M89&lt;180,$I16+($J16-$I16)*(M89-90)/90,IF(M89&lt;=365,$J16+($K16-$J16)*(M89-180)/185,$K16))))))),"N/D")</f>
        <v>0</v>
      </c>
      <c r="N102" s="7" t="n">
        <f aca="false">IF(COUNT(N89,$G16:$K16,Supuestos!$D$45)=7,IF(2&gt;=Supuestos!$D$45,0,IF(N89&lt;0,0,IF(N89&lt;30,1+($G16-1)*N89/30,IF(N89&lt;60,$G16+($H16-$G16)*(N89-30)/30,IF(N89&lt;90,$H16+($I16-$H16)*(N89-60)/30,IF(N89&lt;180,$I16+($J16-$I16)*(N89-90)/90,IF(N89&lt;=365,$J16+($K16-$J16)*(N89-180)/185,$K16))))))),"N/D")</f>
        <v>0</v>
      </c>
      <c r="O102" s="7" t="n">
        <f aca="false">IF(COUNT(O89,$G16:$K16,Supuestos!$D$45)=7,IF(3&gt;=Supuestos!$D$45,0,IF(O89&lt;0,0,IF(O89&lt;30,1+($G16-1)*O89/30,IF(O89&lt;60,$G16+($H16-$G16)*(O89-30)/30,IF(O89&lt;90,$H16+($I16-$H16)*(O89-60)/30,IF(O89&lt;180,$I16+($J16-$I16)*(O89-90)/90,IF(O89&lt;=365,$J16+($K16-$J16)*(O89-180)/185,$K16))))))),"N/D")</f>
        <v>0</v>
      </c>
      <c r="P102" s="7" t="n">
        <f aca="false">IF(COUNT(P89,$G16:$K16,Supuestos!$D$45)=7,IF(4&gt;=Supuestos!$D$45,0,IF(P89&lt;0,0,IF(P89&lt;30,1+($G16-1)*P89/30,IF(P89&lt;60,$G16+($H16-$G16)*(P89-30)/30,IF(P89&lt;90,$H16+($I16-$H16)*(P89-60)/30,IF(P89&lt;180,$I16+($J16-$I16)*(P89-90)/90,IF(P89&lt;=365,$J16+($K16-$J16)*(P89-180)/185,$K16))))))),"N/D")</f>
        <v>0</v>
      </c>
      <c r="Q102" s="7" t="n">
        <f aca="false">IF(COUNT(Q89,$G16:$K16,Supuestos!$D$45)=7,IF(5&gt;=Supuestos!$D$45,0,IF(Q89&lt;0,0,IF(Q89&lt;30,1+($G16-1)*Q89/30,IF(Q89&lt;60,$G16+($H16-$G16)*(Q89-30)/30,IF(Q89&lt;90,$H16+($I16-$H16)*(Q89-60)/30,IF(Q89&lt;180,$I16+($J16-$I16)*(Q89-90)/90,IF(Q89&lt;=365,$J16+($K16-$J16)*(Q89-180)/185,$K16))))))),"N/D")</f>
        <v>0</v>
      </c>
      <c r="R102" s="7" t="n">
        <f aca="false">IF(COUNT(R89,$G16:$K16,Supuestos!$D$45)=7,IF(6&gt;=Supuestos!$D$45,0,IF(R89&lt;0,0,IF(R89&lt;30,1+($G16-1)*R89/30,IF(R89&lt;60,$G16+($H16-$G16)*(R89-30)/30,IF(R89&lt;90,$H16+($I16-$H16)*(R89-60)/30,IF(R89&lt;180,$I16+($J16-$I16)*(R89-90)/90,IF(R89&lt;=365,$J16+($K16-$J16)*(R89-180)/185,$K16))))))),"N/D")</f>
        <v>0</v>
      </c>
      <c r="S102" s="7" t="n">
        <f aca="false">IF(COUNT(S89,$G16:$K16,Supuestos!$D$45)=7,IF(7&gt;=Supuestos!$D$45,0,IF(S89&lt;0,0,IF(S89&lt;30,1+($G16-1)*S89/30,IF(S89&lt;60,$G16+($H16-$G16)*(S89-30)/30,IF(S89&lt;90,$H16+($I16-$H16)*(S89-60)/30,IF(S89&lt;180,$I16+($J16-$I16)*(S89-90)/90,IF(S89&lt;=365,$J16+($K16-$J16)*(S89-180)/185,$K16))))))),"N/D")</f>
        <v>0.973333333333333</v>
      </c>
      <c r="T102" s="7" t="n">
        <f aca="false">IF(COUNT(T89,$G16:$K16,Supuestos!$D$45)=7,IF(8&gt;=Supuestos!$D$45,0,IF(T89&lt;0,0,IF(T89&lt;30,1+($G16-1)*T89/30,IF(T89&lt;60,$G16+($H16-$G16)*(T89-30)/30,IF(T89&lt;90,$H16+($I16-$H16)*(T89-60)/30,IF(T89&lt;180,$I16+($J16-$I16)*(T89-90)/90,IF(T89&lt;=365,$J16+($K16-$J16)*(T89-180)/185,$K16))))))),"N/D")</f>
        <v>0.923333333333333</v>
      </c>
      <c r="U102" s="7" t="n">
        <f aca="false">IF(COUNT(U89,$G16:$K16,Supuestos!$D$45)=7,IF(9&gt;=Supuestos!$D$45,0,IF(U89&lt;0,0,IF(U89&lt;30,1+($G16-1)*U89/30,IF(U89&lt;60,$G16+($H16-$G16)*(U89-30)/30,IF(U89&lt;90,$H16+($I16-$H16)*(U89-60)/30,IF(U89&lt;180,$I16+($J16-$I16)*(U89-90)/90,IF(U89&lt;=365,$J16+($K16-$J16)*(U89-180)/185,$K16))))))),"N/D")</f>
        <v>0.871666666666667</v>
      </c>
      <c r="V102" s="7" t="n">
        <f aca="false">IF(COUNT(V89,$G16:$K16,Supuestos!$D$45)=7,IF(10&gt;=Supuestos!$D$45,0,IF(V89&lt;0,0,IF(V89&lt;30,1+($G16-1)*V89/30,IF(V89&lt;60,$G16+($H16-$G16)*(V89-30)/30,IF(V89&lt;90,$H16+($I16-$H16)*(V89-60)/30,IF(V89&lt;180,$I16+($J16-$I16)*(V89-90)/90,IF(V89&lt;=365,$J16+($K16-$J16)*(V89-180)/185,$K16))))))),"N/D")</f>
        <v>0.840555555555556</v>
      </c>
      <c r="W102" s="7" t="n">
        <f aca="false">IF(COUNT(W89,$G16:$K16,Supuestos!$D$45)=7,IF(11&gt;=Supuestos!$D$45,0,IF(W89&lt;0,0,IF(W89&lt;30,1+($G16-1)*W89/30,IF(W89&lt;60,$G16+($H16-$G16)*(W89-30)/30,IF(W89&lt;90,$H16+($I16-$H16)*(W89-60)/30,IF(W89&lt;180,$I16+($J16-$I16)*(W89-90)/90,IF(W89&lt;=365,$J16+($K16-$J16)*(W89-180)/185,$K16))))))),"N/D")</f>
        <v>0.823333333333333</v>
      </c>
    </row>
    <row r="103" customFormat="false" ht="19.5" hidden="false" customHeight="true" outlineLevel="0" collapsed="false">
      <c r="C103" s="20" t="n">
        <f aca="false">C17</f>
        <v>46645</v>
      </c>
      <c r="L103" s="7" t="n">
        <f aca="false">IF(COUNT(L90,$G17:$K17,Supuestos!$D$45)=7,IF(0&gt;=Supuestos!$D$45,0,IF(L90&lt;0,0,IF(L90&lt;30,1+($G17-1)*L90/30,IF(L90&lt;60,$G17+($H17-$G17)*(L90-30)/30,IF(L90&lt;90,$H17+($I17-$H17)*(L90-60)/30,IF(L90&lt;180,$I17+($J17-$I17)*(L90-90)/90,IF(L90&lt;=365,$J17+($K17-$J17)*(L90-180)/185,$K17))))))),"N/D")</f>
        <v>0</v>
      </c>
      <c r="M103" s="7" t="n">
        <f aca="false">IF(COUNT(M90,$G17:$K17,Supuestos!$D$45)=7,IF(1&gt;=Supuestos!$D$45,0,IF(M90&lt;0,0,IF(M90&lt;30,1+($G17-1)*M90/30,IF(M90&lt;60,$G17+($H17-$G17)*(M90-30)/30,IF(M90&lt;90,$H17+($I17-$H17)*(M90-60)/30,IF(M90&lt;180,$I17+($J17-$I17)*(M90-90)/90,IF(M90&lt;=365,$J17+($K17-$J17)*(M90-180)/185,$K17))))))),"N/D")</f>
        <v>0</v>
      </c>
      <c r="N103" s="7" t="n">
        <f aca="false">IF(COUNT(N90,$G17:$K17,Supuestos!$D$45)=7,IF(2&gt;=Supuestos!$D$45,0,IF(N90&lt;0,0,IF(N90&lt;30,1+($G17-1)*N90/30,IF(N90&lt;60,$G17+($H17-$G17)*(N90-30)/30,IF(N90&lt;90,$H17+($I17-$H17)*(N90-60)/30,IF(N90&lt;180,$I17+($J17-$I17)*(N90-90)/90,IF(N90&lt;=365,$J17+($K17-$J17)*(N90-180)/185,$K17))))))),"N/D")</f>
        <v>0</v>
      </c>
      <c r="O103" s="7" t="n">
        <f aca="false">IF(COUNT(O90,$G17:$K17,Supuestos!$D$45)=7,IF(3&gt;=Supuestos!$D$45,0,IF(O90&lt;0,0,IF(O90&lt;30,1+($G17-1)*O90/30,IF(O90&lt;60,$G17+($H17-$G17)*(O90-30)/30,IF(O90&lt;90,$H17+($I17-$H17)*(O90-60)/30,IF(O90&lt;180,$I17+($J17-$I17)*(O90-90)/90,IF(O90&lt;=365,$J17+($K17-$J17)*(O90-180)/185,$K17))))))),"N/D")</f>
        <v>0</v>
      </c>
      <c r="P103" s="7" t="n">
        <f aca="false">IF(COUNT(P90,$G17:$K17,Supuestos!$D$45)=7,IF(4&gt;=Supuestos!$D$45,0,IF(P90&lt;0,0,IF(P90&lt;30,1+($G17-1)*P90/30,IF(P90&lt;60,$G17+($H17-$G17)*(P90-30)/30,IF(P90&lt;90,$H17+($I17-$H17)*(P90-60)/30,IF(P90&lt;180,$I17+($J17-$I17)*(P90-90)/90,IF(P90&lt;=365,$J17+($K17-$J17)*(P90-180)/185,$K17))))))),"N/D")</f>
        <v>0</v>
      </c>
      <c r="Q103" s="7" t="n">
        <f aca="false">IF(COUNT(Q90,$G17:$K17,Supuestos!$D$45)=7,IF(5&gt;=Supuestos!$D$45,0,IF(Q90&lt;0,0,IF(Q90&lt;30,1+($G17-1)*Q90/30,IF(Q90&lt;60,$G17+($H17-$G17)*(Q90-30)/30,IF(Q90&lt;90,$H17+($I17-$H17)*(Q90-60)/30,IF(Q90&lt;180,$I17+($J17-$I17)*(Q90-90)/90,IF(Q90&lt;=365,$J17+($K17-$J17)*(Q90-180)/185,$K17))))))),"N/D")</f>
        <v>0</v>
      </c>
      <c r="R103" s="7" t="n">
        <f aca="false">IF(COUNT(R90,$G17:$K17,Supuestos!$D$45)=7,IF(6&gt;=Supuestos!$D$45,0,IF(R90&lt;0,0,IF(R90&lt;30,1+($G17-1)*R90/30,IF(R90&lt;60,$G17+($H17-$G17)*(R90-30)/30,IF(R90&lt;90,$H17+($I17-$H17)*(R90-60)/30,IF(R90&lt;180,$I17+($J17-$I17)*(R90-90)/90,IF(R90&lt;=365,$J17+($K17-$J17)*(R90-180)/185,$K17))))))),"N/D")</f>
        <v>0</v>
      </c>
      <c r="S103" s="7" t="n">
        <f aca="false">IF(COUNT(S90,$G17:$K17,Supuestos!$D$45)=7,IF(7&gt;=Supuestos!$D$45,0,IF(S90&lt;0,0,IF(S90&lt;30,1+($G17-1)*S90/30,IF(S90&lt;60,$G17+($H17-$G17)*(S90-30)/30,IF(S90&lt;90,$H17+($I17-$H17)*(S90-60)/30,IF(S90&lt;180,$I17+($J17-$I17)*(S90-90)/90,IF(S90&lt;=365,$J17+($K17-$J17)*(S90-180)/185,$K17))))))),"N/D")</f>
        <v>0</v>
      </c>
      <c r="T103" s="7" t="n">
        <f aca="false">IF(COUNT(T90,$G17:$K17,Supuestos!$D$45)=7,IF(8&gt;=Supuestos!$D$45,0,IF(T90&lt;0,0,IF(T90&lt;30,1+($G17-1)*T90/30,IF(T90&lt;60,$G17+($H17-$G17)*(T90-30)/30,IF(T90&lt;90,$H17+($I17-$H17)*(T90-60)/30,IF(T90&lt;180,$I17+($J17-$I17)*(T90-90)/90,IF(T90&lt;=365,$J17+($K17-$J17)*(T90-180)/185,$K17))))))),"N/D")</f>
        <v>0.975</v>
      </c>
      <c r="U103" s="7" t="n">
        <f aca="false">IF(COUNT(U90,$G17:$K17,Supuestos!$D$45)=7,IF(9&gt;=Supuestos!$D$45,0,IF(U90&lt;0,0,IF(U90&lt;30,1+($G17-1)*U90/30,IF(U90&lt;60,$G17+($H17-$G17)*(U90-30)/30,IF(U90&lt;90,$H17+($I17-$H17)*(U90-60)/30,IF(U90&lt;180,$I17+($J17-$I17)*(U90-90)/90,IF(U90&lt;=365,$J17+($K17-$J17)*(U90-180)/185,$K17))))))),"N/D")</f>
        <v>0.923333333333333</v>
      </c>
      <c r="V103" s="7" t="n">
        <f aca="false">IF(COUNT(V90,$G17:$K17,Supuestos!$D$45)=7,IF(10&gt;=Supuestos!$D$45,0,IF(V90&lt;0,0,IF(V90&lt;30,1+($G17-1)*V90/30,IF(V90&lt;60,$G17+($H17-$G17)*(V90-30)/30,IF(V90&lt;90,$H17+($I17-$H17)*(V90-60)/30,IF(V90&lt;180,$I17+($J17-$I17)*(V90-90)/90,IF(V90&lt;=365,$J17+($K17-$J17)*(V90-180)/185,$K17))))))),"N/D")</f>
        <v>0.873333333333333</v>
      </c>
      <c r="W103" s="7" t="n">
        <f aca="false">IF(COUNT(W90,$G17:$K17,Supuestos!$D$45)=7,IF(11&gt;=Supuestos!$D$45,0,IF(W90&lt;0,0,IF(W90&lt;30,1+($G17-1)*W90/30,IF(W90&lt;60,$G17+($H17-$G17)*(W90-30)/30,IF(W90&lt;90,$H17+($I17-$H17)*(W90-60)/30,IF(W90&lt;180,$I17+($J17-$I17)*(W90-90)/90,IF(W90&lt;=365,$J17+($K17-$J17)*(W90-180)/185,$K17))))))),"N/D")</f>
        <v>0.840555555555556</v>
      </c>
    </row>
    <row r="104" customFormat="false" ht="19.5" hidden="false" customHeight="true" outlineLevel="0" collapsed="false">
      <c r="C104" s="20" t="n">
        <f aca="false">C18</f>
        <v>46675</v>
      </c>
      <c r="L104" s="7" t="n">
        <f aca="false">IF(COUNT(L91,$G18:$K18,Supuestos!$D$45)=7,IF(0&gt;=Supuestos!$D$45,0,IF(L91&lt;0,0,IF(L91&lt;30,1+($G18-1)*L91/30,IF(L91&lt;60,$G18+($H18-$G18)*(L91-30)/30,IF(L91&lt;90,$H18+($I18-$H18)*(L91-60)/30,IF(L91&lt;180,$I18+($J18-$I18)*(L91-90)/90,IF(L91&lt;=365,$J18+($K18-$J18)*(L91-180)/185,$K18))))))),"N/D")</f>
        <v>0</v>
      </c>
      <c r="M104" s="7" t="n">
        <f aca="false">IF(COUNT(M91,$G18:$K18,Supuestos!$D$45)=7,IF(1&gt;=Supuestos!$D$45,0,IF(M91&lt;0,0,IF(M91&lt;30,1+($G18-1)*M91/30,IF(M91&lt;60,$G18+($H18-$G18)*(M91-30)/30,IF(M91&lt;90,$H18+($I18-$H18)*(M91-60)/30,IF(M91&lt;180,$I18+($J18-$I18)*(M91-90)/90,IF(M91&lt;=365,$J18+($K18-$J18)*(M91-180)/185,$K18))))))),"N/D")</f>
        <v>0</v>
      </c>
      <c r="N104" s="7" t="n">
        <f aca="false">IF(COUNT(N91,$G18:$K18,Supuestos!$D$45)=7,IF(2&gt;=Supuestos!$D$45,0,IF(N91&lt;0,0,IF(N91&lt;30,1+($G18-1)*N91/30,IF(N91&lt;60,$G18+($H18-$G18)*(N91-30)/30,IF(N91&lt;90,$H18+($I18-$H18)*(N91-60)/30,IF(N91&lt;180,$I18+($J18-$I18)*(N91-90)/90,IF(N91&lt;=365,$J18+($K18-$J18)*(N91-180)/185,$K18))))))),"N/D")</f>
        <v>0</v>
      </c>
      <c r="O104" s="7" t="n">
        <f aca="false">IF(COUNT(O91,$G18:$K18,Supuestos!$D$45)=7,IF(3&gt;=Supuestos!$D$45,0,IF(O91&lt;0,0,IF(O91&lt;30,1+($G18-1)*O91/30,IF(O91&lt;60,$G18+($H18-$G18)*(O91-30)/30,IF(O91&lt;90,$H18+($I18-$H18)*(O91-60)/30,IF(O91&lt;180,$I18+($J18-$I18)*(O91-90)/90,IF(O91&lt;=365,$J18+($K18-$J18)*(O91-180)/185,$K18))))))),"N/D")</f>
        <v>0</v>
      </c>
      <c r="P104" s="7" t="n">
        <f aca="false">IF(COUNT(P91,$G18:$K18,Supuestos!$D$45)=7,IF(4&gt;=Supuestos!$D$45,0,IF(P91&lt;0,0,IF(P91&lt;30,1+($G18-1)*P91/30,IF(P91&lt;60,$G18+($H18-$G18)*(P91-30)/30,IF(P91&lt;90,$H18+($I18-$H18)*(P91-60)/30,IF(P91&lt;180,$I18+($J18-$I18)*(P91-90)/90,IF(P91&lt;=365,$J18+($K18-$J18)*(P91-180)/185,$K18))))))),"N/D")</f>
        <v>0</v>
      </c>
      <c r="Q104" s="7" t="n">
        <f aca="false">IF(COUNT(Q91,$G18:$K18,Supuestos!$D$45)=7,IF(5&gt;=Supuestos!$D$45,0,IF(Q91&lt;0,0,IF(Q91&lt;30,1+($G18-1)*Q91/30,IF(Q91&lt;60,$G18+($H18-$G18)*(Q91-30)/30,IF(Q91&lt;90,$H18+($I18-$H18)*(Q91-60)/30,IF(Q91&lt;180,$I18+($J18-$I18)*(Q91-90)/90,IF(Q91&lt;=365,$J18+($K18-$J18)*(Q91-180)/185,$K18))))))),"N/D")</f>
        <v>0</v>
      </c>
      <c r="R104" s="7" t="n">
        <f aca="false">IF(COUNT(R91,$G18:$K18,Supuestos!$D$45)=7,IF(6&gt;=Supuestos!$D$45,0,IF(R91&lt;0,0,IF(R91&lt;30,1+($G18-1)*R91/30,IF(R91&lt;60,$G18+($H18-$G18)*(R91-30)/30,IF(R91&lt;90,$H18+($I18-$H18)*(R91-60)/30,IF(R91&lt;180,$I18+($J18-$I18)*(R91-90)/90,IF(R91&lt;=365,$J18+($K18-$J18)*(R91-180)/185,$K18))))))),"N/D")</f>
        <v>0</v>
      </c>
      <c r="S104" s="7" t="n">
        <f aca="false">IF(COUNT(S91,$G18:$K18,Supuestos!$D$45)=7,IF(7&gt;=Supuestos!$D$45,0,IF(S91&lt;0,0,IF(S91&lt;30,1+($G18-1)*S91/30,IF(S91&lt;60,$G18+($H18-$G18)*(S91-30)/30,IF(S91&lt;90,$H18+($I18-$H18)*(S91-60)/30,IF(S91&lt;180,$I18+($J18-$I18)*(S91-90)/90,IF(S91&lt;=365,$J18+($K18-$J18)*(S91-180)/185,$K18))))))),"N/D")</f>
        <v>0</v>
      </c>
      <c r="T104" s="7" t="n">
        <f aca="false">IF(COUNT(T91,$G18:$K18,Supuestos!$D$45)=7,IF(8&gt;=Supuestos!$D$45,0,IF(T91&lt;0,0,IF(T91&lt;30,1+($G18-1)*T91/30,IF(T91&lt;60,$G18+($H18-$G18)*(T91-30)/30,IF(T91&lt;90,$H18+($I18-$H18)*(T91-60)/30,IF(T91&lt;180,$I18+($J18-$I18)*(T91-90)/90,IF(T91&lt;=365,$J18+($K18-$J18)*(T91-180)/185,$K18))))))),"N/D")</f>
        <v>0</v>
      </c>
      <c r="U104" s="7" t="n">
        <f aca="false">IF(COUNT(U91,$G18:$K18,Supuestos!$D$45)=7,IF(9&gt;=Supuestos!$D$45,0,IF(U91&lt;0,0,IF(U91&lt;30,1+($G18-1)*U91/30,IF(U91&lt;60,$G18+($H18-$G18)*(U91-30)/30,IF(U91&lt;90,$H18+($I18-$H18)*(U91-60)/30,IF(U91&lt;180,$I18+($J18-$I18)*(U91-90)/90,IF(U91&lt;=365,$J18+($K18-$J18)*(U91-180)/185,$K18))))))),"N/D")</f>
        <v>0.973333333333333</v>
      </c>
      <c r="V104" s="7" t="n">
        <f aca="false">IF(COUNT(V91,$G18:$K18,Supuestos!$D$45)=7,IF(10&gt;=Supuestos!$D$45,0,IF(V91&lt;0,0,IF(V91&lt;30,1+($G18-1)*V91/30,IF(V91&lt;60,$G18+($H18-$G18)*(V91-30)/30,IF(V91&lt;90,$H18+($I18-$H18)*(V91-60)/30,IF(V91&lt;180,$I18+($J18-$I18)*(V91-90)/90,IF(V91&lt;=365,$J18+($K18-$J18)*(V91-180)/185,$K18))))))),"N/D")</f>
        <v>0.923333333333333</v>
      </c>
      <c r="W104" s="7" t="n">
        <f aca="false">IF(COUNT(W91,$G18:$K18,Supuestos!$D$45)=7,IF(11&gt;=Supuestos!$D$45,0,IF(W91&lt;0,0,IF(W91&lt;30,1+($G18-1)*W91/30,IF(W91&lt;60,$G18+($H18-$G18)*(W91-30)/30,IF(W91&lt;90,$H18+($I18-$H18)*(W91-60)/30,IF(W91&lt;180,$I18+($J18-$I18)*(W91-90)/90,IF(W91&lt;=365,$J18+($K18-$J18)*(W91-180)/185,$K18))))))),"N/D")</f>
        <v>0.871666666666667</v>
      </c>
    </row>
    <row r="105" customFormat="false" ht="19.5" hidden="false" customHeight="true" outlineLevel="0" collapsed="false">
      <c r="C105" s="20" t="n">
        <f aca="false">C19</f>
        <v>46706</v>
      </c>
      <c r="L105" s="7" t="n">
        <f aca="false">IF(COUNT(L92,$G19:$K19,Supuestos!$D$45)=7,IF(0&gt;=Supuestos!$D$45,0,IF(L92&lt;0,0,IF(L92&lt;30,1+($G19-1)*L92/30,IF(L92&lt;60,$G19+($H19-$G19)*(L92-30)/30,IF(L92&lt;90,$H19+($I19-$H19)*(L92-60)/30,IF(L92&lt;180,$I19+($J19-$I19)*(L92-90)/90,IF(L92&lt;=365,$J19+($K19-$J19)*(L92-180)/185,$K19))))))),"N/D")</f>
        <v>0</v>
      </c>
      <c r="M105" s="7" t="n">
        <f aca="false">IF(COUNT(M92,$G19:$K19,Supuestos!$D$45)=7,IF(1&gt;=Supuestos!$D$45,0,IF(M92&lt;0,0,IF(M92&lt;30,1+($G19-1)*M92/30,IF(M92&lt;60,$G19+($H19-$G19)*(M92-30)/30,IF(M92&lt;90,$H19+($I19-$H19)*(M92-60)/30,IF(M92&lt;180,$I19+($J19-$I19)*(M92-90)/90,IF(M92&lt;=365,$J19+($K19-$J19)*(M92-180)/185,$K19))))))),"N/D")</f>
        <v>0</v>
      </c>
      <c r="N105" s="7" t="n">
        <f aca="false">IF(COUNT(N92,$G19:$K19,Supuestos!$D$45)=7,IF(2&gt;=Supuestos!$D$45,0,IF(N92&lt;0,0,IF(N92&lt;30,1+($G19-1)*N92/30,IF(N92&lt;60,$G19+($H19-$G19)*(N92-30)/30,IF(N92&lt;90,$H19+($I19-$H19)*(N92-60)/30,IF(N92&lt;180,$I19+($J19-$I19)*(N92-90)/90,IF(N92&lt;=365,$J19+($K19-$J19)*(N92-180)/185,$K19))))))),"N/D")</f>
        <v>0</v>
      </c>
      <c r="O105" s="7" t="n">
        <f aca="false">IF(COUNT(O92,$G19:$K19,Supuestos!$D$45)=7,IF(3&gt;=Supuestos!$D$45,0,IF(O92&lt;0,0,IF(O92&lt;30,1+($G19-1)*O92/30,IF(O92&lt;60,$G19+($H19-$G19)*(O92-30)/30,IF(O92&lt;90,$H19+($I19-$H19)*(O92-60)/30,IF(O92&lt;180,$I19+($J19-$I19)*(O92-90)/90,IF(O92&lt;=365,$J19+($K19-$J19)*(O92-180)/185,$K19))))))),"N/D")</f>
        <v>0</v>
      </c>
      <c r="P105" s="7" t="n">
        <f aca="false">IF(COUNT(P92,$G19:$K19,Supuestos!$D$45)=7,IF(4&gt;=Supuestos!$D$45,0,IF(P92&lt;0,0,IF(P92&lt;30,1+($G19-1)*P92/30,IF(P92&lt;60,$G19+($H19-$G19)*(P92-30)/30,IF(P92&lt;90,$H19+($I19-$H19)*(P92-60)/30,IF(P92&lt;180,$I19+($J19-$I19)*(P92-90)/90,IF(P92&lt;=365,$J19+($K19-$J19)*(P92-180)/185,$K19))))))),"N/D")</f>
        <v>0</v>
      </c>
      <c r="Q105" s="7" t="n">
        <f aca="false">IF(COUNT(Q92,$G19:$K19,Supuestos!$D$45)=7,IF(5&gt;=Supuestos!$D$45,0,IF(Q92&lt;0,0,IF(Q92&lt;30,1+($G19-1)*Q92/30,IF(Q92&lt;60,$G19+($H19-$G19)*(Q92-30)/30,IF(Q92&lt;90,$H19+($I19-$H19)*(Q92-60)/30,IF(Q92&lt;180,$I19+($J19-$I19)*(Q92-90)/90,IF(Q92&lt;=365,$J19+($K19-$J19)*(Q92-180)/185,$K19))))))),"N/D")</f>
        <v>0</v>
      </c>
      <c r="R105" s="7" t="n">
        <f aca="false">IF(COUNT(R92,$G19:$K19,Supuestos!$D$45)=7,IF(6&gt;=Supuestos!$D$45,0,IF(R92&lt;0,0,IF(R92&lt;30,1+($G19-1)*R92/30,IF(R92&lt;60,$G19+($H19-$G19)*(R92-30)/30,IF(R92&lt;90,$H19+($I19-$H19)*(R92-60)/30,IF(R92&lt;180,$I19+($J19-$I19)*(R92-90)/90,IF(R92&lt;=365,$J19+($K19-$J19)*(R92-180)/185,$K19))))))),"N/D")</f>
        <v>0</v>
      </c>
      <c r="S105" s="7" t="n">
        <f aca="false">IF(COUNT(S92,$G19:$K19,Supuestos!$D$45)=7,IF(7&gt;=Supuestos!$D$45,0,IF(S92&lt;0,0,IF(S92&lt;30,1+($G19-1)*S92/30,IF(S92&lt;60,$G19+($H19-$G19)*(S92-30)/30,IF(S92&lt;90,$H19+($I19-$H19)*(S92-60)/30,IF(S92&lt;180,$I19+($J19-$I19)*(S92-90)/90,IF(S92&lt;=365,$J19+($K19-$J19)*(S92-180)/185,$K19))))))),"N/D")</f>
        <v>0</v>
      </c>
      <c r="T105" s="7" t="n">
        <f aca="false">IF(COUNT(T92,$G19:$K19,Supuestos!$D$45)=7,IF(8&gt;=Supuestos!$D$45,0,IF(T92&lt;0,0,IF(T92&lt;30,1+($G19-1)*T92/30,IF(T92&lt;60,$G19+($H19-$G19)*(T92-30)/30,IF(T92&lt;90,$H19+($I19-$H19)*(T92-60)/30,IF(T92&lt;180,$I19+($J19-$I19)*(T92-90)/90,IF(T92&lt;=365,$J19+($K19-$J19)*(T92-180)/185,$K19))))))),"N/D")</f>
        <v>0</v>
      </c>
      <c r="U105" s="7" t="n">
        <f aca="false">IF(COUNT(U92,$G19:$K19,Supuestos!$D$45)=7,IF(9&gt;=Supuestos!$D$45,0,IF(U92&lt;0,0,IF(U92&lt;30,1+($G19-1)*U92/30,IF(U92&lt;60,$G19+($H19-$G19)*(U92-30)/30,IF(U92&lt;90,$H19+($I19-$H19)*(U92-60)/30,IF(U92&lt;180,$I19+($J19-$I19)*(U92-90)/90,IF(U92&lt;=365,$J19+($K19-$J19)*(U92-180)/185,$K19))))))),"N/D")</f>
        <v>0</v>
      </c>
      <c r="V105" s="7" t="n">
        <f aca="false">IF(COUNT(V92,$G19:$K19,Supuestos!$D$45)=7,IF(10&gt;=Supuestos!$D$45,0,IF(V92&lt;0,0,IF(V92&lt;30,1+($G19-1)*V92/30,IF(V92&lt;60,$G19+($H19-$G19)*(V92-30)/30,IF(V92&lt;90,$H19+($I19-$H19)*(V92-60)/30,IF(V92&lt;180,$I19+($J19-$I19)*(V92-90)/90,IF(V92&lt;=365,$J19+($K19-$J19)*(V92-180)/185,$K19))))))),"N/D")</f>
        <v>0.975</v>
      </c>
      <c r="W105" s="7" t="n">
        <f aca="false">IF(COUNT(W92,$G19:$K19,Supuestos!$D$45)=7,IF(11&gt;=Supuestos!$D$45,0,IF(W92&lt;0,0,IF(W92&lt;30,1+($G19-1)*W92/30,IF(W92&lt;60,$G19+($H19-$G19)*(W92-30)/30,IF(W92&lt;90,$H19+($I19-$H19)*(W92-60)/30,IF(W92&lt;180,$I19+($J19-$I19)*(W92-90)/90,IF(W92&lt;=365,$J19+($K19-$J19)*(W92-180)/185,$K19))))))),"N/D")</f>
        <v>0.923333333333333</v>
      </c>
    </row>
    <row r="106" customFormat="false" ht="19.5" hidden="false" customHeight="true" outlineLevel="0" collapsed="false">
      <c r="C106" s="20" t="n">
        <f aca="false">C20</f>
        <v>46736</v>
      </c>
      <c r="L106" s="7" t="n">
        <f aca="false">IF(COUNT(L93,$G20:$K20,Supuestos!$D$45)=7,IF(0&gt;=Supuestos!$D$45,0,IF(L93&lt;0,0,IF(L93&lt;30,1+($G20-1)*L93/30,IF(L93&lt;60,$G20+($H20-$G20)*(L93-30)/30,IF(L93&lt;90,$H20+($I20-$H20)*(L93-60)/30,IF(L93&lt;180,$I20+($J20-$I20)*(L93-90)/90,IF(L93&lt;=365,$J20+($K20-$J20)*(L93-180)/185,$K20))))))),"N/D")</f>
        <v>0</v>
      </c>
      <c r="M106" s="7" t="n">
        <f aca="false">IF(COUNT(M93,$G20:$K20,Supuestos!$D$45)=7,IF(1&gt;=Supuestos!$D$45,0,IF(M93&lt;0,0,IF(M93&lt;30,1+($G20-1)*M93/30,IF(M93&lt;60,$G20+($H20-$G20)*(M93-30)/30,IF(M93&lt;90,$H20+($I20-$H20)*(M93-60)/30,IF(M93&lt;180,$I20+($J20-$I20)*(M93-90)/90,IF(M93&lt;=365,$J20+($K20-$J20)*(M93-180)/185,$K20))))))),"N/D")</f>
        <v>0</v>
      </c>
      <c r="N106" s="7" t="n">
        <f aca="false">IF(COUNT(N93,$G20:$K20,Supuestos!$D$45)=7,IF(2&gt;=Supuestos!$D$45,0,IF(N93&lt;0,0,IF(N93&lt;30,1+($G20-1)*N93/30,IF(N93&lt;60,$G20+($H20-$G20)*(N93-30)/30,IF(N93&lt;90,$H20+($I20-$H20)*(N93-60)/30,IF(N93&lt;180,$I20+($J20-$I20)*(N93-90)/90,IF(N93&lt;=365,$J20+($K20-$J20)*(N93-180)/185,$K20))))))),"N/D")</f>
        <v>0</v>
      </c>
      <c r="O106" s="7" t="n">
        <f aca="false">IF(COUNT(O93,$G20:$K20,Supuestos!$D$45)=7,IF(3&gt;=Supuestos!$D$45,0,IF(O93&lt;0,0,IF(O93&lt;30,1+($G20-1)*O93/30,IF(O93&lt;60,$G20+($H20-$G20)*(O93-30)/30,IF(O93&lt;90,$H20+($I20-$H20)*(O93-60)/30,IF(O93&lt;180,$I20+($J20-$I20)*(O93-90)/90,IF(O93&lt;=365,$J20+($K20-$J20)*(O93-180)/185,$K20))))))),"N/D")</f>
        <v>0</v>
      </c>
      <c r="P106" s="7" t="n">
        <f aca="false">IF(COUNT(P93,$G20:$K20,Supuestos!$D$45)=7,IF(4&gt;=Supuestos!$D$45,0,IF(P93&lt;0,0,IF(P93&lt;30,1+($G20-1)*P93/30,IF(P93&lt;60,$G20+($H20-$G20)*(P93-30)/30,IF(P93&lt;90,$H20+($I20-$H20)*(P93-60)/30,IF(P93&lt;180,$I20+($J20-$I20)*(P93-90)/90,IF(P93&lt;=365,$J20+($K20-$J20)*(P93-180)/185,$K20))))))),"N/D")</f>
        <v>0</v>
      </c>
      <c r="Q106" s="7" t="n">
        <f aca="false">IF(COUNT(Q93,$G20:$K20,Supuestos!$D$45)=7,IF(5&gt;=Supuestos!$D$45,0,IF(Q93&lt;0,0,IF(Q93&lt;30,1+($G20-1)*Q93/30,IF(Q93&lt;60,$G20+($H20-$G20)*(Q93-30)/30,IF(Q93&lt;90,$H20+($I20-$H20)*(Q93-60)/30,IF(Q93&lt;180,$I20+($J20-$I20)*(Q93-90)/90,IF(Q93&lt;=365,$J20+($K20-$J20)*(Q93-180)/185,$K20))))))),"N/D")</f>
        <v>0</v>
      </c>
      <c r="R106" s="7" t="n">
        <f aca="false">IF(COUNT(R93,$G20:$K20,Supuestos!$D$45)=7,IF(6&gt;=Supuestos!$D$45,0,IF(R93&lt;0,0,IF(R93&lt;30,1+($G20-1)*R93/30,IF(R93&lt;60,$G20+($H20-$G20)*(R93-30)/30,IF(R93&lt;90,$H20+($I20-$H20)*(R93-60)/30,IF(R93&lt;180,$I20+($J20-$I20)*(R93-90)/90,IF(R93&lt;=365,$J20+($K20-$J20)*(R93-180)/185,$K20))))))),"N/D")</f>
        <v>0</v>
      </c>
      <c r="S106" s="7" t="n">
        <f aca="false">IF(COUNT(S93,$G20:$K20,Supuestos!$D$45)=7,IF(7&gt;=Supuestos!$D$45,0,IF(S93&lt;0,0,IF(S93&lt;30,1+($G20-1)*S93/30,IF(S93&lt;60,$G20+($H20-$G20)*(S93-30)/30,IF(S93&lt;90,$H20+($I20-$H20)*(S93-60)/30,IF(S93&lt;180,$I20+($J20-$I20)*(S93-90)/90,IF(S93&lt;=365,$J20+($K20-$J20)*(S93-180)/185,$K20))))))),"N/D")</f>
        <v>0</v>
      </c>
      <c r="T106" s="7" t="n">
        <f aca="false">IF(COUNT(T93,$G20:$K20,Supuestos!$D$45)=7,IF(8&gt;=Supuestos!$D$45,0,IF(T93&lt;0,0,IF(T93&lt;30,1+($G20-1)*T93/30,IF(T93&lt;60,$G20+($H20-$G20)*(T93-30)/30,IF(T93&lt;90,$H20+($I20-$H20)*(T93-60)/30,IF(T93&lt;180,$I20+($J20-$I20)*(T93-90)/90,IF(T93&lt;=365,$J20+($K20-$J20)*(T93-180)/185,$K20))))))),"N/D")</f>
        <v>0</v>
      </c>
      <c r="U106" s="7" t="n">
        <f aca="false">IF(COUNT(U93,$G20:$K20,Supuestos!$D$45)=7,IF(9&gt;=Supuestos!$D$45,0,IF(U93&lt;0,0,IF(U93&lt;30,1+($G20-1)*U93/30,IF(U93&lt;60,$G20+($H20-$G20)*(U93-30)/30,IF(U93&lt;90,$H20+($I20-$H20)*(U93-60)/30,IF(U93&lt;180,$I20+($J20-$I20)*(U93-90)/90,IF(U93&lt;=365,$J20+($K20-$J20)*(U93-180)/185,$K20))))))),"N/D")</f>
        <v>0</v>
      </c>
      <c r="V106" s="7" t="n">
        <f aca="false">IF(COUNT(V93,$G20:$K20,Supuestos!$D$45)=7,IF(10&gt;=Supuestos!$D$45,0,IF(V93&lt;0,0,IF(V93&lt;30,1+($G20-1)*V93/30,IF(V93&lt;60,$G20+($H20-$G20)*(V93-30)/30,IF(V93&lt;90,$H20+($I20-$H20)*(V93-60)/30,IF(V93&lt;180,$I20+($J20-$I20)*(V93-90)/90,IF(V93&lt;=365,$J20+($K20-$J20)*(V93-180)/185,$K20))))))),"N/D")</f>
        <v>0</v>
      </c>
      <c r="W106" s="7" t="n">
        <f aca="false">IF(COUNT(W93,$G20:$K20,Supuestos!$D$45)=7,IF(11&gt;=Supuestos!$D$45,0,IF(W93&lt;0,0,IF(W93&lt;30,1+($G20-1)*W93/30,IF(W93&lt;60,$G20+($H20-$G20)*(W93-30)/30,IF(W93&lt;90,$H20+($I20-$H20)*(W93-60)/30,IF(W93&lt;180,$I20+($J20-$I20)*(W93-90)/90,IF(W93&lt;=365,$J20+($K20-$J20)*(W93-180)/185,$K20))))))),"N/D")</f>
        <v>0.973333333333333</v>
      </c>
    </row>
    <row r="107" customFormat="false" ht="19.5" hidden="false" customHeight="true" outlineLevel="0" collapsed="false"/>
    <row r="108" customFormat="false" ht="19.5" hidden="false" customHeight="true" outlineLevel="0" collapsed="false"/>
  </sheetData>
  <mergeCells count="5">
    <mergeCell ref="C24:W24"/>
    <mergeCell ref="C28:K28"/>
    <mergeCell ref="C48:K48"/>
    <mergeCell ref="C80:K80"/>
    <mergeCell ref="C94:K94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11" min="7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149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30" hidden="false" customHeight="true" outlineLevel="0" collapsed="false">
      <c r="C6" s="3" t="s">
        <v>150</v>
      </c>
      <c r="D6" s="3" t="s">
        <v>151</v>
      </c>
      <c r="E6" s="3" t="s">
        <v>4</v>
      </c>
    </row>
    <row r="7" customFormat="false" ht="19.5" hidden="false" customHeight="true" outlineLevel="0" collapsed="false"/>
    <row r="8" customFormat="false" ht="19.5" hidden="false" customHeight="true" outlineLevel="0" collapsed="false">
      <c r="C8" s="4" t="s">
        <v>152</v>
      </c>
      <c r="D8" s="8" t="str">
        <f aca="false">IF(Supuestos!D16="Sí",IF(Supuestos!D52="Saldo medio externo",IF(COUNT(Supuestos!D17,Decision!D11,Supuestos!D45)=3,Decision!D11*Supuestos!D17*Supuestos!D45/12,"N/D"),IF(COUNT(Supuestos!D54,Decision!D20)=2,Supuestos!D54*Decision!D20,"N/D")),"N/D")</f>
        <v>N/D</v>
      </c>
    </row>
    <row r="9" customFormat="false" ht="19.5" hidden="false" customHeight="true" outlineLevel="0" collapsed="false">
      <c r="C9" s="4" t="s">
        <v>153</v>
      </c>
      <c r="D9" s="8" t="str">
        <f aca="false">IF(COUNT(D8,Supuestos!D18)=2,IF(Supuestos!D18&gt;=0,D8/(1+Supuestos!D18),"N/D"),"N/D")</f>
        <v>N/D</v>
      </c>
    </row>
    <row r="10" customFormat="false" ht="19.5" hidden="false" customHeight="true" outlineLevel="0" collapsed="false"/>
    <row r="11" customFormat="false" ht="19.5" hidden="false" customHeight="true" outlineLevel="0" collapsed="false">
      <c r="C11" s="4" t="s">
        <v>154</v>
      </c>
      <c r="D11" s="8" t="str">
        <f aca="false">IF(AND(Supuestos!D20="Sí",COUNT(Supuestos!D21,Supuestos!D23)=2,Supuestos!D21&gt;=0),Supuestos!D21*Supuestos!D23,"N/D")</f>
        <v>N/D</v>
      </c>
    </row>
    <row r="12" customFormat="false" ht="19.5" hidden="false" customHeight="true" outlineLevel="0" collapsed="false">
      <c r="C12" s="4" t="s">
        <v>155</v>
      </c>
      <c r="D12" s="8" t="str">
        <f aca="false">IF(COUNT(Supuestos!D25)=1,IF(Supuestos!D25&gt;=0,Supuestos!D25,"N/D"),"N/D")</f>
        <v>N/D</v>
      </c>
    </row>
    <row r="13" customFormat="false" ht="19.5" hidden="false" customHeight="true" outlineLevel="0" collapsed="false">
      <c r="C13" s="4" t="s">
        <v>156</v>
      </c>
      <c r="D13" s="11" t="str">
        <f aca="false">IF(COUNT(D11:D12)=2,SUM(D11:D12),"N/D")</f>
        <v>N/D</v>
      </c>
    </row>
    <row r="14" customFormat="false" ht="19.5" hidden="false" customHeight="true" outlineLevel="0" collapsed="false"/>
    <row r="15" customFormat="false" ht="19.5" hidden="false" customHeight="true" outlineLevel="0" collapsed="false">
      <c r="C15" s="4" t="s">
        <v>157</v>
      </c>
      <c r="D15" s="8" t="str">
        <f aca="false">IF(COUNT(D13,Supuestos!D22)=2,IF(AND(Supuestos!D20="Sí",Supuestos!D22&gt;=0,Supuestos!D22&lt;1),D13/(1-Supuestos!D22),"N/D"),"N/D")</f>
        <v>N/D</v>
      </c>
    </row>
    <row r="16" customFormat="false" ht="19.5" hidden="false" customHeight="true" outlineLevel="0" collapsed="false"/>
    <row r="17" customFormat="false" ht="19.5" hidden="false" customHeight="true" outlineLevel="0" collapsed="false">
      <c r="C17" s="4" t="s">
        <v>158</v>
      </c>
      <c r="D17" s="5" t="str">
        <f aca="false">IF(COUNT(D9,D12,Supuestos!D21,Supuestos!D22)=4,IF(AND(Supuestos!D20="Sí",Supuestos!D21&gt;0,Supuestos!D22&gt;=0,Supuestos!D22&lt;1),MAX(0,(D9*(1-Supuestos!D22)-D12)/Supuestos!D21),"N/D"),"N/D")</f>
        <v>N/D</v>
      </c>
    </row>
    <row r="18" customFormat="false" ht="19.5" hidden="false" customHeight="true" outlineLevel="0" collapsed="false">
      <c r="C18" s="4" t="s">
        <v>159</v>
      </c>
      <c r="D18" s="11" t="str">
        <f aca="false">IF(COUNT(D9,D15)=2,D9-D15,"N/D")</f>
        <v>N/D</v>
      </c>
    </row>
    <row r="19" customFormat="false" ht="19.5" hidden="false" customHeight="true" outlineLevel="0" collapsed="false"/>
    <row r="20" customFormat="false" ht="31.5" hidden="false" customHeight="true" outlineLevel="0" collapsed="false">
      <c r="C20" s="2" t="s">
        <v>160</v>
      </c>
      <c r="D20" s="2"/>
      <c r="E20" s="2"/>
      <c r="F20" s="2"/>
      <c r="G20" s="2"/>
      <c r="H20" s="2"/>
      <c r="I20" s="2"/>
      <c r="J20" s="2"/>
      <c r="K20" s="2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30" hidden="false" customHeight="true" outlineLevel="0" collapsed="false">
      <c r="C23" s="3" t="s">
        <v>161</v>
      </c>
      <c r="D23" s="3" t="s">
        <v>162</v>
      </c>
      <c r="E23" s="3" t="s">
        <v>163</v>
      </c>
      <c r="F23" s="3" t="s">
        <v>164</v>
      </c>
    </row>
    <row r="24" customFormat="false" ht="19.5" hidden="false" customHeight="true" outlineLevel="0" collapsed="false">
      <c r="C24" s="9" t="n">
        <v>0.01</v>
      </c>
      <c r="D24" s="8" t="n">
        <f aca="false">IF(COUNT(Decision!D11,Supuestos!D45)=2,Decision!D11*C24*Supuestos!D45/12,"N/D")</f>
        <v>749.164922653668</v>
      </c>
      <c r="E24" s="8" t="n">
        <f aca="false">IF(COUNT(D24,Supuestos!D18)=2,IF(Supuestos!D18&gt;=0,D24/(1+Supuestos!D18),"N/D"),"N/D")</f>
        <v>749.164922653668</v>
      </c>
      <c r="F24" s="4" t="s">
        <v>165</v>
      </c>
    </row>
    <row r="25" customFormat="false" ht="19.5" hidden="false" customHeight="true" outlineLevel="0" collapsed="false">
      <c r="C25" s="9" t="n">
        <v>0.02</v>
      </c>
      <c r="D25" s="8" t="n">
        <f aca="false">IF(COUNT(Decision!D11,Supuestos!D45)=2,Decision!D11*C25*Supuestos!D45/12,"N/D")</f>
        <v>1498.32984530734</v>
      </c>
      <c r="E25" s="8" t="n">
        <f aca="false">IF(COUNT(D25,Supuestos!D18)=2,IF(Supuestos!D18&gt;=0,D25/(1+Supuestos!D18),"N/D"),"N/D")</f>
        <v>1498.32984530734</v>
      </c>
      <c r="F25" s="4" t="s">
        <v>165</v>
      </c>
    </row>
    <row r="26" customFormat="false" ht="19.5" hidden="false" customHeight="true" outlineLevel="0" collapsed="false">
      <c r="C26" s="9" t="n">
        <v>0.04</v>
      </c>
      <c r="D26" s="8" t="n">
        <f aca="false">IF(COUNT(Decision!D11,Supuestos!D45)=2,Decision!D11*C26*Supuestos!D45/12,"N/D")</f>
        <v>2996.65969061467</v>
      </c>
      <c r="E26" s="8" t="n">
        <f aca="false">IF(COUNT(D26,Supuestos!D18)=2,IF(Supuestos!D18&gt;=0,D26/(1+Supuestos!D18),"N/D"),"N/D")</f>
        <v>2996.65969061467</v>
      </c>
      <c r="F26" s="4" t="s">
        <v>165</v>
      </c>
    </row>
    <row r="27" customFormat="false" ht="19.5" hidden="false" customHeight="true" outlineLevel="0" collapsed="false">
      <c r="C27" s="9" t="n">
        <v>0.06</v>
      </c>
      <c r="D27" s="8" t="n">
        <f aca="false">IF(COUNT(Decision!D11,Supuestos!D45)=2,Decision!D11*C27*Supuestos!D45/12,"N/D")</f>
        <v>4494.98953592201</v>
      </c>
      <c r="E27" s="8" t="n">
        <f aca="false">IF(COUNT(D27,Supuestos!D18)=2,IF(Supuestos!D18&gt;=0,D27/(1+Supuestos!D18),"N/D"),"N/D")</f>
        <v>4494.98953592201</v>
      </c>
      <c r="F27" s="4" t="s">
        <v>166</v>
      </c>
    </row>
    <row r="28" customFormat="false" ht="19.5" hidden="false" customHeight="true" outlineLevel="0" collapsed="false"/>
    <row r="29" customFormat="false" ht="31.5" hidden="false" customHeight="true" outlineLevel="0" collapsed="false">
      <c r="C29" s="2" t="s">
        <v>167</v>
      </c>
      <c r="D29" s="2"/>
      <c r="E29" s="2"/>
      <c r="F29" s="2"/>
      <c r="G29" s="2"/>
      <c r="H29" s="2"/>
      <c r="I29" s="2"/>
      <c r="J29" s="2"/>
      <c r="K29" s="2"/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30" hidden="false" customHeight="true" outlineLevel="0" collapsed="false">
      <c r="C32" s="3" t="s">
        <v>168</v>
      </c>
      <c r="D32" s="3" t="s">
        <v>169</v>
      </c>
      <c r="E32" s="3" t="s">
        <v>170</v>
      </c>
      <c r="F32" s="3" t="s">
        <v>171</v>
      </c>
      <c r="G32" s="3" t="s">
        <v>172</v>
      </c>
    </row>
    <row r="33" customFormat="false" ht="19.5" hidden="false" customHeight="true" outlineLevel="0" collapsed="false">
      <c r="C33" s="4" t="s">
        <v>173</v>
      </c>
      <c r="D33" s="10" t="n">
        <v>814</v>
      </c>
      <c r="E33" s="10" t="n">
        <v>110</v>
      </c>
      <c r="F33" s="10" t="n">
        <v>924</v>
      </c>
      <c r="G33" s="4" t="s">
        <v>174</v>
      </c>
    </row>
    <row r="34" customFormat="false" ht="19.5" hidden="false" customHeight="true" outlineLevel="0" collapsed="false">
      <c r="C34" s="4" t="s">
        <v>175</v>
      </c>
      <c r="D34" s="10" t="n">
        <v>1828</v>
      </c>
      <c r="E34" s="10" t="n">
        <v>216</v>
      </c>
      <c r="F34" s="10" t="n">
        <v>2044</v>
      </c>
      <c r="G34" s="4" t="s">
        <v>176</v>
      </c>
    </row>
    <row r="35" customFormat="false" ht="19.5" hidden="false" customHeight="true" outlineLevel="0" collapsed="false">
      <c r="C35" s="4" t="s">
        <v>177</v>
      </c>
      <c r="D35" s="10" t="n">
        <v>2560</v>
      </c>
      <c r="E35" s="10" t="n">
        <v>336</v>
      </c>
      <c r="F35" s="10" t="n">
        <v>2896</v>
      </c>
      <c r="G35" s="4" t="s">
        <v>176</v>
      </c>
    </row>
    <row r="36" customFormat="false" ht="19.5" hidden="false" customHeight="true" outlineLevel="0" collapsed="false"/>
    <row r="37" customFormat="false" ht="31.5" hidden="false" customHeight="true" outlineLevel="0" collapsed="false">
      <c r="C37" s="2" t="s">
        <v>178</v>
      </c>
      <c r="D37" s="2"/>
      <c r="E37" s="2"/>
      <c r="F37" s="2"/>
      <c r="G37" s="2"/>
      <c r="H37" s="2"/>
      <c r="I37" s="2"/>
      <c r="J37" s="2"/>
      <c r="K37" s="2"/>
    </row>
    <row r="38" customFormat="false" ht="19.5" hidden="false" customHeight="true" outlineLevel="0" collapsed="false"/>
    <row r="39" customFormat="false" ht="31.5" hidden="false" customHeight="true" outlineLevel="0" collapsed="false">
      <c r="C39" s="2" t="s">
        <v>179</v>
      </c>
      <c r="D39" s="2"/>
      <c r="E39" s="2"/>
      <c r="F39" s="2"/>
      <c r="G39" s="2"/>
      <c r="H39" s="2"/>
      <c r="I39" s="2"/>
      <c r="J39" s="2"/>
      <c r="K39" s="2"/>
    </row>
    <row r="40" customFormat="false" ht="31.5" hidden="false" customHeight="true" outlineLevel="0" collapsed="false">
      <c r="C40" s="2" t="s">
        <v>180</v>
      </c>
      <c r="D40" s="2"/>
      <c r="E40" s="2"/>
      <c r="F40" s="2"/>
      <c r="G40" s="2"/>
      <c r="H40" s="2"/>
      <c r="I40" s="2"/>
      <c r="J40" s="2"/>
      <c r="K40" s="2"/>
    </row>
    <row r="41" customFormat="false" ht="19.5" hidden="false" customHeight="true" outlineLevel="0" collapsed="false"/>
    <row r="42" customFormat="false" ht="31.5" hidden="false" customHeight="true" outlineLevel="0" collapsed="false">
      <c r="C42" s="2" t="s">
        <v>181</v>
      </c>
      <c r="D42" s="2"/>
      <c r="E42" s="2"/>
      <c r="F42" s="2"/>
      <c r="G42" s="2"/>
      <c r="H42" s="2"/>
      <c r="I42" s="2"/>
      <c r="J42" s="2"/>
      <c r="K42" s="2"/>
    </row>
    <row r="43" customFormat="false" ht="31.5" hidden="false" customHeight="true" outlineLevel="0" collapsed="false">
      <c r="C43" s="2" t="s">
        <v>182</v>
      </c>
      <c r="D43" s="2"/>
      <c r="E43" s="2"/>
      <c r="F43" s="2"/>
      <c r="G43" s="2"/>
      <c r="H43" s="2"/>
      <c r="I43" s="2"/>
      <c r="J43" s="2"/>
      <c r="K43" s="2"/>
    </row>
    <row r="44" customFormat="false" ht="19.5" hidden="false" customHeight="true" outlineLevel="0" collapsed="false"/>
    <row r="45" customFormat="false" ht="30" hidden="false" customHeight="true" outlineLevel="0" collapsed="false">
      <c r="C45" s="3" t="s">
        <v>183</v>
      </c>
      <c r="D45" s="3" t="s">
        <v>184</v>
      </c>
      <c r="E45" s="3" t="s">
        <v>164</v>
      </c>
    </row>
    <row r="46" customFormat="false" ht="19.5" hidden="false" customHeight="true" outlineLevel="0" collapsed="false">
      <c r="C46" s="15" t="n">
        <v>10000</v>
      </c>
      <c r="D46" s="8" t="n">
        <f aca="false">IF(COUNT(Decision!D20)=1,IF(Decision!D20&gt;0,C46*(1+Supuestos!D18)/Decision!D20,"N/D"),"N/D")</f>
        <v>101.214574898785</v>
      </c>
      <c r="E46" s="4" t="s">
        <v>185</v>
      </c>
    </row>
    <row r="47" customFormat="false" ht="19.5" hidden="false" customHeight="true" outlineLevel="0" collapsed="false">
      <c r="C47" s="15" t="n">
        <v>25000</v>
      </c>
      <c r="D47" s="8" t="n">
        <f aca="false">IF(COUNT(Decision!D20)=1,IF(Decision!D20&gt;0,C47*(1+Supuestos!D18)/Decision!D20,"N/D"),"N/D")</f>
        <v>253.036437246964</v>
      </c>
      <c r="E47" s="4" t="s">
        <v>185</v>
      </c>
    </row>
    <row r="48" customFormat="false" ht="19.5" hidden="false" customHeight="true" outlineLevel="0" collapsed="false">
      <c r="C48" s="15" t="n">
        <v>50000</v>
      </c>
      <c r="D48" s="8" t="n">
        <f aca="false">IF(COUNT(Decision!D20)=1,IF(Decision!D20&gt;0,C48*(1+Supuestos!D18)/Decision!D20,"N/D"),"N/D")</f>
        <v>506.072874493927</v>
      </c>
      <c r="E48" s="4" t="s">
        <v>185</v>
      </c>
    </row>
  </sheetData>
  <mergeCells count="7">
    <mergeCell ref="C20:K20"/>
    <mergeCell ref="C29:K29"/>
    <mergeCell ref="C37:K37"/>
    <mergeCell ref="C39:K39"/>
    <mergeCell ref="C40:K40"/>
    <mergeCell ref="C42:K42"/>
    <mergeCell ref="C43:K43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5"/>
    <col collapsed="false" customWidth="true" hidden="false" outlineLevel="0" max="4" min="4" style="0" width="42"/>
    <col collapsed="false" customWidth="true" hidden="false" outlineLevel="0" max="5" min="5" style="0" width="36"/>
    <col collapsed="false" customWidth="true" hidden="false" outlineLevel="0" max="6" min="6" style="0" width="48"/>
    <col collapsed="false" customWidth="true" hidden="false" outlineLevel="0" max="7" min="7" style="0" width="27"/>
    <col collapsed="false" customWidth="true" hidden="false" outlineLevel="0" max="11" min="8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186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>
      <c r="I5" s="4" t="s">
        <v>187</v>
      </c>
      <c r="J5" s="10" t="n">
        <v>3690</v>
      </c>
    </row>
    <row r="6" customFormat="false" ht="19.5" hidden="false" customHeight="true" outlineLevel="0" collapsed="false"/>
    <row r="7" customFormat="false" ht="30" hidden="false" customHeight="true" outlineLevel="0" collapsed="false">
      <c r="C7" s="3" t="s">
        <v>188</v>
      </c>
      <c r="D7" s="3" t="s">
        <v>189</v>
      </c>
      <c r="E7" s="3" t="s">
        <v>190</v>
      </c>
      <c r="F7" s="3" t="s">
        <v>191</v>
      </c>
      <c r="G7" s="3" t="s">
        <v>192</v>
      </c>
    </row>
    <row r="8" customFormat="false" ht="37.5" hidden="false" customHeight="true" outlineLevel="0" collapsed="false">
      <c r="C8" s="25" t="s">
        <v>193</v>
      </c>
      <c r="D8" s="25" t="s">
        <v>194</v>
      </c>
      <c r="E8" s="25" t="n">
        <v>3690</v>
      </c>
      <c r="F8" s="25" t="s">
        <v>195</v>
      </c>
      <c r="G8" s="25" t="s">
        <v>196</v>
      </c>
    </row>
    <row r="9" customFormat="false" ht="37.5" hidden="false" customHeight="true" outlineLevel="0" collapsed="false">
      <c r="C9" s="25" t="s">
        <v>197</v>
      </c>
      <c r="D9" s="25" t="s">
        <v>198</v>
      </c>
      <c r="E9" s="25" t="n">
        <v>1690</v>
      </c>
      <c r="F9" s="25" t="s">
        <v>199</v>
      </c>
      <c r="G9" s="25" t="s">
        <v>196</v>
      </c>
    </row>
    <row r="10" customFormat="false" ht="37.5" hidden="false" customHeight="true" outlineLevel="0" collapsed="false">
      <c r="C10" s="25" t="s">
        <v>200</v>
      </c>
      <c r="D10" s="25" t="s">
        <v>201</v>
      </c>
      <c r="E10" s="25" t="n">
        <v>4070</v>
      </c>
      <c r="F10" s="25" t="s">
        <v>202</v>
      </c>
      <c r="G10" s="25" t="s">
        <v>196</v>
      </c>
    </row>
    <row r="11" customFormat="false" ht="37.5" hidden="false" customHeight="true" outlineLevel="0" collapsed="false">
      <c r="C11" s="25" t="s">
        <v>203</v>
      </c>
      <c r="D11" s="25" t="s">
        <v>204</v>
      </c>
      <c r="E11" s="25" t="s">
        <v>205</v>
      </c>
      <c r="F11" s="25" t="s">
        <v>206</v>
      </c>
      <c r="G11" s="25" t="s">
        <v>196</v>
      </c>
    </row>
    <row r="12" customFormat="false" ht="37.5" hidden="false" customHeight="true" outlineLevel="0" collapsed="false">
      <c r="C12" s="25" t="s">
        <v>207</v>
      </c>
      <c r="D12" s="25" t="s">
        <v>208</v>
      </c>
      <c r="E12" s="25" t="s">
        <v>196</v>
      </c>
      <c r="F12" s="25" t="s">
        <v>209</v>
      </c>
      <c r="G12" s="25" t="s">
        <v>196</v>
      </c>
    </row>
    <row r="13" customFormat="false" ht="37.5" hidden="false" customHeight="true" outlineLevel="0" collapsed="false">
      <c r="C13" s="25" t="s">
        <v>210</v>
      </c>
      <c r="D13" s="25" t="s">
        <v>211</v>
      </c>
      <c r="E13" s="25" t="s">
        <v>196</v>
      </c>
      <c r="F13" s="25" t="s">
        <v>212</v>
      </c>
      <c r="G13" s="25" t="s">
        <v>196</v>
      </c>
    </row>
    <row r="14" customFormat="false" ht="37.5" hidden="false" customHeight="true" outlineLevel="0" collapsed="false">
      <c r="C14" s="25" t="s">
        <v>213</v>
      </c>
      <c r="D14" s="25" t="s">
        <v>214</v>
      </c>
      <c r="E14" s="25" t="n">
        <v>480</v>
      </c>
      <c r="F14" s="25" t="s">
        <v>215</v>
      </c>
      <c r="G14" s="25" t="s">
        <v>196</v>
      </c>
    </row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31.5" hidden="false" customHeight="true" outlineLevel="0" collapsed="false">
      <c r="C18" s="2" t="s">
        <v>216</v>
      </c>
      <c r="D18" s="2"/>
      <c r="E18" s="2"/>
      <c r="F18" s="2"/>
      <c r="G18" s="2"/>
      <c r="H18" s="2"/>
      <c r="I18" s="2"/>
      <c r="J18" s="2"/>
      <c r="K18" s="2"/>
    </row>
    <row r="19" customFormat="false" ht="31.5" hidden="false" customHeight="true" outlineLevel="0" collapsed="false">
      <c r="C19" s="2" t="s">
        <v>217</v>
      </c>
      <c r="D19" s="2"/>
      <c r="E19" s="2"/>
      <c r="F19" s="2"/>
      <c r="G19" s="2"/>
      <c r="H19" s="2"/>
      <c r="I19" s="2"/>
      <c r="J19" s="2"/>
      <c r="K19" s="2"/>
    </row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30" hidden="false" customHeight="true" outlineLevel="0" collapsed="false">
      <c r="C22" s="3" t="s">
        <v>218</v>
      </c>
      <c r="D22" s="3" t="s">
        <v>219</v>
      </c>
      <c r="E22" s="3" t="s">
        <v>220</v>
      </c>
      <c r="F22" s="3" t="s">
        <v>221</v>
      </c>
    </row>
    <row r="23" customFormat="false" ht="45" hidden="false" customHeight="true" outlineLevel="0" collapsed="false">
      <c r="C23" s="26" t="s">
        <v>222</v>
      </c>
      <c r="D23" s="26" t="s">
        <v>223</v>
      </c>
      <c r="E23" s="26" t="s">
        <v>224</v>
      </c>
      <c r="F23" s="26" t="s">
        <v>225</v>
      </c>
    </row>
    <row r="24" customFormat="false" ht="45" hidden="false" customHeight="true" outlineLevel="0" collapsed="false">
      <c r="C24" s="26" t="s">
        <v>226</v>
      </c>
      <c r="D24" s="26" t="s">
        <v>227</v>
      </c>
      <c r="E24" s="26" t="s">
        <v>228</v>
      </c>
      <c r="F24" s="26" t="s">
        <v>229</v>
      </c>
    </row>
    <row r="25" customFormat="false" ht="45" hidden="false" customHeight="true" outlineLevel="0" collapsed="false">
      <c r="C25" s="26" t="s">
        <v>230</v>
      </c>
      <c r="D25" s="26" t="s">
        <v>231</v>
      </c>
      <c r="E25" s="26" t="s">
        <v>232</v>
      </c>
      <c r="F25" s="26" t="s">
        <v>233</v>
      </c>
    </row>
    <row r="26" customFormat="false" ht="45" hidden="false" customHeight="true" outlineLevel="0" collapsed="false">
      <c r="C26" s="26" t="s">
        <v>234</v>
      </c>
      <c r="D26" s="26" t="s">
        <v>235</v>
      </c>
      <c r="E26" s="26" t="s">
        <v>236</v>
      </c>
      <c r="F26" s="26" t="s">
        <v>237</v>
      </c>
    </row>
    <row r="27" customFormat="false" ht="45" hidden="false" customHeight="true" outlineLevel="0" collapsed="false">
      <c r="C27" s="26" t="s">
        <v>238</v>
      </c>
      <c r="D27" s="26" t="s">
        <v>239</v>
      </c>
      <c r="E27" s="26" t="s">
        <v>240</v>
      </c>
      <c r="F27" s="26" t="s">
        <v>241</v>
      </c>
    </row>
    <row r="28" customFormat="false" ht="45" hidden="false" customHeight="true" outlineLevel="0" collapsed="false">
      <c r="C28" s="26" t="s">
        <v>242</v>
      </c>
      <c r="D28" s="26" t="s">
        <v>243</v>
      </c>
      <c r="E28" s="26" t="s">
        <v>244</v>
      </c>
      <c r="F28" s="26" t="s">
        <v>196</v>
      </c>
    </row>
    <row r="29" customFormat="false" ht="45" hidden="false" customHeight="true" outlineLevel="0" collapsed="false">
      <c r="C29" s="26" t="s">
        <v>245</v>
      </c>
      <c r="D29" s="26" t="s">
        <v>246</v>
      </c>
      <c r="E29" s="26" t="s">
        <v>247</v>
      </c>
      <c r="F29" s="26" t="s">
        <v>196</v>
      </c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31.5" hidden="false" customHeight="true" outlineLevel="0" collapsed="false">
      <c r="C32" s="2" t="s">
        <v>248</v>
      </c>
      <c r="D32" s="2"/>
      <c r="E32" s="2"/>
      <c r="F32" s="2"/>
      <c r="G32" s="2"/>
      <c r="H32" s="2"/>
      <c r="I32" s="2"/>
      <c r="J32" s="2"/>
      <c r="K32" s="2"/>
    </row>
    <row r="33" customFormat="false" ht="19.5" hidden="false" customHeight="true" outlineLevel="0" collapsed="false"/>
    <row r="34" customFormat="false" ht="31.5" hidden="false" customHeight="true" outlineLevel="0" collapsed="false">
      <c r="C34" s="2" t="s">
        <v>249</v>
      </c>
      <c r="D34" s="2"/>
      <c r="E34" s="2"/>
      <c r="F34" s="2"/>
      <c r="G34" s="2"/>
      <c r="H34" s="2"/>
      <c r="I34" s="2"/>
      <c r="J34" s="2"/>
      <c r="K34" s="2"/>
    </row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</sheetData>
  <mergeCells count="4">
    <mergeCell ref="C18:K18"/>
    <mergeCell ref="C19:K19"/>
    <mergeCell ref="C32:K32"/>
    <mergeCell ref="C34:K34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1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250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31.5" hidden="false" customHeight="true" outlineLevel="0" collapsed="false">
      <c r="C5" s="2" t="s">
        <v>251</v>
      </c>
      <c r="D5" s="2"/>
      <c r="E5" s="2"/>
      <c r="F5" s="2"/>
      <c r="G5" s="2"/>
      <c r="H5" s="2"/>
      <c r="I5" s="2"/>
      <c r="J5" s="2"/>
      <c r="K5" s="2"/>
    </row>
    <row r="6" customFormat="false" ht="19.5" hidden="false" customHeight="true" outlineLevel="0" collapsed="false"/>
    <row r="7" customFormat="false" ht="31.5" hidden="false" customHeight="true" outlineLevel="0" collapsed="false">
      <c r="C7" s="2" t="s">
        <v>252</v>
      </c>
      <c r="D7" s="2"/>
      <c r="E7" s="2"/>
      <c r="F7" s="2"/>
      <c r="G7" s="2"/>
      <c r="H7" s="2"/>
      <c r="I7" s="2"/>
      <c r="J7" s="2"/>
      <c r="K7" s="2"/>
    </row>
    <row r="8" customFormat="false" ht="19.5" hidden="false" customHeight="true" outlineLevel="0" collapsed="false"/>
    <row r="9" customFormat="false" ht="31.5" hidden="false" customHeight="true" outlineLevel="0" collapsed="false">
      <c r="C9" s="2" t="s">
        <v>253</v>
      </c>
      <c r="D9" s="2"/>
      <c r="E9" s="2"/>
      <c r="F9" s="2"/>
      <c r="G9" s="2"/>
      <c r="H9" s="2"/>
      <c r="I9" s="2"/>
      <c r="J9" s="2"/>
      <c r="K9" s="2"/>
    </row>
    <row r="10" customFormat="false" ht="19.5" hidden="false" customHeight="true" outlineLevel="0" collapsed="false"/>
    <row r="11" customFormat="false" ht="31.5" hidden="false" customHeight="true" outlineLevel="0" collapsed="false">
      <c r="C11" s="2" t="s">
        <v>254</v>
      </c>
      <c r="D11" s="2"/>
      <c r="E11" s="2"/>
      <c r="F11" s="2"/>
      <c r="G11" s="2"/>
      <c r="H11" s="2"/>
      <c r="I11" s="2"/>
      <c r="J11" s="2"/>
      <c r="K11" s="2"/>
    </row>
    <row r="12" customFormat="false" ht="19.5" hidden="false" customHeight="true" outlineLevel="0" collapsed="false"/>
    <row r="13" customFormat="false" ht="31.5" hidden="false" customHeight="true" outlineLevel="0" collapsed="false">
      <c r="C13" s="2" t="s">
        <v>255</v>
      </c>
      <c r="D13" s="2"/>
      <c r="E13" s="2"/>
      <c r="F13" s="2"/>
      <c r="G13" s="2"/>
      <c r="H13" s="2"/>
      <c r="I13" s="2"/>
      <c r="J13" s="2"/>
      <c r="K13" s="2"/>
    </row>
    <row r="14" customFormat="false" ht="19.5" hidden="false" customHeight="true" outlineLevel="0" collapsed="false"/>
    <row r="15" customFormat="false" ht="31.5" hidden="false" customHeight="true" outlineLevel="0" collapsed="false">
      <c r="C15" s="2" t="s">
        <v>256</v>
      </c>
      <c r="D15" s="2"/>
      <c r="E15" s="2"/>
      <c r="F15" s="2"/>
      <c r="G15" s="2"/>
      <c r="H15" s="2"/>
      <c r="I15" s="2"/>
      <c r="J15" s="2"/>
      <c r="K15" s="2"/>
    </row>
    <row r="16" customFormat="false" ht="19.5" hidden="false" customHeight="true" outlineLevel="0" collapsed="false"/>
    <row r="17" customFormat="false" ht="31.5" hidden="false" customHeight="true" outlineLevel="0" collapsed="false">
      <c r="C17" s="2" t="s">
        <v>257</v>
      </c>
      <c r="D17" s="2"/>
      <c r="E17" s="2"/>
      <c r="F17" s="2"/>
      <c r="G17" s="2"/>
      <c r="H17" s="2"/>
      <c r="I17" s="2"/>
      <c r="J17" s="2"/>
      <c r="K17" s="2"/>
    </row>
    <row r="18" customFormat="false" ht="19.5" hidden="false" customHeight="true" outlineLevel="0" collapsed="false"/>
    <row r="19" customFormat="false" ht="31.5" hidden="false" customHeight="true" outlineLevel="0" collapsed="false">
      <c r="C19" s="2" t="s">
        <v>258</v>
      </c>
      <c r="D19" s="2"/>
      <c r="E19" s="2"/>
      <c r="F19" s="2"/>
      <c r="G19" s="2"/>
      <c r="H19" s="2"/>
      <c r="I19" s="2"/>
      <c r="J19" s="2"/>
      <c r="K19" s="2"/>
    </row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</sheetData>
  <mergeCells count="8">
    <mergeCell ref="C5:K5"/>
    <mergeCell ref="C7:K7"/>
    <mergeCell ref="C9:K9"/>
    <mergeCell ref="C11:K11"/>
    <mergeCell ref="C13:K13"/>
    <mergeCell ref="C15:K15"/>
    <mergeCell ref="C17:K17"/>
    <mergeCell ref="C19:K19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2026-10-06T23:46:20Z</dcterms:created>
  <dc:creator>openpyxl</dc:creator>
  <dc:description/>
  <dc:language>es-ES</dc:language>
  <cp:lastModifiedBy/>
  <dcterms:modified xsi:type="dcterms:W3CDTF">2026-10-06T23:46:20Z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