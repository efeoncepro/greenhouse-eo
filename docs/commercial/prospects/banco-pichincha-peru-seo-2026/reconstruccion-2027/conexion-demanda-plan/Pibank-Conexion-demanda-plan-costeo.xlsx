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EER PRIMERO" sheetId="1" state="visible" r:id="rId3"/>
    <sheet name="Supuestos" sheetId="2" state="visible" r:id="rId4"/>
    <sheet name="Familias" sheetId="3" state="visible" r:id="rId5"/>
    <sheet name="Trafico por mes" sheetId="4" state="visible" r:id="rId6"/>
    <sheet name="Panel resumen" sheetId="5" state="visible" r:id="rId7"/>
    <sheet name="Costeo" sheetId="6" state="visible" r:id="rId8"/>
    <sheet name="Precio" sheetId="7" state="visible" r:id="rId9"/>
    <sheet name="Trabajo" sheetId="8" state="visible" r:id="rId10"/>
    <sheet name="Asignacion" sheetId="9" state="visible" r:id="rId11"/>
    <sheet name="Conversion existente" sheetId="10" state="visible" r:id="rId12"/>
    <sheet name="Aporte por familia" sheetId="11" state="visible" r:id="rId13"/>
    <sheet name="24 articulos" sheetId="12" state="visible" r:id="rId14"/>
    <sheet name="Prioridad calendario" sheetId="13" state="visible" r:id="rId15"/>
    <sheet name="Fuentes" sheetId="14" state="visible" r:id="rId16"/>
  </sheets>
  <definedNames>
    <definedName function="false" hidden="true" localSheetId="3" name="_xlnm._FilterDatabase" vbProcedure="false">'Trafico por mes'!$A$1:$H$685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<sst xmlns="http://schemas.openxmlformats.org/spreadsheetml/2006/main" count="3456" uniqueCount="457">
  <si>
    <t xml:space="preserve">Tema</t>
  </si>
  <si>
    <t xml:space="preserve">Interpretación</t>
  </si>
  <si>
    <t xml:space="preserve">Estado</t>
  </si>
  <si>
    <t xml:space="preserve">Anexo de trabajo del 07-10-2026. Usa los volúmenes existentes de 19 familias; no reemplaza el Excel anterior.</t>
  </si>
  <si>
    <t xml:space="preserve">Meta preservada</t>
  </si>
  <si>
    <t xml:space="preserve">15.200 cuentas con fondos × USD 2.500 = USD 38m de referencia. A 2% de apertura y 65% de fondeo: 1.169.231 visitas requeridas.</t>
  </si>
  <si>
    <t xml:space="preserve">Búsquedas rivales</t>
  </si>
  <si>
    <t xml:space="preserve">Incluidas las cinco familias existentes, con sus volúmenes originales y sin descuento automático por marca.</t>
  </si>
  <si>
    <t xml:space="preserve">Qué es nuevo</t>
  </si>
  <si>
    <t xml:space="preserve">Hipótesis editables de captura y maduración; conexión con recursos del calendario; costo del alcance ampliado.</t>
  </si>
  <si>
    <t xml:space="preserve">Lectura de resultados</t>
  </si>
  <si>
    <t xml:space="preserve">La suma del panel es sensibilidad aritmética antes de conciliar solapamiento. No es forecast del programa ni aporte incremental demostrado. Cifras pequeñas no invalidan el resto del programa; tampoco se inflan para alcanzar la meta.</t>
  </si>
  <si>
    <t xml:space="preserve">Otros mecanismos</t>
  </si>
  <si>
    <t xml:space="preserve">PR, comunidad, marca y referencias IA se miden con datos reales. La mejora sobre tráfico existente se compara con una referencia y no se duplica como canal.</t>
  </si>
  <si>
    <t xml:space="preserve">Costo propuesto</t>
  </si>
  <si>
    <t xml:space="preserve">USD 8,000/mes para revisión de Julio. Costos complementarios usan referencia seed, no cotizaciones. No es precio aprobado.</t>
  </si>
  <si>
    <t xml:space="preserve">Equipo</t>
  </si>
  <si>
    <t xml:space="preserve">Reserva propuesta: 50% redacción, 30% diseño, 100% SEO. Valentina/diseñadores existentes reducen caja adicional sólo si hay disponibilidad; conservan costo económico.</t>
  </si>
  <si>
    <t xml:space="preserve">Uso</t>
  </si>
  <si>
    <t xml:space="preserve">Azul = hipótesis editable. Inputs de búsquedas copiados de fuente. Fórmulas incluyen resultados calculados localmente; Excel Desktop no operado.</t>
  </si>
  <si>
    <t xml:space="preserve">Datos pendientes</t>
  </si>
  <si>
    <t xml:space="preserve">Conversiones, tráfico de referencia y periodo bancario; capacidades individuales, costos fully loaded y terceros. Fondos no equivalen a beneficio bancario.</t>
  </si>
  <si>
    <t xml:space="preserve">Variable</t>
  </si>
  <si>
    <t xml:space="preserve">Valor</t>
  </si>
  <si>
    <t xml:space="preserve">Procedencia</t>
  </si>
  <si>
    <t xml:space="preserve">opening</t>
  </si>
  <si>
    <t xml:space="preserve">Conservado del modelo original</t>
  </si>
  <si>
    <t xml:space="preserve">funding</t>
  </si>
  <si>
    <t xml:space="preserve">goal</t>
  </si>
  <si>
    <t xml:space="preserve">Meta de cuentas con fondos aclarada por Julio</t>
  </si>
  <si>
    <t xml:space="preserve">ticket</t>
  </si>
  <si>
    <t xml:space="preserve">Referencia USD, no beneficio ni producto USD</t>
  </si>
  <si>
    <t xml:space="preserve">reserve</t>
  </si>
  <si>
    <t xml:space="preserve">Nueva provisión de trabajo/costo</t>
  </si>
  <si>
    <t xml:space="preserve">loading</t>
  </si>
  <si>
    <t xml:space="preserve">Provisión cargas; sustituir por costo real</t>
  </si>
  <si>
    <t xml:space="preserve">margin</t>
  </si>
  <si>
    <t xml:space="preserve">Objetivo de margen propuesto</t>
  </si>
  <si>
    <t xml:space="preserve">fee</t>
  </si>
  <si>
    <t xml:space="preserve">Fee propuesto, no aprobado</t>
  </si>
  <si>
    <t xml:space="preserve">capture_prudente</t>
  </si>
  <si>
    <t xml:space="preserve">Sensibilidad de captura efectiva; no dato medido</t>
  </si>
  <si>
    <t xml:space="preserve">capture_trabajo</t>
  </si>
  <si>
    <t xml:space="preserve">capture_expansion</t>
  </si>
  <si>
    <t xml:space="preserve">age_0</t>
  </si>
  <si>
    <t xml:space="preserve">Maduración hipotética desde recurso listo</t>
  </si>
  <si>
    <t xml:space="preserve">age_1</t>
  </si>
  <si>
    <t xml:space="preserve">age_2</t>
  </si>
  <si>
    <t xml:space="preserve">age_3</t>
  </si>
  <si>
    <t xml:space="preserve">age_4</t>
  </si>
  <si>
    <t xml:space="preserve">age_5</t>
  </si>
  <si>
    <t xml:space="preserve">age_6</t>
  </si>
  <si>
    <t xml:space="preserve">allocation_writer</t>
  </si>
  <si>
    <t xml:space="preserve">Asignación candidata de capacidad</t>
  </si>
  <si>
    <t xml:space="preserve">writer_bajo</t>
  </si>
  <si>
    <t xml:space="preserve">Costo mensual aproximado entregado por Julio</t>
  </si>
  <si>
    <t xml:space="preserve">writer_central</t>
  </si>
  <si>
    <t xml:space="preserve">writer_alto</t>
  </si>
  <si>
    <t xml:space="preserve">allocation_designer</t>
  </si>
  <si>
    <t xml:space="preserve">designer_bajo</t>
  </si>
  <si>
    <t xml:space="preserve">designer_central</t>
  </si>
  <si>
    <t xml:space="preserve">designer_alto</t>
  </si>
  <si>
    <t xml:space="preserve">allocation_seo</t>
  </si>
  <si>
    <t xml:space="preserve">seo_bajo</t>
  </si>
  <si>
    <t xml:space="preserve">seo_central</t>
  </si>
  <si>
    <t xml:space="preserve">seo_alto</t>
  </si>
  <si>
    <t xml:space="preserve">seed_bajo</t>
  </si>
  <si>
    <t xml:space="preserve">Sensibilidad sobre referencia seed; no cotización</t>
  </si>
  <si>
    <t xml:space="preserve">other_bajo</t>
  </si>
  <si>
    <t xml:space="preserve">Provisión herramientas/otros mensual</t>
  </si>
  <si>
    <t xml:space="preserve">seed_central</t>
  </si>
  <si>
    <t xml:space="preserve">other_central</t>
  </si>
  <si>
    <t xml:space="preserve">seed_alto</t>
  </si>
  <si>
    <t xml:space="preserve">other_alto</t>
  </si>
  <si>
    <t xml:space="preserve">ID</t>
  </si>
  <si>
    <t xml:space="preserve">Familia</t>
  </si>
  <si>
    <t xml:space="preserve">Carril</t>
  </si>
  <si>
    <t xml:space="preserve">Consulta</t>
  </si>
  <si>
    <t xml:space="preserve">Volumen fuente mensual</t>
  </si>
  <si>
    <t xml:space="preserve">Mes listo</t>
  </si>
  <si>
    <t xml:space="preserve">Activo</t>
  </si>
  <si>
    <t xml:space="preserve">Fuente</t>
  </si>
  <si>
    <t xml:space="preserve">Fecha volumen</t>
  </si>
  <si>
    <t xml:space="preserve">G01</t>
  </si>
  <si>
    <t xml:space="preserve">Cuenta de ahorro</t>
  </si>
  <si>
    <t xml:space="preserve">direct</t>
  </si>
  <si>
    <t xml:space="preserve">cuenta de ahorros</t>
  </si>
  <si>
    <t xml:space="preserve">Pilar</t>
  </si>
  <si>
    <t xml:space="preserve">research/pibank-demand-2026-10-06/keyword-overview-provider.json</t>
  </si>
  <si>
    <t xml:space="preserve">2026-09-17 05:09:54 +00:00</t>
  </si>
  <si>
    <t xml:space="preserve">G02</t>
  </si>
  <si>
    <t xml:space="preserve">Intereses sobre ahorro</t>
  </si>
  <si>
    <t xml:space="preserve">cuenta de ahorro con intereses</t>
  </si>
  <si>
    <t xml:space="preserve">Calculadora / ART-03</t>
  </si>
  <si>
    <t xml:space="preserve">research/pibank-expanded-2026-10-06/ranked-01-provider.json</t>
  </si>
  <si>
    <t xml:space="preserve">2026-09-13 19:50:52 +00:00</t>
  </si>
  <si>
    <t xml:space="preserve">G03</t>
  </si>
  <si>
    <t xml:space="preserve">Comparar cuentas en Perú</t>
  </si>
  <si>
    <t xml:space="preserve">mejores cuentas de ahorro peru</t>
  </si>
  <si>
    <t xml:space="preserve">ART-05 / Comparador</t>
  </si>
  <si>
    <t xml:space="preserve">2026-09-12 20:56:31 +00:00</t>
  </si>
  <si>
    <t xml:space="preserve">G04</t>
  </si>
  <si>
    <t xml:space="preserve">Abrir una cuenta de ahorro</t>
  </si>
  <si>
    <t xml:space="preserve">abrir cuenta de ahorros</t>
  </si>
  <si>
    <t xml:space="preserve">ART-02</t>
  </si>
  <si>
    <t xml:space="preserve">2026-09-14 12:25:03 +00:00</t>
  </si>
  <si>
    <t xml:space="preserve">G05</t>
  </si>
  <si>
    <t xml:space="preserve">Costos de mantenimiento</t>
  </si>
  <si>
    <t xml:space="preserve">cuenta de ahorros sin mantenimiento</t>
  </si>
  <si>
    <t xml:space="preserve">2026-09-17 23:57:04 +00:00</t>
  </si>
  <si>
    <t xml:space="preserve">G06</t>
  </si>
  <si>
    <t xml:space="preserve">Requisitos de apertura</t>
  </si>
  <si>
    <t xml:space="preserve">requisitos para abrir una cuenta de ahorros</t>
  </si>
  <si>
    <t xml:space="preserve">research/pibank-expanded-2026-10-06/suggestion-01-provider.json</t>
  </si>
  <si>
    <t xml:space="preserve">2026-09-17 10:31:22 +00:00</t>
  </si>
  <si>
    <t xml:space="preserve">C01</t>
  </si>
  <si>
    <t xml:space="preserve">Ahorro de alto rendimiento</t>
  </si>
  <si>
    <t xml:space="preserve">conditional</t>
  </si>
  <si>
    <t xml:space="preserve">cuentas de ahorro de alto rendimiento</t>
  </si>
  <si>
    <t xml:space="preserve">Pilar / ART-03</t>
  </si>
  <si>
    <t xml:space="preserve">2026-09-14 10:11:37 +00:00</t>
  </si>
  <si>
    <t xml:space="preserve">C02</t>
  </si>
  <si>
    <t xml:space="preserve">Cuenta digital</t>
  </si>
  <si>
    <t xml:space="preserve">cuenta digital</t>
  </si>
  <si>
    <t xml:space="preserve">Pilar / ART-02</t>
  </si>
  <si>
    <t xml:space="preserve">research/pibank-expanded-2026-10-06/ranked-05-provider.json</t>
  </si>
  <si>
    <t xml:space="preserve">2026-09-12 08:53:56 +00:00</t>
  </si>
  <si>
    <t xml:space="preserve">C03</t>
  </si>
  <si>
    <t xml:space="preserve">Dónde ahorrar y ganar intereses</t>
  </si>
  <si>
    <t xml:space="preserve">en que banco puedo ahorrar mi dinero y ganar intereses</t>
  </si>
  <si>
    <t xml:space="preserve">ART-05</t>
  </si>
  <si>
    <t xml:space="preserve">2026-09-14 06:37:02 +00:00</t>
  </si>
  <si>
    <t xml:space="preserve">C04</t>
  </si>
  <si>
    <t xml:space="preserve">Qué banco paga más intereses Perú</t>
  </si>
  <si>
    <t xml:space="preserve">que banco paga mas intereses en peru</t>
  </si>
  <si>
    <t xml:space="preserve">2026-09-16 04:22:34 +00:00</t>
  </si>
  <si>
    <t xml:space="preserve">B01</t>
  </si>
  <si>
    <t xml:space="preserve">Ahorro BCP</t>
  </si>
  <si>
    <t xml:space="preserve">competitor</t>
  </si>
  <si>
    <t xml:space="preserve">cuenta de ahorro del bcp</t>
  </si>
  <si>
    <t xml:space="preserve">ART-13</t>
  </si>
  <si>
    <t xml:space="preserve">research/pibank-expanded-2026-10-06/ranked-08-provider.json</t>
  </si>
  <si>
    <t xml:space="preserve">2026-09-13 15:51:41 +00:00</t>
  </si>
  <si>
    <t xml:space="preserve">B02</t>
  </si>
  <si>
    <t xml:space="preserve">Súper Tasa Interbank</t>
  </si>
  <si>
    <t xml:space="preserve">cuenta super tasa interbank</t>
  </si>
  <si>
    <t xml:space="preserve">ART-10</t>
  </si>
  <si>
    <t xml:space="preserve">2026-09-17 15:28:44 +00:00</t>
  </si>
  <si>
    <t xml:space="preserve">B03</t>
  </si>
  <si>
    <t xml:space="preserve">Power Scotiabank</t>
  </si>
  <si>
    <t xml:space="preserve">cuenta power scotiabank</t>
  </si>
  <si>
    <t xml:space="preserve">ART-12</t>
  </si>
  <si>
    <t xml:space="preserve">research/pibank-expanded-2026-10-06/ranked-04-provider.json</t>
  </si>
  <si>
    <t xml:space="preserve">2026-09-15 03:38:50 +00:00</t>
  </si>
  <si>
    <t xml:space="preserve">B04</t>
  </si>
  <si>
    <t xml:space="preserve">Cuenta digital Scotiabank</t>
  </si>
  <si>
    <t xml:space="preserve">cuenta digital scotiabank</t>
  </si>
  <si>
    <t xml:space="preserve">2026-09-16 06:58:02 +00:00</t>
  </si>
  <si>
    <t xml:space="preserve">B05</t>
  </si>
  <si>
    <t xml:space="preserve">Cuenta digital BBVA</t>
  </si>
  <si>
    <t xml:space="preserve">cuenta digital bbva</t>
  </si>
  <si>
    <t xml:space="preserve">ART-16</t>
  </si>
  <si>
    <t xml:space="preserve">2026-09-14 16:53:57 +00:00</t>
  </si>
  <si>
    <t xml:space="preserve">E01</t>
  </si>
  <si>
    <t xml:space="preserve">Entender TREA</t>
  </si>
  <si>
    <t xml:space="preserve">assisted</t>
  </si>
  <si>
    <t xml:space="preserve">trea</t>
  </si>
  <si>
    <t xml:space="preserve">ART-01</t>
  </si>
  <si>
    <t xml:space="preserve">research/pibank-expanded-2026-10-06/ranked-09-provider.json</t>
  </si>
  <si>
    <t xml:space="preserve">2026-09-15 02:25:03 +00:00</t>
  </si>
  <si>
    <t xml:space="preserve">E02</t>
  </si>
  <si>
    <t xml:space="preserve">Seguro de depósitos</t>
  </si>
  <si>
    <t xml:space="preserve">fondo de seguro de depositos</t>
  </si>
  <si>
    <t xml:space="preserve">ART-08</t>
  </si>
  <si>
    <t xml:space="preserve">2026-09-13 13:52:33 +00:00</t>
  </si>
  <si>
    <t xml:space="preserve">E03</t>
  </si>
  <si>
    <t xml:space="preserve">Qué es cuenta de ahorro</t>
  </si>
  <si>
    <t xml:space="preserve">que es una cuenta de ahorro</t>
  </si>
  <si>
    <t xml:space="preserve">2026-09-14 05:10:22 +00:00</t>
  </si>
  <si>
    <t xml:space="preserve">E04</t>
  </si>
  <si>
    <t xml:space="preserve">Cómo ahorrar dinero</t>
  </si>
  <si>
    <t xml:space="preserve">como ahorrar dinero</t>
  </si>
  <si>
    <t xml:space="preserve">ART-06</t>
  </si>
  <si>
    <t xml:space="preserve">research/pibank-expanded-2026-10-06/extra-related-01-provider.json</t>
  </si>
  <si>
    <t xml:space="preserve">2026-09-16 20:21:11 +00:00</t>
  </si>
  <si>
    <t xml:space="preserve">Escenario</t>
  </si>
  <si>
    <t xml:space="preserve">Mes</t>
  </si>
  <si>
    <t xml:space="preserve">Captura supuesto</t>
  </si>
  <si>
    <t xml:space="preserve">Madurez supuesto</t>
  </si>
  <si>
    <t xml:space="preserve">Visitas equivalentes de prueba</t>
  </si>
  <si>
    <t xml:space="preserve">Aperturas prueba</t>
  </si>
  <si>
    <t xml:space="preserve">Fondeadas prueba</t>
  </si>
  <si>
    <t xml:space="preserve">prudente</t>
  </si>
  <si>
    <t xml:space="preserve">trabajo</t>
  </si>
  <si>
    <t xml:space="preserve">expansion</t>
  </si>
  <si>
    <t xml:space="preserve">Visitas equivalentes</t>
  </si>
  <si>
    <t xml:space="preserve">Aperturas de prueba</t>
  </si>
  <si>
    <t xml:space="preserve">Fondeadas de prueba</t>
  </si>
  <si>
    <t xml:space="preserve">Lectura</t>
  </si>
  <si>
    <t xml:space="preserve">Panel parcial con solapamiento residual. No resultado global de SEO/AEO + PR + comunidad ni forecast incremental. Lag de fondeo 0 conservado del modelo original.</t>
  </si>
  <si>
    <t xml:space="preserve">Grupo</t>
  </si>
  <si>
    <t xml:space="preserve">Horas base</t>
  </si>
  <si>
    <t xml:space="preserve">Costo unidad referencia</t>
  </si>
  <si>
    <t xml:space="preserve">Costo anual antes reserva</t>
  </si>
  <si>
    <t xml:space="preserve">Base del cálculo</t>
  </si>
  <si>
    <t xml:space="preserve">bajo</t>
  </si>
  <si>
    <t xml:space="preserve">automation</t>
  </si>
  <si>
    <t xml:space="preserve">seed_hourly_cost_with_explicit_sensitivity_not_supplier_quote</t>
  </si>
  <si>
    <t xml:space="preserve">community</t>
  </si>
  <si>
    <t xml:space="preserve">coordination</t>
  </si>
  <si>
    <t xml:space="preserve">designer</t>
  </si>
  <si>
    <t xml:space="preserve">user_monthly_cost_times_allocation_plus_loading_allowance</t>
  </si>
  <si>
    <t xml:space="preserve">development</t>
  </si>
  <si>
    <t xml:space="preserve">direction</t>
  </si>
  <si>
    <t xml:space="preserve">pr</t>
  </si>
  <si>
    <t xml:space="preserve">seo</t>
  </si>
  <si>
    <t xml:space="preserve">session</t>
  </si>
  <si>
    <t xml:space="preserve">wordpress</t>
  </si>
  <si>
    <t xml:space="preserve">writer</t>
  </si>
  <si>
    <t xml:space="preserve">central</t>
  </si>
  <si>
    <t xml:space="preserve">alto</t>
  </si>
  <si>
    <t xml:space="preserve">Costo laboral</t>
  </si>
  <si>
    <t xml:space="preserve">Reserva trabajo</t>
  </si>
  <si>
    <t xml:space="preserve">Herramientas/otros</t>
  </si>
  <si>
    <t xml:space="preserve">Costo anual</t>
  </si>
  <si>
    <t xml:space="preserve">Costo mensual</t>
  </si>
  <si>
    <t xml:space="preserve">Fee mensual al margen elegido</t>
  </si>
  <si>
    <t xml:space="preserve">Fee propuesto</t>
  </si>
  <si>
    <t xml:space="preserve">Margen al fee propuesto</t>
  </si>
  <si>
    <t xml:space="preserve">Costeo económico, no caja incremental confirmada. Referencia seed y provisiones no son costos fully loaded validados. Un fee en esta hoja no aprueba la oferta. El costo interno no se incorpora al deck del cliente.</t>
  </si>
  <si>
    <t xml:space="preserve">work_id</t>
  </si>
  <si>
    <t xml:space="preserve">work</t>
  </si>
  <si>
    <t xml:space="preserve">cost_group</t>
  </si>
  <si>
    <t xml:space="preserve">role_sku</t>
  </si>
  <si>
    <t xml:space="preserve">month</t>
  </si>
  <si>
    <t xml:space="preserve">base_hours</t>
  </si>
  <si>
    <t xml:space="preserve">D01</t>
  </si>
  <si>
    <t xml:space="preserve">Dirección mensual</t>
  </si>
  <si>
    <t xml:space="preserve">ECG-001</t>
  </si>
  <si>
    <t xml:space="preserve">D02</t>
  </si>
  <si>
    <t xml:space="preserve">Revisión trimestral</t>
  </si>
  <si>
    <t xml:space="preserve">D03</t>
  </si>
  <si>
    <t xml:space="preserve">Inicio</t>
  </si>
  <si>
    <t xml:space="preserve">S01</t>
  </si>
  <si>
    <t xml:space="preserve">SEO técnico inicial</t>
  </si>
  <si>
    <t xml:space="preserve">S02</t>
  </si>
  <si>
    <t xml:space="preserve">SEO seguimiento</t>
  </si>
  <si>
    <t xml:space="preserve">S03</t>
  </si>
  <si>
    <t xml:space="preserve">Panel AEO inicial</t>
  </si>
  <si>
    <t xml:space="preserve">S04</t>
  </si>
  <si>
    <t xml:space="preserve">36 observaciones AEO mensuales</t>
  </si>
  <si>
    <t xml:space="preserve">S05</t>
  </si>
  <si>
    <t xml:space="preserve">Pilar/CRO inicial</t>
  </si>
  <si>
    <t xml:space="preserve">S06</t>
  </si>
  <si>
    <t xml:space="preserve">Experimentos y continuidad</t>
  </si>
  <si>
    <t xml:space="preserve">S07</t>
  </si>
  <si>
    <t xml:space="preserve">Medición implementación</t>
  </si>
  <si>
    <t xml:space="preserve">S08</t>
  </si>
  <si>
    <t xml:space="preserve">Analítica e informe</t>
  </si>
  <si>
    <t xml:space="preserve">S09</t>
  </si>
  <si>
    <t xml:space="preserve">Eficiencia SEO–SEM, análisis</t>
  </si>
  <si>
    <t xml:space="preserve">S10</t>
  </si>
  <si>
    <t xml:space="preserve">Datos para cuatro recursos PR</t>
  </si>
  <si>
    <t xml:space="preserve">S11</t>
  </si>
  <si>
    <t xml:space="preserve">Método calculadora</t>
  </si>
  <si>
    <t xml:space="preserve">S12</t>
  </si>
  <si>
    <t xml:space="preserve">Método comparador</t>
  </si>
  <si>
    <t xml:space="preserve">S13</t>
  </si>
  <si>
    <t xml:space="preserve">Método planificador</t>
  </si>
  <si>
    <t xml:space="preserve">Dos artículos, investigación y redacción</t>
  </si>
  <si>
    <t xml:space="preserve">Revisión artículos</t>
  </si>
  <si>
    <t xml:space="preserve">Dos mejoras FAQ</t>
  </si>
  <si>
    <t xml:space="preserve">Newsletter</t>
  </si>
  <si>
    <t xml:space="preserve">E05</t>
  </si>
  <si>
    <t xml:space="preserve">QA final entregas</t>
  </si>
  <si>
    <t xml:space="preserve">E06</t>
  </si>
  <si>
    <t xml:space="preserve">Guion sesión</t>
  </si>
  <si>
    <t xml:space="preserve">Diseño hub</t>
  </si>
  <si>
    <t xml:space="preserve">Diseño comparador</t>
  </si>
  <si>
    <t xml:space="preserve">Diseño planificador</t>
  </si>
  <si>
    <t xml:space="preserve">Cuatro adaptaciones</t>
  </si>
  <si>
    <t xml:space="preserve">W01</t>
  </si>
  <si>
    <t xml:space="preserve">WordPress hub</t>
  </si>
  <si>
    <t xml:space="preserve">ECG-012</t>
  </si>
  <si>
    <t xml:space="preserve">W02</t>
  </si>
  <si>
    <t xml:space="preserve">Carga artículos</t>
  </si>
  <si>
    <t xml:space="preserve">W03</t>
  </si>
  <si>
    <t xml:space="preserve">Implementación SEO/CRO CMS</t>
  </si>
  <si>
    <t xml:space="preserve">T01</t>
  </si>
  <si>
    <t xml:space="preserve">QA hub</t>
  </si>
  <si>
    <t xml:space="preserve">ECG-015</t>
  </si>
  <si>
    <t xml:space="preserve">T02</t>
  </si>
  <si>
    <t xml:space="preserve">Calculadora desarrollo y QA</t>
  </si>
  <si>
    <t xml:space="preserve">T03</t>
  </si>
  <si>
    <t xml:space="preserve">Comparador desarrollo</t>
  </si>
  <si>
    <t xml:space="preserve">T04</t>
  </si>
  <si>
    <t xml:space="preserve">Comparador QA</t>
  </si>
  <si>
    <t xml:space="preserve">T05</t>
  </si>
  <si>
    <t xml:space="preserve">Planificador desarrollo</t>
  </si>
  <si>
    <t xml:space="preserve">T06</t>
  </si>
  <si>
    <t xml:space="preserve">Planificador QA</t>
  </si>
  <si>
    <t xml:space="preserve">T07</t>
  </si>
  <si>
    <t xml:space="preserve">Mantenimiento tools</t>
  </si>
  <si>
    <t xml:space="preserve">Escucha y moderación</t>
  </si>
  <si>
    <t xml:space="preserve">ECG-007</t>
  </si>
  <si>
    <t xml:space="preserve">Newsletter técnica</t>
  </si>
  <si>
    <t xml:space="preserve">ECG-021</t>
  </si>
  <si>
    <t xml:space="preserve">Sesión soporte técnico</t>
  </si>
  <si>
    <t xml:space="preserve">Producción sesión</t>
  </si>
  <si>
    <t xml:space="preserve">ECG-028</t>
  </si>
  <si>
    <t xml:space="preserve">P01</t>
  </si>
  <si>
    <t xml:space="preserve">Mapa PR</t>
  </si>
  <si>
    <t xml:space="preserve">ECG-024</t>
  </si>
  <si>
    <t xml:space="preserve">P02</t>
  </si>
  <si>
    <t xml:space="preserve">Gestión PR</t>
  </si>
  <si>
    <t xml:space="preserve">P03</t>
  </si>
  <si>
    <t xml:space="preserve">Editorial PR</t>
  </si>
  <si>
    <t xml:space="preserve">P04</t>
  </si>
  <si>
    <t xml:space="preserve">Preparación vocería</t>
  </si>
  <si>
    <t xml:space="preserve">P05</t>
  </si>
  <si>
    <t xml:space="preserve">QA/medición PR</t>
  </si>
  <si>
    <t xml:space="preserve">M01</t>
  </si>
  <si>
    <t xml:space="preserve">Coordinación</t>
  </si>
  <si>
    <t xml:space="preserve">ECG-016</t>
  </si>
  <si>
    <t xml:space="preserve">group</t>
  </si>
  <si>
    <t xml:space="preserve">hours_with_reserve</t>
  </si>
  <si>
    <t xml:space="preserve">productive_capacity_assumed</t>
  </si>
  <si>
    <t xml:space="preserve">headroom_hours</t>
  </si>
  <si>
    <t xml:space="preserve">status</t>
  </si>
  <si>
    <t xml:space="preserve">proposed_allocation_not_confirmed_availability_or_competencies</t>
  </si>
  <si>
    <t xml:space="preserve">existing_visits_example</t>
  </si>
  <si>
    <t xml:space="preserve">opening_rate_test</t>
  </si>
  <si>
    <t xml:space="preserve">funding_rate_test</t>
  </si>
  <si>
    <t xml:space="preserve">funded_reference_test</t>
  </si>
  <si>
    <t xml:space="preserve">funded_improved_test</t>
  </si>
  <si>
    <t xml:space="preserve">difference_test</t>
  </si>
  <si>
    <t xml:space="preserve">nature</t>
  </si>
  <si>
    <t xml:space="preserve">sensitivity_not_observed_volume_not_causal_lift_not_added_to_panel</t>
  </si>
  <si>
    <t xml:space="preserve">scenario</t>
  </si>
  <si>
    <t xml:space="preserve">family_id</t>
  </si>
  <si>
    <t xml:space="preserve">family</t>
  </si>
  <si>
    <t xml:space="preserve">lane</t>
  </si>
  <si>
    <t xml:space="preserve">annual_visit_equivalents_test</t>
  </si>
  <si>
    <t xml:space="preserve">openings_test</t>
  </si>
  <si>
    <t xml:space="preserve">funded_test</t>
  </si>
  <si>
    <t xml:space="preserve">ready_month</t>
  </si>
  <si>
    <t xml:space="preserve">asset</t>
  </si>
  <si>
    <t xml:space="preserve">id</t>
  </si>
  <si>
    <t xml:space="preserve">mes_propuesto</t>
  </si>
  <si>
    <t xml:space="preserve">territorio</t>
  </si>
  <si>
    <t xml:space="preserve">tema_candidato</t>
  </si>
  <si>
    <t xml:space="preserve">trabajo_usuario</t>
  </si>
  <si>
    <t xml:space="preserve">siguiente_paso</t>
  </si>
  <si>
    <t xml:space="preserve">estado</t>
  </si>
  <si>
    <t xml:space="preserve">condicion</t>
  </si>
  <si>
    <t xml:space="preserve">version</t>
  </si>
  <si>
    <t xml:space="preserve">families_measured</t>
  </si>
  <si>
    <t xml:space="preserve">traffic_credit</t>
  </si>
  <si>
    <t xml:space="preserve">proposed_priority_month</t>
  </si>
  <si>
    <t xml:space="preserve">priority_change_status</t>
  </si>
  <si>
    <t xml:space="preserve">Rendimiento</t>
  </si>
  <si>
    <t xml:space="preserve">Cómo interpretar la TREA y las condiciones de una cuenta</t>
  </si>
  <si>
    <t xml:space="preserve">Comprender</t>
  </si>
  <si>
    <t xml:space="preserve">Calculadora/producto</t>
  </si>
  <si>
    <t xml:space="preserve">Candidato no publicado ni costeado</t>
  </si>
  <si>
    <t xml:space="preserve">Fuentes y revisión Producto/Cumplimiento; comprobar intención distinta y no duplicar URL existente</t>
  </si>
  <si>
    <t xml:space="preserve">v0.7</t>
  </si>
  <si>
    <t xml:space="preserve">Only through mapped family; no extra traffic per article</t>
  </si>
  <si>
    <t xml:space="preserve">Recommendation only; source calendar and baseline sensitivity unchanged</t>
  </si>
  <si>
    <t xml:space="preserve">Apertura</t>
  </si>
  <si>
    <t xml:space="preserve">Qué revisar antes de abrir una cuenta de ahorro digital</t>
  </si>
  <si>
    <t xml:space="preserve">Decidir</t>
  </si>
  <si>
    <t xml:space="preserve">Pilar/registro</t>
  </si>
  <si>
    <t xml:space="preserve">G04;G06;C02</t>
  </si>
  <si>
    <t xml:space="preserve">ART-03</t>
  </si>
  <si>
    <t xml:space="preserve">Cómo calcular intereses con un ejemplo reproducible</t>
  </si>
  <si>
    <t xml:space="preserve">Aplicar</t>
  </si>
  <si>
    <t xml:space="preserve">Calculadora</t>
  </si>
  <si>
    <t xml:space="preserve">G02;C01</t>
  </si>
  <si>
    <t xml:space="preserve">ART-04</t>
  </si>
  <si>
    <t xml:space="preserve">Primer fondeo</t>
  </si>
  <si>
    <t xml:space="preserve">Cómo preparar la primera transferencia hacia tu cuenta</t>
  </si>
  <si>
    <t xml:space="preserve">Actuar</t>
  </si>
  <si>
    <t xml:space="preserve">Ayuda oficial/producto</t>
  </si>
  <si>
    <t xml:space="preserve">Support/activation/maintenance; no standalone search volume credited</t>
  </si>
  <si>
    <t xml:space="preserve">Comparación</t>
  </si>
  <si>
    <t xml:space="preserve">Cómo comparar rendimiento, costos y liquidez</t>
  </si>
  <si>
    <t xml:space="preserve">Evaluar</t>
  </si>
  <si>
    <t xml:space="preserve">Comparador/pilar</t>
  </si>
  <si>
    <t xml:space="preserve">G03;C03;C04</t>
  </si>
  <si>
    <t xml:space="preserve">Ahorro disponible</t>
  </si>
  <si>
    <t xml:space="preserve">Cómo separar ahorro y dinero para pagos</t>
  </si>
  <si>
    <t xml:space="preserve">ART-07</t>
  </si>
  <si>
    <t xml:space="preserve">Cómo elegir entre cuentas con condiciones distintas</t>
  </si>
  <si>
    <t xml:space="preserve">Comparador</t>
  </si>
  <si>
    <t xml:space="preserve">Confianza</t>
  </si>
  <si>
    <t xml:space="preserve">Qué fuentes consultar para comprobar respaldo y condiciones</t>
  </si>
  <si>
    <t xml:space="preserve">Verificar</t>
  </si>
  <si>
    <t xml:space="preserve">Documentos/pilar</t>
  </si>
  <si>
    <t xml:space="preserve">ART-09</t>
  </si>
  <si>
    <t xml:space="preserve">Qué cambia al comparar tasa anunciada y rendimiento bajo condiciones</t>
  </si>
  <si>
    <t xml:space="preserve">Alternativas de ahorro: Interbank sólo si se aprueba comparabilidad</t>
  </si>
  <si>
    <t xml:space="preserve">Fuentes y revisión Producto/Cumplimiento; comprobar intención distinta y no duplicar URL existente; aprobación específica de marcas; alternativa general sin marcas dentro del slot</t>
  </si>
  <si>
    <t xml:space="preserve">ART-11</t>
  </si>
  <si>
    <t xml:space="preserve">Cómo definir una meta de ahorro y revisar sus supuestos</t>
  </si>
  <si>
    <t xml:space="preserve">Planificador</t>
  </si>
  <si>
    <t xml:space="preserve">Alternativas de ahorro: Scotiabank sólo con fuentes y aprobación</t>
  </si>
  <si>
    <t xml:space="preserve">B03;B04</t>
  </si>
  <si>
    <t xml:space="preserve">Alternativas de ahorro: BCP sólo con intención y aprobación</t>
  </si>
  <si>
    <t xml:space="preserve">ART-14</t>
  </si>
  <si>
    <t xml:space="preserve">Cómo resolver dudas entre elegir la cuenta y comenzar el registro</t>
  </si>
  <si>
    <t xml:space="preserve">Registro/ayuda</t>
  </si>
  <si>
    <t xml:space="preserve">ART-15</t>
  </si>
  <si>
    <t xml:space="preserve">Cómo planificar ahorro disponible para imprevistos</t>
  </si>
  <si>
    <t xml:space="preserve">Alternativas de ahorro: BBVA sólo si confirma encaje y aprobación</t>
  </si>
  <si>
    <t xml:space="preserve">ART-17</t>
  </si>
  <si>
    <t xml:space="preserve">Liquidez y plazo: preguntas para comparar necesidades</t>
  </si>
  <si>
    <t xml:space="preserve">Guía/pilar</t>
  </si>
  <si>
    <t xml:space="preserve">ART-18</t>
  </si>
  <si>
    <t xml:space="preserve">Cómo identificar el canal oficial para resolver dudas de transferencias</t>
  </si>
  <si>
    <t xml:space="preserve">Ayuda/producto</t>
  </si>
  <si>
    <t xml:space="preserve">ART-19</t>
  </si>
  <si>
    <t xml:space="preserve">Cómo reconocer la identidad y canales oficiales de Pibank</t>
  </si>
  <si>
    <t xml:space="preserve">Identidad/pilar</t>
  </si>
  <si>
    <t xml:space="preserve">ART-20</t>
  </si>
  <si>
    <t xml:space="preserve">Cómo revisar condiciones cuando cambian las tasas</t>
  </si>
  <si>
    <t xml:space="preserve">Documentos/calculadora</t>
  </si>
  <si>
    <t xml:space="preserve">ART-21</t>
  </si>
  <si>
    <t xml:space="preserve">Cómo actualizar una comparación manteniendo el mismo método</t>
  </si>
  <si>
    <t xml:space="preserve">ART-22</t>
  </si>
  <si>
    <t xml:space="preserve">Cómo revisar tu planificación de ahorro al cierre del año</t>
  </si>
  <si>
    <t xml:space="preserve">ART-23</t>
  </si>
  <si>
    <t xml:space="preserve">Preguntas de apertura priorizadas por evidencia del recorrido</t>
  </si>
  <si>
    <t xml:space="preserve">ART-24</t>
  </si>
  <si>
    <t xml:space="preserve">Preguntas de primer depósito priorizadas por cohortes y comunidad</t>
  </si>
  <si>
    <t xml:space="preserve">Ayuda oficial</t>
  </si>
  <si>
    <t xml:space="preserve">original_calendar_visit_equivalents</t>
  </si>
  <si>
    <t xml:space="preserve">proposed_calendar_visit_equivalents</t>
  </si>
  <si>
    <t xml:space="preserve">difference_from_timing_only</t>
  </si>
  <si>
    <t xml:space="preserve">funded_difference_test</t>
  </si>
  <si>
    <t xml:space="preserve">same_sources_and_capture; shift_four_comparatives_and_support_slots; no_new_articles</t>
  </si>
  <si>
    <t xml:space="preserve">Archivo</t>
  </si>
  <si>
    <t xml:space="preserve">SHA256</t>
  </si>
  <si>
    <t xml:space="preserve">docs/commercial/prospects/banco-pichincha-peru-seo-2026/research/pibank-gap-closure-2026-10-06/plan-busquedas.csv</t>
  </si>
  <si>
    <t xml:space="preserve">0731a5188dd1f54b642766b6390b7834ecd2f6bb70170b2582a4275f15919b79</t>
  </si>
  <si>
    <t xml:space="preserve">docs/commercial/prospects/banco-pichincha-peru-seo-2026/reconstruccion-2027/economia/inputs.json</t>
  </si>
  <si>
    <t xml:space="preserve">6b380318e10f99fb2d2771339f5bf531d15b45174e08ace25e2e797549cf55fa</t>
  </si>
  <si>
    <t xml:space="preserve">docs/commercial/prospects/banco-pichincha-peru-seo-2026/reconstruccion-2027/economia/results.json</t>
  </si>
  <si>
    <t xml:space="preserve">f1744c61b7aa9e13ca8a6a397c47ee65481ad9d7edf3d65364f042fb0d3e7d2e</t>
  </si>
  <si>
    <t xml:space="preserve">docs/commercial/prospects/banco-pichincha-peru-seo-2026/reconstruccion-2027/economia/Pibank-decision-inversion-2027.xlsx</t>
  </si>
  <si>
    <t xml:space="preserve">d87c2aabdf7a3a04ff59a719c48a747ab19a3d689eaa14e6d22427d455f7207e</t>
  </si>
  <si>
    <t xml:space="preserve">docs/commercial/prospects/banco-pichincha-peru-seo-2026/reconstruccion-2027/meta-hacia-atras/resultados.json</t>
  </si>
  <si>
    <t xml:space="preserve">3d93519189a3d32b56da7708016cb39ca8c4496add52bbe93d15e2b169268094</t>
  </si>
  <si>
    <t xml:space="preserve">docs/commercial/prospects/banco-pichincha-peru-seo-2026/reconstruccion-2027/PLAN-DE-CONTENIDOS-V0.7.csv</t>
  </si>
  <si>
    <t xml:space="preserve">28485eeeb6b0e2de7879738df5890f94256e48efd3c6ef2b22ae2cc08651f84a</t>
  </si>
  <si>
    <t xml:space="preserve">docs/commercial/prospects/banco-pichincha-peru-seo-2026/reconstruccion-2027/CALENDARIO-CRECIMIENTO-V0.7.csv</t>
  </si>
  <si>
    <t xml:space="preserve">1e3dbb23fb4b4e21f3f0a99cdafe2f0416b0e83f2a7ee7b57a3f3b233c0cbf2a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</si>
</sst>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"/>
    <numFmt numFmtId="166" formatCode="#,##0.00"/>
    <numFmt numFmtId="167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  <font>
      <sz val="10"/>
      <color theme="1"/>
      <name val="Calibri"/>
      <family val="2"/>
      <charset val="1"/>
    </font>
    <font>
      <sz val="11"/>
      <color rgb="FF0066AA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80C62"/>
        <bgColor rgb="FF000080"/>
      </patternFill>
    </fill>
    <fill>
      <patternFill patternType="solid">
        <fgColor rgb="FFEAF5FF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80C6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80C62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5FF"/>
      <rgbColor rgb="FF660066"/>
      <rgbColor rgb="FFFF8080"/>
      <rgbColor rgb="FF0066AA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9.71"/>
    <col collapsed="false" customWidth="true" hidden="false" outlineLevel="0" max="2" min="2" style="0" width="110.71"/>
  </cols>
  <sheetData>
    <row r="1" customFormat="false" ht="36" hidden="false" customHeight="true" outlineLevel="0" collapsed="false">
      <c r="A1" s="1" t="s">
        <v>0</v>
      </c>
      <c r="B1" s="1" t="s">
        <v>1</v>
      </c>
    </row>
    <row r="2" customFormat="false" ht="60" hidden="false" customHeight="true" outlineLevel="0" collapsed="false">
      <c r="A2" s="1" t="s">
        <v>2</v>
      </c>
      <c r="B2" s="2" t="s">
        <v>3</v>
      </c>
    </row>
    <row r="3" customFormat="false" ht="60" hidden="false" customHeight="true" outlineLevel="0" collapsed="false">
      <c r="A3" s="1" t="s">
        <v>4</v>
      </c>
      <c r="B3" s="2" t="s">
        <v>5</v>
      </c>
    </row>
    <row r="4" customFormat="false" ht="60" hidden="false" customHeight="true" outlineLevel="0" collapsed="false">
      <c r="A4" s="1" t="s">
        <v>6</v>
      </c>
      <c r="B4" s="2" t="s">
        <v>7</v>
      </c>
    </row>
    <row r="5" customFormat="false" ht="60" hidden="false" customHeight="true" outlineLevel="0" collapsed="false">
      <c r="A5" s="1" t="s">
        <v>8</v>
      </c>
      <c r="B5" s="2" t="s">
        <v>9</v>
      </c>
    </row>
    <row r="6" customFormat="false" ht="60" hidden="false" customHeight="true" outlineLevel="0" collapsed="false">
      <c r="A6" s="1" t="s">
        <v>10</v>
      </c>
      <c r="B6" s="2" t="s">
        <v>11</v>
      </c>
    </row>
    <row r="7" customFormat="false" ht="60" hidden="false" customHeight="true" outlineLevel="0" collapsed="false">
      <c r="A7" s="1" t="s">
        <v>12</v>
      </c>
      <c r="B7" s="2" t="s">
        <v>13</v>
      </c>
    </row>
    <row r="8" customFormat="false" ht="60" hidden="false" customHeight="true" outlineLevel="0" collapsed="false">
      <c r="A8" s="1" t="s">
        <v>14</v>
      </c>
      <c r="B8" s="2" t="s">
        <v>15</v>
      </c>
    </row>
    <row r="9" customFormat="false" ht="60" hidden="false" customHeight="true" outlineLevel="0" collapsed="false">
      <c r="A9" s="1" t="s">
        <v>16</v>
      </c>
      <c r="B9" s="2" t="s">
        <v>17</v>
      </c>
    </row>
    <row r="10" customFormat="false" ht="60" hidden="false" customHeight="true" outlineLevel="0" collapsed="false">
      <c r="A10" s="1" t="s">
        <v>18</v>
      </c>
      <c r="B10" s="2" t="s">
        <v>19</v>
      </c>
    </row>
    <row r="11" customFormat="false" ht="60" hidden="false" customHeight="true" outlineLevel="0" collapsed="false">
      <c r="A11" s="1" t="s">
        <v>20</v>
      </c>
      <c r="B11" s="2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.71"/>
    <col collapsed="false" customWidth="true" hidden="false" outlineLevel="0" max="2" min="2" style="0" width="24.71"/>
    <col collapsed="false" customWidth="true" hidden="false" outlineLevel="0" max="3" min="3" style="0" width="100.71"/>
  </cols>
  <sheetData>
    <row r="1" customFormat="false" ht="36" hidden="false" customHeight="true" outlineLevel="0" collapsed="false">
      <c r="A1" s="1" t="s">
        <v>22</v>
      </c>
      <c r="B1" s="1" t="s">
        <v>23</v>
      </c>
      <c r="C1" s="1" t="s">
        <v>24</v>
      </c>
    </row>
    <row r="2" customFormat="false" ht="15" hidden="false" customHeight="false" outlineLevel="0" collapsed="false">
      <c r="A2" s="2" t="s">
        <v>25</v>
      </c>
      <c r="B2" s="3" t="n">
        <v>0.02</v>
      </c>
      <c r="C2" s="2" t="s">
        <v>26</v>
      </c>
    </row>
    <row r="3" customFormat="false" ht="15" hidden="false" customHeight="false" outlineLevel="0" collapsed="false">
      <c r="A3" s="2" t="s">
        <v>27</v>
      </c>
      <c r="B3" s="3" t="n">
        <v>0.65</v>
      </c>
      <c r="C3" s="2" t="s">
        <v>26</v>
      </c>
    </row>
    <row r="4" customFormat="false" ht="15" hidden="false" customHeight="false" outlineLevel="0" collapsed="false">
      <c r="A4" s="2" t="s">
        <v>28</v>
      </c>
      <c r="B4" s="3" t="n">
        <v>15200</v>
      </c>
      <c r="C4" s="2" t="s">
        <v>29</v>
      </c>
    </row>
    <row r="5" customFormat="false" ht="15" hidden="false" customHeight="false" outlineLevel="0" collapsed="false">
      <c r="A5" s="2" t="s">
        <v>30</v>
      </c>
      <c r="B5" s="3" t="n">
        <v>2500</v>
      </c>
      <c r="C5" s="2" t="s">
        <v>31</v>
      </c>
    </row>
    <row r="6" customFormat="false" ht="15" hidden="false" customHeight="false" outlineLevel="0" collapsed="false">
      <c r="A6" s="2" t="s">
        <v>32</v>
      </c>
      <c r="B6" s="3" t="n">
        <v>0.15</v>
      </c>
      <c r="C6" s="2" t="s">
        <v>33</v>
      </c>
    </row>
    <row r="7" customFormat="false" ht="15" hidden="false" customHeight="false" outlineLevel="0" collapsed="false">
      <c r="A7" s="2" t="s">
        <v>34</v>
      </c>
      <c r="B7" s="3" t="n">
        <v>0.2</v>
      </c>
      <c r="C7" s="2" t="s">
        <v>35</v>
      </c>
    </row>
    <row r="8" customFormat="false" ht="15" hidden="false" customHeight="false" outlineLevel="0" collapsed="false">
      <c r="A8" s="2" t="s">
        <v>36</v>
      </c>
      <c r="B8" s="3" t="n">
        <v>0.4</v>
      </c>
      <c r="C8" s="2" t="s">
        <v>37</v>
      </c>
    </row>
    <row r="9" customFormat="false" ht="15" hidden="false" customHeight="false" outlineLevel="0" collapsed="false">
      <c r="A9" s="2" t="s">
        <v>38</v>
      </c>
      <c r="B9" s="3" t="n">
        <v>8000</v>
      </c>
      <c r="C9" s="2" t="s">
        <v>39</v>
      </c>
    </row>
    <row r="10" customFormat="false" ht="15" hidden="false" customHeight="false" outlineLevel="0" collapsed="false">
      <c r="A10" s="2" t="s">
        <v>40</v>
      </c>
      <c r="B10" s="3" t="n">
        <v>0.02</v>
      </c>
      <c r="C10" s="2" t="s">
        <v>41</v>
      </c>
    </row>
    <row r="11" customFormat="false" ht="15" hidden="false" customHeight="false" outlineLevel="0" collapsed="false">
      <c r="A11" s="2" t="s">
        <v>42</v>
      </c>
      <c r="B11" s="3" t="n">
        <v>0.05</v>
      </c>
      <c r="C11" s="2" t="s">
        <v>41</v>
      </c>
    </row>
    <row r="12" customFormat="false" ht="15" hidden="false" customHeight="false" outlineLevel="0" collapsed="false">
      <c r="A12" s="2" t="s">
        <v>43</v>
      </c>
      <c r="B12" s="3" t="n">
        <v>0.1</v>
      </c>
      <c r="C12" s="2" t="s">
        <v>41</v>
      </c>
    </row>
    <row r="13" customFormat="false" ht="15" hidden="false" customHeight="false" outlineLevel="0" collapsed="false">
      <c r="A13" s="2" t="s">
        <v>44</v>
      </c>
      <c r="B13" s="3" t="n">
        <v>0.1</v>
      </c>
      <c r="C13" s="2" t="s">
        <v>45</v>
      </c>
    </row>
    <row r="14" customFormat="false" ht="15" hidden="false" customHeight="false" outlineLevel="0" collapsed="false">
      <c r="A14" s="2" t="s">
        <v>46</v>
      </c>
      <c r="B14" s="3" t="n">
        <v>0.2</v>
      </c>
      <c r="C14" s="2" t="s">
        <v>45</v>
      </c>
    </row>
    <row r="15" customFormat="false" ht="15" hidden="false" customHeight="false" outlineLevel="0" collapsed="false">
      <c r="A15" s="2" t="s">
        <v>47</v>
      </c>
      <c r="B15" s="3" t="n">
        <v>0.35</v>
      </c>
      <c r="C15" s="2" t="s">
        <v>45</v>
      </c>
    </row>
    <row r="16" customFormat="false" ht="15" hidden="false" customHeight="false" outlineLevel="0" collapsed="false">
      <c r="A16" s="2" t="s">
        <v>48</v>
      </c>
      <c r="B16" s="3" t="n">
        <v>0.5</v>
      </c>
      <c r="C16" s="2" t="s">
        <v>45</v>
      </c>
    </row>
    <row r="17" customFormat="false" ht="15" hidden="false" customHeight="false" outlineLevel="0" collapsed="false">
      <c r="A17" s="2" t="s">
        <v>49</v>
      </c>
      <c r="B17" s="3" t="n">
        <v>0.65</v>
      </c>
      <c r="C17" s="2" t="s">
        <v>45</v>
      </c>
    </row>
    <row r="18" customFormat="false" ht="15" hidden="false" customHeight="false" outlineLevel="0" collapsed="false">
      <c r="A18" s="2" t="s">
        <v>50</v>
      </c>
      <c r="B18" s="3" t="n">
        <v>0.8</v>
      </c>
      <c r="C18" s="2" t="s">
        <v>45</v>
      </c>
    </row>
    <row r="19" customFormat="false" ht="15" hidden="false" customHeight="false" outlineLevel="0" collapsed="false">
      <c r="A19" s="2" t="s">
        <v>51</v>
      </c>
      <c r="B19" s="3" t="n">
        <v>1</v>
      </c>
      <c r="C19" s="2" t="s">
        <v>45</v>
      </c>
    </row>
    <row r="20" customFormat="false" ht="15" hidden="false" customHeight="false" outlineLevel="0" collapsed="false">
      <c r="A20" s="2" t="s">
        <v>52</v>
      </c>
      <c r="B20" s="3" t="n">
        <v>0.5</v>
      </c>
      <c r="C20" s="2" t="s">
        <v>53</v>
      </c>
    </row>
    <row r="21" customFormat="false" ht="15" hidden="false" customHeight="false" outlineLevel="0" collapsed="false">
      <c r="A21" s="2" t="s">
        <v>54</v>
      </c>
      <c r="B21" s="3" t="n">
        <v>600</v>
      </c>
      <c r="C21" s="2" t="s">
        <v>55</v>
      </c>
    </row>
    <row r="22" customFormat="false" ht="15" hidden="false" customHeight="false" outlineLevel="0" collapsed="false">
      <c r="A22" s="2" t="s">
        <v>56</v>
      </c>
      <c r="B22" s="3" t="n">
        <v>750</v>
      </c>
      <c r="C22" s="2" t="s">
        <v>55</v>
      </c>
    </row>
    <row r="23" customFormat="false" ht="15" hidden="false" customHeight="false" outlineLevel="0" collapsed="false">
      <c r="A23" s="2" t="s">
        <v>57</v>
      </c>
      <c r="B23" s="3" t="n">
        <v>900</v>
      </c>
      <c r="C23" s="2" t="s">
        <v>55</v>
      </c>
    </row>
    <row r="24" customFormat="false" ht="15" hidden="false" customHeight="false" outlineLevel="0" collapsed="false">
      <c r="A24" s="2" t="s">
        <v>58</v>
      </c>
      <c r="B24" s="3" t="n">
        <v>0.3</v>
      </c>
      <c r="C24" s="2" t="s">
        <v>53</v>
      </c>
    </row>
    <row r="25" customFormat="false" ht="15" hidden="false" customHeight="false" outlineLevel="0" collapsed="false">
      <c r="A25" s="2" t="s">
        <v>59</v>
      </c>
      <c r="B25" s="3" t="n">
        <v>950</v>
      </c>
      <c r="C25" s="2" t="s">
        <v>55</v>
      </c>
    </row>
    <row r="26" customFormat="false" ht="15" hidden="false" customHeight="false" outlineLevel="0" collapsed="false">
      <c r="A26" s="2" t="s">
        <v>60</v>
      </c>
      <c r="B26" s="3" t="n">
        <v>1075</v>
      </c>
      <c r="C26" s="2" t="s">
        <v>55</v>
      </c>
    </row>
    <row r="27" customFormat="false" ht="15" hidden="false" customHeight="false" outlineLevel="0" collapsed="false">
      <c r="A27" s="2" t="s">
        <v>61</v>
      </c>
      <c r="B27" s="3" t="n">
        <v>1200</v>
      </c>
      <c r="C27" s="2" t="s">
        <v>55</v>
      </c>
    </row>
    <row r="28" customFormat="false" ht="15" hidden="false" customHeight="false" outlineLevel="0" collapsed="false">
      <c r="A28" s="2" t="s">
        <v>62</v>
      </c>
      <c r="B28" s="3" t="n">
        <v>1</v>
      </c>
      <c r="C28" s="2" t="s">
        <v>53</v>
      </c>
    </row>
    <row r="29" customFormat="false" ht="15" hidden="false" customHeight="false" outlineLevel="0" collapsed="false">
      <c r="A29" s="2" t="s">
        <v>63</v>
      </c>
      <c r="B29" s="3" t="n">
        <v>1500</v>
      </c>
      <c r="C29" s="2" t="s">
        <v>55</v>
      </c>
    </row>
    <row r="30" customFormat="false" ht="15" hidden="false" customHeight="false" outlineLevel="0" collapsed="false">
      <c r="A30" s="2" t="s">
        <v>64</v>
      </c>
      <c r="B30" s="3" t="n">
        <v>1500</v>
      </c>
      <c r="C30" s="2" t="s">
        <v>55</v>
      </c>
    </row>
    <row r="31" customFormat="false" ht="15" hidden="false" customHeight="false" outlineLevel="0" collapsed="false">
      <c r="A31" s="2" t="s">
        <v>65</v>
      </c>
      <c r="B31" s="3" t="n">
        <v>1500</v>
      </c>
      <c r="C31" s="2" t="s">
        <v>55</v>
      </c>
    </row>
    <row r="32" customFormat="false" ht="15" hidden="false" customHeight="false" outlineLevel="0" collapsed="false">
      <c r="A32" s="2" t="s">
        <v>66</v>
      </c>
      <c r="B32" s="3" t="n">
        <v>1</v>
      </c>
      <c r="C32" s="2" t="s">
        <v>67</v>
      </c>
    </row>
    <row r="33" customFormat="false" ht="15" hidden="false" customHeight="false" outlineLevel="0" collapsed="false">
      <c r="A33" s="2" t="s">
        <v>68</v>
      </c>
      <c r="B33" s="3" t="n">
        <v>200</v>
      </c>
      <c r="C33" s="2" t="s">
        <v>69</v>
      </c>
    </row>
    <row r="34" customFormat="false" ht="15" hidden="false" customHeight="false" outlineLevel="0" collapsed="false">
      <c r="A34" s="2" t="s">
        <v>70</v>
      </c>
      <c r="B34" s="3" t="n">
        <v>1.25</v>
      </c>
      <c r="C34" s="2" t="s">
        <v>67</v>
      </c>
    </row>
    <row r="35" customFormat="false" ht="15" hidden="false" customHeight="false" outlineLevel="0" collapsed="false">
      <c r="A35" s="2" t="s">
        <v>71</v>
      </c>
      <c r="B35" s="3" t="n">
        <v>300</v>
      </c>
      <c r="C35" s="2" t="s">
        <v>69</v>
      </c>
    </row>
    <row r="36" customFormat="false" ht="15" hidden="false" customHeight="false" outlineLevel="0" collapsed="false">
      <c r="A36" s="2" t="s">
        <v>72</v>
      </c>
      <c r="B36" s="3" t="n">
        <v>1.5</v>
      </c>
      <c r="C36" s="2" t="s">
        <v>67</v>
      </c>
    </row>
    <row r="37" customFormat="false" ht="15" hidden="false" customHeight="false" outlineLevel="0" collapsed="false">
      <c r="A37" s="2" t="s">
        <v>73</v>
      </c>
      <c r="B37" s="3" t="n">
        <v>500</v>
      </c>
      <c r="C37" s="2" t="s">
        <v>69</v>
      </c>
    </row>
  </sheetData>
  <dataValidations count="36">
    <dataValidation allowBlank="true" errorStyle="stop" operator="between" showDropDown="false" showErrorMessage="true" showInputMessage="true" sqref="B2" type="decimal">
      <formula1>0</formula1>
      <formula2>1</formula2>
    </dataValidation>
    <dataValidation allowBlank="true" errorStyle="stop" operator="between" showDropDown="false" showErrorMessage="true" showInputMessage="true" sqref="B3" type="decimal">
      <formula1>0</formula1>
      <formula2>1</formula2>
    </dataValidation>
    <dataValidation allowBlank="true" errorStyle="stop" operator="greaterThanOrEqual" showDropDown="false" showErrorMessage="true" showInputMessage="true" sqref="B4" type="decimal">
      <formula1>0</formula1>
      <formula2>0</formula2>
    </dataValidation>
    <dataValidation allowBlank="true" errorStyle="stop" operator="greaterThanOrEqual" showDropDown="false" showErrorMessage="true" showInputMessage="true" sqref="B5" type="decimal">
      <formula1>0</formula1>
      <formula2>0</formula2>
    </dataValidation>
    <dataValidation allowBlank="true" errorStyle="stop" operator="between" showDropDown="false" showErrorMessage="true" showInputMessage="true" sqref="B6" type="decimal">
      <formula1>0</formula1>
      <formula2>1</formula2>
    </dataValidation>
    <dataValidation allowBlank="true" errorStyle="stop" operator="between" showDropDown="false" showErrorMessage="true" showInputMessage="true" sqref="B7" type="decimal">
      <formula1>0</formula1>
      <formula2>1</formula2>
    </dataValidation>
    <dataValidation allowBlank="true" errorStyle="stop" operator="between" showDropDown="false" showErrorMessage="true" showInputMessage="true" sqref="B8" type="decimal">
      <formula1>0</formula1>
      <formula2>0.99</formula2>
    </dataValidation>
    <dataValidation allowBlank="true" errorStyle="stop" operator="greaterThanOrEqual" showDropDown="false" showErrorMessage="true" showInputMessage="true" sqref="B9" type="decimal">
      <formula1>0</formula1>
      <formula2>0</formula2>
    </dataValidation>
    <dataValidation allowBlank="true" errorStyle="stop" operator="between" showDropDown="false" showErrorMessage="true" showInputMessage="true" sqref="B10" type="decimal">
      <formula1>0</formula1>
      <formula2>1</formula2>
    </dataValidation>
    <dataValidation allowBlank="true" errorStyle="stop" operator="between" showDropDown="false" showErrorMessage="true" showInputMessage="true" sqref="B11" type="decimal">
      <formula1>0</formula1>
      <formula2>1</formula2>
    </dataValidation>
    <dataValidation allowBlank="true" errorStyle="stop" operator="between" showDropDown="false" showErrorMessage="true" showInputMessage="true" sqref="B12" type="decimal">
      <formula1>0</formula1>
      <formula2>1</formula2>
    </dataValidation>
    <dataValidation allowBlank="true" errorStyle="stop" operator="between" showDropDown="false" showErrorMessage="true" showInputMessage="true" sqref="B13" type="decimal">
      <formula1>0</formula1>
      <formula2>1</formula2>
    </dataValidation>
    <dataValidation allowBlank="true" errorStyle="stop" operator="between" showDropDown="false" showErrorMessage="true" showInputMessage="true" sqref="B14" type="decimal">
      <formula1>0</formula1>
      <formula2>1</formula2>
    </dataValidation>
    <dataValidation allowBlank="true" errorStyle="stop" operator="between" showDropDown="false" showErrorMessage="true" showInputMessage="true" sqref="B15" type="decimal">
      <formula1>0</formula1>
      <formula2>1</formula2>
    </dataValidation>
    <dataValidation allowBlank="true" errorStyle="stop" operator="between" showDropDown="false" showErrorMessage="true" showInputMessage="true" sqref="B16" type="decimal">
      <formula1>0</formula1>
      <formula2>1</formula2>
    </dataValidation>
    <dataValidation allowBlank="true" errorStyle="stop" operator="between" showDropDown="false" showErrorMessage="true" showInputMessage="true" sqref="B17" type="decimal">
      <formula1>0</formula1>
      <formula2>1</formula2>
    </dataValidation>
    <dataValidation allowBlank="true" errorStyle="stop" operator="between" showDropDown="false" showErrorMessage="true" showInputMessage="true" sqref="B18" type="decimal">
      <formula1>0</formula1>
      <formula2>1</formula2>
    </dataValidation>
    <dataValidation allowBlank="true" errorStyle="stop" operator="between" showDropDown="false" showErrorMessage="true" showInputMessage="true" sqref="B19" type="decimal">
      <formula1>0</formula1>
      <formula2>1</formula2>
    </dataValidation>
    <dataValidation allowBlank="true" errorStyle="stop" operator="between" showDropDown="false" showErrorMessage="true" showInputMessage="true" sqref="B20" type="decimal">
      <formula1>0</formula1>
      <formula2>1</formula2>
    </dataValidation>
    <dataValidation allowBlank="true" errorStyle="stop" operator="greaterThanOrEqual" showDropDown="false" showErrorMessage="true" showInputMessage="true" sqref="B21" type="decimal">
      <formula1>0</formula1>
      <formula2>0</formula2>
    </dataValidation>
    <dataValidation allowBlank="true" errorStyle="stop" operator="greaterThanOrEqual" showDropDown="false" showErrorMessage="true" showInputMessage="true" sqref="B22" type="decimal">
      <formula1>0</formula1>
      <formula2>0</formula2>
    </dataValidation>
    <dataValidation allowBlank="true" errorStyle="stop" operator="greaterThanOrEqual" showDropDown="false" showErrorMessage="true" showInputMessage="true" sqref="B23" type="decimal">
      <formula1>0</formula1>
      <formula2>0</formula2>
    </dataValidation>
    <dataValidation allowBlank="true" errorStyle="stop" operator="between" showDropDown="false" showErrorMessage="true" showInputMessage="true" sqref="B24" type="decimal">
      <formula1>0</formula1>
      <formula2>1</formula2>
    </dataValidation>
    <dataValidation allowBlank="true" errorStyle="stop" operator="greaterThanOrEqual" showDropDown="false" showErrorMessage="true" showInputMessage="true" sqref="B25" type="decimal">
      <formula1>0</formula1>
      <formula2>0</formula2>
    </dataValidation>
    <dataValidation allowBlank="true" errorStyle="stop" operator="greaterThanOrEqual" showDropDown="false" showErrorMessage="true" showInputMessage="true" sqref="B26" type="decimal">
      <formula1>0</formula1>
      <formula2>0</formula2>
    </dataValidation>
    <dataValidation allowBlank="true" errorStyle="stop" operator="greaterThanOrEqual" showDropDown="false" showErrorMessage="true" showInputMessage="true" sqref="B27" type="decimal">
      <formula1>0</formula1>
      <formula2>0</formula2>
    </dataValidation>
    <dataValidation allowBlank="true" errorStyle="stop" operator="between" showDropDown="false" showErrorMessage="true" showInputMessage="true" sqref="B28" type="decimal">
      <formula1>0</formula1>
      <formula2>1</formula2>
    </dataValidation>
    <dataValidation allowBlank="true" errorStyle="stop" operator="greaterThanOrEqual" showDropDown="false" showErrorMessage="true" showInputMessage="true" sqref="B29" type="decimal">
      <formula1>0</formula1>
      <formula2>0</formula2>
    </dataValidation>
    <dataValidation allowBlank="true" errorStyle="stop" operator="greaterThanOrEqual" showDropDown="false" showErrorMessage="true" showInputMessage="true" sqref="B30" type="decimal">
      <formula1>0</formula1>
      <formula2>0</formula2>
    </dataValidation>
    <dataValidation allowBlank="true" errorStyle="stop" operator="greaterThanOrEqual" showDropDown="false" showErrorMessage="true" showInputMessage="true" sqref="B31" type="decimal">
      <formula1>0</formula1>
      <formula2>0</formula2>
    </dataValidation>
    <dataValidation allowBlank="true" errorStyle="stop" operator="greaterThanOrEqual" showDropDown="false" showErrorMessage="true" showInputMessage="true" sqref="B32" type="decimal">
      <formula1>0</formula1>
      <formula2>0</formula2>
    </dataValidation>
    <dataValidation allowBlank="true" errorStyle="stop" operator="greaterThanOrEqual" showDropDown="false" showErrorMessage="true" showInputMessage="true" sqref="B33" type="decimal">
      <formula1>0</formula1>
      <formula2>0</formula2>
    </dataValidation>
    <dataValidation allowBlank="true" errorStyle="stop" operator="greaterThanOrEqual" showDropDown="false" showErrorMessage="true" showInputMessage="true" sqref="B34" type="decimal">
      <formula1>0</formula1>
      <formula2>0</formula2>
    </dataValidation>
    <dataValidation allowBlank="true" errorStyle="stop" operator="greaterThanOrEqual" showDropDown="false" showErrorMessage="true" showInputMessage="true" sqref="B35" type="decimal">
      <formula1>0</formula1>
      <formula2>0</formula2>
    </dataValidation>
    <dataValidation allowBlank="true" errorStyle="stop" operator="greaterThanOrEqual" showDropDown="false" showErrorMessage="true" showInputMessage="true" sqref="B36" type="decimal">
      <formula1>0</formula1>
      <formula2>0</formula2>
    </dataValidation>
    <dataValidation allowBlank="true" errorStyle="stop" operator="greaterThanOrEqual" showDropDown="false" showErrorMessage="true" showInputMessage="true" sqref="B37" type="decimal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.71"/>
    <col collapsed="false" customWidth="true" hidden="false" outlineLevel="0" max="2" min="2" style="0" width="29.71"/>
    <col collapsed="false" customWidth="true" hidden="false" outlineLevel="0" max="3" min="3" style="0" width="16.71"/>
    <col collapsed="false" customWidth="true" hidden="false" outlineLevel="0" max="4" min="4" style="0" width="39.71"/>
    <col collapsed="false" customWidth="true" hidden="false" outlineLevel="0" max="5" min="5" style="0" width="23.71"/>
    <col collapsed="false" customWidth="true" hidden="false" outlineLevel="0" max="6" min="6" style="0" width="15.71"/>
    <col collapsed="false" customWidth="true" hidden="false" outlineLevel="0" max="7" min="7" style="0" width="28.71"/>
    <col collapsed="false" customWidth="true" hidden="false" outlineLevel="0" max="8" min="8" style="0" width="65.71"/>
    <col collapsed="false" customWidth="true" hidden="false" outlineLevel="0" max="9" min="9" style="0" width="27.71"/>
  </cols>
  <sheetData>
    <row r="1" customFormat="false" ht="36" hidden="false" customHeight="true" outlineLevel="0" collapsed="false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</row>
    <row r="2" customFormat="false" ht="60" hidden="false" customHeight="true" outlineLevel="0" collapsed="false">
      <c r="A2" s="2" t="s">
        <v>83</v>
      </c>
      <c r="B2" s="2" t="s">
        <v>84</v>
      </c>
      <c r="C2" s="2" t="s">
        <v>85</v>
      </c>
      <c r="D2" s="2" t="s">
        <v>86</v>
      </c>
      <c r="E2" s="4" t="n">
        <v>2900</v>
      </c>
      <c r="F2" s="3" t="n">
        <v>1</v>
      </c>
      <c r="G2" s="2" t="s">
        <v>87</v>
      </c>
      <c r="H2" s="2" t="s">
        <v>88</v>
      </c>
      <c r="I2" s="2" t="s">
        <v>89</v>
      </c>
    </row>
    <row r="3" customFormat="false" ht="60" hidden="false" customHeight="true" outlineLevel="0" collapsed="false">
      <c r="A3" s="2" t="s">
        <v>90</v>
      </c>
      <c r="B3" s="2" t="s">
        <v>91</v>
      </c>
      <c r="C3" s="2" t="s">
        <v>85</v>
      </c>
      <c r="D3" s="2" t="s">
        <v>92</v>
      </c>
      <c r="E3" s="4" t="n">
        <v>210</v>
      </c>
      <c r="F3" s="3" t="n">
        <v>2</v>
      </c>
      <c r="G3" s="2" t="s">
        <v>93</v>
      </c>
      <c r="H3" s="2" t="s">
        <v>94</v>
      </c>
      <c r="I3" s="2" t="s">
        <v>95</v>
      </c>
    </row>
    <row r="4" customFormat="false" ht="60" hidden="false" customHeight="true" outlineLevel="0" collapsed="false">
      <c r="A4" s="2" t="s">
        <v>96</v>
      </c>
      <c r="B4" s="2" t="s">
        <v>97</v>
      </c>
      <c r="C4" s="2" t="s">
        <v>85</v>
      </c>
      <c r="D4" s="2" t="s">
        <v>98</v>
      </c>
      <c r="E4" s="4" t="n">
        <v>320</v>
      </c>
      <c r="F4" s="3" t="n">
        <v>3</v>
      </c>
      <c r="G4" s="2" t="s">
        <v>99</v>
      </c>
      <c r="H4" s="2" t="s">
        <v>94</v>
      </c>
      <c r="I4" s="2" t="s">
        <v>100</v>
      </c>
    </row>
    <row r="5" customFormat="false" ht="60" hidden="false" customHeight="true" outlineLevel="0" collapsed="false">
      <c r="A5" s="2" t="s">
        <v>101</v>
      </c>
      <c r="B5" s="2" t="s">
        <v>102</v>
      </c>
      <c r="C5" s="2" t="s">
        <v>85</v>
      </c>
      <c r="D5" s="2" t="s">
        <v>103</v>
      </c>
      <c r="E5" s="4" t="n">
        <v>210</v>
      </c>
      <c r="F5" s="3" t="n">
        <v>1</v>
      </c>
      <c r="G5" s="2" t="s">
        <v>104</v>
      </c>
      <c r="H5" s="2" t="s">
        <v>88</v>
      </c>
      <c r="I5" s="2" t="s">
        <v>105</v>
      </c>
    </row>
    <row r="6" customFormat="false" ht="60" hidden="false" customHeight="true" outlineLevel="0" collapsed="false">
      <c r="A6" s="2" t="s">
        <v>106</v>
      </c>
      <c r="B6" s="2" t="s">
        <v>107</v>
      </c>
      <c r="C6" s="2" t="s">
        <v>85</v>
      </c>
      <c r="D6" s="2" t="s">
        <v>108</v>
      </c>
      <c r="E6" s="4" t="n">
        <v>50</v>
      </c>
      <c r="F6" s="3" t="n">
        <v>1</v>
      </c>
      <c r="G6" s="2" t="s">
        <v>87</v>
      </c>
      <c r="H6" s="2" t="s">
        <v>88</v>
      </c>
      <c r="I6" s="2" t="s">
        <v>109</v>
      </c>
    </row>
    <row r="7" customFormat="false" ht="60" hidden="false" customHeight="true" outlineLevel="0" collapsed="false">
      <c r="A7" s="2" t="s">
        <v>110</v>
      </c>
      <c r="B7" s="2" t="s">
        <v>111</v>
      </c>
      <c r="C7" s="2" t="s">
        <v>85</v>
      </c>
      <c r="D7" s="2" t="s">
        <v>112</v>
      </c>
      <c r="E7" s="4" t="n">
        <v>50</v>
      </c>
      <c r="F7" s="3" t="n">
        <v>1</v>
      </c>
      <c r="G7" s="2" t="s">
        <v>104</v>
      </c>
      <c r="H7" s="2" t="s">
        <v>113</v>
      </c>
      <c r="I7" s="2" t="s">
        <v>114</v>
      </c>
    </row>
    <row r="8" customFormat="false" ht="60" hidden="false" customHeight="true" outlineLevel="0" collapsed="false">
      <c r="A8" s="2" t="s">
        <v>115</v>
      </c>
      <c r="B8" s="2" t="s">
        <v>116</v>
      </c>
      <c r="C8" s="2" t="s">
        <v>117</v>
      </c>
      <c r="D8" s="2" t="s">
        <v>118</v>
      </c>
      <c r="E8" s="4" t="n">
        <v>1600</v>
      </c>
      <c r="F8" s="3" t="n">
        <v>2</v>
      </c>
      <c r="G8" s="2" t="s">
        <v>119</v>
      </c>
      <c r="H8" s="2" t="s">
        <v>94</v>
      </c>
      <c r="I8" s="2" t="s">
        <v>120</v>
      </c>
    </row>
    <row r="9" customFormat="false" ht="60" hidden="false" customHeight="true" outlineLevel="0" collapsed="false">
      <c r="A9" s="2" t="s">
        <v>121</v>
      </c>
      <c r="B9" s="2" t="s">
        <v>122</v>
      </c>
      <c r="C9" s="2" t="s">
        <v>117</v>
      </c>
      <c r="D9" s="2" t="s">
        <v>123</v>
      </c>
      <c r="E9" s="4" t="n">
        <v>1300</v>
      </c>
      <c r="F9" s="3" t="n">
        <v>1</v>
      </c>
      <c r="G9" s="2" t="s">
        <v>124</v>
      </c>
      <c r="H9" s="2" t="s">
        <v>125</v>
      </c>
      <c r="I9" s="2" t="s">
        <v>126</v>
      </c>
    </row>
    <row r="10" customFormat="false" ht="60" hidden="false" customHeight="true" outlineLevel="0" collapsed="false">
      <c r="A10" s="2" t="s">
        <v>127</v>
      </c>
      <c r="B10" s="2" t="s">
        <v>128</v>
      </c>
      <c r="C10" s="2" t="s">
        <v>117</v>
      </c>
      <c r="D10" s="2" t="s">
        <v>129</v>
      </c>
      <c r="E10" s="4" t="n">
        <v>390</v>
      </c>
      <c r="F10" s="3" t="n">
        <v>3</v>
      </c>
      <c r="G10" s="2" t="s">
        <v>130</v>
      </c>
      <c r="H10" s="2" t="s">
        <v>94</v>
      </c>
      <c r="I10" s="2" t="s">
        <v>131</v>
      </c>
    </row>
    <row r="11" customFormat="false" ht="60" hidden="false" customHeight="true" outlineLevel="0" collapsed="false">
      <c r="A11" s="2" t="s">
        <v>132</v>
      </c>
      <c r="B11" s="2" t="s">
        <v>133</v>
      </c>
      <c r="C11" s="2" t="s">
        <v>117</v>
      </c>
      <c r="D11" s="2" t="s">
        <v>134</v>
      </c>
      <c r="E11" s="4" t="n">
        <v>40</v>
      </c>
      <c r="F11" s="3" t="n">
        <v>3</v>
      </c>
      <c r="G11" s="2" t="s">
        <v>130</v>
      </c>
      <c r="H11" s="2" t="s">
        <v>88</v>
      </c>
      <c r="I11" s="2" t="s">
        <v>135</v>
      </c>
    </row>
    <row r="12" customFormat="false" ht="60" hidden="false" customHeight="true" outlineLevel="0" collapsed="false">
      <c r="A12" s="2" t="s">
        <v>136</v>
      </c>
      <c r="B12" s="2" t="s">
        <v>137</v>
      </c>
      <c r="C12" s="2" t="s">
        <v>138</v>
      </c>
      <c r="D12" s="2" t="s">
        <v>139</v>
      </c>
      <c r="E12" s="4" t="n">
        <v>6600</v>
      </c>
      <c r="F12" s="3" t="n">
        <v>7</v>
      </c>
      <c r="G12" s="2" t="s">
        <v>140</v>
      </c>
      <c r="H12" s="2" t="s">
        <v>141</v>
      </c>
      <c r="I12" s="2" t="s">
        <v>142</v>
      </c>
    </row>
    <row r="13" customFormat="false" ht="60" hidden="false" customHeight="true" outlineLevel="0" collapsed="false">
      <c r="A13" s="2" t="s">
        <v>143</v>
      </c>
      <c r="B13" s="2" t="s">
        <v>144</v>
      </c>
      <c r="C13" s="2" t="s">
        <v>138</v>
      </c>
      <c r="D13" s="2" t="s">
        <v>145</v>
      </c>
      <c r="E13" s="4" t="n">
        <v>1900</v>
      </c>
      <c r="F13" s="3" t="n">
        <v>5</v>
      </c>
      <c r="G13" s="2" t="s">
        <v>146</v>
      </c>
      <c r="H13" s="2" t="s">
        <v>88</v>
      </c>
      <c r="I13" s="2" t="s">
        <v>147</v>
      </c>
    </row>
    <row r="14" customFormat="false" ht="60" hidden="false" customHeight="true" outlineLevel="0" collapsed="false">
      <c r="A14" s="2" t="s">
        <v>148</v>
      </c>
      <c r="B14" s="2" t="s">
        <v>149</v>
      </c>
      <c r="C14" s="2" t="s">
        <v>138</v>
      </c>
      <c r="D14" s="2" t="s">
        <v>150</v>
      </c>
      <c r="E14" s="4" t="n">
        <v>1300</v>
      </c>
      <c r="F14" s="3" t="n">
        <v>6</v>
      </c>
      <c r="G14" s="2" t="s">
        <v>151</v>
      </c>
      <c r="H14" s="2" t="s">
        <v>152</v>
      </c>
      <c r="I14" s="2" t="s">
        <v>153</v>
      </c>
    </row>
    <row r="15" customFormat="false" ht="60" hidden="false" customHeight="true" outlineLevel="0" collapsed="false">
      <c r="A15" s="2" t="s">
        <v>154</v>
      </c>
      <c r="B15" s="2" t="s">
        <v>155</v>
      </c>
      <c r="C15" s="2" t="s">
        <v>138</v>
      </c>
      <c r="D15" s="2" t="s">
        <v>156</v>
      </c>
      <c r="E15" s="4" t="n">
        <v>1900</v>
      </c>
      <c r="F15" s="3" t="n">
        <v>6</v>
      </c>
      <c r="G15" s="2" t="s">
        <v>151</v>
      </c>
      <c r="H15" s="2" t="s">
        <v>125</v>
      </c>
      <c r="I15" s="2" t="s">
        <v>157</v>
      </c>
    </row>
    <row r="16" customFormat="false" ht="60" hidden="false" customHeight="true" outlineLevel="0" collapsed="false">
      <c r="A16" s="2" t="s">
        <v>158</v>
      </c>
      <c r="B16" s="2" t="s">
        <v>159</v>
      </c>
      <c r="C16" s="2" t="s">
        <v>138</v>
      </c>
      <c r="D16" s="2" t="s">
        <v>160</v>
      </c>
      <c r="E16" s="4" t="n">
        <v>6600</v>
      </c>
      <c r="F16" s="3" t="n">
        <v>8</v>
      </c>
      <c r="G16" s="2" t="s">
        <v>161</v>
      </c>
      <c r="H16" s="2" t="s">
        <v>88</v>
      </c>
      <c r="I16" s="2" t="s">
        <v>162</v>
      </c>
    </row>
    <row r="17" customFormat="false" ht="60" hidden="false" customHeight="true" outlineLevel="0" collapsed="false">
      <c r="A17" s="2" t="s">
        <v>163</v>
      </c>
      <c r="B17" s="2" t="s">
        <v>164</v>
      </c>
      <c r="C17" s="2" t="s">
        <v>165</v>
      </c>
      <c r="D17" s="2" t="s">
        <v>166</v>
      </c>
      <c r="E17" s="4" t="n">
        <v>2900</v>
      </c>
      <c r="F17" s="3" t="n">
        <v>1</v>
      </c>
      <c r="G17" s="2" t="s">
        <v>167</v>
      </c>
      <c r="H17" s="2" t="s">
        <v>168</v>
      </c>
      <c r="I17" s="2" t="s">
        <v>169</v>
      </c>
    </row>
    <row r="18" customFormat="false" ht="60" hidden="false" customHeight="true" outlineLevel="0" collapsed="false">
      <c r="A18" s="2" t="s">
        <v>170</v>
      </c>
      <c r="B18" s="2" t="s">
        <v>171</v>
      </c>
      <c r="C18" s="2" t="s">
        <v>165</v>
      </c>
      <c r="D18" s="2" t="s">
        <v>172</v>
      </c>
      <c r="E18" s="4" t="n">
        <v>1600</v>
      </c>
      <c r="F18" s="3" t="n">
        <v>4</v>
      </c>
      <c r="G18" s="2" t="s">
        <v>173</v>
      </c>
      <c r="H18" s="2" t="s">
        <v>141</v>
      </c>
      <c r="I18" s="2" t="s">
        <v>174</v>
      </c>
    </row>
    <row r="19" customFormat="false" ht="60" hidden="false" customHeight="true" outlineLevel="0" collapsed="false">
      <c r="A19" s="2" t="s">
        <v>175</v>
      </c>
      <c r="B19" s="2" t="s">
        <v>176</v>
      </c>
      <c r="C19" s="2" t="s">
        <v>165</v>
      </c>
      <c r="D19" s="2" t="s">
        <v>177</v>
      </c>
      <c r="E19" s="4" t="n">
        <v>590</v>
      </c>
      <c r="F19" s="3" t="n">
        <v>1</v>
      </c>
      <c r="G19" s="2" t="s">
        <v>87</v>
      </c>
      <c r="H19" s="2" t="s">
        <v>141</v>
      </c>
      <c r="I19" s="2" t="s">
        <v>178</v>
      </c>
    </row>
    <row r="20" customFormat="false" ht="60" hidden="false" customHeight="true" outlineLevel="0" collapsed="false">
      <c r="A20" s="2" t="s">
        <v>179</v>
      </c>
      <c r="B20" s="2" t="s">
        <v>180</v>
      </c>
      <c r="C20" s="2" t="s">
        <v>165</v>
      </c>
      <c r="D20" s="2" t="s">
        <v>181</v>
      </c>
      <c r="E20" s="4" t="n">
        <v>590</v>
      </c>
      <c r="F20" s="3" t="n">
        <v>3</v>
      </c>
      <c r="G20" s="2" t="s">
        <v>182</v>
      </c>
      <c r="H20" s="2" t="s">
        <v>183</v>
      </c>
      <c r="I20" s="2" t="s">
        <v>184</v>
      </c>
    </row>
  </sheetData>
  <dataValidations count="19">
    <dataValidation allowBlank="true" errorStyle="stop" operator="between" showDropDown="false" showErrorMessage="true" showInputMessage="true" sqref="F2" type="whole">
      <formula1>1</formula1>
      <formula2>12</formula2>
    </dataValidation>
    <dataValidation allowBlank="true" errorStyle="stop" operator="between" showDropDown="false" showErrorMessage="true" showInputMessage="true" sqref="F3" type="whole">
      <formula1>1</formula1>
      <formula2>12</formula2>
    </dataValidation>
    <dataValidation allowBlank="true" errorStyle="stop" operator="between" showDropDown="false" showErrorMessage="true" showInputMessage="true" sqref="F4" type="whole">
      <formula1>1</formula1>
      <formula2>12</formula2>
    </dataValidation>
    <dataValidation allowBlank="true" errorStyle="stop" operator="between" showDropDown="false" showErrorMessage="true" showInputMessage="true" sqref="F5" type="whole">
      <formula1>1</formula1>
      <formula2>12</formula2>
    </dataValidation>
    <dataValidation allowBlank="true" errorStyle="stop" operator="between" showDropDown="false" showErrorMessage="true" showInputMessage="true" sqref="F6" type="whole">
      <formula1>1</formula1>
      <formula2>12</formula2>
    </dataValidation>
    <dataValidation allowBlank="true" errorStyle="stop" operator="between" showDropDown="false" showErrorMessage="true" showInputMessage="true" sqref="F7" type="whole">
      <formula1>1</formula1>
      <formula2>12</formula2>
    </dataValidation>
    <dataValidation allowBlank="true" errorStyle="stop" operator="between" showDropDown="false" showErrorMessage="true" showInputMessage="true" sqref="F8" type="whole">
      <formula1>1</formula1>
      <formula2>12</formula2>
    </dataValidation>
    <dataValidation allowBlank="true" errorStyle="stop" operator="between" showDropDown="false" showErrorMessage="true" showInputMessage="true" sqref="F9" type="whole">
      <formula1>1</formula1>
      <formula2>12</formula2>
    </dataValidation>
    <dataValidation allowBlank="true" errorStyle="stop" operator="between" showDropDown="false" showErrorMessage="true" showInputMessage="true" sqref="F10" type="whole">
      <formula1>1</formula1>
      <formula2>12</formula2>
    </dataValidation>
    <dataValidation allowBlank="true" errorStyle="stop" operator="between" showDropDown="false" showErrorMessage="true" showInputMessage="true" sqref="F11" type="whole">
      <formula1>1</formula1>
      <formula2>12</formula2>
    </dataValidation>
    <dataValidation allowBlank="true" errorStyle="stop" operator="between" showDropDown="false" showErrorMessage="true" showInputMessage="true" sqref="F12" type="whole">
      <formula1>1</formula1>
      <formula2>12</formula2>
    </dataValidation>
    <dataValidation allowBlank="true" errorStyle="stop" operator="between" showDropDown="false" showErrorMessage="true" showInputMessage="true" sqref="F13" type="whole">
      <formula1>1</formula1>
      <formula2>12</formula2>
    </dataValidation>
    <dataValidation allowBlank="true" errorStyle="stop" operator="between" showDropDown="false" showErrorMessage="true" showInputMessage="true" sqref="F14" type="whole">
      <formula1>1</formula1>
      <formula2>12</formula2>
    </dataValidation>
    <dataValidation allowBlank="true" errorStyle="stop" operator="between" showDropDown="false" showErrorMessage="true" showInputMessage="true" sqref="F15" type="whole">
      <formula1>1</formula1>
      <formula2>12</formula2>
    </dataValidation>
    <dataValidation allowBlank="true" errorStyle="stop" operator="between" showDropDown="false" showErrorMessage="true" showInputMessage="true" sqref="F16" type="whole">
      <formula1>1</formula1>
      <formula2>12</formula2>
    </dataValidation>
    <dataValidation allowBlank="true" errorStyle="stop" operator="between" showDropDown="false" showErrorMessage="true" showInputMessage="true" sqref="F17" type="whole">
      <formula1>1</formula1>
      <formula2>12</formula2>
    </dataValidation>
    <dataValidation allowBlank="true" errorStyle="stop" operator="between" showDropDown="false" showErrorMessage="true" showInputMessage="true" sqref="F18" type="whole">
      <formula1>1</formula1>
      <formula2>12</formula2>
    </dataValidation>
    <dataValidation allowBlank="true" errorStyle="stop" operator="between" showDropDown="false" showErrorMessage="true" showInputMessage="true" sqref="F19" type="whole">
      <formula1>1</formula1>
      <formula2>12</formula2>
    </dataValidation>
    <dataValidation allowBlank="true" errorStyle="stop" operator="between" showDropDown="false" showErrorMessage="true" showInputMessage="true" sqref="F20" type="whole">
      <formula1>1</formula1>
      <formula2>12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9.71"/>
    <col collapsed="false" customWidth="true" hidden="false" outlineLevel="0" max="2" min="2" style="0" width="12.71"/>
    <col collapsed="false" customWidth="true" hidden="false" outlineLevel="0" max="3" min="3" style="0" width="10.71"/>
    <col collapsed="false" customWidth="true" hidden="false" outlineLevel="0" max="5" min="4" style="0" width="23.71"/>
    <col collapsed="false" customWidth="true" hidden="false" outlineLevel="0" max="6" min="6" style="0" width="29.71"/>
    <col collapsed="false" customWidth="true" hidden="false" outlineLevel="0" max="8" min="7" style="0" width="24.71"/>
  </cols>
  <sheetData>
    <row r="1" customFormat="false" ht="36" hidden="false" customHeight="true" outlineLevel="0" collapsed="false">
      <c r="A1" s="1" t="s">
        <v>185</v>
      </c>
      <c r="B1" s="1" t="s">
        <v>75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190</v>
      </c>
      <c r="H1" s="1" t="s">
        <v>191</v>
      </c>
    </row>
    <row r="2" customFormat="false" ht="15" hidden="false" customHeight="false" outlineLevel="0" collapsed="false">
      <c r="A2" s="0" t="s">
        <v>192</v>
      </c>
      <c r="B2" s="0" t="s">
        <v>83</v>
      </c>
      <c r="C2" s="0" t="n">
        <v>1</v>
      </c>
      <c r="D2" s="5" t="n">
        <f aca="false">Supuestos!$B$10</f>
        <v>0.02</v>
      </c>
      <c r="E2" s="5" t="n">
        <f aca="false">IF(C2&lt;Familias!F2,0,INDEX(Supuestos!$B$13:$B$19,MIN(C2-Familias!F2+1,7)))</f>
        <v>0.1</v>
      </c>
      <c r="F2" s="4" t="n">
        <f aca="false">Familias!E2*D2*E2</f>
        <v>5.8</v>
      </c>
      <c r="G2" s="4" t="n">
        <f aca="false">F2*Supuestos!$B$2</f>
        <v>0.116</v>
      </c>
      <c r="H2" s="4" t="n">
        <f aca="false">G2*Supuestos!$B$3</f>
        <v>0.0754</v>
      </c>
    </row>
    <row r="3" customFormat="false" ht="15" hidden="false" customHeight="false" outlineLevel="0" collapsed="false">
      <c r="A3" s="0" t="s">
        <v>192</v>
      </c>
      <c r="B3" s="0" t="s">
        <v>83</v>
      </c>
      <c r="C3" s="0" t="n">
        <v>2</v>
      </c>
      <c r="D3" s="5" t="n">
        <f aca="false">Supuestos!$B$10</f>
        <v>0.02</v>
      </c>
      <c r="E3" s="5" t="n">
        <f aca="false">IF(C3&lt;Familias!F2,0,INDEX(Supuestos!$B$13:$B$19,MIN(C3-Familias!F2+1,7)))</f>
        <v>0.2</v>
      </c>
      <c r="F3" s="4" t="n">
        <f aca="false">Familias!E2*D3*E3</f>
        <v>11.6</v>
      </c>
      <c r="G3" s="4" t="n">
        <f aca="false">F3*Supuestos!$B$2</f>
        <v>0.232</v>
      </c>
      <c r="H3" s="4" t="n">
        <f aca="false">G3*Supuestos!$B$3</f>
        <v>0.1508</v>
      </c>
    </row>
    <row r="4" customFormat="false" ht="15" hidden="false" customHeight="false" outlineLevel="0" collapsed="false">
      <c r="A4" s="0" t="s">
        <v>192</v>
      </c>
      <c r="B4" s="0" t="s">
        <v>83</v>
      </c>
      <c r="C4" s="0" t="n">
        <v>3</v>
      </c>
      <c r="D4" s="5" t="n">
        <f aca="false">Supuestos!$B$10</f>
        <v>0.02</v>
      </c>
      <c r="E4" s="5" t="n">
        <f aca="false">IF(C4&lt;Familias!F2,0,INDEX(Supuestos!$B$13:$B$19,MIN(C4-Familias!F2+1,7)))</f>
        <v>0.35</v>
      </c>
      <c r="F4" s="4" t="n">
        <f aca="false">Familias!E2*D4*E4</f>
        <v>20.3</v>
      </c>
      <c r="G4" s="4" t="n">
        <f aca="false">F4*Supuestos!$B$2</f>
        <v>0.406</v>
      </c>
      <c r="H4" s="4" t="n">
        <f aca="false">G4*Supuestos!$B$3</f>
        <v>0.2639</v>
      </c>
    </row>
    <row r="5" customFormat="false" ht="15" hidden="false" customHeight="false" outlineLevel="0" collapsed="false">
      <c r="A5" s="0" t="s">
        <v>192</v>
      </c>
      <c r="B5" s="0" t="s">
        <v>83</v>
      </c>
      <c r="C5" s="0" t="n">
        <v>4</v>
      </c>
      <c r="D5" s="5" t="n">
        <f aca="false">Supuestos!$B$10</f>
        <v>0.02</v>
      </c>
      <c r="E5" s="5" t="n">
        <f aca="false">IF(C5&lt;Familias!F2,0,INDEX(Supuestos!$B$13:$B$19,MIN(C5-Familias!F2+1,7)))</f>
        <v>0.5</v>
      </c>
      <c r="F5" s="4" t="n">
        <f aca="false">Familias!E2*D5*E5</f>
        <v>29</v>
      </c>
      <c r="G5" s="4" t="n">
        <f aca="false">F5*Supuestos!$B$2</f>
        <v>0.58</v>
      </c>
      <c r="H5" s="4" t="n">
        <f aca="false">G5*Supuestos!$B$3</f>
        <v>0.377</v>
      </c>
    </row>
    <row r="6" customFormat="false" ht="15" hidden="false" customHeight="false" outlineLevel="0" collapsed="false">
      <c r="A6" s="0" t="s">
        <v>192</v>
      </c>
      <c r="B6" s="0" t="s">
        <v>83</v>
      </c>
      <c r="C6" s="0" t="n">
        <v>5</v>
      </c>
      <c r="D6" s="5" t="n">
        <f aca="false">Supuestos!$B$10</f>
        <v>0.02</v>
      </c>
      <c r="E6" s="5" t="n">
        <f aca="false">IF(C6&lt;Familias!F2,0,INDEX(Supuestos!$B$13:$B$19,MIN(C6-Familias!F2+1,7)))</f>
        <v>0.65</v>
      </c>
      <c r="F6" s="4" t="n">
        <f aca="false">Familias!E2*D6*E6</f>
        <v>37.7</v>
      </c>
      <c r="G6" s="4" t="n">
        <f aca="false">F6*Supuestos!$B$2</f>
        <v>0.754</v>
      </c>
      <c r="H6" s="4" t="n">
        <f aca="false">G6*Supuestos!$B$3</f>
        <v>0.4901</v>
      </c>
    </row>
    <row r="7" customFormat="false" ht="15" hidden="false" customHeight="false" outlineLevel="0" collapsed="false">
      <c r="A7" s="0" t="s">
        <v>192</v>
      </c>
      <c r="B7" s="0" t="s">
        <v>83</v>
      </c>
      <c r="C7" s="0" t="n">
        <v>6</v>
      </c>
      <c r="D7" s="5" t="n">
        <f aca="false">Supuestos!$B$10</f>
        <v>0.02</v>
      </c>
      <c r="E7" s="5" t="n">
        <f aca="false">IF(C7&lt;Familias!F2,0,INDEX(Supuestos!$B$13:$B$19,MIN(C7-Familias!F2+1,7)))</f>
        <v>0.8</v>
      </c>
      <c r="F7" s="4" t="n">
        <f aca="false">Familias!E2*D7*E7</f>
        <v>46.4</v>
      </c>
      <c r="G7" s="4" t="n">
        <f aca="false">F7*Supuestos!$B$2</f>
        <v>0.928</v>
      </c>
      <c r="H7" s="4" t="n">
        <f aca="false">G7*Supuestos!$B$3</f>
        <v>0.6032</v>
      </c>
    </row>
    <row r="8" customFormat="false" ht="15" hidden="false" customHeight="false" outlineLevel="0" collapsed="false">
      <c r="A8" s="0" t="s">
        <v>192</v>
      </c>
      <c r="B8" s="0" t="s">
        <v>83</v>
      </c>
      <c r="C8" s="0" t="n">
        <v>7</v>
      </c>
      <c r="D8" s="5" t="n">
        <f aca="false">Supuestos!$B$10</f>
        <v>0.02</v>
      </c>
      <c r="E8" s="5" t="n">
        <f aca="false">IF(C8&lt;Familias!F2,0,INDEX(Supuestos!$B$13:$B$19,MIN(C8-Familias!F2+1,7)))</f>
        <v>1</v>
      </c>
      <c r="F8" s="4" t="n">
        <f aca="false">Familias!E2*D8*E8</f>
        <v>58</v>
      </c>
      <c r="G8" s="4" t="n">
        <f aca="false">F8*Supuestos!$B$2</f>
        <v>1.16</v>
      </c>
      <c r="H8" s="4" t="n">
        <f aca="false">G8*Supuestos!$B$3</f>
        <v>0.754</v>
      </c>
    </row>
    <row r="9" customFormat="false" ht="15" hidden="false" customHeight="false" outlineLevel="0" collapsed="false">
      <c r="A9" s="0" t="s">
        <v>192</v>
      </c>
      <c r="B9" s="0" t="s">
        <v>83</v>
      </c>
      <c r="C9" s="0" t="n">
        <v>8</v>
      </c>
      <c r="D9" s="5" t="n">
        <f aca="false">Supuestos!$B$10</f>
        <v>0.02</v>
      </c>
      <c r="E9" s="5" t="n">
        <f aca="false">IF(C9&lt;Familias!F2,0,INDEX(Supuestos!$B$13:$B$19,MIN(C9-Familias!F2+1,7)))</f>
        <v>1</v>
      </c>
      <c r="F9" s="4" t="n">
        <f aca="false">Familias!E2*D9*E9</f>
        <v>58</v>
      </c>
      <c r="G9" s="4" t="n">
        <f aca="false">F9*Supuestos!$B$2</f>
        <v>1.16</v>
      </c>
      <c r="H9" s="4" t="n">
        <f aca="false">G9*Supuestos!$B$3</f>
        <v>0.754</v>
      </c>
    </row>
    <row r="10" customFormat="false" ht="15" hidden="false" customHeight="false" outlineLevel="0" collapsed="false">
      <c r="A10" s="0" t="s">
        <v>192</v>
      </c>
      <c r="B10" s="0" t="s">
        <v>83</v>
      </c>
      <c r="C10" s="0" t="n">
        <v>9</v>
      </c>
      <c r="D10" s="5" t="n">
        <f aca="false">Supuestos!$B$10</f>
        <v>0.02</v>
      </c>
      <c r="E10" s="5" t="n">
        <f aca="false">IF(C10&lt;Familias!F2,0,INDEX(Supuestos!$B$13:$B$19,MIN(C10-Familias!F2+1,7)))</f>
        <v>1</v>
      </c>
      <c r="F10" s="4" t="n">
        <f aca="false">Familias!E2*D10*E10</f>
        <v>58</v>
      </c>
      <c r="G10" s="4" t="n">
        <f aca="false">F10*Supuestos!$B$2</f>
        <v>1.16</v>
      </c>
      <c r="H10" s="4" t="n">
        <f aca="false">G10*Supuestos!$B$3</f>
        <v>0.754</v>
      </c>
    </row>
    <row r="11" customFormat="false" ht="15" hidden="false" customHeight="false" outlineLevel="0" collapsed="false">
      <c r="A11" s="0" t="s">
        <v>192</v>
      </c>
      <c r="B11" s="0" t="s">
        <v>83</v>
      </c>
      <c r="C11" s="0" t="n">
        <v>10</v>
      </c>
      <c r="D11" s="5" t="n">
        <f aca="false">Supuestos!$B$10</f>
        <v>0.02</v>
      </c>
      <c r="E11" s="5" t="n">
        <f aca="false">IF(C11&lt;Familias!F2,0,INDEX(Supuestos!$B$13:$B$19,MIN(C11-Familias!F2+1,7)))</f>
        <v>1</v>
      </c>
      <c r="F11" s="4" t="n">
        <f aca="false">Familias!E2*D11*E11</f>
        <v>58</v>
      </c>
      <c r="G11" s="4" t="n">
        <f aca="false">F11*Supuestos!$B$2</f>
        <v>1.16</v>
      </c>
      <c r="H11" s="4" t="n">
        <f aca="false">G11*Supuestos!$B$3</f>
        <v>0.754</v>
      </c>
    </row>
    <row r="12" customFormat="false" ht="15" hidden="false" customHeight="false" outlineLevel="0" collapsed="false">
      <c r="A12" s="0" t="s">
        <v>192</v>
      </c>
      <c r="B12" s="0" t="s">
        <v>83</v>
      </c>
      <c r="C12" s="0" t="n">
        <v>11</v>
      </c>
      <c r="D12" s="5" t="n">
        <f aca="false">Supuestos!$B$10</f>
        <v>0.02</v>
      </c>
      <c r="E12" s="5" t="n">
        <f aca="false">IF(C12&lt;Familias!F2,0,INDEX(Supuestos!$B$13:$B$19,MIN(C12-Familias!F2+1,7)))</f>
        <v>1</v>
      </c>
      <c r="F12" s="4" t="n">
        <f aca="false">Familias!E2*D12*E12</f>
        <v>58</v>
      </c>
      <c r="G12" s="4" t="n">
        <f aca="false">F12*Supuestos!$B$2</f>
        <v>1.16</v>
      </c>
      <c r="H12" s="4" t="n">
        <f aca="false">G12*Supuestos!$B$3</f>
        <v>0.754</v>
      </c>
    </row>
    <row r="13" customFormat="false" ht="15" hidden="false" customHeight="false" outlineLevel="0" collapsed="false">
      <c r="A13" s="0" t="s">
        <v>192</v>
      </c>
      <c r="B13" s="0" t="s">
        <v>83</v>
      </c>
      <c r="C13" s="0" t="n">
        <v>12</v>
      </c>
      <c r="D13" s="5" t="n">
        <f aca="false">Supuestos!$B$10</f>
        <v>0.02</v>
      </c>
      <c r="E13" s="5" t="n">
        <f aca="false">IF(C13&lt;Familias!F2,0,INDEX(Supuestos!$B$13:$B$19,MIN(C13-Familias!F2+1,7)))</f>
        <v>1</v>
      </c>
      <c r="F13" s="4" t="n">
        <f aca="false">Familias!E2*D13*E13</f>
        <v>58</v>
      </c>
      <c r="G13" s="4" t="n">
        <f aca="false">F13*Supuestos!$B$2</f>
        <v>1.16</v>
      </c>
      <c r="H13" s="4" t="n">
        <f aca="false">G13*Supuestos!$B$3</f>
        <v>0.754</v>
      </c>
    </row>
    <row r="14" customFormat="false" ht="15" hidden="false" customHeight="false" outlineLevel="0" collapsed="false">
      <c r="A14" s="0" t="s">
        <v>192</v>
      </c>
      <c r="B14" s="0" t="s">
        <v>90</v>
      </c>
      <c r="C14" s="0" t="n">
        <v>1</v>
      </c>
      <c r="D14" s="5" t="n">
        <f aca="false">Supuestos!$B$10</f>
        <v>0.02</v>
      </c>
      <c r="E14" s="5" t="n">
        <f aca="false">IF(C14&lt;Familias!F3,0,INDEX(Supuestos!$B$13:$B$19,MIN(C14-Familias!F3+1,7)))</f>
        <v>0</v>
      </c>
      <c r="F14" s="4" t="n">
        <f aca="false">Familias!E3*D14*E14</f>
        <v>0</v>
      </c>
      <c r="G14" s="4" t="n">
        <f aca="false">F14*Supuestos!$B$2</f>
        <v>0</v>
      </c>
      <c r="H14" s="4" t="n">
        <f aca="false">G14*Supuestos!$B$3</f>
        <v>0</v>
      </c>
    </row>
    <row r="15" customFormat="false" ht="15" hidden="false" customHeight="false" outlineLevel="0" collapsed="false">
      <c r="A15" s="0" t="s">
        <v>192</v>
      </c>
      <c r="B15" s="0" t="s">
        <v>90</v>
      </c>
      <c r="C15" s="0" t="n">
        <v>2</v>
      </c>
      <c r="D15" s="5" t="n">
        <f aca="false">Supuestos!$B$10</f>
        <v>0.02</v>
      </c>
      <c r="E15" s="5" t="n">
        <f aca="false">IF(C15&lt;Familias!F3,0,INDEX(Supuestos!$B$13:$B$19,MIN(C15-Familias!F3+1,7)))</f>
        <v>0.1</v>
      </c>
      <c r="F15" s="4" t="n">
        <f aca="false">Familias!E3*D15*E15</f>
        <v>0.42</v>
      </c>
      <c r="G15" s="4" t="n">
        <f aca="false">F15*Supuestos!$B$2</f>
        <v>0.0084</v>
      </c>
      <c r="H15" s="4" t="n">
        <f aca="false">G15*Supuestos!$B$3</f>
        <v>0.00546</v>
      </c>
    </row>
    <row r="16" customFormat="false" ht="15" hidden="false" customHeight="false" outlineLevel="0" collapsed="false">
      <c r="A16" s="0" t="s">
        <v>192</v>
      </c>
      <c r="B16" s="0" t="s">
        <v>90</v>
      </c>
      <c r="C16" s="0" t="n">
        <v>3</v>
      </c>
      <c r="D16" s="5" t="n">
        <f aca="false">Supuestos!$B$10</f>
        <v>0.02</v>
      </c>
      <c r="E16" s="5" t="n">
        <f aca="false">IF(C16&lt;Familias!F3,0,INDEX(Supuestos!$B$13:$B$19,MIN(C16-Familias!F3+1,7)))</f>
        <v>0.2</v>
      </c>
      <c r="F16" s="4" t="n">
        <f aca="false">Familias!E3*D16*E16</f>
        <v>0.84</v>
      </c>
      <c r="G16" s="4" t="n">
        <f aca="false">F16*Supuestos!$B$2</f>
        <v>0.0168</v>
      </c>
      <c r="H16" s="4" t="n">
        <f aca="false">G16*Supuestos!$B$3</f>
        <v>0.01092</v>
      </c>
    </row>
    <row r="17" customFormat="false" ht="15" hidden="false" customHeight="false" outlineLevel="0" collapsed="false">
      <c r="A17" s="0" t="s">
        <v>192</v>
      </c>
      <c r="B17" s="0" t="s">
        <v>90</v>
      </c>
      <c r="C17" s="0" t="n">
        <v>4</v>
      </c>
      <c r="D17" s="5" t="n">
        <f aca="false">Supuestos!$B$10</f>
        <v>0.02</v>
      </c>
      <c r="E17" s="5" t="n">
        <f aca="false">IF(C17&lt;Familias!F3,0,INDEX(Supuestos!$B$13:$B$19,MIN(C17-Familias!F3+1,7)))</f>
        <v>0.35</v>
      </c>
      <c r="F17" s="4" t="n">
        <f aca="false">Familias!E3*D17*E17</f>
        <v>1.47</v>
      </c>
      <c r="G17" s="4" t="n">
        <f aca="false">F17*Supuestos!$B$2</f>
        <v>0.0294</v>
      </c>
      <c r="H17" s="4" t="n">
        <f aca="false">G17*Supuestos!$B$3</f>
        <v>0.01911</v>
      </c>
    </row>
    <row r="18" customFormat="false" ht="15" hidden="false" customHeight="false" outlineLevel="0" collapsed="false">
      <c r="A18" s="0" t="s">
        <v>192</v>
      </c>
      <c r="B18" s="0" t="s">
        <v>90</v>
      </c>
      <c r="C18" s="0" t="n">
        <v>5</v>
      </c>
      <c r="D18" s="5" t="n">
        <f aca="false">Supuestos!$B$10</f>
        <v>0.02</v>
      </c>
      <c r="E18" s="5" t="n">
        <f aca="false">IF(C18&lt;Familias!F3,0,INDEX(Supuestos!$B$13:$B$19,MIN(C18-Familias!F3+1,7)))</f>
        <v>0.5</v>
      </c>
      <c r="F18" s="4" t="n">
        <f aca="false">Familias!E3*D18*E18</f>
        <v>2.1</v>
      </c>
      <c r="G18" s="4" t="n">
        <f aca="false">F18*Supuestos!$B$2</f>
        <v>0.042</v>
      </c>
      <c r="H18" s="4" t="n">
        <f aca="false">G18*Supuestos!$B$3</f>
        <v>0.0273</v>
      </c>
    </row>
    <row r="19" customFormat="false" ht="15" hidden="false" customHeight="false" outlineLevel="0" collapsed="false">
      <c r="A19" s="0" t="s">
        <v>192</v>
      </c>
      <c r="B19" s="0" t="s">
        <v>90</v>
      </c>
      <c r="C19" s="0" t="n">
        <v>6</v>
      </c>
      <c r="D19" s="5" t="n">
        <f aca="false">Supuestos!$B$10</f>
        <v>0.02</v>
      </c>
      <c r="E19" s="5" t="n">
        <f aca="false">IF(C19&lt;Familias!F3,0,INDEX(Supuestos!$B$13:$B$19,MIN(C19-Familias!F3+1,7)))</f>
        <v>0.65</v>
      </c>
      <c r="F19" s="4" t="n">
        <f aca="false">Familias!E3*D19*E19</f>
        <v>2.73</v>
      </c>
      <c r="G19" s="4" t="n">
        <f aca="false">F19*Supuestos!$B$2</f>
        <v>0.0546</v>
      </c>
      <c r="H19" s="4" t="n">
        <f aca="false">G19*Supuestos!$B$3</f>
        <v>0.03549</v>
      </c>
    </row>
    <row r="20" customFormat="false" ht="15" hidden="false" customHeight="false" outlineLevel="0" collapsed="false">
      <c r="A20" s="0" t="s">
        <v>192</v>
      </c>
      <c r="B20" s="0" t="s">
        <v>90</v>
      </c>
      <c r="C20" s="0" t="n">
        <v>7</v>
      </c>
      <c r="D20" s="5" t="n">
        <f aca="false">Supuestos!$B$10</f>
        <v>0.02</v>
      </c>
      <c r="E20" s="5" t="n">
        <f aca="false">IF(C20&lt;Familias!F3,0,INDEX(Supuestos!$B$13:$B$19,MIN(C20-Familias!F3+1,7)))</f>
        <v>0.8</v>
      </c>
      <c r="F20" s="4" t="n">
        <f aca="false">Familias!E3*D20*E20</f>
        <v>3.36</v>
      </c>
      <c r="G20" s="4" t="n">
        <f aca="false">F20*Supuestos!$B$2</f>
        <v>0.0672</v>
      </c>
      <c r="H20" s="4" t="n">
        <f aca="false">G20*Supuestos!$B$3</f>
        <v>0.04368</v>
      </c>
    </row>
    <row r="21" customFormat="false" ht="15" hidden="false" customHeight="false" outlineLevel="0" collapsed="false">
      <c r="A21" s="0" t="s">
        <v>192</v>
      </c>
      <c r="B21" s="0" t="s">
        <v>90</v>
      </c>
      <c r="C21" s="0" t="n">
        <v>8</v>
      </c>
      <c r="D21" s="5" t="n">
        <f aca="false">Supuestos!$B$10</f>
        <v>0.02</v>
      </c>
      <c r="E21" s="5" t="n">
        <f aca="false">IF(C21&lt;Familias!F3,0,INDEX(Supuestos!$B$13:$B$19,MIN(C21-Familias!F3+1,7)))</f>
        <v>1</v>
      </c>
      <c r="F21" s="4" t="n">
        <f aca="false">Familias!E3*D21*E21</f>
        <v>4.2</v>
      </c>
      <c r="G21" s="4" t="n">
        <f aca="false">F21*Supuestos!$B$2</f>
        <v>0.084</v>
      </c>
      <c r="H21" s="4" t="n">
        <f aca="false">G21*Supuestos!$B$3</f>
        <v>0.0546</v>
      </c>
    </row>
    <row r="22" customFormat="false" ht="15" hidden="false" customHeight="false" outlineLevel="0" collapsed="false">
      <c r="A22" s="0" t="s">
        <v>192</v>
      </c>
      <c r="B22" s="0" t="s">
        <v>90</v>
      </c>
      <c r="C22" s="0" t="n">
        <v>9</v>
      </c>
      <c r="D22" s="5" t="n">
        <f aca="false">Supuestos!$B$10</f>
        <v>0.02</v>
      </c>
      <c r="E22" s="5" t="n">
        <f aca="false">IF(C22&lt;Familias!F3,0,INDEX(Supuestos!$B$13:$B$19,MIN(C22-Familias!F3+1,7)))</f>
        <v>1</v>
      </c>
      <c r="F22" s="4" t="n">
        <f aca="false">Familias!E3*D22*E22</f>
        <v>4.2</v>
      </c>
      <c r="G22" s="4" t="n">
        <f aca="false">F22*Supuestos!$B$2</f>
        <v>0.084</v>
      </c>
      <c r="H22" s="4" t="n">
        <f aca="false">G22*Supuestos!$B$3</f>
        <v>0.0546</v>
      </c>
    </row>
    <row r="23" customFormat="false" ht="15" hidden="false" customHeight="false" outlineLevel="0" collapsed="false">
      <c r="A23" s="0" t="s">
        <v>192</v>
      </c>
      <c r="B23" s="0" t="s">
        <v>90</v>
      </c>
      <c r="C23" s="0" t="n">
        <v>10</v>
      </c>
      <c r="D23" s="5" t="n">
        <f aca="false">Supuestos!$B$10</f>
        <v>0.02</v>
      </c>
      <c r="E23" s="5" t="n">
        <f aca="false">IF(C23&lt;Familias!F3,0,INDEX(Supuestos!$B$13:$B$19,MIN(C23-Familias!F3+1,7)))</f>
        <v>1</v>
      </c>
      <c r="F23" s="4" t="n">
        <f aca="false">Familias!E3*D23*E23</f>
        <v>4.2</v>
      </c>
      <c r="G23" s="4" t="n">
        <f aca="false">F23*Supuestos!$B$2</f>
        <v>0.084</v>
      </c>
      <c r="H23" s="4" t="n">
        <f aca="false">G23*Supuestos!$B$3</f>
        <v>0.0546</v>
      </c>
    </row>
    <row r="24" customFormat="false" ht="15" hidden="false" customHeight="false" outlineLevel="0" collapsed="false">
      <c r="A24" s="0" t="s">
        <v>192</v>
      </c>
      <c r="B24" s="0" t="s">
        <v>90</v>
      </c>
      <c r="C24" s="0" t="n">
        <v>11</v>
      </c>
      <c r="D24" s="5" t="n">
        <f aca="false">Supuestos!$B$10</f>
        <v>0.02</v>
      </c>
      <c r="E24" s="5" t="n">
        <f aca="false">IF(C24&lt;Familias!F3,0,INDEX(Supuestos!$B$13:$B$19,MIN(C24-Familias!F3+1,7)))</f>
        <v>1</v>
      </c>
      <c r="F24" s="4" t="n">
        <f aca="false">Familias!E3*D24*E24</f>
        <v>4.2</v>
      </c>
      <c r="G24" s="4" t="n">
        <f aca="false">F24*Supuestos!$B$2</f>
        <v>0.084</v>
      </c>
      <c r="H24" s="4" t="n">
        <f aca="false">G24*Supuestos!$B$3</f>
        <v>0.0546</v>
      </c>
    </row>
    <row r="25" customFormat="false" ht="15" hidden="false" customHeight="false" outlineLevel="0" collapsed="false">
      <c r="A25" s="0" t="s">
        <v>192</v>
      </c>
      <c r="B25" s="0" t="s">
        <v>90</v>
      </c>
      <c r="C25" s="0" t="n">
        <v>12</v>
      </c>
      <c r="D25" s="5" t="n">
        <f aca="false">Supuestos!$B$10</f>
        <v>0.02</v>
      </c>
      <c r="E25" s="5" t="n">
        <f aca="false">IF(C25&lt;Familias!F3,0,INDEX(Supuestos!$B$13:$B$19,MIN(C25-Familias!F3+1,7)))</f>
        <v>1</v>
      </c>
      <c r="F25" s="4" t="n">
        <f aca="false">Familias!E3*D25*E25</f>
        <v>4.2</v>
      </c>
      <c r="G25" s="4" t="n">
        <f aca="false">F25*Supuestos!$B$2</f>
        <v>0.084</v>
      </c>
      <c r="H25" s="4" t="n">
        <f aca="false">G25*Supuestos!$B$3</f>
        <v>0.0546</v>
      </c>
    </row>
    <row r="26" customFormat="false" ht="15" hidden="false" customHeight="false" outlineLevel="0" collapsed="false">
      <c r="A26" s="0" t="s">
        <v>192</v>
      </c>
      <c r="B26" s="0" t="s">
        <v>96</v>
      </c>
      <c r="C26" s="0" t="n">
        <v>1</v>
      </c>
      <c r="D26" s="5" t="n">
        <f aca="false">Supuestos!$B$10</f>
        <v>0.02</v>
      </c>
      <c r="E26" s="5" t="n">
        <f aca="false">IF(C26&lt;Familias!F4,0,INDEX(Supuestos!$B$13:$B$19,MIN(C26-Familias!F4+1,7)))</f>
        <v>0</v>
      </c>
      <c r="F26" s="4" t="n">
        <f aca="false">Familias!E4*D26*E26</f>
        <v>0</v>
      </c>
      <c r="G26" s="4" t="n">
        <f aca="false">F26*Supuestos!$B$2</f>
        <v>0</v>
      </c>
      <c r="H26" s="4" t="n">
        <f aca="false">G26*Supuestos!$B$3</f>
        <v>0</v>
      </c>
    </row>
    <row r="27" customFormat="false" ht="15" hidden="false" customHeight="false" outlineLevel="0" collapsed="false">
      <c r="A27" s="0" t="s">
        <v>192</v>
      </c>
      <c r="B27" s="0" t="s">
        <v>96</v>
      </c>
      <c r="C27" s="0" t="n">
        <v>2</v>
      </c>
      <c r="D27" s="5" t="n">
        <f aca="false">Supuestos!$B$10</f>
        <v>0.02</v>
      </c>
      <c r="E27" s="5" t="n">
        <f aca="false">IF(C27&lt;Familias!F4,0,INDEX(Supuestos!$B$13:$B$19,MIN(C27-Familias!F4+1,7)))</f>
        <v>0</v>
      </c>
      <c r="F27" s="4" t="n">
        <f aca="false">Familias!E4*D27*E27</f>
        <v>0</v>
      </c>
      <c r="G27" s="4" t="n">
        <f aca="false">F27*Supuestos!$B$2</f>
        <v>0</v>
      </c>
      <c r="H27" s="4" t="n">
        <f aca="false">G27*Supuestos!$B$3</f>
        <v>0</v>
      </c>
    </row>
    <row r="28" customFormat="false" ht="15" hidden="false" customHeight="false" outlineLevel="0" collapsed="false">
      <c r="A28" s="0" t="s">
        <v>192</v>
      </c>
      <c r="B28" s="0" t="s">
        <v>96</v>
      </c>
      <c r="C28" s="0" t="n">
        <v>3</v>
      </c>
      <c r="D28" s="5" t="n">
        <f aca="false">Supuestos!$B$10</f>
        <v>0.02</v>
      </c>
      <c r="E28" s="5" t="n">
        <f aca="false">IF(C28&lt;Familias!F4,0,INDEX(Supuestos!$B$13:$B$19,MIN(C28-Familias!F4+1,7)))</f>
        <v>0.1</v>
      </c>
      <c r="F28" s="4" t="n">
        <f aca="false">Familias!E4*D28*E28</f>
        <v>0.64</v>
      </c>
      <c r="G28" s="4" t="n">
        <f aca="false">F28*Supuestos!$B$2</f>
        <v>0.0128</v>
      </c>
      <c r="H28" s="4" t="n">
        <f aca="false">G28*Supuestos!$B$3</f>
        <v>0.00832</v>
      </c>
    </row>
    <row r="29" customFormat="false" ht="15" hidden="false" customHeight="false" outlineLevel="0" collapsed="false">
      <c r="A29" s="0" t="s">
        <v>192</v>
      </c>
      <c r="B29" s="0" t="s">
        <v>96</v>
      </c>
      <c r="C29" s="0" t="n">
        <v>4</v>
      </c>
      <c r="D29" s="5" t="n">
        <f aca="false">Supuestos!$B$10</f>
        <v>0.02</v>
      </c>
      <c r="E29" s="5" t="n">
        <f aca="false">IF(C29&lt;Familias!F4,0,INDEX(Supuestos!$B$13:$B$19,MIN(C29-Familias!F4+1,7)))</f>
        <v>0.2</v>
      </c>
      <c r="F29" s="4" t="n">
        <f aca="false">Familias!E4*D29*E29</f>
        <v>1.28</v>
      </c>
      <c r="G29" s="4" t="n">
        <f aca="false">F29*Supuestos!$B$2</f>
        <v>0.0256</v>
      </c>
      <c r="H29" s="4" t="n">
        <f aca="false">G29*Supuestos!$B$3</f>
        <v>0.01664</v>
      </c>
    </row>
    <row r="30" customFormat="false" ht="15" hidden="false" customHeight="false" outlineLevel="0" collapsed="false">
      <c r="A30" s="0" t="s">
        <v>192</v>
      </c>
      <c r="B30" s="0" t="s">
        <v>96</v>
      </c>
      <c r="C30" s="0" t="n">
        <v>5</v>
      </c>
      <c r="D30" s="5" t="n">
        <f aca="false">Supuestos!$B$10</f>
        <v>0.02</v>
      </c>
      <c r="E30" s="5" t="n">
        <f aca="false">IF(C30&lt;Familias!F4,0,INDEX(Supuestos!$B$13:$B$19,MIN(C30-Familias!F4+1,7)))</f>
        <v>0.35</v>
      </c>
      <c r="F30" s="4" t="n">
        <f aca="false">Familias!E4*D30*E30</f>
        <v>2.24</v>
      </c>
      <c r="G30" s="4" t="n">
        <f aca="false">F30*Supuestos!$B$2</f>
        <v>0.0448</v>
      </c>
      <c r="H30" s="4" t="n">
        <f aca="false">G30*Supuestos!$B$3</f>
        <v>0.02912</v>
      </c>
    </row>
    <row r="31" customFormat="false" ht="15" hidden="false" customHeight="false" outlineLevel="0" collapsed="false">
      <c r="A31" s="0" t="s">
        <v>192</v>
      </c>
      <c r="B31" s="0" t="s">
        <v>96</v>
      </c>
      <c r="C31" s="0" t="n">
        <v>6</v>
      </c>
      <c r="D31" s="5" t="n">
        <f aca="false">Supuestos!$B$10</f>
        <v>0.02</v>
      </c>
      <c r="E31" s="5" t="n">
        <f aca="false">IF(C31&lt;Familias!F4,0,INDEX(Supuestos!$B$13:$B$19,MIN(C31-Familias!F4+1,7)))</f>
        <v>0.5</v>
      </c>
      <c r="F31" s="4" t="n">
        <f aca="false">Familias!E4*D31*E31</f>
        <v>3.2</v>
      </c>
      <c r="G31" s="4" t="n">
        <f aca="false">F31*Supuestos!$B$2</f>
        <v>0.064</v>
      </c>
      <c r="H31" s="4" t="n">
        <f aca="false">G31*Supuestos!$B$3</f>
        <v>0.0416</v>
      </c>
    </row>
    <row r="32" customFormat="false" ht="15" hidden="false" customHeight="false" outlineLevel="0" collapsed="false">
      <c r="A32" s="0" t="s">
        <v>192</v>
      </c>
      <c r="B32" s="0" t="s">
        <v>96</v>
      </c>
      <c r="C32" s="0" t="n">
        <v>7</v>
      </c>
      <c r="D32" s="5" t="n">
        <f aca="false">Supuestos!$B$10</f>
        <v>0.02</v>
      </c>
      <c r="E32" s="5" t="n">
        <f aca="false">IF(C32&lt;Familias!F4,0,INDEX(Supuestos!$B$13:$B$19,MIN(C32-Familias!F4+1,7)))</f>
        <v>0.65</v>
      </c>
      <c r="F32" s="4" t="n">
        <f aca="false">Familias!E4*D32*E32</f>
        <v>4.16</v>
      </c>
      <c r="G32" s="4" t="n">
        <f aca="false">F32*Supuestos!$B$2</f>
        <v>0.0832</v>
      </c>
      <c r="H32" s="4" t="n">
        <f aca="false">G32*Supuestos!$B$3</f>
        <v>0.05408</v>
      </c>
    </row>
    <row r="33" customFormat="false" ht="15" hidden="false" customHeight="false" outlineLevel="0" collapsed="false">
      <c r="A33" s="0" t="s">
        <v>192</v>
      </c>
      <c r="B33" s="0" t="s">
        <v>96</v>
      </c>
      <c r="C33" s="0" t="n">
        <v>8</v>
      </c>
      <c r="D33" s="5" t="n">
        <f aca="false">Supuestos!$B$10</f>
        <v>0.02</v>
      </c>
      <c r="E33" s="5" t="n">
        <f aca="false">IF(C33&lt;Familias!F4,0,INDEX(Supuestos!$B$13:$B$19,MIN(C33-Familias!F4+1,7)))</f>
        <v>0.8</v>
      </c>
      <c r="F33" s="4" t="n">
        <f aca="false">Familias!E4*D33*E33</f>
        <v>5.12</v>
      </c>
      <c r="G33" s="4" t="n">
        <f aca="false">F33*Supuestos!$B$2</f>
        <v>0.1024</v>
      </c>
      <c r="H33" s="4" t="n">
        <f aca="false">G33*Supuestos!$B$3</f>
        <v>0.06656</v>
      </c>
    </row>
    <row r="34" customFormat="false" ht="15" hidden="false" customHeight="false" outlineLevel="0" collapsed="false">
      <c r="A34" s="0" t="s">
        <v>192</v>
      </c>
      <c r="B34" s="0" t="s">
        <v>96</v>
      </c>
      <c r="C34" s="0" t="n">
        <v>9</v>
      </c>
      <c r="D34" s="5" t="n">
        <f aca="false">Supuestos!$B$10</f>
        <v>0.02</v>
      </c>
      <c r="E34" s="5" t="n">
        <f aca="false">IF(C34&lt;Familias!F4,0,INDEX(Supuestos!$B$13:$B$19,MIN(C34-Familias!F4+1,7)))</f>
        <v>1</v>
      </c>
      <c r="F34" s="4" t="n">
        <f aca="false">Familias!E4*D34*E34</f>
        <v>6.4</v>
      </c>
      <c r="G34" s="4" t="n">
        <f aca="false">F34*Supuestos!$B$2</f>
        <v>0.128</v>
      </c>
      <c r="H34" s="4" t="n">
        <f aca="false">G34*Supuestos!$B$3</f>
        <v>0.0832</v>
      </c>
    </row>
    <row r="35" customFormat="false" ht="15" hidden="false" customHeight="false" outlineLevel="0" collapsed="false">
      <c r="A35" s="0" t="s">
        <v>192</v>
      </c>
      <c r="B35" s="0" t="s">
        <v>96</v>
      </c>
      <c r="C35" s="0" t="n">
        <v>10</v>
      </c>
      <c r="D35" s="5" t="n">
        <f aca="false">Supuestos!$B$10</f>
        <v>0.02</v>
      </c>
      <c r="E35" s="5" t="n">
        <f aca="false">IF(C35&lt;Familias!F4,0,INDEX(Supuestos!$B$13:$B$19,MIN(C35-Familias!F4+1,7)))</f>
        <v>1</v>
      </c>
      <c r="F35" s="4" t="n">
        <f aca="false">Familias!E4*D35*E35</f>
        <v>6.4</v>
      </c>
      <c r="G35" s="4" t="n">
        <f aca="false">F35*Supuestos!$B$2</f>
        <v>0.128</v>
      </c>
      <c r="H35" s="4" t="n">
        <f aca="false">G35*Supuestos!$B$3</f>
        <v>0.0832</v>
      </c>
    </row>
    <row r="36" customFormat="false" ht="15" hidden="false" customHeight="false" outlineLevel="0" collapsed="false">
      <c r="A36" s="0" t="s">
        <v>192</v>
      </c>
      <c r="B36" s="0" t="s">
        <v>96</v>
      </c>
      <c r="C36" s="0" t="n">
        <v>11</v>
      </c>
      <c r="D36" s="5" t="n">
        <f aca="false">Supuestos!$B$10</f>
        <v>0.02</v>
      </c>
      <c r="E36" s="5" t="n">
        <f aca="false">IF(C36&lt;Familias!F4,0,INDEX(Supuestos!$B$13:$B$19,MIN(C36-Familias!F4+1,7)))</f>
        <v>1</v>
      </c>
      <c r="F36" s="4" t="n">
        <f aca="false">Familias!E4*D36*E36</f>
        <v>6.4</v>
      </c>
      <c r="G36" s="4" t="n">
        <f aca="false">F36*Supuestos!$B$2</f>
        <v>0.128</v>
      </c>
      <c r="H36" s="4" t="n">
        <f aca="false">G36*Supuestos!$B$3</f>
        <v>0.0832</v>
      </c>
    </row>
    <row r="37" customFormat="false" ht="15" hidden="false" customHeight="false" outlineLevel="0" collapsed="false">
      <c r="A37" s="0" t="s">
        <v>192</v>
      </c>
      <c r="B37" s="0" t="s">
        <v>96</v>
      </c>
      <c r="C37" s="0" t="n">
        <v>12</v>
      </c>
      <c r="D37" s="5" t="n">
        <f aca="false">Supuestos!$B$10</f>
        <v>0.02</v>
      </c>
      <c r="E37" s="5" t="n">
        <f aca="false">IF(C37&lt;Familias!F4,0,INDEX(Supuestos!$B$13:$B$19,MIN(C37-Familias!F4+1,7)))</f>
        <v>1</v>
      </c>
      <c r="F37" s="4" t="n">
        <f aca="false">Familias!E4*D37*E37</f>
        <v>6.4</v>
      </c>
      <c r="G37" s="4" t="n">
        <f aca="false">F37*Supuestos!$B$2</f>
        <v>0.128</v>
      </c>
      <c r="H37" s="4" t="n">
        <f aca="false">G37*Supuestos!$B$3</f>
        <v>0.0832</v>
      </c>
    </row>
    <row r="38" customFormat="false" ht="15" hidden="false" customHeight="false" outlineLevel="0" collapsed="false">
      <c r="A38" s="0" t="s">
        <v>192</v>
      </c>
      <c r="B38" s="0" t="s">
        <v>101</v>
      </c>
      <c r="C38" s="0" t="n">
        <v>1</v>
      </c>
      <c r="D38" s="5" t="n">
        <f aca="false">Supuestos!$B$10</f>
        <v>0.02</v>
      </c>
      <c r="E38" s="5" t="n">
        <f aca="false">IF(C38&lt;Familias!F5,0,INDEX(Supuestos!$B$13:$B$19,MIN(C38-Familias!F5+1,7)))</f>
        <v>0.1</v>
      </c>
      <c r="F38" s="4" t="n">
        <f aca="false">Familias!E5*D38*E38</f>
        <v>0.42</v>
      </c>
      <c r="G38" s="4" t="n">
        <f aca="false">F38*Supuestos!$B$2</f>
        <v>0.0084</v>
      </c>
      <c r="H38" s="4" t="n">
        <f aca="false">G38*Supuestos!$B$3</f>
        <v>0.00546</v>
      </c>
    </row>
    <row r="39" customFormat="false" ht="15" hidden="false" customHeight="false" outlineLevel="0" collapsed="false">
      <c r="A39" s="0" t="s">
        <v>192</v>
      </c>
      <c r="B39" s="0" t="s">
        <v>101</v>
      </c>
      <c r="C39" s="0" t="n">
        <v>2</v>
      </c>
      <c r="D39" s="5" t="n">
        <f aca="false">Supuestos!$B$10</f>
        <v>0.02</v>
      </c>
      <c r="E39" s="5" t="n">
        <f aca="false">IF(C39&lt;Familias!F5,0,INDEX(Supuestos!$B$13:$B$19,MIN(C39-Familias!F5+1,7)))</f>
        <v>0.2</v>
      </c>
      <c r="F39" s="4" t="n">
        <f aca="false">Familias!E5*D39*E39</f>
        <v>0.84</v>
      </c>
      <c r="G39" s="4" t="n">
        <f aca="false">F39*Supuestos!$B$2</f>
        <v>0.0168</v>
      </c>
      <c r="H39" s="4" t="n">
        <f aca="false">G39*Supuestos!$B$3</f>
        <v>0.01092</v>
      </c>
    </row>
    <row r="40" customFormat="false" ht="15" hidden="false" customHeight="false" outlineLevel="0" collapsed="false">
      <c r="A40" s="0" t="s">
        <v>192</v>
      </c>
      <c r="B40" s="0" t="s">
        <v>101</v>
      </c>
      <c r="C40" s="0" t="n">
        <v>3</v>
      </c>
      <c r="D40" s="5" t="n">
        <f aca="false">Supuestos!$B$10</f>
        <v>0.02</v>
      </c>
      <c r="E40" s="5" t="n">
        <f aca="false">IF(C40&lt;Familias!F5,0,INDEX(Supuestos!$B$13:$B$19,MIN(C40-Familias!F5+1,7)))</f>
        <v>0.35</v>
      </c>
      <c r="F40" s="4" t="n">
        <f aca="false">Familias!E5*D40*E40</f>
        <v>1.47</v>
      </c>
      <c r="G40" s="4" t="n">
        <f aca="false">F40*Supuestos!$B$2</f>
        <v>0.0294</v>
      </c>
      <c r="H40" s="4" t="n">
        <f aca="false">G40*Supuestos!$B$3</f>
        <v>0.01911</v>
      </c>
    </row>
    <row r="41" customFormat="false" ht="15" hidden="false" customHeight="false" outlineLevel="0" collapsed="false">
      <c r="A41" s="0" t="s">
        <v>192</v>
      </c>
      <c r="B41" s="0" t="s">
        <v>101</v>
      </c>
      <c r="C41" s="0" t="n">
        <v>4</v>
      </c>
      <c r="D41" s="5" t="n">
        <f aca="false">Supuestos!$B$10</f>
        <v>0.02</v>
      </c>
      <c r="E41" s="5" t="n">
        <f aca="false">IF(C41&lt;Familias!F5,0,INDEX(Supuestos!$B$13:$B$19,MIN(C41-Familias!F5+1,7)))</f>
        <v>0.5</v>
      </c>
      <c r="F41" s="4" t="n">
        <f aca="false">Familias!E5*D41*E41</f>
        <v>2.1</v>
      </c>
      <c r="G41" s="4" t="n">
        <f aca="false">F41*Supuestos!$B$2</f>
        <v>0.042</v>
      </c>
      <c r="H41" s="4" t="n">
        <f aca="false">G41*Supuestos!$B$3</f>
        <v>0.0273</v>
      </c>
    </row>
    <row r="42" customFormat="false" ht="15" hidden="false" customHeight="false" outlineLevel="0" collapsed="false">
      <c r="A42" s="0" t="s">
        <v>192</v>
      </c>
      <c r="B42" s="0" t="s">
        <v>101</v>
      </c>
      <c r="C42" s="0" t="n">
        <v>5</v>
      </c>
      <c r="D42" s="5" t="n">
        <f aca="false">Supuestos!$B$10</f>
        <v>0.02</v>
      </c>
      <c r="E42" s="5" t="n">
        <f aca="false">IF(C42&lt;Familias!F5,0,INDEX(Supuestos!$B$13:$B$19,MIN(C42-Familias!F5+1,7)))</f>
        <v>0.65</v>
      </c>
      <c r="F42" s="4" t="n">
        <f aca="false">Familias!E5*D42*E42</f>
        <v>2.73</v>
      </c>
      <c r="G42" s="4" t="n">
        <f aca="false">F42*Supuestos!$B$2</f>
        <v>0.0546</v>
      </c>
      <c r="H42" s="4" t="n">
        <f aca="false">G42*Supuestos!$B$3</f>
        <v>0.03549</v>
      </c>
    </row>
    <row r="43" customFormat="false" ht="15" hidden="false" customHeight="false" outlineLevel="0" collapsed="false">
      <c r="A43" s="0" t="s">
        <v>192</v>
      </c>
      <c r="B43" s="0" t="s">
        <v>101</v>
      </c>
      <c r="C43" s="0" t="n">
        <v>6</v>
      </c>
      <c r="D43" s="5" t="n">
        <f aca="false">Supuestos!$B$10</f>
        <v>0.02</v>
      </c>
      <c r="E43" s="5" t="n">
        <f aca="false">IF(C43&lt;Familias!F5,0,INDEX(Supuestos!$B$13:$B$19,MIN(C43-Familias!F5+1,7)))</f>
        <v>0.8</v>
      </c>
      <c r="F43" s="4" t="n">
        <f aca="false">Familias!E5*D43*E43</f>
        <v>3.36</v>
      </c>
      <c r="G43" s="4" t="n">
        <f aca="false">F43*Supuestos!$B$2</f>
        <v>0.0672</v>
      </c>
      <c r="H43" s="4" t="n">
        <f aca="false">G43*Supuestos!$B$3</f>
        <v>0.04368</v>
      </c>
    </row>
    <row r="44" customFormat="false" ht="15" hidden="false" customHeight="false" outlineLevel="0" collapsed="false">
      <c r="A44" s="0" t="s">
        <v>192</v>
      </c>
      <c r="B44" s="0" t="s">
        <v>101</v>
      </c>
      <c r="C44" s="0" t="n">
        <v>7</v>
      </c>
      <c r="D44" s="5" t="n">
        <f aca="false">Supuestos!$B$10</f>
        <v>0.02</v>
      </c>
      <c r="E44" s="5" t="n">
        <f aca="false">IF(C44&lt;Familias!F5,0,INDEX(Supuestos!$B$13:$B$19,MIN(C44-Familias!F5+1,7)))</f>
        <v>1</v>
      </c>
      <c r="F44" s="4" t="n">
        <f aca="false">Familias!E5*D44*E44</f>
        <v>4.2</v>
      </c>
      <c r="G44" s="4" t="n">
        <f aca="false">F44*Supuestos!$B$2</f>
        <v>0.084</v>
      </c>
      <c r="H44" s="4" t="n">
        <f aca="false">G44*Supuestos!$B$3</f>
        <v>0.0546</v>
      </c>
    </row>
    <row r="45" customFormat="false" ht="15" hidden="false" customHeight="false" outlineLevel="0" collapsed="false">
      <c r="A45" s="0" t="s">
        <v>192</v>
      </c>
      <c r="B45" s="0" t="s">
        <v>101</v>
      </c>
      <c r="C45" s="0" t="n">
        <v>8</v>
      </c>
      <c r="D45" s="5" t="n">
        <f aca="false">Supuestos!$B$10</f>
        <v>0.02</v>
      </c>
      <c r="E45" s="5" t="n">
        <f aca="false">IF(C45&lt;Familias!F5,0,INDEX(Supuestos!$B$13:$B$19,MIN(C45-Familias!F5+1,7)))</f>
        <v>1</v>
      </c>
      <c r="F45" s="4" t="n">
        <f aca="false">Familias!E5*D45*E45</f>
        <v>4.2</v>
      </c>
      <c r="G45" s="4" t="n">
        <f aca="false">F45*Supuestos!$B$2</f>
        <v>0.084</v>
      </c>
      <c r="H45" s="4" t="n">
        <f aca="false">G45*Supuestos!$B$3</f>
        <v>0.0546</v>
      </c>
    </row>
    <row r="46" customFormat="false" ht="15" hidden="false" customHeight="false" outlineLevel="0" collapsed="false">
      <c r="A46" s="0" t="s">
        <v>192</v>
      </c>
      <c r="B46" s="0" t="s">
        <v>101</v>
      </c>
      <c r="C46" s="0" t="n">
        <v>9</v>
      </c>
      <c r="D46" s="5" t="n">
        <f aca="false">Supuestos!$B$10</f>
        <v>0.02</v>
      </c>
      <c r="E46" s="5" t="n">
        <f aca="false">IF(C46&lt;Familias!F5,0,INDEX(Supuestos!$B$13:$B$19,MIN(C46-Familias!F5+1,7)))</f>
        <v>1</v>
      </c>
      <c r="F46" s="4" t="n">
        <f aca="false">Familias!E5*D46*E46</f>
        <v>4.2</v>
      </c>
      <c r="G46" s="4" t="n">
        <f aca="false">F46*Supuestos!$B$2</f>
        <v>0.084</v>
      </c>
      <c r="H46" s="4" t="n">
        <f aca="false">G46*Supuestos!$B$3</f>
        <v>0.0546</v>
      </c>
    </row>
    <row r="47" customFormat="false" ht="15" hidden="false" customHeight="false" outlineLevel="0" collapsed="false">
      <c r="A47" s="0" t="s">
        <v>192</v>
      </c>
      <c r="B47" s="0" t="s">
        <v>101</v>
      </c>
      <c r="C47" s="0" t="n">
        <v>10</v>
      </c>
      <c r="D47" s="5" t="n">
        <f aca="false">Supuestos!$B$10</f>
        <v>0.02</v>
      </c>
      <c r="E47" s="5" t="n">
        <f aca="false">IF(C47&lt;Familias!F5,0,INDEX(Supuestos!$B$13:$B$19,MIN(C47-Familias!F5+1,7)))</f>
        <v>1</v>
      </c>
      <c r="F47" s="4" t="n">
        <f aca="false">Familias!E5*D47*E47</f>
        <v>4.2</v>
      </c>
      <c r="G47" s="4" t="n">
        <f aca="false">F47*Supuestos!$B$2</f>
        <v>0.084</v>
      </c>
      <c r="H47" s="4" t="n">
        <f aca="false">G47*Supuestos!$B$3</f>
        <v>0.0546</v>
      </c>
    </row>
    <row r="48" customFormat="false" ht="15" hidden="false" customHeight="false" outlineLevel="0" collapsed="false">
      <c r="A48" s="0" t="s">
        <v>192</v>
      </c>
      <c r="B48" s="0" t="s">
        <v>101</v>
      </c>
      <c r="C48" s="0" t="n">
        <v>11</v>
      </c>
      <c r="D48" s="5" t="n">
        <f aca="false">Supuestos!$B$10</f>
        <v>0.02</v>
      </c>
      <c r="E48" s="5" t="n">
        <f aca="false">IF(C48&lt;Familias!F5,0,INDEX(Supuestos!$B$13:$B$19,MIN(C48-Familias!F5+1,7)))</f>
        <v>1</v>
      </c>
      <c r="F48" s="4" t="n">
        <f aca="false">Familias!E5*D48*E48</f>
        <v>4.2</v>
      </c>
      <c r="G48" s="4" t="n">
        <f aca="false">F48*Supuestos!$B$2</f>
        <v>0.084</v>
      </c>
      <c r="H48" s="4" t="n">
        <f aca="false">G48*Supuestos!$B$3</f>
        <v>0.0546</v>
      </c>
    </row>
    <row r="49" customFormat="false" ht="15" hidden="false" customHeight="false" outlineLevel="0" collapsed="false">
      <c r="A49" s="0" t="s">
        <v>192</v>
      </c>
      <c r="B49" s="0" t="s">
        <v>101</v>
      </c>
      <c r="C49" s="0" t="n">
        <v>12</v>
      </c>
      <c r="D49" s="5" t="n">
        <f aca="false">Supuestos!$B$10</f>
        <v>0.02</v>
      </c>
      <c r="E49" s="5" t="n">
        <f aca="false">IF(C49&lt;Familias!F5,0,INDEX(Supuestos!$B$13:$B$19,MIN(C49-Familias!F5+1,7)))</f>
        <v>1</v>
      </c>
      <c r="F49" s="4" t="n">
        <f aca="false">Familias!E5*D49*E49</f>
        <v>4.2</v>
      </c>
      <c r="G49" s="4" t="n">
        <f aca="false">F49*Supuestos!$B$2</f>
        <v>0.084</v>
      </c>
      <c r="H49" s="4" t="n">
        <f aca="false">G49*Supuestos!$B$3</f>
        <v>0.0546</v>
      </c>
    </row>
    <row r="50" customFormat="false" ht="15" hidden="false" customHeight="false" outlineLevel="0" collapsed="false">
      <c r="A50" s="0" t="s">
        <v>192</v>
      </c>
      <c r="B50" s="0" t="s">
        <v>106</v>
      </c>
      <c r="C50" s="0" t="n">
        <v>1</v>
      </c>
      <c r="D50" s="5" t="n">
        <f aca="false">Supuestos!$B$10</f>
        <v>0.02</v>
      </c>
      <c r="E50" s="5" t="n">
        <f aca="false">IF(C50&lt;Familias!F6,0,INDEX(Supuestos!$B$13:$B$19,MIN(C50-Familias!F6+1,7)))</f>
        <v>0.1</v>
      </c>
      <c r="F50" s="4" t="n">
        <f aca="false">Familias!E6*D50*E50</f>
        <v>0.1</v>
      </c>
      <c r="G50" s="4" t="n">
        <f aca="false">F50*Supuestos!$B$2</f>
        <v>0.002</v>
      </c>
      <c r="H50" s="4" t="n">
        <f aca="false">G50*Supuestos!$B$3</f>
        <v>0.0013</v>
      </c>
    </row>
    <row r="51" customFormat="false" ht="15" hidden="false" customHeight="false" outlineLevel="0" collapsed="false">
      <c r="A51" s="0" t="s">
        <v>192</v>
      </c>
      <c r="B51" s="0" t="s">
        <v>106</v>
      </c>
      <c r="C51" s="0" t="n">
        <v>2</v>
      </c>
      <c r="D51" s="5" t="n">
        <f aca="false">Supuestos!$B$10</f>
        <v>0.02</v>
      </c>
      <c r="E51" s="5" t="n">
        <f aca="false">IF(C51&lt;Familias!F6,0,INDEX(Supuestos!$B$13:$B$19,MIN(C51-Familias!F6+1,7)))</f>
        <v>0.2</v>
      </c>
      <c r="F51" s="4" t="n">
        <f aca="false">Familias!E6*D51*E51</f>
        <v>0.2</v>
      </c>
      <c r="G51" s="4" t="n">
        <f aca="false">F51*Supuestos!$B$2</f>
        <v>0.004</v>
      </c>
      <c r="H51" s="4" t="n">
        <f aca="false">G51*Supuestos!$B$3</f>
        <v>0.0026</v>
      </c>
    </row>
    <row r="52" customFormat="false" ht="15" hidden="false" customHeight="false" outlineLevel="0" collapsed="false">
      <c r="A52" s="0" t="s">
        <v>192</v>
      </c>
      <c r="B52" s="0" t="s">
        <v>106</v>
      </c>
      <c r="C52" s="0" t="n">
        <v>3</v>
      </c>
      <c r="D52" s="5" t="n">
        <f aca="false">Supuestos!$B$10</f>
        <v>0.02</v>
      </c>
      <c r="E52" s="5" t="n">
        <f aca="false">IF(C52&lt;Familias!F6,0,INDEX(Supuestos!$B$13:$B$19,MIN(C52-Familias!F6+1,7)))</f>
        <v>0.35</v>
      </c>
      <c r="F52" s="4" t="n">
        <f aca="false">Familias!E6*D52*E52</f>
        <v>0.35</v>
      </c>
      <c r="G52" s="4" t="n">
        <f aca="false">F52*Supuestos!$B$2</f>
        <v>0.007</v>
      </c>
      <c r="H52" s="4" t="n">
        <f aca="false">G52*Supuestos!$B$3</f>
        <v>0.00455</v>
      </c>
    </row>
    <row r="53" customFormat="false" ht="15" hidden="false" customHeight="false" outlineLevel="0" collapsed="false">
      <c r="A53" s="0" t="s">
        <v>192</v>
      </c>
      <c r="B53" s="0" t="s">
        <v>106</v>
      </c>
      <c r="C53" s="0" t="n">
        <v>4</v>
      </c>
      <c r="D53" s="5" t="n">
        <f aca="false">Supuestos!$B$10</f>
        <v>0.02</v>
      </c>
      <c r="E53" s="5" t="n">
        <f aca="false">IF(C53&lt;Familias!F6,0,INDEX(Supuestos!$B$13:$B$19,MIN(C53-Familias!F6+1,7)))</f>
        <v>0.5</v>
      </c>
      <c r="F53" s="4" t="n">
        <f aca="false">Familias!E6*D53*E53</f>
        <v>0.5</v>
      </c>
      <c r="G53" s="4" t="n">
        <f aca="false">F53*Supuestos!$B$2</f>
        <v>0.01</v>
      </c>
      <c r="H53" s="4" t="n">
        <f aca="false">G53*Supuestos!$B$3</f>
        <v>0.0065</v>
      </c>
    </row>
    <row r="54" customFormat="false" ht="15" hidden="false" customHeight="false" outlineLevel="0" collapsed="false">
      <c r="A54" s="0" t="s">
        <v>192</v>
      </c>
      <c r="B54" s="0" t="s">
        <v>106</v>
      </c>
      <c r="C54" s="0" t="n">
        <v>5</v>
      </c>
      <c r="D54" s="5" t="n">
        <f aca="false">Supuestos!$B$10</f>
        <v>0.02</v>
      </c>
      <c r="E54" s="5" t="n">
        <f aca="false">IF(C54&lt;Familias!F6,0,INDEX(Supuestos!$B$13:$B$19,MIN(C54-Familias!F6+1,7)))</f>
        <v>0.65</v>
      </c>
      <c r="F54" s="4" t="n">
        <f aca="false">Familias!E6*D54*E54</f>
        <v>0.65</v>
      </c>
      <c r="G54" s="4" t="n">
        <f aca="false">F54*Supuestos!$B$2</f>
        <v>0.013</v>
      </c>
      <c r="H54" s="4" t="n">
        <f aca="false">G54*Supuestos!$B$3</f>
        <v>0.00845</v>
      </c>
    </row>
    <row r="55" customFormat="false" ht="15" hidden="false" customHeight="false" outlineLevel="0" collapsed="false">
      <c r="A55" s="0" t="s">
        <v>192</v>
      </c>
      <c r="B55" s="0" t="s">
        <v>106</v>
      </c>
      <c r="C55" s="0" t="n">
        <v>6</v>
      </c>
      <c r="D55" s="5" t="n">
        <f aca="false">Supuestos!$B$10</f>
        <v>0.02</v>
      </c>
      <c r="E55" s="5" t="n">
        <f aca="false">IF(C55&lt;Familias!F6,0,INDEX(Supuestos!$B$13:$B$19,MIN(C55-Familias!F6+1,7)))</f>
        <v>0.8</v>
      </c>
      <c r="F55" s="4" t="n">
        <f aca="false">Familias!E6*D55*E55</f>
        <v>0.8</v>
      </c>
      <c r="G55" s="4" t="n">
        <f aca="false">F55*Supuestos!$B$2</f>
        <v>0.016</v>
      </c>
      <c r="H55" s="4" t="n">
        <f aca="false">G55*Supuestos!$B$3</f>
        <v>0.0104</v>
      </c>
    </row>
    <row r="56" customFormat="false" ht="15" hidden="false" customHeight="false" outlineLevel="0" collapsed="false">
      <c r="A56" s="0" t="s">
        <v>192</v>
      </c>
      <c r="B56" s="0" t="s">
        <v>106</v>
      </c>
      <c r="C56" s="0" t="n">
        <v>7</v>
      </c>
      <c r="D56" s="5" t="n">
        <f aca="false">Supuestos!$B$10</f>
        <v>0.02</v>
      </c>
      <c r="E56" s="5" t="n">
        <f aca="false">IF(C56&lt;Familias!F6,0,INDEX(Supuestos!$B$13:$B$19,MIN(C56-Familias!F6+1,7)))</f>
        <v>1</v>
      </c>
      <c r="F56" s="4" t="n">
        <f aca="false">Familias!E6*D56*E56</f>
        <v>1</v>
      </c>
      <c r="G56" s="4" t="n">
        <f aca="false">F56*Supuestos!$B$2</f>
        <v>0.02</v>
      </c>
      <c r="H56" s="4" t="n">
        <f aca="false">G56*Supuestos!$B$3</f>
        <v>0.013</v>
      </c>
    </row>
    <row r="57" customFormat="false" ht="15" hidden="false" customHeight="false" outlineLevel="0" collapsed="false">
      <c r="A57" s="0" t="s">
        <v>192</v>
      </c>
      <c r="B57" s="0" t="s">
        <v>106</v>
      </c>
      <c r="C57" s="0" t="n">
        <v>8</v>
      </c>
      <c r="D57" s="5" t="n">
        <f aca="false">Supuestos!$B$10</f>
        <v>0.02</v>
      </c>
      <c r="E57" s="5" t="n">
        <f aca="false">IF(C57&lt;Familias!F6,0,INDEX(Supuestos!$B$13:$B$19,MIN(C57-Familias!F6+1,7)))</f>
        <v>1</v>
      </c>
      <c r="F57" s="4" t="n">
        <f aca="false">Familias!E6*D57*E57</f>
        <v>1</v>
      </c>
      <c r="G57" s="4" t="n">
        <f aca="false">F57*Supuestos!$B$2</f>
        <v>0.02</v>
      </c>
      <c r="H57" s="4" t="n">
        <f aca="false">G57*Supuestos!$B$3</f>
        <v>0.013</v>
      </c>
    </row>
    <row r="58" customFormat="false" ht="15" hidden="false" customHeight="false" outlineLevel="0" collapsed="false">
      <c r="A58" s="0" t="s">
        <v>192</v>
      </c>
      <c r="B58" s="0" t="s">
        <v>106</v>
      </c>
      <c r="C58" s="0" t="n">
        <v>9</v>
      </c>
      <c r="D58" s="5" t="n">
        <f aca="false">Supuestos!$B$10</f>
        <v>0.02</v>
      </c>
      <c r="E58" s="5" t="n">
        <f aca="false">IF(C58&lt;Familias!F6,0,INDEX(Supuestos!$B$13:$B$19,MIN(C58-Familias!F6+1,7)))</f>
        <v>1</v>
      </c>
      <c r="F58" s="4" t="n">
        <f aca="false">Familias!E6*D58*E58</f>
        <v>1</v>
      </c>
      <c r="G58" s="4" t="n">
        <f aca="false">F58*Supuestos!$B$2</f>
        <v>0.02</v>
      </c>
      <c r="H58" s="4" t="n">
        <f aca="false">G58*Supuestos!$B$3</f>
        <v>0.013</v>
      </c>
    </row>
    <row r="59" customFormat="false" ht="15" hidden="false" customHeight="false" outlineLevel="0" collapsed="false">
      <c r="A59" s="0" t="s">
        <v>192</v>
      </c>
      <c r="B59" s="0" t="s">
        <v>106</v>
      </c>
      <c r="C59" s="0" t="n">
        <v>10</v>
      </c>
      <c r="D59" s="5" t="n">
        <f aca="false">Supuestos!$B$10</f>
        <v>0.02</v>
      </c>
      <c r="E59" s="5" t="n">
        <f aca="false">IF(C59&lt;Familias!F6,0,INDEX(Supuestos!$B$13:$B$19,MIN(C59-Familias!F6+1,7)))</f>
        <v>1</v>
      </c>
      <c r="F59" s="4" t="n">
        <f aca="false">Familias!E6*D59*E59</f>
        <v>1</v>
      </c>
      <c r="G59" s="4" t="n">
        <f aca="false">F59*Supuestos!$B$2</f>
        <v>0.02</v>
      </c>
      <c r="H59" s="4" t="n">
        <f aca="false">G59*Supuestos!$B$3</f>
        <v>0.013</v>
      </c>
    </row>
    <row r="60" customFormat="false" ht="15" hidden="false" customHeight="false" outlineLevel="0" collapsed="false">
      <c r="A60" s="0" t="s">
        <v>192</v>
      </c>
      <c r="B60" s="0" t="s">
        <v>106</v>
      </c>
      <c r="C60" s="0" t="n">
        <v>11</v>
      </c>
      <c r="D60" s="5" t="n">
        <f aca="false">Supuestos!$B$10</f>
        <v>0.02</v>
      </c>
      <c r="E60" s="5" t="n">
        <f aca="false">IF(C60&lt;Familias!F6,0,INDEX(Supuestos!$B$13:$B$19,MIN(C60-Familias!F6+1,7)))</f>
        <v>1</v>
      </c>
      <c r="F60" s="4" t="n">
        <f aca="false">Familias!E6*D60*E60</f>
        <v>1</v>
      </c>
      <c r="G60" s="4" t="n">
        <f aca="false">F60*Supuestos!$B$2</f>
        <v>0.02</v>
      </c>
      <c r="H60" s="4" t="n">
        <f aca="false">G60*Supuestos!$B$3</f>
        <v>0.013</v>
      </c>
    </row>
    <row r="61" customFormat="false" ht="15" hidden="false" customHeight="false" outlineLevel="0" collapsed="false">
      <c r="A61" s="0" t="s">
        <v>192</v>
      </c>
      <c r="B61" s="0" t="s">
        <v>106</v>
      </c>
      <c r="C61" s="0" t="n">
        <v>12</v>
      </c>
      <c r="D61" s="5" t="n">
        <f aca="false">Supuestos!$B$10</f>
        <v>0.02</v>
      </c>
      <c r="E61" s="5" t="n">
        <f aca="false">IF(C61&lt;Familias!F6,0,INDEX(Supuestos!$B$13:$B$19,MIN(C61-Familias!F6+1,7)))</f>
        <v>1</v>
      </c>
      <c r="F61" s="4" t="n">
        <f aca="false">Familias!E6*D61*E61</f>
        <v>1</v>
      </c>
      <c r="G61" s="4" t="n">
        <f aca="false">F61*Supuestos!$B$2</f>
        <v>0.02</v>
      </c>
      <c r="H61" s="4" t="n">
        <f aca="false">G61*Supuestos!$B$3</f>
        <v>0.013</v>
      </c>
    </row>
    <row r="62" customFormat="false" ht="15" hidden="false" customHeight="false" outlineLevel="0" collapsed="false">
      <c r="A62" s="0" t="s">
        <v>192</v>
      </c>
      <c r="B62" s="0" t="s">
        <v>110</v>
      </c>
      <c r="C62" s="0" t="n">
        <v>1</v>
      </c>
      <c r="D62" s="5" t="n">
        <f aca="false">Supuestos!$B$10</f>
        <v>0.02</v>
      </c>
      <c r="E62" s="5" t="n">
        <f aca="false">IF(C62&lt;Familias!F7,0,INDEX(Supuestos!$B$13:$B$19,MIN(C62-Familias!F7+1,7)))</f>
        <v>0.1</v>
      </c>
      <c r="F62" s="4" t="n">
        <f aca="false">Familias!E7*D62*E62</f>
        <v>0.1</v>
      </c>
      <c r="G62" s="4" t="n">
        <f aca="false">F62*Supuestos!$B$2</f>
        <v>0.002</v>
      </c>
      <c r="H62" s="4" t="n">
        <f aca="false">G62*Supuestos!$B$3</f>
        <v>0.0013</v>
      </c>
    </row>
    <row r="63" customFormat="false" ht="15" hidden="false" customHeight="false" outlineLevel="0" collapsed="false">
      <c r="A63" s="0" t="s">
        <v>192</v>
      </c>
      <c r="B63" s="0" t="s">
        <v>110</v>
      </c>
      <c r="C63" s="0" t="n">
        <v>2</v>
      </c>
      <c r="D63" s="5" t="n">
        <f aca="false">Supuestos!$B$10</f>
        <v>0.02</v>
      </c>
      <c r="E63" s="5" t="n">
        <f aca="false">IF(C63&lt;Familias!F7,0,INDEX(Supuestos!$B$13:$B$19,MIN(C63-Familias!F7+1,7)))</f>
        <v>0.2</v>
      </c>
      <c r="F63" s="4" t="n">
        <f aca="false">Familias!E7*D63*E63</f>
        <v>0.2</v>
      </c>
      <c r="G63" s="4" t="n">
        <f aca="false">F63*Supuestos!$B$2</f>
        <v>0.004</v>
      </c>
      <c r="H63" s="4" t="n">
        <f aca="false">G63*Supuestos!$B$3</f>
        <v>0.0026</v>
      </c>
    </row>
    <row r="64" customFormat="false" ht="15" hidden="false" customHeight="false" outlineLevel="0" collapsed="false">
      <c r="A64" s="0" t="s">
        <v>192</v>
      </c>
      <c r="B64" s="0" t="s">
        <v>110</v>
      </c>
      <c r="C64" s="0" t="n">
        <v>3</v>
      </c>
      <c r="D64" s="5" t="n">
        <f aca="false">Supuestos!$B$10</f>
        <v>0.02</v>
      </c>
      <c r="E64" s="5" t="n">
        <f aca="false">IF(C64&lt;Familias!F7,0,INDEX(Supuestos!$B$13:$B$19,MIN(C64-Familias!F7+1,7)))</f>
        <v>0.35</v>
      </c>
      <c r="F64" s="4" t="n">
        <f aca="false">Familias!E7*D64*E64</f>
        <v>0.35</v>
      </c>
      <c r="G64" s="4" t="n">
        <f aca="false">F64*Supuestos!$B$2</f>
        <v>0.007</v>
      </c>
      <c r="H64" s="4" t="n">
        <f aca="false">G64*Supuestos!$B$3</f>
        <v>0.00455</v>
      </c>
    </row>
    <row r="65" customFormat="false" ht="15" hidden="false" customHeight="false" outlineLevel="0" collapsed="false">
      <c r="A65" s="0" t="s">
        <v>192</v>
      </c>
      <c r="B65" s="0" t="s">
        <v>110</v>
      </c>
      <c r="C65" s="0" t="n">
        <v>4</v>
      </c>
      <c r="D65" s="5" t="n">
        <f aca="false">Supuestos!$B$10</f>
        <v>0.02</v>
      </c>
      <c r="E65" s="5" t="n">
        <f aca="false">IF(C65&lt;Familias!F7,0,INDEX(Supuestos!$B$13:$B$19,MIN(C65-Familias!F7+1,7)))</f>
        <v>0.5</v>
      </c>
      <c r="F65" s="4" t="n">
        <f aca="false">Familias!E7*D65*E65</f>
        <v>0.5</v>
      </c>
      <c r="G65" s="4" t="n">
        <f aca="false">F65*Supuestos!$B$2</f>
        <v>0.01</v>
      </c>
      <c r="H65" s="4" t="n">
        <f aca="false">G65*Supuestos!$B$3</f>
        <v>0.0065</v>
      </c>
    </row>
    <row r="66" customFormat="false" ht="15" hidden="false" customHeight="false" outlineLevel="0" collapsed="false">
      <c r="A66" s="0" t="s">
        <v>192</v>
      </c>
      <c r="B66" s="0" t="s">
        <v>110</v>
      </c>
      <c r="C66" s="0" t="n">
        <v>5</v>
      </c>
      <c r="D66" s="5" t="n">
        <f aca="false">Supuestos!$B$10</f>
        <v>0.02</v>
      </c>
      <c r="E66" s="5" t="n">
        <f aca="false">IF(C66&lt;Familias!F7,0,INDEX(Supuestos!$B$13:$B$19,MIN(C66-Familias!F7+1,7)))</f>
        <v>0.65</v>
      </c>
      <c r="F66" s="4" t="n">
        <f aca="false">Familias!E7*D66*E66</f>
        <v>0.65</v>
      </c>
      <c r="G66" s="4" t="n">
        <f aca="false">F66*Supuestos!$B$2</f>
        <v>0.013</v>
      </c>
      <c r="H66" s="4" t="n">
        <f aca="false">G66*Supuestos!$B$3</f>
        <v>0.00845</v>
      </c>
    </row>
    <row r="67" customFormat="false" ht="15" hidden="false" customHeight="false" outlineLevel="0" collapsed="false">
      <c r="A67" s="0" t="s">
        <v>192</v>
      </c>
      <c r="B67" s="0" t="s">
        <v>110</v>
      </c>
      <c r="C67" s="0" t="n">
        <v>6</v>
      </c>
      <c r="D67" s="5" t="n">
        <f aca="false">Supuestos!$B$10</f>
        <v>0.02</v>
      </c>
      <c r="E67" s="5" t="n">
        <f aca="false">IF(C67&lt;Familias!F7,0,INDEX(Supuestos!$B$13:$B$19,MIN(C67-Familias!F7+1,7)))</f>
        <v>0.8</v>
      </c>
      <c r="F67" s="4" t="n">
        <f aca="false">Familias!E7*D67*E67</f>
        <v>0.8</v>
      </c>
      <c r="G67" s="4" t="n">
        <f aca="false">F67*Supuestos!$B$2</f>
        <v>0.016</v>
      </c>
      <c r="H67" s="4" t="n">
        <f aca="false">G67*Supuestos!$B$3</f>
        <v>0.0104</v>
      </c>
    </row>
    <row r="68" customFormat="false" ht="15" hidden="false" customHeight="false" outlineLevel="0" collapsed="false">
      <c r="A68" s="0" t="s">
        <v>192</v>
      </c>
      <c r="B68" s="0" t="s">
        <v>110</v>
      </c>
      <c r="C68" s="0" t="n">
        <v>7</v>
      </c>
      <c r="D68" s="5" t="n">
        <f aca="false">Supuestos!$B$10</f>
        <v>0.02</v>
      </c>
      <c r="E68" s="5" t="n">
        <f aca="false">IF(C68&lt;Familias!F7,0,INDEX(Supuestos!$B$13:$B$19,MIN(C68-Familias!F7+1,7)))</f>
        <v>1</v>
      </c>
      <c r="F68" s="4" t="n">
        <f aca="false">Familias!E7*D68*E68</f>
        <v>1</v>
      </c>
      <c r="G68" s="4" t="n">
        <f aca="false">F68*Supuestos!$B$2</f>
        <v>0.02</v>
      </c>
      <c r="H68" s="4" t="n">
        <f aca="false">G68*Supuestos!$B$3</f>
        <v>0.013</v>
      </c>
    </row>
    <row r="69" customFormat="false" ht="15" hidden="false" customHeight="false" outlineLevel="0" collapsed="false">
      <c r="A69" s="0" t="s">
        <v>192</v>
      </c>
      <c r="B69" s="0" t="s">
        <v>110</v>
      </c>
      <c r="C69" s="0" t="n">
        <v>8</v>
      </c>
      <c r="D69" s="5" t="n">
        <f aca="false">Supuestos!$B$10</f>
        <v>0.02</v>
      </c>
      <c r="E69" s="5" t="n">
        <f aca="false">IF(C69&lt;Familias!F7,0,INDEX(Supuestos!$B$13:$B$19,MIN(C69-Familias!F7+1,7)))</f>
        <v>1</v>
      </c>
      <c r="F69" s="4" t="n">
        <f aca="false">Familias!E7*D69*E69</f>
        <v>1</v>
      </c>
      <c r="G69" s="4" t="n">
        <f aca="false">F69*Supuestos!$B$2</f>
        <v>0.02</v>
      </c>
      <c r="H69" s="4" t="n">
        <f aca="false">G69*Supuestos!$B$3</f>
        <v>0.013</v>
      </c>
    </row>
    <row r="70" customFormat="false" ht="15" hidden="false" customHeight="false" outlineLevel="0" collapsed="false">
      <c r="A70" s="0" t="s">
        <v>192</v>
      </c>
      <c r="B70" s="0" t="s">
        <v>110</v>
      </c>
      <c r="C70" s="0" t="n">
        <v>9</v>
      </c>
      <c r="D70" s="5" t="n">
        <f aca="false">Supuestos!$B$10</f>
        <v>0.02</v>
      </c>
      <c r="E70" s="5" t="n">
        <f aca="false">IF(C70&lt;Familias!F7,0,INDEX(Supuestos!$B$13:$B$19,MIN(C70-Familias!F7+1,7)))</f>
        <v>1</v>
      </c>
      <c r="F70" s="4" t="n">
        <f aca="false">Familias!E7*D70*E70</f>
        <v>1</v>
      </c>
      <c r="G70" s="4" t="n">
        <f aca="false">F70*Supuestos!$B$2</f>
        <v>0.02</v>
      </c>
      <c r="H70" s="4" t="n">
        <f aca="false">G70*Supuestos!$B$3</f>
        <v>0.013</v>
      </c>
    </row>
    <row r="71" customFormat="false" ht="15" hidden="false" customHeight="false" outlineLevel="0" collapsed="false">
      <c r="A71" s="0" t="s">
        <v>192</v>
      </c>
      <c r="B71" s="0" t="s">
        <v>110</v>
      </c>
      <c r="C71" s="0" t="n">
        <v>10</v>
      </c>
      <c r="D71" s="5" t="n">
        <f aca="false">Supuestos!$B$10</f>
        <v>0.02</v>
      </c>
      <c r="E71" s="5" t="n">
        <f aca="false">IF(C71&lt;Familias!F7,0,INDEX(Supuestos!$B$13:$B$19,MIN(C71-Familias!F7+1,7)))</f>
        <v>1</v>
      </c>
      <c r="F71" s="4" t="n">
        <f aca="false">Familias!E7*D71*E71</f>
        <v>1</v>
      </c>
      <c r="G71" s="4" t="n">
        <f aca="false">F71*Supuestos!$B$2</f>
        <v>0.02</v>
      </c>
      <c r="H71" s="4" t="n">
        <f aca="false">G71*Supuestos!$B$3</f>
        <v>0.013</v>
      </c>
    </row>
    <row r="72" customFormat="false" ht="15" hidden="false" customHeight="false" outlineLevel="0" collapsed="false">
      <c r="A72" s="0" t="s">
        <v>192</v>
      </c>
      <c r="B72" s="0" t="s">
        <v>110</v>
      </c>
      <c r="C72" s="0" t="n">
        <v>11</v>
      </c>
      <c r="D72" s="5" t="n">
        <f aca="false">Supuestos!$B$10</f>
        <v>0.02</v>
      </c>
      <c r="E72" s="5" t="n">
        <f aca="false">IF(C72&lt;Familias!F7,0,INDEX(Supuestos!$B$13:$B$19,MIN(C72-Familias!F7+1,7)))</f>
        <v>1</v>
      </c>
      <c r="F72" s="4" t="n">
        <f aca="false">Familias!E7*D72*E72</f>
        <v>1</v>
      </c>
      <c r="G72" s="4" t="n">
        <f aca="false">F72*Supuestos!$B$2</f>
        <v>0.02</v>
      </c>
      <c r="H72" s="4" t="n">
        <f aca="false">G72*Supuestos!$B$3</f>
        <v>0.013</v>
      </c>
    </row>
    <row r="73" customFormat="false" ht="15" hidden="false" customHeight="false" outlineLevel="0" collapsed="false">
      <c r="A73" s="0" t="s">
        <v>192</v>
      </c>
      <c r="B73" s="0" t="s">
        <v>110</v>
      </c>
      <c r="C73" s="0" t="n">
        <v>12</v>
      </c>
      <c r="D73" s="5" t="n">
        <f aca="false">Supuestos!$B$10</f>
        <v>0.02</v>
      </c>
      <c r="E73" s="5" t="n">
        <f aca="false">IF(C73&lt;Familias!F7,0,INDEX(Supuestos!$B$13:$B$19,MIN(C73-Familias!F7+1,7)))</f>
        <v>1</v>
      </c>
      <c r="F73" s="4" t="n">
        <f aca="false">Familias!E7*D73*E73</f>
        <v>1</v>
      </c>
      <c r="G73" s="4" t="n">
        <f aca="false">F73*Supuestos!$B$2</f>
        <v>0.02</v>
      </c>
      <c r="H73" s="4" t="n">
        <f aca="false">G73*Supuestos!$B$3</f>
        <v>0.013</v>
      </c>
    </row>
    <row r="74" customFormat="false" ht="15" hidden="false" customHeight="false" outlineLevel="0" collapsed="false">
      <c r="A74" s="0" t="s">
        <v>192</v>
      </c>
      <c r="B74" s="0" t="s">
        <v>115</v>
      </c>
      <c r="C74" s="0" t="n">
        <v>1</v>
      </c>
      <c r="D74" s="5" t="n">
        <f aca="false">Supuestos!$B$10</f>
        <v>0.02</v>
      </c>
      <c r="E74" s="5" t="n">
        <f aca="false">IF(C74&lt;Familias!F8,0,INDEX(Supuestos!$B$13:$B$19,MIN(C74-Familias!F8+1,7)))</f>
        <v>0</v>
      </c>
      <c r="F74" s="4" t="n">
        <f aca="false">Familias!E8*D74*E74</f>
        <v>0</v>
      </c>
      <c r="G74" s="4" t="n">
        <f aca="false">F74*Supuestos!$B$2</f>
        <v>0</v>
      </c>
      <c r="H74" s="4" t="n">
        <f aca="false">G74*Supuestos!$B$3</f>
        <v>0</v>
      </c>
    </row>
    <row r="75" customFormat="false" ht="15" hidden="false" customHeight="false" outlineLevel="0" collapsed="false">
      <c r="A75" s="0" t="s">
        <v>192</v>
      </c>
      <c r="B75" s="0" t="s">
        <v>115</v>
      </c>
      <c r="C75" s="0" t="n">
        <v>2</v>
      </c>
      <c r="D75" s="5" t="n">
        <f aca="false">Supuestos!$B$10</f>
        <v>0.02</v>
      </c>
      <c r="E75" s="5" t="n">
        <f aca="false">IF(C75&lt;Familias!F8,0,INDEX(Supuestos!$B$13:$B$19,MIN(C75-Familias!F8+1,7)))</f>
        <v>0.1</v>
      </c>
      <c r="F75" s="4" t="n">
        <f aca="false">Familias!E8*D75*E75</f>
        <v>3.2</v>
      </c>
      <c r="G75" s="4" t="n">
        <f aca="false">F75*Supuestos!$B$2</f>
        <v>0.064</v>
      </c>
      <c r="H75" s="4" t="n">
        <f aca="false">G75*Supuestos!$B$3</f>
        <v>0.0416</v>
      </c>
    </row>
    <row r="76" customFormat="false" ht="15" hidden="false" customHeight="false" outlineLevel="0" collapsed="false">
      <c r="A76" s="0" t="s">
        <v>192</v>
      </c>
      <c r="B76" s="0" t="s">
        <v>115</v>
      </c>
      <c r="C76" s="0" t="n">
        <v>3</v>
      </c>
      <c r="D76" s="5" t="n">
        <f aca="false">Supuestos!$B$10</f>
        <v>0.02</v>
      </c>
      <c r="E76" s="5" t="n">
        <f aca="false">IF(C76&lt;Familias!F8,0,INDEX(Supuestos!$B$13:$B$19,MIN(C76-Familias!F8+1,7)))</f>
        <v>0.2</v>
      </c>
      <c r="F76" s="4" t="n">
        <f aca="false">Familias!E8*D76*E76</f>
        <v>6.4</v>
      </c>
      <c r="G76" s="4" t="n">
        <f aca="false">F76*Supuestos!$B$2</f>
        <v>0.128</v>
      </c>
      <c r="H76" s="4" t="n">
        <f aca="false">G76*Supuestos!$B$3</f>
        <v>0.0832</v>
      </c>
    </row>
    <row r="77" customFormat="false" ht="15" hidden="false" customHeight="false" outlineLevel="0" collapsed="false">
      <c r="A77" s="0" t="s">
        <v>192</v>
      </c>
      <c r="B77" s="0" t="s">
        <v>115</v>
      </c>
      <c r="C77" s="0" t="n">
        <v>4</v>
      </c>
      <c r="D77" s="5" t="n">
        <f aca="false">Supuestos!$B$10</f>
        <v>0.02</v>
      </c>
      <c r="E77" s="5" t="n">
        <f aca="false">IF(C77&lt;Familias!F8,0,INDEX(Supuestos!$B$13:$B$19,MIN(C77-Familias!F8+1,7)))</f>
        <v>0.35</v>
      </c>
      <c r="F77" s="4" t="n">
        <f aca="false">Familias!E8*D77*E77</f>
        <v>11.2</v>
      </c>
      <c r="G77" s="4" t="n">
        <f aca="false">F77*Supuestos!$B$2</f>
        <v>0.224</v>
      </c>
      <c r="H77" s="4" t="n">
        <f aca="false">G77*Supuestos!$B$3</f>
        <v>0.1456</v>
      </c>
    </row>
    <row r="78" customFormat="false" ht="15" hidden="false" customHeight="false" outlineLevel="0" collapsed="false">
      <c r="A78" s="0" t="s">
        <v>192</v>
      </c>
      <c r="B78" s="0" t="s">
        <v>115</v>
      </c>
      <c r="C78" s="0" t="n">
        <v>5</v>
      </c>
      <c r="D78" s="5" t="n">
        <f aca="false">Supuestos!$B$10</f>
        <v>0.02</v>
      </c>
      <c r="E78" s="5" t="n">
        <f aca="false">IF(C78&lt;Familias!F8,0,INDEX(Supuestos!$B$13:$B$19,MIN(C78-Familias!F8+1,7)))</f>
        <v>0.5</v>
      </c>
      <c r="F78" s="4" t="n">
        <f aca="false">Familias!E8*D78*E78</f>
        <v>16</v>
      </c>
      <c r="G78" s="4" t="n">
        <f aca="false">F78*Supuestos!$B$2</f>
        <v>0.32</v>
      </c>
      <c r="H78" s="4" t="n">
        <f aca="false">G78*Supuestos!$B$3</f>
        <v>0.208</v>
      </c>
    </row>
    <row r="79" customFormat="false" ht="15" hidden="false" customHeight="false" outlineLevel="0" collapsed="false">
      <c r="A79" s="0" t="s">
        <v>192</v>
      </c>
      <c r="B79" s="0" t="s">
        <v>115</v>
      </c>
      <c r="C79" s="0" t="n">
        <v>6</v>
      </c>
      <c r="D79" s="5" t="n">
        <f aca="false">Supuestos!$B$10</f>
        <v>0.02</v>
      </c>
      <c r="E79" s="5" t="n">
        <f aca="false">IF(C79&lt;Familias!F8,0,INDEX(Supuestos!$B$13:$B$19,MIN(C79-Familias!F8+1,7)))</f>
        <v>0.65</v>
      </c>
      <c r="F79" s="4" t="n">
        <f aca="false">Familias!E8*D79*E79</f>
        <v>20.8</v>
      </c>
      <c r="G79" s="4" t="n">
        <f aca="false">F79*Supuestos!$B$2</f>
        <v>0.416</v>
      </c>
      <c r="H79" s="4" t="n">
        <f aca="false">G79*Supuestos!$B$3</f>
        <v>0.2704</v>
      </c>
    </row>
    <row r="80" customFormat="false" ht="15" hidden="false" customHeight="false" outlineLevel="0" collapsed="false">
      <c r="A80" s="0" t="s">
        <v>192</v>
      </c>
      <c r="B80" s="0" t="s">
        <v>115</v>
      </c>
      <c r="C80" s="0" t="n">
        <v>7</v>
      </c>
      <c r="D80" s="5" t="n">
        <f aca="false">Supuestos!$B$10</f>
        <v>0.02</v>
      </c>
      <c r="E80" s="5" t="n">
        <f aca="false">IF(C80&lt;Familias!F8,0,INDEX(Supuestos!$B$13:$B$19,MIN(C80-Familias!F8+1,7)))</f>
        <v>0.8</v>
      </c>
      <c r="F80" s="4" t="n">
        <f aca="false">Familias!E8*D80*E80</f>
        <v>25.6</v>
      </c>
      <c r="G80" s="4" t="n">
        <f aca="false">F80*Supuestos!$B$2</f>
        <v>0.512</v>
      </c>
      <c r="H80" s="4" t="n">
        <f aca="false">G80*Supuestos!$B$3</f>
        <v>0.3328</v>
      </c>
    </row>
    <row r="81" customFormat="false" ht="15" hidden="false" customHeight="false" outlineLevel="0" collapsed="false">
      <c r="A81" s="0" t="s">
        <v>192</v>
      </c>
      <c r="B81" s="0" t="s">
        <v>115</v>
      </c>
      <c r="C81" s="0" t="n">
        <v>8</v>
      </c>
      <c r="D81" s="5" t="n">
        <f aca="false">Supuestos!$B$10</f>
        <v>0.02</v>
      </c>
      <c r="E81" s="5" t="n">
        <f aca="false">IF(C81&lt;Familias!F8,0,INDEX(Supuestos!$B$13:$B$19,MIN(C81-Familias!F8+1,7)))</f>
        <v>1</v>
      </c>
      <c r="F81" s="4" t="n">
        <f aca="false">Familias!E8*D81*E81</f>
        <v>32</v>
      </c>
      <c r="G81" s="4" t="n">
        <f aca="false">F81*Supuestos!$B$2</f>
        <v>0.64</v>
      </c>
      <c r="H81" s="4" t="n">
        <f aca="false">G81*Supuestos!$B$3</f>
        <v>0.416</v>
      </c>
    </row>
    <row r="82" customFormat="false" ht="15" hidden="false" customHeight="false" outlineLevel="0" collapsed="false">
      <c r="A82" s="0" t="s">
        <v>192</v>
      </c>
      <c r="B82" s="0" t="s">
        <v>115</v>
      </c>
      <c r="C82" s="0" t="n">
        <v>9</v>
      </c>
      <c r="D82" s="5" t="n">
        <f aca="false">Supuestos!$B$10</f>
        <v>0.02</v>
      </c>
      <c r="E82" s="5" t="n">
        <f aca="false">IF(C82&lt;Familias!F8,0,INDEX(Supuestos!$B$13:$B$19,MIN(C82-Familias!F8+1,7)))</f>
        <v>1</v>
      </c>
      <c r="F82" s="4" t="n">
        <f aca="false">Familias!E8*D82*E82</f>
        <v>32</v>
      </c>
      <c r="G82" s="4" t="n">
        <f aca="false">F82*Supuestos!$B$2</f>
        <v>0.64</v>
      </c>
      <c r="H82" s="4" t="n">
        <f aca="false">G82*Supuestos!$B$3</f>
        <v>0.416</v>
      </c>
    </row>
    <row r="83" customFormat="false" ht="15" hidden="false" customHeight="false" outlineLevel="0" collapsed="false">
      <c r="A83" s="0" t="s">
        <v>192</v>
      </c>
      <c r="B83" s="0" t="s">
        <v>115</v>
      </c>
      <c r="C83" s="0" t="n">
        <v>10</v>
      </c>
      <c r="D83" s="5" t="n">
        <f aca="false">Supuestos!$B$10</f>
        <v>0.02</v>
      </c>
      <c r="E83" s="5" t="n">
        <f aca="false">IF(C83&lt;Familias!F8,0,INDEX(Supuestos!$B$13:$B$19,MIN(C83-Familias!F8+1,7)))</f>
        <v>1</v>
      </c>
      <c r="F83" s="4" t="n">
        <f aca="false">Familias!E8*D83*E83</f>
        <v>32</v>
      </c>
      <c r="G83" s="4" t="n">
        <f aca="false">F83*Supuestos!$B$2</f>
        <v>0.64</v>
      </c>
      <c r="H83" s="4" t="n">
        <f aca="false">G83*Supuestos!$B$3</f>
        <v>0.416</v>
      </c>
    </row>
    <row r="84" customFormat="false" ht="15" hidden="false" customHeight="false" outlineLevel="0" collapsed="false">
      <c r="A84" s="0" t="s">
        <v>192</v>
      </c>
      <c r="B84" s="0" t="s">
        <v>115</v>
      </c>
      <c r="C84" s="0" t="n">
        <v>11</v>
      </c>
      <c r="D84" s="5" t="n">
        <f aca="false">Supuestos!$B$10</f>
        <v>0.02</v>
      </c>
      <c r="E84" s="5" t="n">
        <f aca="false">IF(C84&lt;Familias!F8,0,INDEX(Supuestos!$B$13:$B$19,MIN(C84-Familias!F8+1,7)))</f>
        <v>1</v>
      </c>
      <c r="F84" s="4" t="n">
        <f aca="false">Familias!E8*D84*E84</f>
        <v>32</v>
      </c>
      <c r="G84" s="4" t="n">
        <f aca="false">F84*Supuestos!$B$2</f>
        <v>0.64</v>
      </c>
      <c r="H84" s="4" t="n">
        <f aca="false">G84*Supuestos!$B$3</f>
        <v>0.416</v>
      </c>
    </row>
    <row r="85" customFormat="false" ht="15" hidden="false" customHeight="false" outlineLevel="0" collapsed="false">
      <c r="A85" s="0" t="s">
        <v>192</v>
      </c>
      <c r="B85" s="0" t="s">
        <v>115</v>
      </c>
      <c r="C85" s="0" t="n">
        <v>12</v>
      </c>
      <c r="D85" s="5" t="n">
        <f aca="false">Supuestos!$B$10</f>
        <v>0.02</v>
      </c>
      <c r="E85" s="5" t="n">
        <f aca="false">IF(C85&lt;Familias!F8,0,INDEX(Supuestos!$B$13:$B$19,MIN(C85-Familias!F8+1,7)))</f>
        <v>1</v>
      </c>
      <c r="F85" s="4" t="n">
        <f aca="false">Familias!E8*D85*E85</f>
        <v>32</v>
      </c>
      <c r="G85" s="4" t="n">
        <f aca="false">F85*Supuestos!$B$2</f>
        <v>0.64</v>
      </c>
      <c r="H85" s="4" t="n">
        <f aca="false">G85*Supuestos!$B$3</f>
        <v>0.416</v>
      </c>
    </row>
    <row r="86" customFormat="false" ht="15" hidden="false" customHeight="false" outlineLevel="0" collapsed="false">
      <c r="A86" s="0" t="s">
        <v>192</v>
      </c>
      <c r="B86" s="0" t="s">
        <v>121</v>
      </c>
      <c r="C86" s="0" t="n">
        <v>1</v>
      </c>
      <c r="D86" s="5" t="n">
        <f aca="false">Supuestos!$B$10</f>
        <v>0.02</v>
      </c>
      <c r="E86" s="5" t="n">
        <f aca="false">IF(C86&lt;Familias!F9,0,INDEX(Supuestos!$B$13:$B$19,MIN(C86-Familias!F9+1,7)))</f>
        <v>0.1</v>
      </c>
      <c r="F86" s="4" t="n">
        <f aca="false">Familias!E9*D86*E86</f>
        <v>2.6</v>
      </c>
      <c r="G86" s="4" t="n">
        <f aca="false">F86*Supuestos!$B$2</f>
        <v>0.052</v>
      </c>
      <c r="H86" s="4" t="n">
        <f aca="false">G86*Supuestos!$B$3</f>
        <v>0.0338</v>
      </c>
    </row>
    <row r="87" customFormat="false" ht="15" hidden="false" customHeight="false" outlineLevel="0" collapsed="false">
      <c r="A87" s="0" t="s">
        <v>192</v>
      </c>
      <c r="B87" s="0" t="s">
        <v>121</v>
      </c>
      <c r="C87" s="0" t="n">
        <v>2</v>
      </c>
      <c r="D87" s="5" t="n">
        <f aca="false">Supuestos!$B$10</f>
        <v>0.02</v>
      </c>
      <c r="E87" s="5" t="n">
        <f aca="false">IF(C87&lt;Familias!F9,0,INDEX(Supuestos!$B$13:$B$19,MIN(C87-Familias!F9+1,7)))</f>
        <v>0.2</v>
      </c>
      <c r="F87" s="4" t="n">
        <f aca="false">Familias!E9*D87*E87</f>
        <v>5.2</v>
      </c>
      <c r="G87" s="4" t="n">
        <f aca="false">F87*Supuestos!$B$2</f>
        <v>0.104</v>
      </c>
      <c r="H87" s="4" t="n">
        <f aca="false">G87*Supuestos!$B$3</f>
        <v>0.0676</v>
      </c>
    </row>
    <row r="88" customFormat="false" ht="15" hidden="false" customHeight="false" outlineLevel="0" collapsed="false">
      <c r="A88" s="0" t="s">
        <v>192</v>
      </c>
      <c r="B88" s="0" t="s">
        <v>121</v>
      </c>
      <c r="C88" s="0" t="n">
        <v>3</v>
      </c>
      <c r="D88" s="5" t="n">
        <f aca="false">Supuestos!$B$10</f>
        <v>0.02</v>
      </c>
      <c r="E88" s="5" t="n">
        <f aca="false">IF(C88&lt;Familias!F9,0,INDEX(Supuestos!$B$13:$B$19,MIN(C88-Familias!F9+1,7)))</f>
        <v>0.35</v>
      </c>
      <c r="F88" s="4" t="n">
        <f aca="false">Familias!E9*D88*E88</f>
        <v>9.1</v>
      </c>
      <c r="G88" s="4" t="n">
        <f aca="false">F88*Supuestos!$B$2</f>
        <v>0.182</v>
      </c>
      <c r="H88" s="4" t="n">
        <f aca="false">G88*Supuestos!$B$3</f>
        <v>0.1183</v>
      </c>
    </row>
    <row r="89" customFormat="false" ht="15" hidden="false" customHeight="false" outlineLevel="0" collapsed="false">
      <c r="A89" s="0" t="s">
        <v>192</v>
      </c>
      <c r="B89" s="0" t="s">
        <v>121</v>
      </c>
      <c r="C89" s="0" t="n">
        <v>4</v>
      </c>
      <c r="D89" s="5" t="n">
        <f aca="false">Supuestos!$B$10</f>
        <v>0.02</v>
      </c>
      <c r="E89" s="5" t="n">
        <f aca="false">IF(C89&lt;Familias!F9,0,INDEX(Supuestos!$B$13:$B$19,MIN(C89-Familias!F9+1,7)))</f>
        <v>0.5</v>
      </c>
      <c r="F89" s="4" t="n">
        <f aca="false">Familias!E9*D89*E89</f>
        <v>13</v>
      </c>
      <c r="G89" s="4" t="n">
        <f aca="false">F89*Supuestos!$B$2</f>
        <v>0.26</v>
      </c>
      <c r="H89" s="4" t="n">
        <f aca="false">G89*Supuestos!$B$3</f>
        <v>0.169</v>
      </c>
    </row>
    <row r="90" customFormat="false" ht="15" hidden="false" customHeight="false" outlineLevel="0" collapsed="false">
      <c r="A90" s="0" t="s">
        <v>192</v>
      </c>
      <c r="B90" s="0" t="s">
        <v>121</v>
      </c>
      <c r="C90" s="0" t="n">
        <v>5</v>
      </c>
      <c r="D90" s="5" t="n">
        <f aca="false">Supuestos!$B$10</f>
        <v>0.02</v>
      </c>
      <c r="E90" s="5" t="n">
        <f aca="false">IF(C90&lt;Familias!F9,0,INDEX(Supuestos!$B$13:$B$19,MIN(C90-Familias!F9+1,7)))</f>
        <v>0.65</v>
      </c>
      <c r="F90" s="4" t="n">
        <f aca="false">Familias!E9*D90*E90</f>
        <v>16.9</v>
      </c>
      <c r="G90" s="4" t="n">
        <f aca="false">F90*Supuestos!$B$2</f>
        <v>0.338</v>
      </c>
      <c r="H90" s="4" t="n">
        <f aca="false">G90*Supuestos!$B$3</f>
        <v>0.2197</v>
      </c>
    </row>
    <row r="91" customFormat="false" ht="15" hidden="false" customHeight="false" outlineLevel="0" collapsed="false">
      <c r="A91" s="0" t="s">
        <v>192</v>
      </c>
      <c r="B91" s="0" t="s">
        <v>121</v>
      </c>
      <c r="C91" s="0" t="n">
        <v>6</v>
      </c>
      <c r="D91" s="5" t="n">
        <f aca="false">Supuestos!$B$10</f>
        <v>0.02</v>
      </c>
      <c r="E91" s="5" t="n">
        <f aca="false">IF(C91&lt;Familias!F9,0,INDEX(Supuestos!$B$13:$B$19,MIN(C91-Familias!F9+1,7)))</f>
        <v>0.8</v>
      </c>
      <c r="F91" s="4" t="n">
        <f aca="false">Familias!E9*D91*E91</f>
        <v>20.8</v>
      </c>
      <c r="G91" s="4" t="n">
        <f aca="false">F91*Supuestos!$B$2</f>
        <v>0.416</v>
      </c>
      <c r="H91" s="4" t="n">
        <f aca="false">G91*Supuestos!$B$3</f>
        <v>0.2704</v>
      </c>
    </row>
    <row r="92" customFormat="false" ht="15" hidden="false" customHeight="false" outlineLevel="0" collapsed="false">
      <c r="A92" s="0" t="s">
        <v>192</v>
      </c>
      <c r="B92" s="0" t="s">
        <v>121</v>
      </c>
      <c r="C92" s="0" t="n">
        <v>7</v>
      </c>
      <c r="D92" s="5" t="n">
        <f aca="false">Supuestos!$B$10</f>
        <v>0.02</v>
      </c>
      <c r="E92" s="5" t="n">
        <f aca="false">IF(C92&lt;Familias!F9,0,INDEX(Supuestos!$B$13:$B$19,MIN(C92-Familias!F9+1,7)))</f>
        <v>1</v>
      </c>
      <c r="F92" s="4" t="n">
        <f aca="false">Familias!E9*D92*E92</f>
        <v>26</v>
      </c>
      <c r="G92" s="4" t="n">
        <f aca="false">F92*Supuestos!$B$2</f>
        <v>0.52</v>
      </c>
      <c r="H92" s="4" t="n">
        <f aca="false">G92*Supuestos!$B$3</f>
        <v>0.338</v>
      </c>
    </row>
    <row r="93" customFormat="false" ht="15" hidden="false" customHeight="false" outlineLevel="0" collapsed="false">
      <c r="A93" s="0" t="s">
        <v>192</v>
      </c>
      <c r="B93" s="0" t="s">
        <v>121</v>
      </c>
      <c r="C93" s="0" t="n">
        <v>8</v>
      </c>
      <c r="D93" s="5" t="n">
        <f aca="false">Supuestos!$B$10</f>
        <v>0.02</v>
      </c>
      <c r="E93" s="5" t="n">
        <f aca="false">IF(C93&lt;Familias!F9,0,INDEX(Supuestos!$B$13:$B$19,MIN(C93-Familias!F9+1,7)))</f>
        <v>1</v>
      </c>
      <c r="F93" s="4" t="n">
        <f aca="false">Familias!E9*D93*E93</f>
        <v>26</v>
      </c>
      <c r="G93" s="4" t="n">
        <f aca="false">F93*Supuestos!$B$2</f>
        <v>0.52</v>
      </c>
      <c r="H93" s="4" t="n">
        <f aca="false">G93*Supuestos!$B$3</f>
        <v>0.338</v>
      </c>
    </row>
    <row r="94" customFormat="false" ht="15" hidden="false" customHeight="false" outlineLevel="0" collapsed="false">
      <c r="A94" s="0" t="s">
        <v>192</v>
      </c>
      <c r="B94" s="0" t="s">
        <v>121</v>
      </c>
      <c r="C94" s="0" t="n">
        <v>9</v>
      </c>
      <c r="D94" s="5" t="n">
        <f aca="false">Supuestos!$B$10</f>
        <v>0.02</v>
      </c>
      <c r="E94" s="5" t="n">
        <f aca="false">IF(C94&lt;Familias!F9,0,INDEX(Supuestos!$B$13:$B$19,MIN(C94-Familias!F9+1,7)))</f>
        <v>1</v>
      </c>
      <c r="F94" s="4" t="n">
        <f aca="false">Familias!E9*D94*E94</f>
        <v>26</v>
      </c>
      <c r="G94" s="4" t="n">
        <f aca="false">F94*Supuestos!$B$2</f>
        <v>0.52</v>
      </c>
      <c r="H94" s="4" t="n">
        <f aca="false">G94*Supuestos!$B$3</f>
        <v>0.338</v>
      </c>
    </row>
    <row r="95" customFormat="false" ht="15" hidden="false" customHeight="false" outlineLevel="0" collapsed="false">
      <c r="A95" s="0" t="s">
        <v>192</v>
      </c>
      <c r="B95" s="0" t="s">
        <v>121</v>
      </c>
      <c r="C95" s="0" t="n">
        <v>10</v>
      </c>
      <c r="D95" s="5" t="n">
        <f aca="false">Supuestos!$B$10</f>
        <v>0.02</v>
      </c>
      <c r="E95" s="5" t="n">
        <f aca="false">IF(C95&lt;Familias!F9,0,INDEX(Supuestos!$B$13:$B$19,MIN(C95-Familias!F9+1,7)))</f>
        <v>1</v>
      </c>
      <c r="F95" s="4" t="n">
        <f aca="false">Familias!E9*D95*E95</f>
        <v>26</v>
      </c>
      <c r="G95" s="4" t="n">
        <f aca="false">F95*Supuestos!$B$2</f>
        <v>0.52</v>
      </c>
      <c r="H95" s="4" t="n">
        <f aca="false">G95*Supuestos!$B$3</f>
        <v>0.338</v>
      </c>
    </row>
    <row r="96" customFormat="false" ht="15" hidden="false" customHeight="false" outlineLevel="0" collapsed="false">
      <c r="A96" s="0" t="s">
        <v>192</v>
      </c>
      <c r="B96" s="0" t="s">
        <v>121</v>
      </c>
      <c r="C96" s="0" t="n">
        <v>11</v>
      </c>
      <c r="D96" s="5" t="n">
        <f aca="false">Supuestos!$B$10</f>
        <v>0.02</v>
      </c>
      <c r="E96" s="5" t="n">
        <f aca="false">IF(C96&lt;Familias!F9,0,INDEX(Supuestos!$B$13:$B$19,MIN(C96-Familias!F9+1,7)))</f>
        <v>1</v>
      </c>
      <c r="F96" s="4" t="n">
        <f aca="false">Familias!E9*D96*E96</f>
        <v>26</v>
      </c>
      <c r="G96" s="4" t="n">
        <f aca="false">F96*Supuestos!$B$2</f>
        <v>0.52</v>
      </c>
      <c r="H96" s="4" t="n">
        <f aca="false">G96*Supuestos!$B$3</f>
        <v>0.338</v>
      </c>
    </row>
    <row r="97" customFormat="false" ht="15" hidden="false" customHeight="false" outlineLevel="0" collapsed="false">
      <c r="A97" s="0" t="s">
        <v>192</v>
      </c>
      <c r="B97" s="0" t="s">
        <v>121</v>
      </c>
      <c r="C97" s="0" t="n">
        <v>12</v>
      </c>
      <c r="D97" s="5" t="n">
        <f aca="false">Supuestos!$B$10</f>
        <v>0.02</v>
      </c>
      <c r="E97" s="5" t="n">
        <f aca="false">IF(C97&lt;Familias!F9,0,INDEX(Supuestos!$B$13:$B$19,MIN(C97-Familias!F9+1,7)))</f>
        <v>1</v>
      </c>
      <c r="F97" s="4" t="n">
        <f aca="false">Familias!E9*D97*E97</f>
        <v>26</v>
      </c>
      <c r="G97" s="4" t="n">
        <f aca="false">F97*Supuestos!$B$2</f>
        <v>0.52</v>
      </c>
      <c r="H97" s="4" t="n">
        <f aca="false">G97*Supuestos!$B$3</f>
        <v>0.338</v>
      </c>
    </row>
    <row r="98" customFormat="false" ht="15" hidden="false" customHeight="false" outlineLevel="0" collapsed="false">
      <c r="A98" s="0" t="s">
        <v>192</v>
      </c>
      <c r="B98" s="0" t="s">
        <v>127</v>
      </c>
      <c r="C98" s="0" t="n">
        <v>1</v>
      </c>
      <c r="D98" s="5" t="n">
        <f aca="false">Supuestos!$B$10</f>
        <v>0.02</v>
      </c>
      <c r="E98" s="5" t="n">
        <f aca="false">IF(C98&lt;Familias!F10,0,INDEX(Supuestos!$B$13:$B$19,MIN(C98-Familias!F10+1,7)))</f>
        <v>0</v>
      </c>
      <c r="F98" s="4" t="n">
        <f aca="false">Familias!E10*D98*E98</f>
        <v>0</v>
      </c>
      <c r="G98" s="4" t="n">
        <f aca="false">F98*Supuestos!$B$2</f>
        <v>0</v>
      </c>
      <c r="H98" s="4" t="n">
        <f aca="false">G98*Supuestos!$B$3</f>
        <v>0</v>
      </c>
    </row>
    <row r="99" customFormat="false" ht="15" hidden="false" customHeight="false" outlineLevel="0" collapsed="false">
      <c r="A99" s="0" t="s">
        <v>192</v>
      </c>
      <c r="B99" s="0" t="s">
        <v>127</v>
      </c>
      <c r="C99" s="0" t="n">
        <v>2</v>
      </c>
      <c r="D99" s="5" t="n">
        <f aca="false">Supuestos!$B$10</f>
        <v>0.02</v>
      </c>
      <c r="E99" s="5" t="n">
        <f aca="false">IF(C99&lt;Familias!F10,0,INDEX(Supuestos!$B$13:$B$19,MIN(C99-Familias!F10+1,7)))</f>
        <v>0</v>
      </c>
      <c r="F99" s="4" t="n">
        <f aca="false">Familias!E10*D99*E99</f>
        <v>0</v>
      </c>
      <c r="G99" s="4" t="n">
        <f aca="false">F99*Supuestos!$B$2</f>
        <v>0</v>
      </c>
      <c r="H99" s="4" t="n">
        <f aca="false">G99*Supuestos!$B$3</f>
        <v>0</v>
      </c>
    </row>
    <row r="100" customFormat="false" ht="15" hidden="false" customHeight="false" outlineLevel="0" collapsed="false">
      <c r="A100" s="0" t="s">
        <v>192</v>
      </c>
      <c r="B100" s="0" t="s">
        <v>127</v>
      </c>
      <c r="C100" s="0" t="n">
        <v>3</v>
      </c>
      <c r="D100" s="5" t="n">
        <f aca="false">Supuestos!$B$10</f>
        <v>0.02</v>
      </c>
      <c r="E100" s="5" t="n">
        <f aca="false">IF(C100&lt;Familias!F10,0,INDEX(Supuestos!$B$13:$B$19,MIN(C100-Familias!F10+1,7)))</f>
        <v>0.1</v>
      </c>
      <c r="F100" s="4" t="n">
        <f aca="false">Familias!E10*D100*E100</f>
        <v>0.78</v>
      </c>
      <c r="G100" s="4" t="n">
        <f aca="false">F100*Supuestos!$B$2</f>
        <v>0.0156</v>
      </c>
      <c r="H100" s="4" t="n">
        <f aca="false">G100*Supuestos!$B$3</f>
        <v>0.01014</v>
      </c>
    </row>
    <row r="101" customFormat="false" ht="15" hidden="false" customHeight="false" outlineLevel="0" collapsed="false">
      <c r="A101" s="0" t="s">
        <v>192</v>
      </c>
      <c r="B101" s="0" t="s">
        <v>127</v>
      </c>
      <c r="C101" s="0" t="n">
        <v>4</v>
      </c>
      <c r="D101" s="5" t="n">
        <f aca="false">Supuestos!$B$10</f>
        <v>0.02</v>
      </c>
      <c r="E101" s="5" t="n">
        <f aca="false">IF(C101&lt;Familias!F10,0,INDEX(Supuestos!$B$13:$B$19,MIN(C101-Familias!F10+1,7)))</f>
        <v>0.2</v>
      </c>
      <c r="F101" s="4" t="n">
        <f aca="false">Familias!E10*D101*E101</f>
        <v>1.56</v>
      </c>
      <c r="G101" s="4" t="n">
        <f aca="false">F101*Supuestos!$B$2</f>
        <v>0.0312</v>
      </c>
      <c r="H101" s="4" t="n">
        <f aca="false">G101*Supuestos!$B$3</f>
        <v>0.02028</v>
      </c>
    </row>
    <row r="102" customFormat="false" ht="15" hidden="false" customHeight="false" outlineLevel="0" collapsed="false">
      <c r="A102" s="0" t="s">
        <v>192</v>
      </c>
      <c r="B102" s="0" t="s">
        <v>127</v>
      </c>
      <c r="C102" s="0" t="n">
        <v>5</v>
      </c>
      <c r="D102" s="5" t="n">
        <f aca="false">Supuestos!$B$10</f>
        <v>0.02</v>
      </c>
      <c r="E102" s="5" t="n">
        <f aca="false">IF(C102&lt;Familias!F10,0,INDEX(Supuestos!$B$13:$B$19,MIN(C102-Familias!F10+1,7)))</f>
        <v>0.35</v>
      </c>
      <c r="F102" s="4" t="n">
        <f aca="false">Familias!E10*D102*E102</f>
        <v>2.73</v>
      </c>
      <c r="G102" s="4" t="n">
        <f aca="false">F102*Supuestos!$B$2</f>
        <v>0.0546</v>
      </c>
      <c r="H102" s="4" t="n">
        <f aca="false">G102*Supuestos!$B$3</f>
        <v>0.03549</v>
      </c>
    </row>
    <row r="103" customFormat="false" ht="15" hidden="false" customHeight="false" outlineLevel="0" collapsed="false">
      <c r="A103" s="0" t="s">
        <v>192</v>
      </c>
      <c r="B103" s="0" t="s">
        <v>127</v>
      </c>
      <c r="C103" s="0" t="n">
        <v>6</v>
      </c>
      <c r="D103" s="5" t="n">
        <f aca="false">Supuestos!$B$10</f>
        <v>0.02</v>
      </c>
      <c r="E103" s="5" t="n">
        <f aca="false">IF(C103&lt;Familias!F10,0,INDEX(Supuestos!$B$13:$B$19,MIN(C103-Familias!F10+1,7)))</f>
        <v>0.5</v>
      </c>
      <c r="F103" s="4" t="n">
        <f aca="false">Familias!E10*D103*E103</f>
        <v>3.9</v>
      </c>
      <c r="G103" s="4" t="n">
        <f aca="false">F103*Supuestos!$B$2</f>
        <v>0.078</v>
      </c>
      <c r="H103" s="4" t="n">
        <f aca="false">G103*Supuestos!$B$3</f>
        <v>0.0507</v>
      </c>
    </row>
    <row r="104" customFormat="false" ht="15" hidden="false" customHeight="false" outlineLevel="0" collapsed="false">
      <c r="A104" s="0" t="s">
        <v>192</v>
      </c>
      <c r="B104" s="0" t="s">
        <v>127</v>
      </c>
      <c r="C104" s="0" t="n">
        <v>7</v>
      </c>
      <c r="D104" s="5" t="n">
        <f aca="false">Supuestos!$B$10</f>
        <v>0.02</v>
      </c>
      <c r="E104" s="5" t="n">
        <f aca="false">IF(C104&lt;Familias!F10,0,INDEX(Supuestos!$B$13:$B$19,MIN(C104-Familias!F10+1,7)))</f>
        <v>0.65</v>
      </c>
      <c r="F104" s="4" t="n">
        <f aca="false">Familias!E10*D104*E104</f>
        <v>5.07</v>
      </c>
      <c r="G104" s="4" t="n">
        <f aca="false">F104*Supuestos!$B$2</f>
        <v>0.1014</v>
      </c>
      <c r="H104" s="4" t="n">
        <f aca="false">G104*Supuestos!$B$3</f>
        <v>0.06591</v>
      </c>
    </row>
    <row r="105" customFormat="false" ht="15" hidden="false" customHeight="false" outlineLevel="0" collapsed="false">
      <c r="A105" s="0" t="s">
        <v>192</v>
      </c>
      <c r="B105" s="0" t="s">
        <v>127</v>
      </c>
      <c r="C105" s="0" t="n">
        <v>8</v>
      </c>
      <c r="D105" s="5" t="n">
        <f aca="false">Supuestos!$B$10</f>
        <v>0.02</v>
      </c>
      <c r="E105" s="5" t="n">
        <f aca="false">IF(C105&lt;Familias!F10,0,INDEX(Supuestos!$B$13:$B$19,MIN(C105-Familias!F10+1,7)))</f>
        <v>0.8</v>
      </c>
      <c r="F105" s="4" t="n">
        <f aca="false">Familias!E10*D105*E105</f>
        <v>6.24</v>
      </c>
      <c r="G105" s="4" t="n">
        <f aca="false">F105*Supuestos!$B$2</f>
        <v>0.1248</v>
      </c>
      <c r="H105" s="4" t="n">
        <f aca="false">G105*Supuestos!$B$3</f>
        <v>0.08112</v>
      </c>
    </row>
    <row r="106" customFormat="false" ht="15" hidden="false" customHeight="false" outlineLevel="0" collapsed="false">
      <c r="A106" s="0" t="s">
        <v>192</v>
      </c>
      <c r="B106" s="0" t="s">
        <v>127</v>
      </c>
      <c r="C106" s="0" t="n">
        <v>9</v>
      </c>
      <c r="D106" s="5" t="n">
        <f aca="false">Supuestos!$B$10</f>
        <v>0.02</v>
      </c>
      <c r="E106" s="5" t="n">
        <f aca="false">IF(C106&lt;Familias!F10,0,INDEX(Supuestos!$B$13:$B$19,MIN(C106-Familias!F10+1,7)))</f>
        <v>1</v>
      </c>
      <c r="F106" s="4" t="n">
        <f aca="false">Familias!E10*D106*E106</f>
        <v>7.8</v>
      </c>
      <c r="G106" s="4" t="n">
        <f aca="false">F106*Supuestos!$B$2</f>
        <v>0.156</v>
      </c>
      <c r="H106" s="4" t="n">
        <f aca="false">G106*Supuestos!$B$3</f>
        <v>0.1014</v>
      </c>
    </row>
    <row r="107" customFormat="false" ht="15" hidden="false" customHeight="false" outlineLevel="0" collapsed="false">
      <c r="A107" s="0" t="s">
        <v>192</v>
      </c>
      <c r="B107" s="0" t="s">
        <v>127</v>
      </c>
      <c r="C107" s="0" t="n">
        <v>10</v>
      </c>
      <c r="D107" s="5" t="n">
        <f aca="false">Supuestos!$B$10</f>
        <v>0.02</v>
      </c>
      <c r="E107" s="5" t="n">
        <f aca="false">IF(C107&lt;Familias!F10,0,INDEX(Supuestos!$B$13:$B$19,MIN(C107-Familias!F10+1,7)))</f>
        <v>1</v>
      </c>
      <c r="F107" s="4" t="n">
        <f aca="false">Familias!E10*D107*E107</f>
        <v>7.8</v>
      </c>
      <c r="G107" s="4" t="n">
        <f aca="false">F107*Supuestos!$B$2</f>
        <v>0.156</v>
      </c>
      <c r="H107" s="4" t="n">
        <f aca="false">G107*Supuestos!$B$3</f>
        <v>0.1014</v>
      </c>
    </row>
    <row r="108" customFormat="false" ht="15" hidden="false" customHeight="false" outlineLevel="0" collapsed="false">
      <c r="A108" s="0" t="s">
        <v>192</v>
      </c>
      <c r="B108" s="0" t="s">
        <v>127</v>
      </c>
      <c r="C108" s="0" t="n">
        <v>11</v>
      </c>
      <c r="D108" s="5" t="n">
        <f aca="false">Supuestos!$B$10</f>
        <v>0.02</v>
      </c>
      <c r="E108" s="5" t="n">
        <f aca="false">IF(C108&lt;Familias!F10,0,INDEX(Supuestos!$B$13:$B$19,MIN(C108-Familias!F10+1,7)))</f>
        <v>1</v>
      </c>
      <c r="F108" s="4" t="n">
        <f aca="false">Familias!E10*D108*E108</f>
        <v>7.8</v>
      </c>
      <c r="G108" s="4" t="n">
        <f aca="false">F108*Supuestos!$B$2</f>
        <v>0.156</v>
      </c>
      <c r="H108" s="4" t="n">
        <f aca="false">G108*Supuestos!$B$3</f>
        <v>0.1014</v>
      </c>
    </row>
    <row r="109" customFormat="false" ht="15" hidden="false" customHeight="false" outlineLevel="0" collapsed="false">
      <c r="A109" s="0" t="s">
        <v>192</v>
      </c>
      <c r="B109" s="0" t="s">
        <v>127</v>
      </c>
      <c r="C109" s="0" t="n">
        <v>12</v>
      </c>
      <c r="D109" s="5" t="n">
        <f aca="false">Supuestos!$B$10</f>
        <v>0.02</v>
      </c>
      <c r="E109" s="5" t="n">
        <f aca="false">IF(C109&lt;Familias!F10,0,INDEX(Supuestos!$B$13:$B$19,MIN(C109-Familias!F10+1,7)))</f>
        <v>1</v>
      </c>
      <c r="F109" s="4" t="n">
        <f aca="false">Familias!E10*D109*E109</f>
        <v>7.8</v>
      </c>
      <c r="G109" s="4" t="n">
        <f aca="false">F109*Supuestos!$B$2</f>
        <v>0.156</v>
      </c>
      <c r="H109" s="4" t="n">
        <f aca="false">G109*Supuestos!$B$3</f>
        <v>0.1014</v>
      </c>
    </row>
    <row r="110" customFormat="false" ht="15" hidden="false" customHeight="false" outlineLevel="0" collapsed="false">
      <c r="A110" s="0" t="s">
        <v>192</v>
      </c>
      <c r="B110" s="0" t="s">
        <v>132</v>
      </c>
      <c r="C110" s="0" t="n">
        <v>1</v>
      </c>
      <c r="D110" s="5" t="n">
        <f aca="false">Supuestos!$B$10</f>
        <v>0.02</v>
      </c>
      <c r="E110" s="5" t="n">
        <f aca="false">IF(C110&lt;Familias!F11,0,INDEX(Supuestos!$B$13:$B$19,MIN(C110-Familias!F11+1,7)))</f>
        <v>0</v>
      </c>
      <c r="F110" s="4" t="n">
        <f aca="false">Familias!E11*D110*E110</f>
        <v>0</v>
      </c>
      <c r="G110" s="4" t="n">
        <f aca="false">F110*Supuestos!$B$2</f>
        <v>0</v>
      </c>
      <c r="H110" s="4" t="n">
        <f aca="false">G110*Supuestos!$B$3</f>
        <v>0</v>
      </c>
    </row>
    <row r="111" customFormat="false" ht="15" hidden="false" customHeight="false" outlineLevel="0" collapsed="false">
      <c r="A111" s="0" t="s">
        <v>192</v>
      </c>
      <c r="B111" s="0" t="s">
        <v>132</v>
      </c>
      <c r="C111" s="0" t="n">
        <v>2</v>
      </c>
      <c r="D111" s="5" t="n">
        <f aca="false">Supuestos!$B$10</f>
        <v>0.02</v>
      </c>
      <c r="E111" s="5" t="n">
        <f aca="false">IF(C111&lt;Familias!F11,0,INDEX(Supuestos!$B$13:$B$19,MIN(C111-Familias!F11+1,7)))</f>
        <v>0</v>
      </c>
      <c r="F111" s="4" t="n">
        <f aca="false">Familias!E11*D111*E111</f>
        <v>0</v>
      </c>
      <c r="G111" s="4" t="n">
        <f aca="false">F111*Supuestos!$B$2</f>
        <v>0</v>
      </c>
      <c r="H111" s="4" t="n">
        <f aca="false">G111*Supuestos!$B$3</f>
        <v>0</v>
      </c>
    </row>
    <row r="112" customFormat="false" ht="15" hidden="false" customHeight="false" outlineLevel="0" collapsed="false">
      <c r="A112" s="0" t="s">
        <v>192</v>
      </c>
      <c r="B112" s="0" t="s">
        <v>132</v>
      </c>
      <c r="C112" s="0" t="n">
        <v>3</v>
      </c>
      <c r="D112" s="5" t="n">
        <f aca="false">Supuestos!$B$10</f>
        <v>0.02</v>
      </c>
      <c r="E112" s="5" t="n">
        <f aca="false">IF(C112&lt;Familias!F11,0,INDEX(Supuestos!$B$13:$B$19,MIN(C112-Familias!F11+1,7)))</f>
        <v>0.1</v>
      </c>
      <c r="F112" s="4" t="n">
        <f aca="false">Familias!E11*D112*E112</f>
        <v>0.08</v>
      </c>
      <c r="G112" s="4" t="n">
        <f aca="false">F112*Supuestos!$B$2</f>
        <v>0.0016</v>
      </c>
      <c r="H112" s="4" t="n">
        <f aca="false">G112*Supuestos!$B$3</f>
        <v>0.00104</v>
      </c>
    </row>
    <row r="113" customFormat="false" ht="15" hidden="false" customHeight="false" outlineLevel="0" collapsed="false">
      <c r="A113" s="0" t="s">
        <v>192</v>
      </c>
      <c r="B113" s="0" t="s">
        <v>132</v>
      </c>
      <c r="C113" s="0" t="n">
        <v>4</v>
      </c>
      <c r="D113" s="5" t="n">
        <f aca="false">Supuestos!$B$10</f>
        <v>0.02</v>
      </c>
      <c r="E113" s="5" t="n">
        <f aca="false">IF(C113&lt;Familias!F11,0,INDEX(Supuestos!$B$13:$B$19,MIN(C113-Familias!F11+1,7)))</f>
        <v>0.2</v>
      </c>
      <c r="F113" s="4" t="n">
        <f aca="false">Familias!E11*D113*E113</f>
        <v>0.16</v>
      </c>
      <c r="G113" s="4" t="n">
        <f aca="false">F113*Supuestos!$B$2</f>
        <v>0.0032</v>
      </c>
      <c r="H113" s="4" t="n">
        <f aca="false">G113*Supuestos!$B$3</f>
        <v>0.00208</v>
      </c>
    </row>
    <row r="114" customFormat="false" ht="15" hidden="false" customHeight="false" outlineLevel="0" collapsed="false">
      <c r="A114" s="0" t="s">
        <v>192</v>
      </c>
      <c r="B114" s="0" t="s">
        <v>132</v>
      </c>
      <c r="C114" s="0" t="n">
        <v>5</v>
      </c>
      <c r="D114" s="5" t="n">
        <f aca="false">Supuestos!$B$10</f>
        <v>0.02</v>
      </c>
      <c r="E114" s="5" t="n">
        <f aca="false">IF(C114&lt;Familias!F11,0,INDEX(Supuestos!$B$13:$B$19,MIN(C114-Familias!F11+1,7)))</f>
        <v>0.35</v>
      </c>
      <c r="F114" s="4" t="n">
        <f aca="false">Familias!E11*D114*E114</f>
        <v>0.28</v>
      </c>
      <c r="G114" s="4" t="n">
        <f aca="false">F114*Supuestos!$B$2</f>
        <v>0.0056</v>
      </c>
      <c r="H114" s="4" t="n">
        <f aca="false">G114*Supuestos!$B$3</f>
        <v>0.00364</v>
      </c>
    </row>
    <row r="115" customFormat="false" ht="15" hidden="false" customHeight="false" outlineLevel="0" collapsed="false">
      <c r="A115" s="0" t="s">
        <v>192</v>
      </c>
      <c r="B115" s="0" t="s">
        <v>132</v>
      </c>
      <c r="C115" s="0" t="n">
        <v>6</v>
      </c>
      <c r="D115" s="5" t="n">
        <f aca="false">Supuestos!$B$10</f>
        <v>0.02</v>
      </c>
      <c r="E115" s="5" t="n">
        <f aca="false">IF(C115&lt;Familias!F11,0,INDEX(Supuestos!$B$13:$B$19,MIN(C115-Familias!F11+1,7)))</f>
        <v>0.5</v>
      </c>
      <c r="F115" s="4" t="n">
        <f aca="false">Familias!E11*D115*E115</f>
        <v>0.4</v>
      </c>
      <c r="G115" s="4" t="n">
        <f aca="false">F115*Supuestos!$B$2</f>
        <v>0.008</v>
      </c>
      <c r="H115" s="4" t="n">
        <f aca="false">G115*Supuestos!$B$3</f>
        <v>0.0052</v>
      </c>
    </row>
    <row r="116" customFormat="false" ht="15" hidden="false" customHeight="false" outlineLevel="0" collapsed="false">
      <c r="A116" s="0" t="s">
        <v>192</v>
      </c>
      <c r="B116" s="0" t="s">
        <v>132</v>
      </c>
      <c r="C116" s="0" t="n">
        <v>7</v>
      </c>
      <c r="D116" s="5" t="n">
        <f aca="false">Supuestos!$B$10</f>
        <v>0.02</v>
      </c>
      <c r="E116" s="5" t="n">
        <f aca="false">IF(C116&lt;Familias!F11,0,INDEX(Supuestos!$B$13:$B$19,MIN(C116-Familias!F11+1,7)))</f>
        <v>0.65</v>
      </c>
      <c r="F116" s="4" t="n">
        <f aca="false">Familias!E11*D116*E116</f>
        <v>0.52</v>
      </c>
      <c r="G116" s="4" t="n">
        <f aca="false">F116*Supuestos!$B$2</f>
        <v>0.0104</v>
      </c>
      <c r="H116" s="4" t="n">
        <f aca="false">G116*Supuestos!$B$3</f>
        <v>0.00676</v>
      </c>
    </row>
    <row r="117" customFormat="false" ht="15" hidden="false" customHeight="false" outlineLevel="0" collapsed="false">
      <c r="A117" s="0" t="s">
        <v>192</v>
      </c>
      <c r="B117" s="0" t="s">
        <v>132</v>
      </c>
      <c r="C117" s="0" t="n">
        <v>8</v>
      </c>
      <c r="D117" s="5" t="n">
        <f aca="false">Supuestos!$B$10</f>
        <v>0.02</v>
      </c>
      <c r="E117" s="5" t="n">
        <f aca="false">IF(C117&lt;Familias!F11,0,INDEX(Supuestos!$B$13:$B$19,MIN(C117-Familias!F11+1,7)))</f>
        <v>0.8</v>
      </c>
      <c r="F117" s="4" t="n">
        <f aca="false">Familias!E11*D117*E117</f>
        <v>0.64</v>
      </c>
      <c r="G117" s="4" t="n">
        <f aca="false">F117*Supuestos!$B$2</f>
        <v>0.0128</v>
      </c>
      <c r="H117" s="4" t="n">
        <f aca="false">G117*Supuestos!$B$3</f>
        <v>0.00832</v>
      </c>
    </row>
    <row r="118" customFormat="false" ht="15" hidden="false" customHeight="false" outlineLevel="0" collapsed="false">
      <c r="A118" s="0" t="s">
        <v>192</v>
      </c>
      <c r="B118" s="0" t="s">
        <v>132</v>
      </c>
      <c r="C118" s="0" t="n">
        <v>9</v>
      </c>
      <c r="D118" s="5" t="n">
        <f aca="false">Supuestos!$B$10</f>
        <v>0.02</v>
      </c>
      <c r="E118" s="5" t="n">
        <f aca="false">IF(C118&lt;Familias!F11,0,INDEX(Supuestos!$B$13:$B$19,MIN(C118-Familias!F11+1,7)))</f>
        <v>1</v>
      </c>
      <c r="F118" s="4" t="n">
        <f aca="false">Familias!E11*D118*E118</f>
        <v>0.8</v>
      </c>
      <c r="G118" s="4" t="n">
        <f aca="false">F118*Supuestos!$B$2</f>
        <v>0.016</v>
      </c>
      <c r="H118" s="4" t="n">
        <f aca="false">G118*Supuestos!$B$3</f>
        <v>0.0104</v>
      </c>
    </row>
    <row r="119" customFormat="false" ht="15" hidden="false" customHeight="false" outlineLevel="0" collapsed="false">
      <c r="A119" s="0" t="s">
        <v>192</v>
      </c>
      <c r="B119" s="0" t="s">
        <v>132</v>
      </c>
      <c r="C119" s="0" t="n">
        <v>10</v>
      </c>
      <c r="D119" s="5" t="n">
        <f aca="false">Supuestos!$B$10</f>
        <v>0.02</v>
      </c>
      <c r="E119" s="5" t="n">
        <f aca="false">IF(C119&lt;Familias!F11,0,INDEX(Supuestos!$B$13:$B$19,MIN(C119-Familias!F11+1,7)))</f>
        <v>1</v>
      </c>
      <c r="F119" s="4" t="n">
        <f aca="false">Familias!E11*D119*E119</f>
        <v>0.8</v>
      </c>
      <c r="G119" s="4" t="n">
        <f aca="false">F119*Supuestos!$B$2</f>
        <v>0.016</v>
      </c>
      <c r="H119" s="4" t="n">
        <f aca="false">G119*Supuestos!$B$3</f>
        <v>0.0104</v>
      </c>
    </row>
    <row r="120" customFormat="false" ht="15" hidden="false" customHeight="false" outlineLevel="0" collapsed="false">
      <c r="A120" s="0" t="s">
        <v>192</v>
      </c>
      <c r="B120" s="0" t="s">
        <v>132</v>
      </c>
      <c r="C120" s="0" t="n">
        <v>11</v>
      </c>
      <c r="D120" s="5" t="n">
        <f aca="false">Supuestos!$B$10</f>
        <v>0.02</v>
      </c>
      <c r="E120" s="5" t="n">
        <f aca="false">IF(C120&lt;Familias!F11,0,INDEX(Supuestos!$B$13:$B$19,MIN(C120-Familias!F11+1,7)))</f>
        <v>1</v>
      </c>
      <c r="F120" s="4" t="n">
        <f aca="false">Familias!E11*D120*E120</f>
        <v>0.8</v>
      </c>
      <c r="G120" s="4" t="n">
        <f aca="false">F120*Supuestos!$B$2</f>
        <v>0.016</v>
      </c>
      <c r="H120" s="4" t="n">
        <f aca="false">G120*Supuestos!$B$3</f>
        <v>0.0104</v>
      </c>
    </row>
    <row r="121" customFormat="false" ht="15" hidden="false" customHeight="false" outlineLevel="0" collapsed="false">
      <c r="A121" s="0" t="s">
        <v>192</v>
      </c>
      <c r="B121" s="0" t="s">
        <v>132</v>
      </c>
      <c r="C121" s="0" t="n">
        <v>12</v>
      </c>
      <c r="D121" s="5" t="n">
        <f aca="false">Supuestos!$B$10</f>
        <v>0.02</v>
      </c>
      <c r="E121" s="5" t="n">
        <f aca="false">IF(C121&lt;Familias!F11,0,INDEX(Supuestos!$B$13:$B$19,MIN(C121-Familias!F11+1,7)))</f>
        <v>1</v>
      </c>
      <c r="F121" s="4" t="n">
        <f aca="false">Familias!E11*D121*E121</f>
        <v>0.8</v>
      </c>
      <c r="G121" s="4" t="n">
        <f aca="false">F121*Supuestos!$B$2</f>
        <v>0.016</v>
      </c>
      <c r="H121" s="4" t="n">
        <f aca="false">G121*Supuestos!$B$3</f>
        <v>0.0104</v>
      </c>
    </row>
    <row r="122" customFormat="false" ht="15" hidden="false" customHeight="false" outlineLevel="0" collapsed="false">
      <c r="A122" s="0" t="s">
        <v>192</v>
      </c>
      <c r="B122" s="0" t="s">
        <v>136</v>
      </c>
      <c r="C122" s="0" t="n">
        <v>1</v>
      </c>
      <c r="D122" s="5" t="n">
        <f aca="false">Supuestos!$B$10</f>
        <v>0.02</v>
      </c>
      <c r="E122" s="5" t="n">
        <f aca="false">IF(C122&lt;Familias!F12,0,INDEX(Supuestos!$B$13:$B$19,MIN(C122-Familias!F12+1,7)))</f>
        <v>0</v>
      </c>
      <c r="F122" s="4" t="n">
        <f aca="false">Familias!E12*D122*E122</f>
        <v>0</v>
      </c>
      <c r="G122" s="4" t="n">
        <f aca="false">F122*Supuestos!$B$2</f>
        <v>0</v>
      </c>
      <c r="H122" s="4" t="n">
        <f aca="false">G122*Supuestos!$B$3</f>
        <v>0</v>
      </c>
    </row>
    <row r="123" customFormat="false" ht="15" hidden="false" customHeight="false" outlineLevel="0" collapsed="false">
      <c r="A123" s="0" t="s">
        <v>192</v>
      </c>
      <c r="B123" s="0" t="s">
        <v>136</v>
      </c>
      <c r="C123" s="0" t="n">
        <v>2</v>
      </c>
      <c r="D123" s="5" t="n">
        <f aca="false">Supuestos!$B$10</f>
        <v>0.02</v>
      </c>
      <c r="E123" s="5" t="n">
        <f aca="false">IF(C123&lt;Familias!F12,0,INDEX(Supuestos!$B$13:$B$19,MIN(C123-Familias!F12+1,7)))</f>
        <v>0</v>
      </c>
      <c r="F123" s="4" t="n">
        <f aca="false">Familias!E12*D123*E123</f>
        <v>0</v>
      </c>
      <c r="G123" s="4" t="n">
        <f aca="false">F123*Supuestos!$B$2</f>
        <v>0</v>
      </c>
      <c r="H123" s="4" t="n">
        <f aca="false">G123*Supuestos!$B$3</f>
        <v>0</v>
      </c>
    </row>
    <row r="124" customFormat="false" ht="15" hidden="false" customHeight="false" outlineLevel="0" collapsed="false">
      <c r="A124" s="0" t="s">
        <v>192</v>
      </c>
      <c r="B124" s="0" t="s">
        <v>136</v>
      </c>
      <c r="C124" s="0" t="n">
        <v>3</v>
      </c>
      <c r="D124" s="5" t="n">
        <f aca="false">Supuestos!$B$10</f>
        <v>0.02</v>
      </c>
      <c r="E124" s="5" t="n">
        <f aca="false">IF(C124&lt;Familias!F12,0,INDEX(Supuestos!$B$13:$B$19,MIN(C124-Familias!F12+1,7)))</f>
        <v>0</v>
      </c>
      <c r="F124" s="4" t="n">
        <f aca="false">Familias!E12*D124*E124</f>
        <v>0</v>
      </c>
      <c r="G124" s="4" t="n">
        <f aca="false">F124*Supuestos!$B$2</f>
        <v>0</v>
      </c>
      <c r="H124" s="4" t="n">
        <f aca="false">G124*Supuestos!$B$3</f>
        <v>0</v>
      </c>
    </row>
    <row r="125" customFormat="false" ht="15" hidden="false" customHeight="false" outlineLevel="0" collapsed="false">
      <c r="A125" s="0" t="s">
        <v>192</v>
      </c>
      <c r="B125" s="0" t="s">
        <v>136</v>
      </c>
      <c r="C125" s="0" t="n">
        <v>4</v>
      </c>
      <c r="D125" s="5" t="n">
        <f aca="false">Supuestos!$B$10</f>
        <v>0.02</v>
      </c>
      <c r="E125" s="5" t="n">
        <f aca="false">IF(C125&lt;Familias!F12,0,INDEX(Supuestos!$B$13:$B$19,MIN(C125-Familias!F12+1,7)))</f>
        <v>0</v>
      </c>
      <c r="F125" s="4" t="n">
        <f aca="false">Familias!E12*D125*E125</f>
        <v>0</v>
      </c>
      <c r="G125" s="4" t="n">
        <f aca="false">F125*Supuestos!$B$2</f>
        <v>0</v>
      </c>
      <c r="H125" s="4" t="n">
        <f aca="false">G125*Supuestos!$B$3</f>
        <v>0</v>
      </c>
    </row>
    <row r="126" customFormat="false" ht="15" hidden="false" customHeight="false" outlineLevel="0" collapsed="false">
      <c r="A126" s="0" t="s">
        <v>192</v>
      </c>
      <c r="B126" s="0" t="s">
        <v>136</v>
      </c>
      <c r="C126" s="0" t="n">
        <v>5</v>
      </c>
      <c r="D126" s="5" t="n">
        <f aca="false">Supuestos!$B$10</f>
        <v>0.02</v>
      </c>
      <c r="E126" s="5" t="n">
        <f aca="false">IF(C126&lt;Familias!F12,0,INDEX(Supuestos!$B$13:$B$19,MIN(C126-Familias!F12+1,7)))</f>
        <v>0</v>
      </c>
      <c r="F126" s="4" t="n">
        <f aca="false">Familias!E12*D126*E126</f>
        <v>0</v>
      </c>
      <c r="G126" s="4" t="n">
        <f aca="false">F126*Supuestos!$B$2</f>
        <v>0</v>
      </c>
      <c r="H126" s="4" t="n">
        <f aca="false">G126*Supuestos!$B$3</f>
        <v>0</v>
      </c>
    </row>
    <row r="127" customFormat="false" ht="15" hidden="false" customHeight="false" outlineLevel="0" collapsed="false">
      <c r="A127" s="0" t="s">
        <v>192</v>
      </c>
      <c r="B127" s="0" t="s">
        <v>136</v>
      </c>
      <c r="C127" s="0" t="n">
        <v>6</v>
      </c>
      <c r="D127" s="5" t="n">
        <f aca="false">Supuestos!$B$10</f>
        <v>0.02</v>
      </c>
      <c r="E127" s="5" t="n">
        <f aca="false">IF(C127&lt;Familias!F12,0,INDEX(Supuestos!$B$13:$B$19,MIN(C127-Familias!F12+1,7)))</f>
        <v>0</v>
      </c>
      <c r="F127" s="4" t="n">
        <f aca="false">Familias!E12*D127*E127</f>
        <v>0</v>
      </c>
      <c r="G127" s="4" t="n">
        <f aca="false">F127*Supuestos!$B$2</f>
        <v>0</v>
      </c>
      <c r="H127" s="4" t="n">
        <f aca="false">G127*Supuestos!$B$3</f>
        <v>0</v>
      </c>
    </row>
    <row r="128" customFormat="false" ht="15" hidden="false" customHeight="false" outlineLevel="0" collapsed="false">
      <c r="A128" s="0" t="s">
        <v>192</v>
      </c>
      <c r="B128" s="0" t="s">
        <v>136</v>
      </c>
      <c r="C128" s="0" t="n">
        <v>7</v>
      </c>
      <c r="D128" s="5" t="n">
        <f aca="false">Supuestos!$B$10</f>
        <v>0.02</v>
      </c>
      <c r="E128" s="5" t="n">
        <f aca="false">IF(C128&lt;Familias!F12,0,INDEX(Supuestos!$B$13:$B$19,MIN(C128-Familias!F12+1,7)))</f>
        <v>0.1</v>
      </c>
      <c r="F128" s="4" t="n">
        <f aca="false">Familias!E12*D128*E128</f>
        <v>13.2</v>
      </c>
      <c r="G128" s="4" t="n">
        <f aca="false">F128*Supuestos!$B$2</f>
        <v>0.264</v>
      </c>
      <c r="H128" s="4" t="n">
        <f aca="false">G128*Supuestos!$B$3</f>
        <v>0.1716</v>
      </c>
    </row>
    <row r="129" customFormat="false" ht="15" hidden="false" customHeight="false" outlineLevel="0" collapsed="false">
      <c r="A129" s="0" t="s">
        <v>192</v>
      </c>
      <c r="B129" s="0" t="s">
        <v>136</v>
      </c>
      <c r="C129" s="0" t="n">
        <v>8</v>
      </c>
      <c r="D129" s="5" t="n">
        <f aca="false">Supuestos!$B$10</f>
        <v>0.02</v>
      </c>
      <c r="E129" s="5" t="n">
        <f aca="false">IF(C129&lt;Familias!F12,0,INDEX(Supuestos!$B$13:$B$19,MIN(C129-Familias!F12+1,7)))</f>
        <v>0.2</v>
      </c>
      <c r="F129" s="4" t="n">
        <f aca="false">Familias!E12*D129*E129</f>
        <v>26.4</v>
      </c>
      <c r="G129" s="4" t="n">
        <f aca="false">F129*Supuestos!$B$2</f>
        <v>0.528</v>
      </c>
      <c r="H129" s="4" t="n">
        <f aca="false">G129*Supuestos!$B$3</f>
        <v>0.3432</v>
      </c>
    </row>
    <row r="130" customFormat="false" ht="15" hidden="false" customHeight="false" outlineLevel="0" collapsed="false">
      <c r="A130" s="0" t="s">
        <v>192</v>
      </c>
      <c r="B130" s="0" t="s">
        <v>136</v>
      </c>
      <c r="C130" s="0" t="n">
        <v>9</v>
      </c>
      <c r="D130" s="5" t="n">
        <f aca="false">Supuestos!$B$10</f>
        <v>0.02</v>
      </c>
      <c r="E130" s="5" t="n">
        <f aca="false">IF(C130&lt;Familias!F12,0,INDEX(Supuestos!$B$13:$B$19,MIN(C130-Familias!F12+1,7)))</f>
        <v>0.35</v>
      </c>
      <c r="F130" s="4" t="n">
        <f aca="false">Familias!E12*D130*E130</f>
        <v>46.2</v>
      </c>
      <c r="G130" s="4" t="n">
        <f aca="false">F130*Supuestos!$B$2</f>
        <v>0.924</v>
      </c>
      <c r="H130" s="4" t="n">
        <f aca="false">G130*Supuestos!$B$3</f>
        <v>0.6006</v>
      </c>
    </row>
    <row r="131" customFormat="false" ht="15" hidden="false" customHeight="false" outlineLevel="0" collapsed="false">
      <c r="A131" s="0" t="s">
        <v>192</v>
      </c>
      <c r="B131" s="0" t="s">
        <v>136</v>
      </c>
      <c r="C131" s="0" t="n">
        <v>10</v>
      </c>
      <c r="D131" s="5" t="n">
        <f aca="false">Supuestos!$B$10</f>
        <v>0.02</v>
      </c>
      <c r="E131" s="5" t="n">
        <f aca="false">IF(C131&lt;Familias!F12,0,INDEX(Supuestos!$B$13:$B$19,MIN(C131-Familias!F12+1,7)))</f>
        <v>0.5</v>
      </c>
      <c r="F131" s="4" t="n">
        <f aca="false">Familias!E12*D131*E131</f>
        <v>66</v>
      </c>
      <c r="G131" s="4" t="n">
        <f aca="false">F131*Supuestos!$B$2</f>
        <v>1.32</v>
      </c>
      <c r="H131" s="4" t="n">
        <f aca="false">G131*Supuestos!$B$3</f>
        <v>0.858</v>
      </c>
    </row>
    <row r="132" customFormat="false" ht="15" hidden="false" customHeight="false" outlineLevel="0" collapsed="false">
      <c r="A132" s="0" t="s">
        <v>192</v>
      </c>
      <c r="B132" s="0" t="s">
        <v>136</v>
      </c>
      <c r="C132" s="0" t="n">
        <v>11</v>
      </c>
      <c r="D132" s="5" t="n">
        <f aca="false">Supuestos!$B$10</f>
        <v>0.02</v>
      </c>
      <c r="E132" s="5" t="n">
        <f aca="false">IF(C132&lt;Familias!F12,0,INDEX(Supuestos!$B$13:$B$19,MIN(C132-Familias!F12+1,7)))</f>
        <v>0.65</v>
      </c>
      <c r="F132" s="4" t="n">
        <f aca="false">Familias!E12*D132*E132</f>
        <v>85.8</v>
      </c>
      <c r="G132" s="4" t="n">
        <f aca="false">F132*Supuestos!$B$2</f>
        <v>1.716</v>
      </c>
      <c r="H132" s="4" t="n">
        <f aca="false">G132*Supuestos!$B$3</f>
        <v>1.1154</v>
      </c>
    </row>
    <row r="133" customFormat="false" ht="15" hidden="false" customHeight="false" outlineLevel="0" collapsed="false">
      <c r="A133" s="0" t="s">
        <v>192</v>
      </c>
      <c r="B133" s="0" t="s">
        <v>136</v>
      </c>
      <c r="C133" s="0" t="n">
        <v>12</v>
      </c>
      <c r="D133" s="5" t="n">
        <f aca="false">Supuestos!$B$10</f>
        <v>0.02</v>
      </c>
      <c r="E133" s="5" t="n">
        <f aca="false">IF(C133&lt;Familias!F12,0,INDEX(Supuestos!$B$13:$B$19,MIN(C133-Familias!F12+1,7)))</f>
        <v>0.8</v>
      </c>
      <c r="F133" s="4" t="n">
        <f aca="false">Familias!E12*D133*E133</f>
        <v>105.6</v>
      </c>
      <c r="G133" s="4" t="n">
        <f aca="false">F133*Supuestos!$B$2</f>
        <v>2.112</v>
      </c>
      <c r="H133" s="4" t="n">
        <f aca="false">G133*Supuestos!$B$3</f>
        <v>1.3728</v>
      </c>
    </row>
    <row r="134" customFormat="false" ht="15" hidden="false" customHeight="false" outlineLevel="0" collapsed="false">
      <c r="A134" s="0" t="s">
        <v>192</v>
      </c>
      <c r="B134" s="0" t="s">
        <v>143</v>
      </c>
      <c r="C134" s="0" t="n">
        <v>1</v>
      </c>
      <c r="D134" s="5" t="n">
        <f aca="false">Supuestos!$B$10</f>
        <v>0.02</v>
      </c>
      <c r="E134" s="5" t="n">
        <f aca="false">IF(C134&lt;Familias!F13,0,INDEX(Supuestos!$B$13:$B$19,MIN(C134-Familias!F13+1,7)))</f>
        <v>0</v>
      </c>
      <c r="F134" s="4" t="n">
        <f aca="false">Familias!E13*D134*E134</f>
        <v>0</v>
      </c>
      <c r="G134" s="4" t="n">
        <f aca="false">F134*Supuestos!$B$2</f>
        <v>0</v>
      </c>
      <c r="H134" s="4" t="n">
        <f aca="false">G134*Supuestos!$B$3</f>
        <v>0</v>
      </c>
    </row>
    <row r="135" customFormat="false" ht="15" hidden="false" customHeight="false" outlineLevel="0" collapsed="false">
      <c r="A135" s="0" t="s">
        <v>192</v>
      </c>
      <c r="B135" s="0" t="s">
        <v>143</v>
      </c>
      <c r="C135" s="0" t="n">
        <v>2</v>
      </c>
      <c r="D135" s="5" t="n">
        <f aca="false">Supuestos!$B$10</f>
        <v>0.02</v>
      </c>
      <c r="E135" s="5" t="n">
        <f aca="false">IF(C135&lt;Familias!F13,0,INDEX(Supuestos!$B$13:$B$19,MIN(C135-Familias!F13+1,7)))</f>
        <v>0</v>
      </c>
      <c r="F135" s="4" t="n">
        <f aca="false">Familias!E13*D135*E135</f>
        <v>0</v>
      </c>
      <c r="G135" s="4" t="n">
        <f aca="false">F135*Supuestos!$B$2</f>
        <v>0</v>
      </c>
      <c r="H135" s="4" t="n">
        <f aca="false">G135*Supuestos!$B$3</f>
        <v>0</v>
      </c>
    </row>
    <row r="136" customFormat="false" ht="15" hidden="false" customHeight="false" outlineLevel="0" collapsed="false">
      <c r="A136" s="0" t="s">
        <v>192</v>
      </c>
      <c r="B136" s="0" t="s">
        <v>143</v>
      </c>
      <c r="C136" s="0" t="n">
        <v>3</v>
      </c>
      <c r="D136" s="5" t="n">
        <f aca="false">Supuestos!$B$10</f>
        <v>0.02</v>
      </c>
      <c r="E136" s="5" t="n">
        <f aca="false">IF(C136&lt;Familias!F13,0,INDEX(Supuestos!$B$13:$B$19,MIN(C136-Familias!F13+1,7)))</f>
        <v>0</v>
      </c>
      <c r="F136" s="4" t="n">
        <f aca="false">Familias!E13*D136*E136</f>
        <v>0</v>
      </c>
      <c r="G136" s="4" t="n">
        <f aca="false">F136*Supuestos!$B$2</f>
        <v>0</v>
      </c>
      <c r="H136" s="4" t="n">
        <f aca="false">G136*Supuestos!$B$3</f>
        <v>0</v>
      </c>
    </row>
    <row r="137" customFormat="false" ht="15" hidden="false" customHeight="false" outlineLevel="0" collapsed="false">
      <c r="A137" s="0" t="s">
        <v>192</v>
      </c>
      <c r="B137" s="0" t="s">
        <v>143</v>
      </c>
      <c r="C137" s="0" t="n">
        <v>4</v>
      </c>
      <c r="D137" s="5" t="n">
        <f aca="false">Supuestos!$B$10</f>
        <v>0.02</v>
      </c>
      <c r="E137" s="5" t="n">
        <f aca="false">IF(C137&lt;Familias!F13,0,INDEX(Supuestos!$B$13:$B$19,MIN(C137-Familias!F13+1,7)))</f>
        <v>0</v>
      </c>
      <c r="F137" s="4" t="n">
        <f aca="false">Familias!E13*D137*E137</f>
        <v>0</v>
      </c>
      <c r="G137" s="4" t="n">
        <f aca="false">F137*Supuestos!$B$2</f>
        <v>0</v>
      </c>
      <c r="H137" s="4" t="n">
        <f aca="false">G137*Supuestos!$B$3</f>
        <v>0</v>
      </c>
    </row>
    <row r="138" customFormat="false" ht="15" hidden="false" customHeight="false" outlineLevel="0" collapsed="false">
      <c r="A138" s="0" t="s">
        <v>192</v>
      </c>
      <c r="B138" s="0" t="s">
        <v>143</v>
      </c>
      <c r="C138" s="0" t="n">
        <v>5</v>
      </c>
      <c r="D138" s="5" t="n">
        <f aca="false">Supuestos!$B$10</f>
        <v>0.02</v>
      </c>
      <c r="E138" s="5" t="n">
        <f aca="false">IF(C138&lt;Familias!F13,0,INDEX(Supuestos!$B$13:$B$19,MIN(C138-Familias!F13+1,7)))</f>
        <v>0.1</v>
      </c>
      <c r="F138" s="4" t="n">
        <f aca="false">Familias!E13*D138*E138</f>
        <v>3.8</v>
      </c>
      <c r="G138" s="4" t="n">
        <f aca="false">F138*Supuestos!$B$2</f>
        <v>0.076</v>
      </c>
      <c r="H138" s="4" t="n">
        <f aca="false">G138*Supuestos!$B$3</f>
        <v>0.0494</v>
      </c>
    </row>
    <row r="139" customFormat="false" ht="15" hidden="false" customHeight="false" outlineLevel="0" collapsed="false">
      <c r="A139" s="0" t="s">
        <v>192</v>
      </c>
      <c r="B139" s="0" t="s">
        <v>143</v>
      </c>
      <c r="C139" s="0" t="n">
        <v>6</v>
      </c>
      <c r="D139" s="5" t="n">
        <f aca="false">Supuestos!$B$10</f>
        <v>0.02</v>
      </c>
      <c r="E139" s="5" t="n">
        <f aca="false">IF(C139&lt;Familias!F13,0,INDEX(Supuestos!$B$13:$B$19,MIN(C139-Familias!F13+1,7)))</f>
        <v>0.2</v>
      </c>
      <c r="F139" s="4" t="n">
        <f aca="false">Familias!E13*D139*E139</f>
        <v>7.6</v>
      </c>
      <c r="G139" s="4" t="n">
        <f aca="false">F139*Supuestos!$B$2</f>
        <v>0.152</v>
      </c>
      <c r="H139" s="4" t="n">
        <f aca="false">G139*Supuestos!$B$3</f>
        <v>0.0988</v>
      </c>
    </row>
    <row r="140" customFormat="false" ht="15" hidden="false" customHeight="false" outlineLevel="0" collapsed="false">
      <c r="A140" s="0" t="s">
        <v>192</v>
      </c>
      <c r="B140" s="0" t="s">
        <v>143</v>
      </c>
      <c r="C140" s="0" t="n">
        <v>7</v>
      </c>
      <c r="D140" s="5" t="n">
        <f aca="false">Supuestos!$B$10</f>
        <v>0.02</v>
      </c>
      <c r="E140" s="5" t="n">
        <f aca="false">IF(C140&lt;Familias!F13,0,INDEX(Supuestos!$B$13:$B$19,MIN(C140-Familias!F13+1,7)))</f>
        <v>0.35</v>
      </c>
      <c r="F140" s="4" t="n">
        <f aca="false">Familias!E13*D140*E140</f>
        <v>13.3</v>
      </c>
      <c r="G140" s="4" t="n">
        <f aca="false">F140*Supuestos!$B$2</f>
        <v>0.266</v>
      </c>
      <c r="H140" s="4" t="n">
        <f aca="false">G140*Supuestos!$B$3</f>
        <v>0.1729</v>
      </c>
    </row>
    <row r="141" customFormat="false" ht="15" hidden="false" customHeight="false" outlineLevel="0" collapsed="false">
      <c r="A141" s="0" t="s">
        <v>192</v>
      </c>
      <c r="B141" s="0" t="s">
        <v>143</v>
      </c>
      <c r="C141" s="0" t="n">
        <v>8</v>
      </c>
      <c r="D141" s="5" t="n">
        <f aca="false">Supuestos!$B$10</f>
        <v>0.02</v>
      </c>
      <c r="E141" s="5" t="n">
        <f aca="false">IF(C141&lt;Familias!F13,0,INDEX(Supuestos!$B$13:$B$19,MIN(C141-Familias!F13+1,7)))</f>
        <v>0.5</v>
      </c>
      <c r="F141" s="4" t="n">
        <f aca="false">Familias!E13*D141*E141</f>
        <v>19</v>
      </c>
      <c r="G141" s="4" t="n">
        <f aca="false">F141*Supuestos!$B$2</f>
        <v>0.38</v>
      </c>
      <c r="H141" s="4" t="n">
        <f aca="false">G141*Supuestos!$B$3</f>
        <v>0.247</v>
      </c>
    </row>
    <row r="142" customFormat="false" ht="15" hidden="false" customHeight="false" outlineLevel="0" collapsed="false">
      <c r="A142" s="0" t="s">
        <v>192</v>
      </c>
      <c r="B142" s="0" t="s">
        <v>143</v>
      </c>
      <c r="C142" s="0" t="n">
        <v>9</v>
      </c>
      <c r="D142" s="5" t="n">
        <f aca="false">Supuestos!$B$10</f>
        <v>0.02</v>
      </c>
      <c r="E142" s="5" t="n">
        <f aca="false">IF(C142&lt;Familias!F13,0,INDEX(Supuestos!$B$13:$B$19,MIN(C142-Familias!F13+1,7)))</f>
        <v>0.65</v>
      </c>
      <c r="F142" s="4" t="n">
        <f aca="false">Familias!E13*D142*E142</f>
        <v>24.7</v>
      </c>
      <c r="G142" s="4" t="n">
        <f aca="false">F142*Supuestos!$B$2</f>
        <v>0.494</v>
      </c>
      <c r="H142" s="4" t="n">
        <f aca="false">G142*Supuestos!$B$3</f>
        <v>0.3211</v>
      </c>
    </row>
    <row r="143" customFormat="false" ht="15" hidden="false" customHeight="false" outlineLevel="0" collapsed="false">
      <c r="A143" s="0" t="s">
        <v>192</v>
      </c>
      <c r="B143" s="0" t="s">
        <v>143</v>
      </c>
      <c r="C143" s="0" t="n">
        <v>10</v>
      </c>
      <c r="D143" s="5" t="n">
        <f aca="false">Supuestos!$B$10</f>
        <v>0.02</v>
      </c>
      <c r="E143" s="5" t="n">
        <f aca="false">IF(C143&lt;Familias!F13,0,INDEX(Supuestos!$B$13:$B$19,MIN(C143-Familias!F13+1,7)))</f>
        <v>0.8</v>
      </c>
      <c r="F143" s="4" t="n">
        <f aca="false">Familias!E13*D143*E143</f>
        <v>30.4</v>
      </c>
      <c r="G143" s="4" t="n">
        <f aca="false">F143*Supuestos!$B$2</f>
        <v>0.608</v>
      </c>
      <c r="H143" s="4" t="n">
        <f aca="false">G143*Supuestos!$B$3</f>
        <v>0.3952</v>
      </c>
    </row>
    <row r="144" customFormat="false" ht="15" hidden="false" customHeight="false" outlineLevel="0" collapsed="false">
      <c r="A144" s="0" t="s">
        <v>192</v>
      </c>
      <c r="B144" s="0" t="s">
        <v>143</v>
      </c>
      <c r="C144" s="0" t="n">
        <v>11</v>
      </c>
      <c r="D144" s="5" t="n">
        <f aca="false">Supuestos!$B$10</f>
        <v>0.02</v>
      </c>
      <c r="E144" s="5" t="n">
        <f aca="false">IF(C144&lt;Familias!F13,0,INDEX(Supuestos!$B$13:$B$19,MIN(C144-Familias!F13+1,7)))</f>
        <v>1</v>
      </c>
      <c r="F144" s="4" t="n">
        <f aca="false">Familias!E13*D144*E144</f>
        <v>38</v>
      </c>
      <c r="G144" s="4" t="n">
        <f aca="false">F144*Supuestos!$B$2</f>
        <v>0.76</v>
      </c>
      <c r="H144" s="4" t="n">
        <f aca="false">G144*Supuestos!$B$3</f>
        <v>0.494</v>
      </c>
    </row>
    <row r="145" customFormat="false" ht="15" hidden="false" customHeight="false" outlineLevel="0" collapsed="false">
      <c r="A145" s="0" t="s">
        <v>192</v>
      </c>
      <c r="B145" s="0" t="s">
        <v>143</v>
      </c>
      <c r="C145" s="0" t="n">
        <v>12</v>
      </c>
      <c r="D145" s="5" t="n">
        <f aca="false">Supuestos!$B$10</f>
        <v>0.02</v>
      </c>
      <c r="E145" s="5" t="n">
        <f aca="false">IF(C145&lt;Familias!F13,0,INDEX(Supuestos!$B$13:$B$19,MIN(C145-Familias!F13+1,7)))</f>
        <v>1</v>
      </c>
      <c r="F145" s="4" t="n">
        <f aca="false">Familias!E13*D145*E145</f>
        <v>38</v>
      </c>
      <c r="G145" s="4" t="n">
        <f aca="false">F145*Supuestos!$B$2</f>
        <v>0.76</v>
      </c>
      <c r="H145" s="4" t="n">
        <f aca="false">G145*Supuestos!$B$3</f>
        <v>0.494</v>
      </c>
    </row>
    <row r="146" customFormat="false" ht="15" hidden="false" customHeight="false" outlineLevel="0" collapsed="false">
      <c r="A146" s="0" t="s">
        <v>192</v>
      </c>
      <c r="B146" s="0" t="s">
        <v>148</v>
      </c>
      <c r="C146" s="0" t="n">
        <v>1</v>
      </c>
      <c r="D146" s="5" t="n">
        <f aca="false">Supuestos!$B$10</f>
        <v>0.02</v>
      </c>
      <c r="E146" s="5" t="n">
        <f aca="false">IF(C146&lt;Familias!F14,0,INDEX(Supuestos!$B$13:$B$19,MIN(C146-Familias!F14+1,7)))</f>
        <v>0</v>
      </c>
      <c r="F146" s="4" t="n">
        <f aca="false">Familias!E14*D146*E146</f>
        <v>0</v>
      </c>
      <c r="G146" s="4" t="n">
        <f aca="false">F146*Supuestos!$B$2</f>
        <v>0</v>
      </c>
      <c r="H146" s="4" t="n">
        <f aca="false">G146*Supuestos!$B$3</f>
        <v>0</v>
      </c>
    </row>
    <row r="147" customFormat="false" ht="15" hidden="false" customHeight="false" outlineLevel="0" collapsed="false">
      <c r="A147" s="0" t="s">
        <v>192</v>
      </c>
      <c r="B147" s="0" t="s">
        <v>148</v>
      </c>
      <c r="C147" s="0" t="n">
        <v>2</v>
      </c>
      <c r="D147" s="5" t="n">
        <f aca="false">Supuestos!$B$10</f>
        <v>0.02</v>
      </c>
      <c r="E147" s="5" t="n">
        <f aca="false">IF(C147&lt;Familias!F14,0,INDEX(Supuestos!$B$13:$B$19,MIN(C147-Familias!F14+1,7)))</f>
        <v>0</v>
      </c>
      <c r="F147" s="4" t="n">
        <f aca="false">Familias!E14*D147*E147</f>
        <v>0</v>
      </c>
      <c r="G147" s="4" t="n">
        <f aca="false">F147*Supuestos!$B$2</f>
        <v>0</v>
      </c>
      <c r="H147" s="4" t="n">
        <f aca="false">G147*Supuestos!$B$3</f>
        <v>0</v>
      </c>
    </row>
    <row r="148" customFormat="false" ht="15" hidden="false" customHeight="false" outlineLevel="0" collapsed="false">
      <c r="A148" s="0" t="s">
        <v>192</v>
      </c>
      <c r="B148" s="0" t="s">
        <v>148</v>
      </c>
      <c r="C148" s="0" t="n">
        <v>3</v>
      </c>
      <c r="D148" s="5" t="n">
        <f aca="false">Supuestos!$B$10</f>
        <v>0.02</v>
      </c>
      <c r="E148" s="5" t="n">
        <f aca="false">IF(C148&lt;Familias!F14,0,INDEX(Supuestos!$B$13:$B$19,MIN(C148-Familias!F14+1,7)))</f>
        <v>0</v>
      </c>
      <c r="F148" s="4" t="n">
        <f aca="false">Familias!E14*D148*E148</f>
        <v>0</v>
      </c>
      <c r="G148" s="4" t="n">
        <f aca="false">F148*Supuestos!$B$2</f>
        <v>0</v>
      </c>
      <c r="H148" s="4" t="n">
        <f aca="false">G148*Supuestos!$B$3</f>
        <v>0</v>
      </c>
    </row>
    <row r="149" customFormat="false" ht="15" hidden="false" customHeight="false" outlineLevel="0" collapsed="false">
      <c r="A149" s="0" t="s">
        <v>192</v>
      </c>
      <c r="B149" s="0" t="s">
        <v>148</v>
      </c>
      <c r="C149" s="0" t="n">
        <v>4</v>
      </c>
      <c r="D149" s="5" t="n">
        <f aca="false">Supuestos!$B$10</f>
        <v>0.02</v>
      </c>
      <c r="E149" s="5" t="n">
        <f aca="false">IF(C149&lt;Familias!F14,0,INDEX(Supuestos!$B$13:$B$19,MIN(C149-Familias!F14+1,7)))</f>
        <v>0</v>
      </c>
      <c r="F149" s="4" t="n">
        <f aca="false">Familias!E14*D149*E149</f>
        <v>0</v>
      </c>
      <c r="G149" s="4" t="n">
        <f aca="false">F149*Supuestos!$B$2</f>
        <v>0</v>
      </c>
      <c r="H149" s="4" t="n">
        <f aca="false">G149*Supuestos!$B$3</f>
        <v>0</v>
      </c>
    </row>
    <row r="150" customFormat="false" ht="15" hidden="false" customHeight="false" outlineLevel="0" collapsed="false">
      <c r="A150" s="0" t="s">
        <v>192</v>
      </c>
      <c r="B150" s="0" t="s">
        <v>148</v>
      </c>
      <c r="C150" s="0" t="n">
        <v>5</v>
      </c>
      <c r="D150" s="5" t="n">
        <f aca="false">Supuestos!$B$10</f>
        <v>0.02</v>
      </c>
      <c r="E150" s="5" t="n">
        <f aca="false">IF(C150&lt;Familias!F14,0,INDEX(Supuestos!$B$13:$B$19,MIN(C150-Familias!F14+1,7)))</f>
        <v>0</v>
      </c>
      <c r="F150" s="4" t="n">
        <f aca="false">Familias!E14*D150*E150</f>
        <v>0</v>
      </c>
      <c r="G150" s="4" t="n">
        <f aca="false">F150*Supuestos!$B$2</f>
        <v>0</v>
      </c>
      <c r="H150" s="4" t="n">
        <f aca="false">G150*Supuestos!$B$3</f>
        <v>0</v>
      </c>
    </row>
    <row r="151" customFormat="false" ht="15" hidden="false" customHeight="false" outlineLevel="0" collapsed="false">
      <c r="A151" s="0" t="s">
        <v>192</v>
      </c>
      <c r="B151" s="0" t="s">
        <v>148</v>
      </c>
      <c r="C151" s="0" t="n">
        <v>6</v>
      </c>
      <c r="D151" s="5" t="n">
        <f aca="false">Supuestos!$B$10</f>
        <v>0.02</v>
      </c>
      <c r="E151" s="5" t="n">
        <f aca="false">IF(C151&lt;Familias!F14,0,INDEX(Supuestos!$B$13:$B$19,MIN(C151-Familias!F14+1,7)))</f>
        <v>0.1</v>
      </c>
      <c r="F151" s="4" t="n">
        <f aca="false">Familias!E14*D151*E151</f>
        <v>2.6</v>
      </c>
      <c r="G151" s="4" t="n">
        <f aca="false">F151*Supuestos!$B$2</f>
        <v>0.052</v>
      </c>
      <c r="H151" s="4" t="n">
        <f aca="false">G151*Supuestos!$B$3</f>
        <v>0.0338</v>
      </c>
    </row>
    <row r="152" customFormat="false" ht="15" hidden="false" customHeight="false" outlineLevel="0" collapsed="false">
      <c r="A152" s="0" t="s">
        <v>192</v>
      </c>
      <c r="B152" s="0" t="s">
        <v>148</v>
      </c>
      <c r="C152" s="0" t="n">
        <v>7</v>
      </c>
      <c r="D152" s="5" t="n">
        <f aca="false">Supuestos!$B$10</f>
        <v>0.02</v>
      </c>
      <c r="E152" s="5" t="n">
        <f aca="false">IF(C152&lt;Familias!F14,0,INDEX(Supuestos!$B$13:$B$19,MIN(C152-Familias!F14+1,7)))</f>
        <v>0.2</v>
      </c>
      <c r="F152" s="4" t="n">
        <f aca="false">Familias!E14*D152*E152</f>
        <v>5.2</v>
      </c>
      <c r="G152" s="4" t="n">
        <f aca="false">F152*Supuestos!$B$2</f>
        <v>0.104</v>
      </c>
      <c r="H152" s="4" t="n">
        <f aca="false">G152*Supuestos!$B$3</f>
        <v>0.0676</v>
      </c>
    </row>
    <row r="153" customFormat="false" ht="15" hidden="false" customHeight="false" outlineLevel="0" collapsed="false">
      <c r="A153" s="0" t="s">
        <v>192</v>
      </c>
      <c r="B153" s="0" t="s">
        <v>148</v>
      </c>
      <c r="C153" s="0" t="n">
        <v>8</v>
      </c>
      <c r="D153" s="5" t="n">
        <f aca="false">Supuestos!$B$10</f>
        <v>0.02</v>
      </c>
      <c r="E153" s="5" t="n">
        <f aca="false">IF(C153&lt;Familias!F14,0,INDEX(Supuestos!$B$13:$B$19,MIN(C153-Familias!F14+1,7)))</f>
        <v>0.35</v>
      </c>
      <c r="F153" s="4" t="n">
        <f aca="false">Familias!E14*D153*E153</f>
        <v>9.1</v>
      </c>
      <c r="G153" s="4" t="n">
        <f aca="false">F153*Supuestos!$B$2</f>
        <v>0.182</v>
      </c>
      <c r="H153" s="4" t="n">
        <f aca="false">G153*Supuestos!$B$3</f>
        <v>0.1183</v>
      </c>
    </row>
    <row r="154" customFormat="false" ht="15" hidden="false" customHeight="false" outlineLevel="0" collapsed="false">
      <c r="A154" s="0" t="s">
        <v>192</v>
      </c>
      <c r="B154" s="0" t="s">
        <v>148</v>
      </c>
      <c r="C154" s="0" t="n">
        <v>9</v>
      </c>
      <c r="D154" s="5" t="n">
        <f aca="false">Supuestos!$B$10</f>
        <v>0.02</v>
      </c>
      <c r="E154" s="5" t="n">
        <f aca="false">IF(C154&lt;Familias!F14,0,INDEX(Supuestos!$B$13:$B$19,MIN(C154-Familias!F14+1,7)))</f>
        <v>0.5</v>
      </c>
      <c r="F154" s="4" t="n">
        <f aca="false">Familias!E14*D154*E154</f>
        <v>13</v>
      </c>
      <c r="G154" s="4" t="n">
        <f aca="false">F154*Supuestos!$B$2</f>
        <v>0.26</v>
      </c>
      <c r="H154" s="4" t="n">
        <f aca="false">G154*Supuestos!$B$3</f>
        <v>0.169</v>
      </c>
    </row>
    <row r="155" customFormat="false" ht="15" hidden="false" customHeight="false" outlineLevel="0" collapsed="false">
      <c r="A155" s="0" t="s">
        <v>192</v>
      </c>
      <c r="B155" s="0" t="s">
        <v>148</v>
      </c>
      <c r="C155" s="0" t="n">
        <v>10</v>
      </c>
      <c r="D155" s="5" t="n">
        <f aca="false">Supuestos!$B$10</f>
        <v>0.02</v>
      </c>
      <c r="E155" s="5" t="n">
        <f aca="false">IF(C155&lt;Familias!F14,0,INDEX(Supuestos!$B$13:$B$19,MIN(C155-Familias!F14+1,7)))</f>
        <v>0.65</v>
      </c>
      <c r="F155" s="4" t="n">
        <f aca="false">Familias!E14*D155*E155</f>
        <v>16.9</v>
      </c>
      <c r="G155" s="4" t="n">
        <f aca="false">F155*Supuestos!$B$2</f>
        <v>0.338</v>
      </c>
      <c r="H155" s="4" t="n">
        <f aca="false">G155*Supuestos!$B$3</f>
        <v>0.2197</v>
      </c>
    </row>
    <row r="156" customFormat="false" ht="15" hidden="false" customHeight="false" outlineLevel="0" collapsed="false">
      <c r="A156" s="0" t="s">
        <v>192</v>
      </c>
      <c r="B156" s="0" t="s">
        <v>148</v>
      </c>
      <c r="C156" s="0" t="n">
        <v>11</v>
      </c>
      <c r="D156" s="5" t="n">
        <f aca="false">Supuestos!$B$10</f>
        <v>0.02</v>
      </c>
      <c r="E156" s="5" t="n">
        <f aca="false">IF(C156&lt;Familias!F14,0,INDEX(Supuestos!$B$13:$B$19,MIN(C156-Familias!F14+1,7)))</f>
        <v>0.8</v>
      </c>
      <c r="F156" s="4" t="n">
        <f aca="false">Familias!E14*D156*E156</f>
        <v>20.8</v>
      </c>
      <c r="G156" s="4" t="n">
        <f aca="false">F156*Supuestos!$B$2</f>
        <v>0.416</v>
      </c>
      <c r="H156" s="4" t="n">
        <f aca="false">G156*Supuestos!$B$3</f>
        <v>0.2704</v>
      </c>
    </row>
    <row r="157" customFormat="false" ht="15" hidden="false" customHeight="false" outlineLevel="0" collapsed="false">
      <c r="A157" s="0" t="s">
        <v>192</v>
      </c>
      <c r="B157" s="0" t="s">
        <v>148</v>
      </c>
      <c r="C157" s="0" t="n">
        <v>12</v>
      </c>
      <c r="D157" s="5" t="n">
        <f aca="false">Supuestos!$B$10</f>
        <v>0.02</v>
      </c>
      <c r="E157" s="5" t="n">
        <f aca="false">IF(C157&lt;Familias!F14,0,INDEX(Supuestos!$B$13:$B$19,MIN(C157-Familias!F14+1,7)))</f>
        <v>1</v>
      </c>
      <c r="F157" s="4" t="n">
        <f aca="false">Familias!E14*D157*E157</f>
        <v>26</v>
      </c>
      <c r="G157" s="4" t="n">
        <f aca="false">F157*Supuestos!$B$2</f>
        <v>0.52</v>
      </c>
      <c r="H157" s="4" t="n">
        <f aca="false">G157*Supuestos!$B$3</f>
        <v>0.338</v>
      </c>
    </row>
    <row r="158" customFormat="false" ht="15" hidden="false" customHeight="false" outlineLevel="0" collapsed="false">
      <c r="A158" s="0" t="s">
        <v>192</v>
      </c>
      <c r="B158" s="0" t="s">
        <v>154</v>
      </c>
      <c r="C158" s="0" t="n">
        <v>1</v>
      </c>
      <c r="D158" s="5" t="n">
        <f aca="false">Supuestos!$B$10</f>
        <v>0.02</v>
      </c>
      <c r="E158" s="5" t="n">
        <f aca="false">IF(C158&lt;Familias!F15,0,INDEX(Supuestos!$B$13:$B$19,MIN(C158-Familias!F15+1,7)))</f>
        <v>0</v>
      </c>
      <c r="F158" s="4" t="n">
        <f aca="false">Familias!E15*D158*E158</f>
        <v>0</v>
      </c>
      <c r="G158" s="4" t="n">
        <f aca="false">F158*Supuestos!$B$2</f>
        <v>0</v>
      </c>
      <c r="H158" s="4" t="n">
        <f aca="false">G158*Supuestos!$B$3</f>
        <v>0</v>
      </c>
    </row>
    <row r="159" customFormat="false" ht="15" hidden="false" customHeight="false" outlineLevel="0" collapsed="false">
      <c r="A159" s="0" t="s">
        <v>192</v>
      </c>
      <c r="B159" s="0" t="s">
        <v>154</v>
      </c>
      <c r="C159" s="0" t="n">
        <v>2</v>
      </c>
      <c r="D159" s="5" t="n">
        <f aca="false">Supuestos!$B$10</f>
        <v>0.02</v>
      </c>
      <c r="E159" s="5" t="n">
        <f aca="false">IF(C159&lt;Familias!F15,0,INDEX(Supuestos!$B$13:$B$19,MIN(C159-Familias!F15+1,7)))</f>
        <v>0</v>
      </c>
      <c r="F159" s="4" t="n">
        <f aca="false">Familias!E15*D159*E159</f>
        <v>0</v>
      </c>
      <c r="G159" s="4" t="n">
        <f aca="false">F159*Supuestos!$B$2</f>
        <v>0</v>
      </c>
      <c r="H159" s="4" t="n">
        <f aca="false">G159*Supuestos!$B$3</f>
        <v>0</v>
      </c>
    </row>
    <row r="160" customFormat="false" ht="15" hidden="false" customHeight="false" outlineLevel="0" collapsed="false">
      <c r="A160" s="0" t="s">
        <v>192</v>
      </c>
      <c r="B160" s="0" t="s">
        <v>154</v>
      </c>
      <c r="C160" s="0" t="n">
        <v>3</v>
      </c>
      <c r="D160" s="5" t="n">
        <f aca="false">Supuestos!$B$10</f>
        <v>0.02</v>
      </c>
      <c r="E160" s="5" t="n">
        <f aca="false">IF(C160&lt;Familias!F15,0,INDEX(Supuestos!$B$13:$B$19,MIN(C160-Familias!F15+1,7)))</f>
        <v>0</v>
      </c>
      <c r="F160" s="4" t="n">
        <f aca="false">Familias!E15*D160*E160</f>
        <v>0</v>
      </c>
      <c r="G160" s="4" t="n">
        <f aca="false">F160*Supuestos!$B$2</f>
        <v>0</v>
      </c>
      <c r="H160" s="4" t="n">
        <f aca="false">G160*Supuestos!$B$3</f>
        <v>0</v>
      </c>
    </row>
    <row r="161" customFormat="false" ht="15" hidden="false" customHeight="false" outlineLevel="0" collapsed="false">
      <c r="A161" s="0" t="s">
        <v>192</v>
      </c>
      <c r="B161" s="0" t="s">
        <v>154</v>
      </c>
      <c r="C161" s="0" t="n">
        <v>4</v>
      </c>
      <c r="D161" s="5" t="n">
        <f aca="false">Supuestos!$B$10</f>
        <v>0.02</v>
      </c>
      <c r="E161" s="5" t="n">
        <f aca="false">IF(C161&lt;Familias!F15,0,INDEX(Supuestos!$B$13:$B$19,MIN(C161-Familias!F15+1,7)))</f>
        <v>0</v>
      </c>
      <c r="F161" s="4" t="n">
        <f aca="false">Familias!E15*D161*E161</f>
        <v>0</v>
      </c>
      <c r="G161" s="4" t="n">
        <f aca="false">F161*Supuestos!$B$2</f>
        <v>0</v>
      </c>
      <c r="H161" s="4" t="n">
        <f aca="false">G161*Supuestos!$B$3</f>
        <v>0</v>
      </c>
    </row>
    <row r="162" customFormat="false" ht="15" hidden="false" customHeight="false" outlineLevel="0" collapsed="false">
      <c r="A162" s="0" t="s">
        <v>192</v>
      </c>
      <c r="B162" s="0" t="s">
        <v>154</v>
      </c>
      <c r="C162" s="0" t="n">
        <v>5</v>
      </c>
      <c r="D162" s="5" t="n">
        <f aca="false">Supuestos!$B$10</f>
        <v>0.02</v>
      </c>
      <c r="E162" s="5" t="n">
        <f aca="false">IF(C162&lt;Familias!F15,0,INDEX(Supuestos!$B$13:$B$19,MIN(C162-Familias!F15+1,7)))</f>
        <v>0</v>
      </c>
      <c r="F162" s="4" t="n">
        <f aca="false">Familias!E15*D162*E162</f>
        <v>0</v>
      </c>
      <c r="G162" s="4" t="n">
        <f aca="false">F162*Supuestos!$B$2</f>
        <v>0</v>
      </c>
      <c r="H162" s="4" t="n">
        <f aca="false">G162*Supuestos!$B$3</f>
        <v>0</v>
      </c>
    </row>
    <row r="163" customFormat="false" ht="15" hidden="false" customHeight="false" outlineLevel="0" collapsed="false">
      <c r="A163" s="0" t="s">
        <v>192</v>
      </c>
      <c r="B163" s="0" t="s">
        <v>154</v>
      </c>
      <c r="C163" s="0" t="n">
        <v>6</v>
      </c>
      <c r="D163" s="5" t="n">
        <f aca="false">Supuestos!$B$10</f>
        <v>0.02</v>
      </c>
      <c r="E163" s="5" t="n">
        <f aca="false">IF(C163&lt;Familias!F15,0,INDEX(Supuestos!$B$13:$B$19,MIN(C163-Familias!F15+1,7)))</f>
        <v>0.1</v>
      </c>
      <c r="F163" s="4" t="n">
        <f aca="false">Familias!E15*D163*E163</f>
        <v>3.8</v>
      </c>
      <c r="G163" s="4" t="n">
        <f aca="false">F163*Supuestos!$B$2</f>
        <v>0.076</v>
      </c>
      <c r="H163" s="4" t="n">
        <f aca="false">G163*Supuestos!$B$3</f>
        <v>0.0494</v>
      </c>
    </row>
    <row r="164" customFormat="false" ht="15" hidden="false" customHeight="false" outlineLevel="0" collapsed="false">
      <c r="A164" s="0" t="s">
        <v>192</v>
      </c>
      <c r="B164" s="0" t="s">
        <v>154</v>
      </c>
      <c r="C164" s="0" t="n">
        <v>7</v>
      </c>
      <c r="D164" s="5" t="n">
        <f aca="false">Supuestos!$B$10</f>
        <v>0.02</v>
      </c>
      <c r="E164" s="5" t="n">
        <f aca="false">IF(C164&lt;Familias!F15,0,INDEX(Supuestos!$B$13:$B$19,MIN(C164-Familias!F15+1,7)))</f>
        <v>0.2</v>
      </c>
      <c r="F164" s="4" t="n">
        <f aca="false">Familias!E15*D164*E164</f>
        <v>7.6</v>
      </c>
      <c r="G164" s="4" t="n">
        <f aca="false">F164*Supuestos!$B$2</f>
        <v>0.152</v>
      </c>
      <c r="H164" s="4" t="n">
        <f aca="false">G164*Supuestos!$B$3</f>
        <v>0.0988</v>
      </c>
    </row>
    <row r="165" customFormat="false" ht="15" hidden="false" customHeight="false" outlineLevel="0" collapsed="false">
      <c r="A165" s="0" t="s">
        <v>192</v>
      </c>
      <c r="B165" s="0" t="s">
        <v>154</v>
      </c>
      <c r="C165" s="0" t="n">
        <v>8</v>
      </c>
      <c r="D165" s="5" t="n">
        <f aca="false">Supuestos!$B$10</f>
        <v>0.02</v>
      </c>
      <c r="E165" s="5" t="n">
        <f aca="false">IF(C165&lt;Familias!F15,0,INDEX(Supuestos!$B$13:$B$19,MIN(C165-Familias!F15+1,7)))</f>
        <v>0.35</v>
      </c>
      <c r="F165" s="4" t="n">
        <f aca="false">Familias!E15*D165*E165</f>
        <v>13.3</v>
      </c>
      <c r="G165" s="4" t="n">
        <f aca="false">F165*Supuestos!$B$2</f>
        <v>0.266</v>
      </c>
      <c r="H165" s="4" t="n">
        <f aca="false">G165*Supuestos!$B$3</f>
        <v>0.1729</v>
      </c>
    </row>
    <row r="166" customFormat="false" ht="15" hidden="false" customHeight="false" outlineLevel="0" collapsed="false">
      <c r="A166" s="0" t="s">
        <v>192</v>
      </c>
      <c r="B166" s="0" t="s">
        <v>154</v>
      </c>
      <c r="C166" s="0" t="n">
        <v>9</v>
      </c>
      <c r="D166" s="5" t="n">
        <f aca="false">Supuestos!$B$10</f>
        <v>0.02</v>
      </c>
      <c r="E166" s="5" t="n">
        <f aca="false">IF(C166&lt;Familias!F15,0,INDEX(Supuestos!$B$13:$B$19,MIN(C166-Familias!F15+1,7)))</f>
        <v>0.5</v>
      </c>
      <c r="F166" s="4" t="n">
        <f aca="false">Familias!E15*D166*E166</f>
        <v>19</v>
      </c>
      <c r="G166" s="4" t="n">
        <f aca="false">F166*Supuestos!$B$2</f>
        <v>0.38</v>
      </c>
      <c r="H166" s="4" t="n">
        <f aca="false">G166*Supuestos!$B$3</f>
        <v>0.247</v>
      </c>
    </row>
    <row r="167" customFormat="false" ht="15" hidden="false" customHeight="false" outlineLevel="0" collapsed="false">
      <c r="A167" s="0" t="s">
        <v>192</v>
      </c>
      <c r="B167" s="0" t="s">
        <v>154</v>
      </c>
      <c r="C167" s="0" t="n">
        <v>10</v>
      </c>
      <c r="D167" s="5" t="n">
        <f aca="false">Supuestos!$B$10</f>
        <v>0.02</v>
      </c>
      <c r="E167" s="5" t="n">
        <f aca="false">IF(C167&lt;Familias!F15,0,INDEX(Supuestos!$B$13:$B$19,MIN(C167-Familias!F15+1,7)))</f>
        <v>0.65</v>
      </c>
      <c r="F167" s="4" t="n">
        <f aca="false">Familias!E15*D167*E167</f>
        <v>24.7</v>
      </c>
      <c r="G167" s="4" t="n">
        <f aca="false">F167*Supuestos!$B$2</f>
        <v>0.494</v>
      </c>
      <c r="H167" s="4" t="n">
        <f aca="false">G167*Supuestos!$B$3</f>
        <v>0.3211</v>
      </c>
    </row>
    <row r="168" customFormat="false" ht="15" hidden="false" customHeight="false" outlineLevel="0" collapsed="false">
      <c r="A168" s="0" t="s">
        <v>192</v>
      </c>
      <c r="B168" s="0" t="s">
        <v>154</v>
      </c>
      <c r="C168" s="0" t="n">
        <v>11</v>
      </c>
      <c r="D168" s="5" t="n">
        <f aca="false">Supuestos!$B$10</f>
        <v>0.02</v>
      </c>
      <c r="E168" s="5" t="n">
        <f aca="false">IF(C168&lt;Familias!F15,0,INDEX(Supuestos!$B$13:$B$19,MIN(C168-Familias!F15+1,7)))</f>
        <v>0.8</v>
      </c>
      <c r="F168" s="4" t="n">
        <f aca="false">Familias!E15*D168*E168</f>
        <v>30.4</v>
      </c>
      <c r="G168" s="4" t="n">
        <f aca="false">F168*Supuestos!$B$2</f>
        <v>0.608</v>
      </c>
      <c r="H168" s="4" t="n">
        <f aca="false">G168*Supuestos!$B$3</f>
        <v>0.3952</v>
      </c>
    </row>
    <row r="169" customFormat="false" ht="15" hidden="false" customHeight="false" outlineLevel="0" collapsed="false">
      <c r="A169" s="0" t="s">
        <v>192</v>
      </c>
      <c r="B169" s="0" t="s">
        <v>154</v>
      </c>
      <c r="C169" s="0" t="n">
        <v>12</v>
      </c>
      <c r="D169" s="5" t="n">
        <f aca="false">Supuestos!$B$10</f>
        <v>0.02</v>
      </c>
      <c r="E169" s="5" t="n">
        <f aca="false">IF(C169&lt;Familias!F15,0,INDEX(Supuestos!$B$13:$B$19,MIN(C169-Familias!F15+1,7)))</f>
        <v>1</v>
      </c>
      <c r="F169" s="4" t="n">
        <f aca="false">Familias!E15*D169*E169</f>
        <v>38</v>
      </c>
      <c r="G169" s="4" t="n">
        <f aca="false">F169*Supuestos!$B$2</f>
        <v>0.76</v>
      </c>
      <c r="H169" s="4" t="n">
        <f aca="false">G169*Supuestos!$B$3</f>
        <v>0.494</v>
      </c>
    </row>
    <row r="170" customFormat="false" ht="15" hidden="false" customHeight="false" outlineLevel="0" collapsed="false">
      <c r="A170" s="0" t="s">
        <v>192</v>
      </c>
      <c r="B170" s="0" t="s">
        <v>158</v>
      </c>
      <c r="C170" s="0" t="n">
        <v>1</v>
      </c>
      <c r="D170" s="5" t="n">
        <f aca="false">Supuestos!$B$10</f>
        <v>0.02</v>
      </c>
      <c r="E170" s="5" t="n">
        <f aca="false">IF(C170&lt;Familias!F16,0,INDEX(Supuestos!$B$13:$B$19,MIN(C170-Familias!F16+1,7)))</f>
        <v>0</v>
      </c>
      <c r="F170" s="4" t="n">
        <f aca="false">Familias!E16*D170*E170</f>
        <v>0</v>
      </c>
      <c r="G170" s="4" t="n">
        <f aca="false">F170*Supuestos!$B$2</f>
        <v>0</v>
      </c>
      <c r="H170" s="4" t="n">
        <f aca="false">G170*Supuestos!$B$3</f>
        <v>0</v>
      </c>
    </row>
    <row r="171" customFormat="false" ht="15" hidden="false" customHeight="false" outlineLevel="0" collapsed="false">
      <c r="A171" s="0" t="s">
        <v>192</v>
      </c>
      <c r="B171" s="0" t="s">
        <v>158</v>
      </c>
      <c r="C171" s="0" t="n">
        <v>2</v>
      </c>
      <c r="D171" s="5" t="n">
        <f aca="false">Supuestos!$B$10</f>
        <v>0.02</v>
      </c>
      <c r="E171" s="5" t="n">
        <f aca="false">IF(C171&lt;Familias!F16,0,INDEX(Supuestos!$B$13:$B$19,MIN(C171-Familias!F16+1,7)))</f>
        <v>0</v>
      </c>
      <c r="F171" s="4" t="n">
        <f aca="false">Familias!E16*D171*E171</f>
        <v>0</v>
      </c>
      <c r="G171" s="4" t="n">
        <f aca="false">F171*Supuestos!$B$2</f>
        <v>0</v>
      </c>
      <c r="H171" s="4" t="n">
        <f aca="false">G171*Supuestos!$B$3</f>
        <v>0</v>
      </c>
    </row>
    <row r="172" customFormat="false" ht="15" hidden="false" customHeight="false" outlineLevel="0" collapsed="false">
      <c r="A172" s="0" t="s">
        <v>192</v>
      </c>
      <c r="B172" s="0" t="s">
        <v>158</v>
      </c>
      <c r="C172" s="0" t="n">
        <v>3</v>
      </c>
      <c r="D172" s="5" t="n">
        <f aca="false">Supuestos!$B$10</f>
        <v>0.02</v>
      </c>
      <c r="E172" s="5" t="n">
        <f aca="false">IF(C172&lt;Familias!F16,0,INDEX(Supuestos!$B$13:$B$19,MIN(C172-Familias!F16+1,7)))</f>
        <v>0</v>
      </c>
      <c r="F172" s="4" t="n">
        <f aca="false">Familias!E16*D172*E172</f>
        <v>0</v>
      </c>
      <c r="G172" s="4" t="n">
        <f aca="false">F172*Supuestos!$B$2</f>
        <v>0</v>
      </c>
      <c r="H172" s="4" t="n">
        <f aca="false">G172*Supuestos!$B$3</f>
        <v>0</v>
      </c>
    </row>
    <row r="173" customFormat="false" ht="15" hidden="false" customHeight="false" outlineLevel="0" collapsed="false">
      <c r="A173" s="0" t="s">
        <v>192</v>
      </c>
      <c r="B173" s="0" t="s">
        <v>158</v>
      </c>
      <c r="C173" s="0" t="n">
        <v>4</v>
      </c>
      <c r="D173" s="5" t="n">
        <f aca="false">Supuestos!$B$10</f>
        <v>0.02</v>
      </c>
      <c r="E173" s="5" t="n">
        <f aca="false">IF(C173&lt;Familias!F16,0,INDEX(Supuestos!$B$13:$B$19,MIN(C173-Familias!F16+1,7)))</f>
        <v>0</v>
      </c>
      <c r="F173" s="4" t="n">
        <f aca="false">Familias!E16*D173*E173</f>
        <v>0</v>
      </c>
      <c r="G173" s="4" t="n">
        <f aca="false">F173*Supuestos!$B$2</f>
        <v>0</v>
      </c>
      <c r="H173" s="4" t="n">
        <f aca="false">G173*Supuestos!$B$3</f>
        <v>0</v>
      </c>
    </row>
    <row r="174" customFormat="false" ht="15" hidden="false" customHeight="false" outlineLevel="0" collapsed="false">
      <c r="A174" s="0" t="s">
        <v>192</v>
      </c>
      <c r="B174" s="0" t="s">
        <v>158</v>
      </c>
      <c r="C174" s="0" t="n">
        <v>5</v>
      </c>
      <c r="D174" s="5" t="n">
        <f aca="false">Supuestos!$B$10</f>
        <v>0.02</v>
      </c>
      <c r="E174" s="5" t="n">
        <f aca="false">IF(C174&lt;Familias!F16,0,INDEX(Supuestos!$B$13:$B$19,MIN(C174-Familias!F16+1,7)))</f>
        <v>0</v>
      </c>
      <c r="F174" s="4" t="n">
        <f aca="false">Familias!E16*D174*E174</f>
        <v>0</v>
      </c>
      <c r="G174" s="4" t="n">
        <f aca="false">F174*Supuestos!$B$2</f>
        <v>0</v>
      </c>
      <c r="H174" s="4" t="n">
        <f aca="false">G174*Supuestos!$B$3</f>
        <v>0</v>
      </c>
    </row>
    <row r="175" customFormat="false" ht="15" hidden="false" customHeight="false" outlineLevel="0" collapsed="false">
      <c r="A175" s="0" t="s">
        <v>192</v>
      </c>
      <c r="B175" s="0" t="s">
        <v>158</v>
      </c>
      <c r="C175" s="0" t="n">
        <v>6</v>
      </c>
      <c r="D175" s="5" t="n">
        <f aca="false">Supuestos!$B$10</f>
        <v>0.02</v>
      </c>
      <c r="E175" s="5" t="n">
        <f aca="false">IF(C175&lt;Familias!F16,0,INDEX(Supuestos!$B$13:$B$19,MIN(C175-Familias!F16+1,7)))</f>
        <v>0</v>
      </c>
      <c r="F175" s="4" t="n">
        <f aca="false">Familias!E16*D175*E175</f>
        <v>0</v>
      </c>
      <c r="G175" s="4" t="n">
        <f aca="false">F175*Supuestos!$B$2</f>
        <v>0</v>
      </c>
      <c r="H175" s="4" t="n">
        <f aca="false">G175*Supuestos!$B$3</f>
        <v>0</v>
      </c>
    </row>
    <row r="176" customFormat="false" ht="15" hidden="false" customHeight="false" outlineLevel="0" collapsed="false">
      <c r="A176" s="0" t="s">
        <v>192</v>
      </c>
      <c r="B176" s="0" t="s">
        <v>158</v>
      </c>
      <c r="C176" s="0" t="n">
        <v>7</v>
      </c>
      <c r="D176" s="5" t="n">
        <f aca="false">Supuestos!$B$10</f>
        <v>0.02</v>
      </c>
      <c r="E176" s="5" t="n">
        <f aca="false">IF(C176&lt;Familias!F16,0,INDEX(Supuestos!$B$13:$B$19,MIN(C176-Familias!F16+1,7)))</f>
        <v>0</v>
      </c>
      <c r="F176" s="4" t="n">
        <f aca="false">Familias!E16*D176*E176</f>
        <v>0</v>
      </c>
      <c r="G176" s="4" t="n">
        <f aca="false">F176*Supuestos!$B$2</f>
        <v>0</v>
      </c>
      <c r="H176" s="4" t="n">
        <f aca="false">G176*Supuestos!$B$3</f>
        <v>0</v>
      </c>
    </row>
    <row r="177" customFormat="false" ht="15" hidden="false" customHeight="false" outlineLevel="0" collapsed="false">
      <c r="A177" s="0" t="s">
        <v>192</v>
      </c>
      <c r="B177" s="0" t="s">
        <v>158</v>
      </c>
      <c r="C177" s="0" t="n">
        <v>8</v>
      </c>
      <c r="D177" s="5" t="n">
        <f aca="false">Supuestos!$B$10</f>
        <v>0.02</v>
      </c>
      <c r="E177" s="5" t="n">
        <f aca="false">IF(C177&lt;Familias!F16,0,INDEX(Supuestos!$B$13:$B$19,MIN(C177-Familias!F16+1,7)))</f>
        <v>0.1</v>
      </c>
      <c r="F177" s="4" t="n">
        <f aca="false">Familias!E16*D177*E177</f>
        <v>13.2</v>
      </c>
      <c r="G177" s="4" t="n">
        <f aca="false">F177*Supuestos!$B$2</f>
        <v>0.264</v>
      </c>
      <c r="H177" s="4" t="n">
        <f aca="false">G177*Supuestos!$B$3</f>
        <v>0.1716</v>
      </c>
    </row>
    <row r="178" customFormat="false" ht="15" hidden="false" customHeight="false" outlineLevel="0" collapsed="false">
      <c r="A178" s="0" t="s">
        <v>192</v>
      </c>
      <c r="B178" s="0" t="s">
        <v>158</v>
      </c>
      <c r="C178" s="0" t="n">
        <v>9</v>
      </c>
      <c r="D178" s="5" t="n">
        <f aca="false">Supuestos!$B$10</f>
        <v>0.02</v>
      </c>
      <c r="E178" s="5" t="n">
        <f aca="false">IF(C178&lt;Familias!F16,0,INDEX(Supuestos!$B$13:$B$19,MIN(C178-Familias!F16+1,7)))</f>
        <v>0.2</v>
      </c>
      <c r="F178" s="4" t="n">
        <f aca="false">Familias!E16*D178*E178</f>
        <v>26.4</v>
      </c>
      <c r="G178" s="4" t="n">
        <f aca="false">F178*Supuestos!$B$2</f>
        <v>0.528</v>
      </c>
      <c r="H178" s="4" t="n">
        <f aca="false">G178*Supuestos!$B$3</f>
        <v>0.3432</v>
      </c>
    </row>
    <row r="179" customFormat="false" ht="15" hidden="false" customHeight="false" outlineLevel="0" collapsed="false">
      <c r="A179" s="0" t="s">
        <v>192</v>
      </c>
      <c r="B179" s="0" t="s">
        <v>158</v>
      </c>
      <c r="C179" s="0" t="n">
        <v>10</v>
      </c>
      <c r="D179" s="5" t="n">
        <f aca="false">Supuestos!$B$10</f>
        <v>0.02</v>
      </c>
      <c r="E179" s="5" t="n">
        <f aca="false">IF(C179&lt;Familias!F16,0,INDEX(Supuestos!$B$13:$B$19,MIN(C179-Familias!F16+1,7)))</f>
        <v>0.35</v>
      </c>
      <c r="F179" s="4" t="n">
        <f aca="false">Familias!E16*D179*E179</f>
        <v>46.2</v>
      </c>
      <c r="G179" s="4" t="n">
        <f aca="false">F179*Supuestos!$B$2</f>
        <v>0.924</v>
      </c>
      <c r="H179" s="4" t="n">
        <f aca="false">G179*Supuestos!$B$3</f>
        <v>0.6006</v>
      </c>
    </row>
    <row r="180" customFormat="false" ht="15" hidden="false" customHeight="false" outlineLevel="0" collapsed="false">
      <c r="A180" s="0" t="s">
        <v>192</v>
      </c>
      <c r="B180" s="0" t="s">
        <v>158</v>
      </c>
      <c r="C180" s="0" t="n">
        <v>11</v>
      </c>
      <c r="D180" s="5" t="n">
        <f aca="false">Supuestos!$B$10</f>
        <v>0.02</v>
      </c>
      <c r="E180" s="5" t="n">
        <f aca="false">IF(C180&lt;Familias!F16,0,INDEX(Supuestos!$B$13:$B$19,MIN(C180-Familias!F16+1,7)))</f>
        <v>0.5</v>
      </c>
      <c r="F180" s="4" t="n">
        <f aca="false">Familias!E16*D180*E180</f>
        <v>66</v>
      </c>
      <c r="G180" s="4" t="n">
        <f aca="false">F180*Supuestos!$B$2</f>
        <v>1.32</v>
      </c>
      <c r="H180" s="4" t="n">
        <f aca="false">G180*Supuestos!$B$3</f>
        <v>0.858</v>
      </c>
    </row>
    <row r="181" customFormat="false" ht="15" hidden="false" customHeight="false" outlineLevel="0" collapsed="false">
      <c r="A181" s="0" t="s">
        <v>192</v>
      </c>
      <c r="B181" s="0" t="s">
        <v>158</v>
      </c>
      <c r="C181" s="0" t="n">
        <v>12</v>
      </c>
      <c r="D181" s="5" t="n">
        <f aca="false">Supuestos!$B$10</f>
        <v>0.02</v>
      </c>
      <c r="E181" s="5" t="n">
        <f aca="false">IF(C181&lt;Familias!F16,0,INDEX(Supuestos!$B$13:$B$19,MIN(C181-Familias!F16+1,7)))</f>
        <v>0.65</v>
      </c>
      <c r="F181" s="4" t="n">
        <f aca="false">Familias!E16*D181*E181</f>
        <v>85.8</v>
      </c>
      <c r="G181" s="4" t="n">
        <f aca="false">F181*Supuestos!$B$2</f>
        <v>1.716</v>
      </c>
      <c r="H181" s="4" t="n">
        <f aca="false">G181*Supuestos!$B$3</f>
        <v>1.1154</v>
      </c>
    </row>
    <row r="182" customFormat="false" ht="15" hidden="false" customHeight="false" outlineLevel="0" collapsed="false">
      <c r="A182" s="0" t="s">
        <v>192</v>
      </c>
      <c r="B182" s="0" t="s">
        <v>163</v>
      </c>
      <c r="C182" s="0" t="n">
        <v>1</v>
      </c>
      <c r="D182" s="5" t="n">
        <f aca="false">Supuestos!$B$10</f>
        <v>0.02</v>
      </c>
      <c r="E182" s="5" t="n">
        <f aca="false">IF(C182&lt;Familias!F17,0,INDEX(Supuestos!$B$13:$B$19,MIN(C182-Familias!F17+1,7)))</f>
        <v>0.1</v>
      </c>
      <c r="F182" s="4" t="n">
        <f aca="false">Familias!E17*D182*E182</f>
        <v>5.8</v>
      </c>
      <c r="G182" s="4" t="n">
        <f aca="false">F182*Supuestos!$B$2</f>
        <v>0.116</v>
      </c>
      <c r="H182" s="4" t="n">
        <f aca="false">G182*Supuestos!$B$3</f>
        <v>0.0754</v>
      </c>
    </row>
    <row r="183" customFormat="false" ht="15" hidden="false" customHeight="false" outlineLevel="0" collapsed="false">
      <c r="A183" s="0" t="s">
        <v>192</v>
      </c>
      <c r="B183" s="0" t="s">
        <v>163</v>
      </c>
      <c r="C183" s="0" t="n">
        <v>2</v>
      </c>
      <c r="D183" s="5" t="n">
        <f aca="false">Supuestos!$B$10</f>
        <v>0.02</v>
      </c>
      <c r="E183" s="5" t="n">
        <f aca="false">IF(C183&lt;Familias!F17,0,INDEX(Supuestos!$B$13:$B$19,MIN(C183-Familias!F17+1,7)))</f>
        <v>0.2</v>
      </c>
      <c r="F183" s="4" t="n">
        <f aca="false">Familias!E17*D183*E183</f>
        <v>11.6</v>
      </c>
      <c r="G183" s="4" t="n">
        <f aca="false">F183*Supuestos!$B$2</f>
        <v>0.232</v>
      </c>
      <c r="H183" s="4" t="n">
        <f aca="false">G183*Supuestos!$B$3</f>
        <v>0.1508</v>
      </c>
    </row>
    <row r="184" customFormat="false" ht="15" hidden="false" customHeight="false" outlineLevel="0" collapsed="false">
      <c r="A184" s="0" t="s">
        <v>192</v>
      </c>
      <c r="B184" s="0" t="s">
        <v>163</v>
      </c>
      <c r="C184" s="0" t="n">
        <v>3</v>
      </c>
      <c r="D184" s="5" t="n">
        <f aca="false">Supuestos!$B$10</f>
        <v>0.02</v>
      </c>
      <c r="E184" s="5" t="n">
        <f aca="false">IF(C184&lt;Familias!F17,0,INDEX(Supuestos!$B$13:$B$19,MIN(C184-Familias!F17+1,7)))</f>
        <v>0.35</v>
      </c>
      <c r="F184" s="4" t="n">
        <f aca="false">Familias!E17*D184*E184</f>
        <v>20.3</v>
      </c>
      <c r="G184" s="4" t="n">
        <f aca="false">F184*Supuestos!$B$2</f>
        <v>0.406</v>
      </c>
      <c r="H184" s="4" t="n">
        <f aca="false">G184*Supuestos!$B$3</f>
        <v>0.2639</v>
      </c>
    </row>
    <row r="185" customFormat="false" ht="15" hidden="false" customHeight="false" outlineLevel="0" collapsed="false">
      <c r="A185" s="0" t="s">
        <v>192</v>
      </c>
      <c r="B185" s="0" t="s">
        <v>163</v>
      </c>
      <c r="C185" s="0" t="n">
        <v>4</v>
      </c>
      <c r="D185" s="5" t="n">
        <f aca="false">Supuestos!$B$10</f>
        <v>0.02</v>
      </c>
      <c r="E185" s="5" t="n">
        <f aca="false">IF(C185&lt;Familias!F17,0,INDEX(Supuestos!$B$13:$B$19,MIN(C185-Familias!F17+1,7)))</f>
        <v>0.5</v>
      </c>
      <c r="F185" s="4" t="n">
        <f aca="false">Familias!E17*D185*E185</f>
        <v>29</v>
      </c>
      <c r="G185" s="4" t="n">
        <f aca="false">F185*Supuestos!$B$2</f>
        <v>0.58</v>
      </c>
      <c r="H185" s="4" t="n">
        <f aca="false">G185*Supuestos!$B$3</f>
        <v>0.377</v>
      </c>
    </row>
    <row r="186" customFormat="false" ht="15" hidden="false" customHeight="false" outlineLevel="0" collapsed="false">
      <c r="A186" s="0" t="s">
        <v>192</v>
      </c>
      <c r="B186" s="0" t="s">
        <v>163</v>
      </c>
      <c r="C186" s="0" t="n">
        <v>5</v>
      </c>
      <c r="D186" s="5" t="n">
        <f aca="false">Supuestos!$B$10</f>
        <v>0.02</v>
      </c>
      <c r="E186" s="5" t="n">
        <f aca="false">IF(C186&lt;Familias!F17,0,INDEX(Supuestos!$B$13:$B$19,MIN(C186-Familias!F17+1,7)))</f>
        <v>0.65</v>
      </c>
      <c r="F186" s="4" t="n">
        <f aca="false">Familias!E17*D186*E186</f>
        <v>37.7</v>
      </c>
      <c r="G186" s="4" t="n">
        <f aca="false">F186*Supuestos!$B$2</f>
        <v>0.754</v>
      </c>
      <c r="H186" s="4" t="n">
        <f aca="false">G186*Supuestos!$B$3</f>
        <v>0.4901</v>
      </c>
    </row>
    <row r="187" customFormat="false" ht="15" hidden="false" customHeight="false" outlineLevel="0" collapsed="false">
      <c r="A187" s="0" t="s">
        <v>192</v>
      </c>
      <c r="B187" s="0" t="s">
        <v>163</v>
      </c>
      <c r="C187" s="0" t="n">
        <v>6</v>
      </c>
      <c r="D187" s="5" t="n">
        <f aca="false">Supuestos!$B$10</f>
        <v>0.02</v>
      </c>
      <c r="E187" s="5" t="n">
        <f aca="false">IF(C187&lt;Familias!F17,0,INDEX(Supuestos!$B$13:$B$19,MIN(C187-Familias!F17+1,7)))</f>
        <v>0.8</v>
      </c>
      <c r="F187" s="4" t="n">
        <f aca="false">Familias!E17*D187*E187</f>
        <v>46.4</v>
      </c>
      <c r="G187" s="4" t="n">
        <f aca="false">F187*Supuestos!$B$2</f>
        <v>0.928</v>
      </c>
      <c r="H187" s="4" t="n">
        <f aca="false">G187*Supuestos!$B$3</f>
        <v>0.6032</v>
      </c>
    </row>
    <row r="188" customFormat="false" ht="15" hidden="false" customHeight="false" outlineLevel="0" collapsed="false">
      <c r="A188" s="0" t="s">
        <v>192</v>
      </c>
      <c r="B188" s="0" t="s">
        <v>163</v>
      </c>
      <c r="C188" s="0" t="n">
        <v>7</v>
      </c>
      <c r="D188" s="5" t="n">
        <f aca="false">Supuestos!$B$10</f>
        <v>0.02</v>
      </c>
      <c r="E188" s="5" t="n">
        <f aca="false">IF(C188&lt;Familias!F17,0,INDEX(Supuestos!$B$13:$B$19,MIN(C188-Familias!F17+1,7)))</f>
        <v>1</v>
      </c>
      <c r="F188" s="4" t="n">
        <f aca="false">Familias!E17*D188*E188</f>
        <v>58</v>
      </c>
      <c r="G188" s="4" t="n">
        <f aca="false">F188*Supuestos!$B$2</f>
        <v>1.16</v>
      </c>
      <c r="H188" s="4" t="n">
        <f aca="false">G188*Supuestos!$B$3</f>
        <v>0.754</v>
      </c>
    </row>
    <row r="189" customFormat="false" ht="15" hidden="false" customHeight="false" outlineLevel="0" collapsed="false">
      <c r="A189" s="0" t="s">
        <v>192</v>
      </c>
      <c r="B189" s="0" t="s">
        <v>163</v>
      </c>
      <c r="C189" s="0" t="n">
        <v>8</v>
      </c>
      <c r="D189" s="5" t="n">
        <f aca="false">Supuestos!$B$10</f>
        <v>0.02</v>
      </c>
      <c r="E189" s="5" t="n">
        <f aca="false">IF(C189&lt;Familias!F17,0,INDEX(Supuestos!$B$13:$B$19,MIN(C189-Familias!F17+1,7)))</f>
        <v>1</v>
      </c>
      <c r="F189" s="4" t="n">
        <f aca="false">Familias!E17*D189*E189</f>
        <v>58</v>
      </c>
      <c r="G189" s="4" t="n">
        <f aca="false">F189*Supuestos!$B$2</f>
        <v>1.16</v>
      </c>
      <c r="H189" s="4" t="n">
        <f aca="false">G189*Supuestos!$B$3</f>
        <v>0.754</v>
      </c>
    </row>
    <row r="190" customFormat="false" ht="15" hidden="false" customHeight="false" outlineLevel="0" collapsed="false">
      <c r="A190" s="0" t="s">
        <v>192</v>
      </c>
      <c r="B190" s="0" t="s">
        <v>163</v>
      </c>
      <c r="C190" s="0" t="n">
        <v>9</v>
      </c>
      <c r="D190" s="5" t="n">
        <f aca="false">Supuestos!$B$10</f>
        <v>0.02</v>
      </c>
      <c r="E190" s="5" t="n">
        <f aca="false">IF(C190&lt;Familias!F17,0,INDEX(Supuestos!$B$13:$B$19,MIN(C190-Familias!F17+1,7)))</f>
        <v>1</v>
      </c>
      <c r="F190" s="4" t="n">
        <f aca="false">Familias!E17*D190*E190</f>
        <v>58</v>
      </c>
      <c r="G190" s="4" t="n">
        <f aca="false">F190*Supuestos!$B$2</f>
        <v>1.16</v>
      </c>
      <c r="H190" s="4" t="n">
        <f aca="false">G190*Supuestos!$B$3</f>
        <v>0.754</v>
      </c>
    </row>
    <row r="191" customFormat="false" ht="15" hidden="false" customHeight="false" outlineLevel="0" collapsed="false">
      <c r="A191" s="0" t="s">
        <v>192</v>
      </c>
      <c r="B191" s="0" t="s">
        <v>163</v>
      </c>
      <c r="C191" s="0" t="n">
        <v>10</v>
      </c>
      <c r="D191" s="5" t="n">
        <f aca="false">Supuestos!$B$10</f>
        <v>0.02</v>
      </c>
      <c r="E191" s="5" t="n">
        <f aca="false">IF(C191&lt;Familias!F17,0,INDEX(Supuestos!$B$13:$B$19,MIN(C191-Familias!F17+1,7)))</f>
        <v>1</v>
      </c>
      <c r="F191" s="4" t="n">
        <f aca="false">Familias!E17*D191*E191</f>
        <v>58</v>
      </c>
      <c r="G191" s="4" t="n">
        <f aca="false">F191*Supuestos!$B$2</f>
        <v>1.16</v>
      </c>
      <c r="H191" s="4" t="n">
        <f aca="false">G191*Supuestos!$B$3</f>
        <v>0.754</v>
      </c>
    </row>
    <row r="192" customFormat="false" ht="15" hidden="false" customHeight="false" outlineLevel="0" collapsed="false">
      <c r="A192" s="0" t="s">
        <v>192</v>
      </c>
      <c r="B192" s="0" t="s">
        <v>163</v>
      </c>
      <c r="C192" s="0" t="n">
        <v>11</v>
      </c>
      <c r="D192" s="5" t="n">
        <f aca="false">Supuestos!$B$10</f>
        <v>0.02</v>
      </c>
      <c r="E192" s="5" t="n">
        <f aca="false">IF(C192&lt;Familias!F17,0,INDEX(Supuestos!$B$13:$B$19,MIN(C192-Familias!F17+1,7)))</f>
        <v>1</v>
      </c>
      <c r="F192" s="4" t="n">
        <f aca="false">Familias!E17*D192*E192</f>
        <v>58</v>
      </c>
      <c r="G192" s="4" t="n">
        <f aca="false">F192*Supuestos!$B$2</f>
        <v>1.16</v>
      </c>
      <c r="H192" s="4" t="n">
        <f aca="false">G192*Supuestos!$B$3</f>
        <v>0.754</v>
      </c>
    </row>
    <row r="193" customFormat="false" ht="15" hidden="false" customHeight="false" outlineLevel="0" collapsed="false">
      <c r="A193" s="0" t="s">
        <v>192</v>
      </c>
      <c r="B193" s="0" t="s">
        <v>163</v>
      </c>
      <c r="C193" s="0" t="n">
        <v>12</v>
      </c>
      <c r="D193" s="5" t="n">
        <f aca="false">Supuestos!$B$10</f>
        <v>0.02</v>
      </c>
      <c r="E193" s="5" t="n">
        <f aca="false">IF(C193&lt;Familias!F17,0,INDEX(Supuestos!$B$13:$B$19,MIN(C193-Familias!F17+1,7)))</f>
        <v>1</v>
      </c>
      <c r="F193" s="4" t="n">
        <f aca="false">Familias!E17*D193*E193</f>
        <v>58</v>
      </c>
      <c r="G193" s="4" t="n">
        <f aca="false">F193*Supuestos!$B$2</f>
        <v>1.16</v>
      </c>
      <c r="H193" s="4" t="n">
        <f aca="false">G193*Supuestos!$B$3</f>
        <v>0.754</v>
      </c>
    </row>
    <row r="194" customFormat="false" ht="15" hidden="false" customHeight="false" outlineLevel="0" collapsed="false">
      <c r="A194" s="0" t="s">
        <v>192</v>
      </c>
      <c r="B194" s="0" t="s">
        <v>170</v>
      </c>
      <c r="C194" s="0" t="n">
        <v>1</v>
      </c>
      <c r="D194" s="5" t="n">
        <f aca="false">Supuestos!$B$10</f>
        <v>0.02</v>
      </c>
      <c r="E194" s="5" t="n">
        <f aca="false">IF(C194&lt;Familias!F18,0,INDEX(Supuestos!$B$13:$B$19,MIN(C194-Familias!F18+1,7)))</f>
        <v>0</v>
      </c>
      <c r="F194" s="4" t="n">
        <f aca="false">Familias!E18*D194*E194</f>
        <v>0</v>
      </c>
      <c r="G194" s="4" t="n">
        <f aca="false">F194*Supuestos!$B$2</f>
        <v>0</v>
      </c>
      <c r="H194" s="4" t="n">
        <f aca="false">G194*Supuestos!$B$3</f>
        <v>0</v>
      </c>
    </row>
    <row r="195" customFormat="false" ht="15" hidden="false" customHeight="false" outlineLevel="0" collapsed="false">
      <c r="A195" s="0" t="s">
        <v>192</v>
      </c>
      <c r="B195" s="0" t="s">
        <v>170</v>
      </c>
      <c r="C195" s="0" t="n">
        <v>2</v>
      </c>
      <c r="D195" s="5" t="n">
        <f aca="false">Supuestos!$B$10</f>
        <v>0.02</v>
      </c>
      <c r="E195" s="5" t="n">
        <f aca="false">IF(C195&lt;Familias!F18,0,INDEX(Supuestos!$B$13:$B$19,MIN(C195-Familias!F18+1,7)))</f>
        <v>0</v>
      </c>
      <c r="F195" s="4" t="n">
        <f aca="false">Familias!E18*D195*E195</f>
        <v>0</v>
      </c>
      <c r="G195" s="4" t="n">
        <f aca="false">F195*Supuestos!$B$2</f>
        <v>0</v>
      </c>
      <c r="H195" s="4" t="n">
        <f aca="false">G195*Supuestos!$B$3</f>
        <v>0</v>
      </c>
    </row>
    <row r="196" customFormat="false" ht="15" hidden="false" customHeight="false" outlineLevel="0" collapsed="false">
      <c r="A196" s="0" t="s">
        <v>192</v>
      </c>
      <c r="B196" s="0" t="s">
        <v>170</v>
      </c>
      <c r="C196" s="0" t="n">
        <v>3</v>
      </c>
      <c r="D196" s="5" t="n">
        <f aca="false">Supuestos!$B$10</f>
        <v>0.02</v>
      </c>
      <c r="E196" s="5" t="n">
        <f aca="false">IF(C196&lt;Familias!F18,0,INDEX(Supuestos!$B$13:$B$19,MIN(C196-Familias!F18+1,7)))</f>
        <v>0</v>
      </c>
      <c r="F196" s="4" t="n">
        <f aca="false">Familias!E18*D196*E196</f>
        <v>0</v>
      </c>
      <c r="G196" s="4" t="n">
        <f aca="false">F196*Supuestos!$B$2</f>
        <v>0</v>
      </c>
      <c r="H196" s="4" t="n">
        <f aca="false">G196*Supuestos!$B$3</f>
        <v>0</v>
      </c>
    </row>
    <row r="197" customFormat="false" ht="15" hidden="false" customHeight="false" outlineLevel="0" collapsed="false">
      <c r="A197" s="0" t="s">
        <v>192</v>
      </c>
      <c r="B197" s="0" t="s">
        <v>170</v>
      </c>
      <c r="C197" s="0" t="n">
        <v>4</v>
      </c>
      <c r="D197" s="5" t="n">
        <f aca="false">Supuestos!$B$10</f>
        <v>0.02</v>
      </c>
      <c r="E197" s="5" t="n">
        <f aca="false">IF(C197&lt;Familias!F18,0,INDEX(Supuestos!$B$13:$B$19,MIN(C197-Familias!F18+1,7)))</f>
        <v>0.1</v>
      </c>
      <c r="F197" s="4" t="n">
        <f aca="false">Familias!E18*D197*E197</f>
        <v>3.2</v>
      </c>
      <c r="G197" s="4" t="n">
        <f aca="false">F197*Supuestos!$B$2</f>
        <v>0.064</v>
      </c>
      <c r="H197" s="4" t="n">
        <f aca="false">G197*Supuestos!$B$3</f>
        <v>0.0416</v>
      </c>
    </row>
    <row r="198" customFormat="false" ht="15" hidden="false" customHeight="false" outlineLevel="0" collapsed="false">
      <c r="A198" s="0" t="s">
        <v>192</v>
      </c>
      <c r="B198" s="0" t="s">
        <v>170</v>
      </c>
      <c r="C198" s="0" t="n">
        <v>5</v>
      </c>
      <c r="D198" s="5" t="n">
        <f aca="false">Supuestos!$B$10</f>
        <v>0.02</v>
      </c>
      <c r="E198" s="5" t="n">
        <f aca="false">IF(C198&lt;Familias!F18,0,INDEX(Supuestos!$B$13:$B$19,MIN(C198-Familias!F18+1,7)))</f>
        <v>0.2</v>
      </c>
      <c r="F198" s="4" t="n">
        <f aca="false">Familias!E18*D198*E198</f>
        <v>6.4</v>
      </c>
      <c r="G198" s="4" t="n">
        <f aca="false">F198*Supuestos!$B$2</f>
        <v>0.128</v>
      </c>
      <c r="H198" s="4" t="n">
        <f aca="false">G198*Supuestos!$B$3</f>
        <v>0.0832</v>
      </c>
    </row>
    <row r="199" customFormat="false" ht="15" hidden="false" customHeight="false" outlineLevel="0" collapsed="false">
      <c r="A199" s="0" t="s">
        <v>192</v>
      </c>
      <c r="B199" s="0" t="s">
        <v>170</v>
      </c>
      <c r="C199" s="0" t="n">
        <v>6</v>
      </c>
      <c r="D199" s="5" t="n">
        <f aca="false">Supuestos!$B$10</f>
        <v>0.02</v>
      </c>
      <c r="E199" s="5" t="n">
        <f aca="false">IF(C199&lt;Familias!F18,0,INDEX(Supuestos!$B$13:$B$19,MIN(C199-Familias!F18+1,7)))</f>
        <v>0.35</v>
      </c>
      <c r="F199" s="4" t="n">
        <f aca="false">Familias!E18*D199*E199</f>
        <v>11.2</v>
      </c>
      <c r="G199" s="4" t="n">
        <f aca="false">F199*Supuestos!$B$2</f>
        <v>0.224</v>
      </c>
      <c r="H199" s="4" t="n">
        <f aca="false">G199*Supuestos!$B$3</f>
        <v>0.1456</v>
      </c>
    </row>
    <row r="200" customFormat="false" ht="15" hidden="false" customHeight="false" outlineLevel="0" collapsed="false">
      <c r="A200" s="0" t="s">
        <v>192</v>
      </c>
      <c r="B200" s="0" t="s">
        <v>170</v>
      </c>
      <c r="C200" s="0" t="n">
        <v>7</v>
      </c>
      <c r="D200" s="5" t="n">
        <f aca="false">Supuestos!$B$10</f>
        <v>0.02</v>
      </c>
      <c r="E200" s="5" t="n">
        <f aca="false">IF(C200&lt;Familias!F18,0,INDEX(Supuestos!$B$13:$B$19,MIN(C200-Familias!F18+1,7)))</f>
        <v>0.5</v>
      </c>
      <c r="F200" s="4" t="n">
        <f aca="false">Familias!E18*D200*E200</f>
        <v>16</v>
      </c>
      <c r="G200" s="4" t="n">
        <f aca="false">F200*Supuestos!$B$2</f>
        <v>0.32</v>
      </c>
      <c r="H200" s="4" t="n">
        <f aca="false">G200*Supuestos!$B$3</f>
        <v>0.208</v>
      </c>
    </row>
    <row r="201" customFormat="false" ht="15" hidden="false" customHeight="false" outlineLevel="0" collapsed="false">
      <c r="A201" s="0" t="s">
        <v>192</v>
      </c>
      <c r="B201" s="0" t="s">
        <v>170</v>
      </c>
      <c r="C201" s="0" t="n">
        <v>8</v>
      </c>
      <c r="D201" s="5" t="n">
        <f aca="false">Supuestos!$B$10</f>
        <v>0.02</v>
      </c>
      <c r="E201" s="5" t="n">
        <f aca="false">IF(C201&lt;Familias!F18,0,INDEX(Supuestos!$B$13:$B$19,MIN(C201-Familias!F18+1,7)))</f>
        <v>0.65</v>
      </c>
      <c r="F201" s="4" t="n">
        <f aca="false">Familias!E18*D201*E201</f>
        <v>20.8</v>
      </c>
      <c r="G201" s="4" t="n">
        <f aca="false">F201*Supuestos!$B$2</f>
        <v>0.416</v>
      </c>
      <c r="H201" s="4" t="n">
        <f aca="false">G201*Supuestos!$B$3</f>
        <v>0.2704</v>
      </c>
    </row>
    <row r="202" customFormat="false" ht="15" hidden="false" customHeight="false" outlineLevel="0" collapsed="false">
      <c r="A202" s="0" t="s">
        <v>192</v>
      </c>
      <c r="B202" s="0" t="s">
        <v>170</v>
      </c>
      <c r="C202" s="0" t="n">
        <v>9</v>
      </c>
      <c r="D202" s="5" t="n">
        <f aca="false">Supuestos!$B$10</f>
        <v>0.02</v>
      </c>
      <c r="E202" s="5" t="n">
        <f aca="false">IF(C202&lt;Familias!F18,0,INDEX(Supuestos!$B$13:$B$19,MIN(C202-Familias!F18+1,7)))</f>
        <v>0.8</v>
      </c>
      <c r="F202" s="4" t="n">
        <f aca="false">Familias!E18*D202*E202</f>
        <v>25.6</v>
      </c>
      <c r="G202" s="4" t="n">
        <f aca="false">F202*Supuestos!$B$2</f>
        <v>0.512</v>
      </c>
      <c r="H202" s="4" t="n">
        <f aca="false">G202*Supuestos!$B$3</f>
        <v>0.3328</v>
      </c>
    </row>
    <row r="203" customFormat="false" ht="15" hidden="false" customHeight="false" outlineLevel="0" collapsed="false">
      <c r="A203" s="0" t="s">
        <v>192</v>
      </c>
      <c r="B203" s="0" t="s">
        <v>170</v>
      </c>
      <c r="C203" s="0" t="n">
        <v>10</v>
      </c>
      <c r="D203" s="5" t="n">
        <f aca="false">Supuestos!$B$10</f>
        <v>0.02</v>
      </c>
      <c r="E203" s="5" t="n">
        <f aca="false">IF(C203&lt;Familias!F18,0,INDEX(Supuestos!$B$13:$B$19,MIN(C203-Familias!F18+1,7)))</f>
        <v>1</v>
      </c>
      <c r="F203" s="4" t="n">
        <f aca="false">Familias!E18*D203*E203</f>
        <v>32</v>
      </c>
      <c r="G203" s="4" t="n">
        <f aca="false">F203*Supuestos!$B$2</f>
        <v>0.64</v>
      </c>
      <c r="H203" s="4" t="n">
        <f aca="false">G203*Supuestos!$B$3</f>
        <v>0.416</v>
      </c>
    </row>
    <row r="204" customFormat="false" ht="15" hidden="false" customHeight="false" outlineLevel="0" collapsed="false">
      <c r="A204" s="0" t="s">
        <v>192</v>
      </c>
      <c r="B204" s="0" t="s">
        <v>170</v>
      </c>
      <c r="C204" s="0" t="n">
        <v>11</v>
      </c>
      <c r="D204" s="5" t="n">
        <f aca="false">Supuestos!$B$10</f>
        <v>0.02</v>
      </c>
      <c r="E204" s="5" t="n">
        <f aca="false">IF(C204&lt;Familias!F18,0,INDEX(Supuestos!$B$13:$B$19,MIN(C204-Familias!F18+1,7)))</f>
        <v>1</v>
      </c>
      <c r="F204" s="4" t="n">
        <f aca="false">Familias!E18*D204*E204</f>
        <v>32</v>
      </c>
      <c r="G204" s="4" t="n">
        <f aca="false">F204*Supuestos!$B$2</f>
        <v>0.64</v>
      </c>
      <c r="H204" s="4" t="n">
        <f aca="false">G204*Supuestos!$B$3</f>
        <v>0.416</v>
      </c>
    </row>
    <row r="205" customFormat="false" ht="15" hidden="false" customHeight="false" outlineLevel="0" collapsed="false">
      <c r="A205" s="0" t="s">
        <v>192</v>
      </c>
      <c r="B205" s="0" t="s">
        <v>170</v>
      </c>
      <c r="C205" s="0" t="n">
        <v>12</v>
      </c>
      <c r="D205" s="5" t="n">
        <f aca="false">Supuestos!$B$10</f>
        <v>0.02</v>
      </c>
      <c r="E205" s="5" t="n">
        <f aca="false">IF(C205&lt;Familias!F18,0,INDEX(Supuestos!$B$13:$B$19,MIN(C205-Familias!F18+1,7)))</f>
        <v>1</v>
      </c>
      <c r="F205" s="4" t="n">
        <f aca="false">Familias!E18*D205*E205</f>
        <v>32</v>
      </c>
      <c r="G205" s="4" t="n">
        <f aca="false">F205*Supuestos!$B$2</f>
        <v>0.64</v>
      </c>
      <c r="H205" s="4" t="n">
        <f aca="false">G205*Supuestos!$B$3</f>
        <v>0.416</v>
      </c>
    </row>
    <row r="206" customFormat="false" ht="15" hidden="false" customHeight="false" outlineLevel="0" collapsed="false">
      <c r="A206" s="0" t="s">
        <v>192</v>
      </c>
      <c r="B206" s="0" t="s">
        <v>175</v>
      </c>
      <c r="C206" s="0" t="n">
        <v>1</v>
      </c>
      <c r="D206" s="5" t="n">
        <f aca="false">Supuestos!$B$10</f>
        <v>0.02</v>
      </c>
      <c r="E206" s="5" t="n">
        <f aca="false">IF(C206&lt;Familias!F19,0,INDEX(Supuestos!$B$13:$B$19,MIN(C206-Familias!F19+1,7)))</f>
        <v>0.1</v>
      </c>
      <c r="F206" s="4" t="n">
        <f aca="false">Familias!E19*D206*E206</f>
        <v>1.18</v>
      </c>
      <c r="G206" s="4" t="n">
        <f aca="false">F206*Supuestos!$B$2</f>
        <v>0.0236</v>
      </c>
      <c r="H206" s="4" t="n">
        <f aca="false">G206*Supuestos!$B$3</f>
        <v>0.01534</v>
      </c>
    </row>
    <row r="207" customFormat="false" ht="15" hidden="false" customHeight="false" outlineLevel="0" collapsed="false">
      <c r="A207" s="0" t="s">
        <v>192</v>
      </c>
      <c r="B207" s="0" t="s">
        <v>175</v>
      </c>
      <c r="C207" s="0" t="n">
        <v>2</v>
      </c>
      <c r="D207" s="5" t="n">
        <f aca="false">Supuestos!$B$10</f>
        <v>0.02</v>
      </c>
      <c r="E207" s="5" t="n">
        <f aca="false">IF(C207&lt;Familias!F19,0,INDEX(Supuestos!$B$13:$B$19,MIN(C207-Familias!F19+1,7)))</f>
        <v>0.2</v>
      </c>
      <c r="F207" s="4" t="n">
        <f aca="false">Familias!E19*D207*E207</f>
        <v>2.36</v>
      </c>
      <c r="G207" s="4" t="n">
        <f aca="false">F207*Supuestos!$B$2</f>
        <v>0.0472</v>
      </c>
      <c r="H207" s="4" t="n">
        <f aca="false">G207*Supuestos!$B$3</f>
        <v>0.03068</v>
      </c>
    </row>
    <row r="208" customFormat="false" ht="15" hidden="false" customHeight="false" outlineLevel="0" collapsed="false">
      <c r="A208" s="0" t="s">
        <v>192</v>
      </c>
      <c r="B208" s="0" t="s">
        <v>175</v>
      </c>
      <c r="C208" s="0" t="n">
        <v>3</v>
      </c>
      <c r="D208" s="5" t="n">
        <f aca="false">Supuestos!$B$10</f>
        <v>0.02</v>
      </c>
      <c r="E208" s="5" t="n">
        <f aca="false">IF(C208&lt;Familias!F19,0,INDEX(Supuestos!$B$13:$B$19,MIN(C208-Familias!F19+1,7)))</f>
        <v>0.35</v>
      </c>
      <c r="F208" s="4" t="n">
        <f aca="false">Familias!E19*D208*E208</f>
        <v>4.13</v>
      </c>
      <c r="G208" s="4" t="n">
        <f aca="false">F208*Supuestos!$B$2</f>
        <v>0.0826</v>
      </c>
      <c r="H208" s="4" t="n">
        <f aca="false">G208*Supuestos!$B$3</f>
        <v>0.05369</v>
      </c>
    </row>
    <row r="209" customFormat="false" ht="15" hidden="false" customHeight="false" outlineLevel="0" collapsed="false">
      <c r="A209" s="0" t="s">
        <v>192</v>
      </c>
      <c r="B209" s="0" t="s">
        <v>175</v>
      </c>
      <c r="C209" s="0" t="n">
        <v>4</v>
      </c>
      <c r="D209" s="5" t="n">
        <f aca="false">Supuestos!$B$10</f>
        <v>0.02</v>
      </c>
      <c r="E209" s="5" t="n">
        <f aca="false">IF(C209&lt;Familias!F19,0,INDEX(Supuestos!$B$13:$B$19,MIN(C209-Familias!F19+1,7)))</f>
        <v>0.5</v>
      </c>
      <c r="F209" s="4" t="n">
        <f aca="false">Familias!E19*D209*E209</f>
        <v>5.9</v>
      </c>
      <c r="G209" s="4" t="n">
        <f aca="false">F209*Supuestos!$B$2</f>
        <v>0.118</v>
      </c>
      <c r="H209" s="4" t="n">
        <f aca="false">G209*Supuestos!$B$3</f>
        <v>0.0767</v>
      </c>
    </row>
    <row r="210" customFormat="false" ht="15" hidden="false" customHeight="false" outlineLevel="0" collapsed="false">
      <c r="A210" s="0" t="s">
        <v>192</v>
      </c>
      <c r="B210" s="0" t="s">
        <v>175</v>
      </c>
      <c r="C210" s="0" t="n">
        <v>5</v>
      </c>
      <c r="D210" s="5" t="n">
        <f aca="false">Supuestos!$B$10</f>
        <v>0.02</v>
      </c>
      <c r="E210" s="5" t="n">
        <f aca="false">IF(C210&lt;Familias!F19,0,INDEX(Supuestos!$B$13:$B$19,MIN(C210-Familias!F19+1,7)))</f>
        <v>0.65</v>
      </c>
      <c r="F210" s="4" t="n">
        <f aca="false">Familias!E19*D210*E210</f>
        <v>7.67</v>
      </c>
      <c r="G210" s="4" t="n">
        <f aca="false">F210*Supuestos!$B$2</f>
        <v>0.1534</v>
      </c>
      <c r="H210" s="4" t="n">
        <f aca="false">G210*Supuestos!$B$3</f>
        <v>0.09971</v>
      </c>
    </row>
    <row r="211" customFormat="false" ht="15" hidden="false" customHeight="false" outlineLevel="0" collapsed="false">
      <c r="A211" s="0" t="s">
        <v>192</v>
      </c>
      <c r="B211" s="0" t="s">
        <v>175</v>
      </c>
      <c r="C211" s="0" t="n">
        <v>6</v>
      </c>
      <c r="D211" s="5" t="n">
        <f aca="false">Supuestos!$B$10</f>
        <v>0.02</v>
      </c>
      <c r="E211" s="5" t="n">
        <f aca="false">IF(C211&lt;Familias!F19,0,INDEX(Supuestos!$B$13:$B$19,MIN(C211-Familias!F19+1,7)))</f>
        <v>0.8</v>
      </c>
      <c r="F211" s="4" t="n">
        <f aca="false">Familias!E19*D211*E211</f>
        <v>9.44</v>
      </c>
      <c r="G211" s="4" t="n">
        <f aca="false">F211*Supuestos!$B$2</f>
        <v>0.1888</v>
      </c>
      <c r="H211" s="4" t="n">
        <f aca="false">G211*Supuestos!$B$3</f>
        <v>0.12272</v>
      </c>
    </row>
    <row r="212" customFormat="false" ht="15" hidden="false" customHeight="false" outlineLevel="0" collapsed="false">
      <c r="A212" s="0" t="s">
        <v>192</v>
      </c>
      <c r="B212" s="0" t="s">
        <v>175</v>
      </c>
      <c r="C212" s="0" t="n">
        <v>7</v>
      </c>
      <c r="D212" s="5" t="n">
        <f aca="false">Supuestos!$B$10</f>
        <v>0.02</v>
      </c>
      <c r="E212" s="5" t="n">
        <f aca="false">IF(C212&lt;Familias!F19,0,INDEX(Supuestos!$B$13:$B$19,MIN(C212-Familias!F19+1,7)))</f>
        <v>1</v>
      </c>
      <c r="F212" s="4" t="n">
        <f aca="false">Familias!E19*D212*E212</f>
        <v>11.8</v>
      </c>
      <c r="G212" s="4" t="n">
        <f aca="false">F212*Supuestos!$B$2</f>
        <v>0.236</v>
      </c>
      <c r="H212" s="4" t="n">
        <f aca="false">G212*Supuestos!$B$3</f>
        <v>0.1534</v>
      </c>
    </row>
    <row r="213" customFormat="false" ht="15" hidden="false" customHeight="false" outlineLevel="0" collapsed="false">
      <c r="A213" s="0" t="s">
        <v>192</v>
      </c>
      <c r="B213" s="0" t="s">
        <v>175</v>
      </c>
      <c r="C213" s="0" t="n">
        <v>8</v>
      </c>
      <c r="D213" s="5" t="n">
        <f aca="false">Supuestos!$B$10</f>
        <v>0.02</v>
      </c>
      <c r="E213" s="5" t="n">
        <f aca="false">IF(C213&lt;Familias!F19,0,INDEX(Supuestos!$B$13:$B$19,MIN(C213-Familias!F19+1,7)))</f>
        <v>1</v>
      </c>
      <c r="F213" s="4" t="n">
        <f aca="false">Familias!E19*D213*E213</f>
        <v>11.8</v>
      </c>
      <c r="G213" s="4" t="n">
        <f aca="false">F213*Supuestos!$B$2</f>
        <v>0.236</v>
      </c>
      <c r="H213" s="4" t="n">
        <f aca="false">G213*Supuestos!$B$3</f>
        <v>0.1534</v>
      </c>
    </row>
    <row r="214" customFormat="false" ht="15" hidden="false" customHeight="false" outlineLevel="0" collapsed="false">
      <c r="A214" s="0" t="s">
        <v>192</v>
      </c>
      <c r="B214" s="0" t="s">
        <v>175</v>
      </c>
      <c r="C214" s="0" t="n">
        <v>9</v>
      </c>
      <c r="D214" s="5" t="n">
        <f aca="false">Supuestos!$B$10</f>
        <v>0.02</v>
      </c>
      <c r="E214" s="5" t="n">
        <f aca="false">IF(C214&lt;Familias!F19,0,INDEX(Supuestos!$B$13:$B$19,MIN(C214-Familias!F19+1,7)))</f>
        <v>1</v>
      </c>
      <c r="F214" s="4" t="n">
        <f aca="false">Familias!E19*D214*E214</f>
        <v>11.8</v>
      </c>
      <c r="G214" s="4" t="n">
        <f aca="false">F214*Supuestos!$B$2</f>
        <v>0.236</v>
      </c>
      <c r="H214" s="4" t="n">
        <f aca="false">G214*Supuestos!$B$3</f>
        <v>0.1534</v>
      </c>
    </row>
    <row r="215" customFormat="false" ht="15" hidden="false" customHeight="false" outlineLevel="0" collapsed="false">
      <c r="A215" s="0" t="s">
        <v>192</v>
      </c>
      <c r="B215" s="0" t="s">
        <v>175</v>
      </c>
      <c r="C215" s="0" t="n">
        <v>10</v>
      </c>
      <c r="D215" s="5" t="n">
        <f aca="false">Supuestos!$B$10</f>
        <v>0.02</v>
      </c>
      <c r="E215" s="5" t="n">
        <f aca="false">IF(C215&lt;Familias!F19,0,INDEX(Supuestos!$B$13:$B$19,MIN(C215-Familias!F19+1,7)))</f>
        <v>1</v>
      </c>
      <c r="F215" s="4" t="n">
        <f aca="false">Familias!E19*D215*E215</f>
        <v>11.8</v>
      </c>
      <c r="G215" s="4" t="n">
        <f aca="false">F215*Supuestos!$B$2</f>
        <v>0.236</v>
      </c>
      <c r="H215" s="4" t="n">
        <f aca="false">G215*Supuestos!$B$3</f>
        <v>0.1534</v>
      </c>
    </row>
    <row r="216" customFormat="false" ht="15" hidden="false" customHeight="false" outlineLevel="0" collapsed="false">
      <c r="A216" s="0" t="s">
        <v>192</v>
      </c>
      <c r="B216" s="0" t="s">
        <v>175</v>
      </c>
      <c r="C216" s="0" t="n">
        <v>11</v>
      </c>
      <c r="D216" s="5" t="n">
        <f aca="false">Supuestos!$B$10</f>
        <v>0.02</v>
      </c>
      <c r="E216" s="5" t="n">
        <f aca="false">IF(C216&lt;Familias!F19,0,INDEX(Supuestos!$B$13:$B$19,MIN(C216-Familias!F19+1,7)))</f>
        <v>1</v>
      </c>
      <c r="F216" s="4" t="n">
        <f aca="false">Familias!E19*D216*E216</f>
        <v>11.8</v>
      </c>
      <c r="G216" s="4" t="n">
        <f aca="false">F216*Supuestos!$B$2</f>
        <v>0.236</v>
      </c>
      <c r="H216" s="4" t="n">
        <f aca="false">G216*Supuestos!$B$3</f>
        <v>0.1534</v>
      </c>
    </row>
    <row r="217" customFormat="false" ht="15" hidden="false" customHeight="false" outlineLevel="0" collapsed="false">
      <c r="A217" s="0" t="s">
        <v>192</v>
      </c>
      <c r="B217" s="0" t="s">
        <v>175</v>
      </c>
      <c r="C217" s="0" t="n">
        <v>12</v>
      </c>
      <c r="D217" s="5" t="n">
        <f aca="false">Supuestos!$B$10</f>
        <v>0.02</v>
      </c>
      <c r="E217" s="5" t="n">
        <f aca="false">IF(C217&lt;Familias!F19,0,INDEX(Supuestos!$B$13:$B$19,MIN(C217-Familias!F19+1,7)))</f>
        <v>1</v>
      </c>
      <c r="F217" s="4" t="n">
        <f aca="false">Familias!E19*D217*E217</f>
        <v>11.8</v>
      </c>
      <c r="G217" s="4" t="n">
        <f aca="false">F217*Supuestos!$B$2</f>
        <v>0.236</v>
      </c>
      <c r="H217" s="4" t="n">
        <f aca="false">G217*Supuestos!$B$3</f>
        <v>0.1534</v>
      </c>
    </row>
    <row r="218" customFormat="false" ht="15" hidden="false" customHeight="false" outlineLevel="0" collapsed="false">
      <c r="A218" s="0" t="s">
        <v>192</v>
      </c>
      <c r="B218" s="0" t="s">
        <v>179</v>
      </c>
      <c r="C218" s="0" t="n">
        <v>1</v>
      </c>
      <c r="D218" s="5" t="n">
        <f aca="false">Supuestos!$B$10</f>
        <v>0.02</v>
      </c>
      <c r="E218" s="5" t="n">
        <f aca="false">IF(C218&lt;Familias!F20,0,INDEX(Supuestos!$B$13:$B$19,MIN(C218-Familias!F20+1,7)))</f>
        <v>0</v>
      </c>
      <c r="F218" s="4" t="n">
        <f aca="false">Familias!E20*D218*E218</f>
        <v>0</v>
      </c>
      <c r="G218" s="4" t="n">
        <f aca="false">F218*Supuestos!$B$2</f>
        <v>0</v>
      </c>
      <c r="H218" s="4" t="n">
        <f aca="false">G218*Supuestos!$B$3</f>
        <v>0</v>
      </c>
    </row>
    <row r="219" customFormat="false" ht="15" hidden="false" customHeight="false" outlineLevel="0" collapsed="false">
      <c r="A219" s="0" t="s">
        <v>192</v>
      </c>
      <c r="B219" s="0" t="s">
        <v>179</v>
      </c>
      <c r="C219" s="0" t="n">
        <v>2</v>
      </c>
      <c r="D219" s="5" t="n">
        <f aca="false">Supuestos!$B$10</f>
        <v>0.02</v>
      </c>
      <c r="E219" s="5" t="n">
        <f aca="false">IF(C219&lt;Familias!F20,0,INDEX(Supuestos!$B$13:$B$19,MIN(C219-Familias!F20+1,7)))</f>
        <v>0</v>
      </c>
      <c r="F219" s="4" t="n">
        <f aca="false">Familias!E20*D219*E219</f>
        <v>0</v>
      </c>
      <c r="G219" s="4" t="n">
        <f aca="false">F219*Supuestos!$B$2</f>
        <v>0</v>
      </c>
      <c r="H219" s="4" t="n">
        <f aca="false">G219*Supuestos!$B$3</f>
        <v>0</v>
      </c>
    </row>
    <row r="220" customFormat="false" ht="15" hidden="false" customHeight="false" outlineLevel="0" collapsed="false">
      <c r="A220" s="0" t="s">
        <v>192</v>
      </c>
      <c r="B220" s="0" t="s">
        <v>179</v>
      </c>
      <c r="C220" s="0" t="n">
        <v>3</v>
      </c>
      <c r="D220" s="5" t="n">
        <f aca="false">Supuestos!$B$10</f>
        <v>0.02</v>
      </c>
      <c r="E220" s="5" t="n">
        <f aca="false">IF(C220&lt;Familias!F20,0,INDEX(Supuestos!$B$13:$B$19,MIN(C220-Familias!F20+1,7)))</f>
        <v>0.1</v>
      </c>
      <c r="F220" s="4" t="n">
        <f aca="false">Familias!E20*D220*E220</f>
        <v>1.18</v>
      </c>
      <c r="G220" s="4" t="n">
        <f aca="false">F220*Supuestos!$B$2</f>
        <v>0.0236</v>
      </c>
      <c r="H220" s="4" t="n">
        <f aca="false">G220*Supuestos!$B$3</f>
        <v>0.01534</v>
      </c>
    </row>
    <row r="221" customFormat="false" ht="15" hidden="false" customHeight="false" outlineLevel="0" collapsed="false">
      <c r="A221" s="0" t="s">
        <v>192</v>
      </c>
      <c r="B221" s="0" t="s">
        <v>179</v>
      </c>
      <c r="C221" s="0" t="n">
        <v>4</v>
      </c>
      <c r="D221" s="5" t="n">
        <f aca="false">Supuestos!$B$10</f>
        <v>0.02</v>
      </c>
      <c r="E221" s="5" t="n">
        <f aca="false">IF(C221&lt;Familias!F20,0,INDEX(Supuestos!$B$13:$B$19,MIN(C221-Familias!F20+1,7)))</f>
        <v>0.2</v>
      </c>
      <c r="F221" s="4" t="n">
        <f aca="false">Familias!E20*D221*E221</f>
        <v>2.36</v>
      </c>
      <c r="G221" s="4" t="n">
        <f aca="false">F221*Supuestos!$B$2</f>
        <v>0.0472</v>
      </c>
      <c r="H221" s="4" t="n">
        <f aca="false">G221*Supuestos!$B$3</f>
        <v>0.03068</v>
      </c>
    </row>
    <row r="222" customFormat="false" ht="15" hidden="false" customHeight="false" outlineLevel="0" collapsed="false">
      <c r="A222" s="0" t="s">
        <v>192</v>
      </c>
      <c r="B222" s="0" t="s">
        <v>179</v>
      </c>
      <c r="C222" s="0" t="n">
        <v>5</v>
      </c>
      <c r="D222" s="5" t="n">
        <f aca="false">Supuestos!$B$10</f>
        <v>0.02</v>
      </c>
      <c r="E222" s="5" t="n">
        <f aca="false">IF(C222&lt;Familias!F20,0,INDEX(Supuestos!$B$13:$B$19,MIN(C222-Familias!F20+1,7)))</f>
        <v>0.35</v>
      </c>
      <c r="F222" s="4" t="n">
        <f aca="false">Familias!E20*D222*E222</f>
        <v>4.13</v>
      </c>
      <c r="G222" s="4" t="n">
        <f aca="false">F222*Supuestos!$B$2</f>
        <v>0.0826</v>
      </c>
      <c r="H222" s="4" t="n">
        <f aca="false">G222*Supuestos!$B$3</f>
        <v>0.05369</v>
      </c>
    </row>
    <row r="223" customFormat="false" ht="15" hidden="false" customHeight="false" outlineLevel="0" collapsed="false">
      <c r="A223" s="0" t="s">
        <v>192</v>
      </c>
      <c r="B223" s="0" t="s">
        <v>179</v>
      </c>
      <c r="C223" s="0" t="n">
        <v>6</v>
      </c>
      <c r="D223" s="5" t="n">
        <f aca="false">Supuestos!$B$10</f>
        <v>0.02</v>
      </c>
      <c r="E223" s="5" t="n">
        <f aca="false">IF(C223&lt;Familias!F20,0,INDEX(Supuestos!$B$13:$B$19,MIN(C223-Familias!F20+1,7)))</f>
        <v>0.5</v>
      </c>
      <c r="F223" s="4" t="n">
        <f aca="false">Familias!E20*D223*E223</f>
        <v>5.9</v>
      </c>
      <c r="G223" s="4" t="n">
        <f aca="false">F223*Supuestos!$B$2</f>
        <v>0.118</v>
      </c>
      <c r="H223" s="4" t="n">
        <f aca="false">G223*Supuestos!$B$3</f>
        <v>0.0767</v>
      </c>
    </row>
    <row r="224" customFormat="false" ht="15" hidden="false" customHeight="false" outlineLevel="0" collapsed="false">
      <c r="A224" s="0" t="s">
        <v>192</v>
      </c>
      <c r="B224" s="0" t="s">
        <v>179</v>
      </c>
      <c r="C224" s="0" t="n">
        <v>7</v>
      </c>
      <c r="D224" s="5" t="n">
        <f aca="false">Supuestos!$B$10</f>
        <v>0.02</v>
      </c>
      <c r="E224" s="5" t="n">
        <f aca="false">IF(C224&lt;Familias!F20,0,INDEX(Supuestos!$B$13:$B$19,MIN(C224-Familias!F20+1,7)))</f>
        <v>0.65</v>
      </c>
      <c r="F224" s="4" t="n">
        <f aca="false">Familias!E20*D224*E224</f>
        <v>7.67</v>
      </c>
      <c r="G224" s="4" t="n">
        <f aca="false">F224*Supuestos!$B$2</f>
        <v>0.1534</v>
      </c>
      <c r="H224" s="4" t="n">
        <f aca="false">G224*Supuestos!$B$3</f>
        <v>0.09971</v>
      </c>
    </row>
    <row r="225" customFormat="false" ht="15" hidden="false" customHeight="false" outlineLevel="0" collapsed="false">
      <c r="A225" s="0" t="s">
        <v>192</v>
      </c>
      <c r="B225" s="0" t="s">
        <v>179</v>
      </c>
      <c r="C225" s="0" t="n">
        <v>8</v>
      </c>
      <c r="D225" s="5" t="n">
        <f aca="false">Supuestos!$B$10</f>
        <v>0.02</v>
      </c>
      <c r="E225" s="5" t="n">
        <f aca="false">IF(C225&lt;Familias!F20,0,INDEX(Supuestos!$B$13:$B$19,MIN(C225-Familias!F20+1,7)))</f>
        <v>0.8</v>
      </c>
      <c r="F225" s="4" t="n">
        <f aca="false">Familias!E20*D225*E225</f>
        <v>9.44</v>
      </c>
      <c r="G225" s="4" t="n">
        <f aca="false">F225*Supuestos!$B$2</f>
        <v>0.1888</v>
      </c>
      <c r="H225" s="4" t="n">
        <f aca="false">G225*Supuestos!$B$3</f>
        <v>0.12272</v>
      </c>
    </row>
    <row r="226" customFormat="false" ht="15" hidden="false" customHeight="false" outlineLevel="0" collapsed="false">
      <c r="A226" s="0" t="s">
        <v>192</v>
      </c>
      <c r="B226" s="0" t="s">
        <v>179</v>
      </c>
      <c r="C226" s="0" t="n">
        <v>9</v>
      </c>
      <c r="D226" s="5" t="n">
        <f aca="false">Supuestos!$B$10</f>
        <v>0.02</v>
      </c>
      <c r="E226" s="5" t="n">
        <f aca="false">IF(C226&lt;Familias!F20,0,INDEX(Supuestos!$B$13:$B$19,MIN(C226-Familias!F20+1,7)))</f>
        <v>1</v>
      </c>
      <c r="F226" s="4" t="n">
        <f aca="false">Familias!E20*D226*E226</f>
        <v>11.8</v>
      </c>
      <c r="G226" s="4" t="n">
        <f aca="false">F226*Supuestos!$B$2</f>
        <v>0.236</v>
      </c>
      <c r="H226" s="4" t="n">
        <f aca="false">G226*Supuestos!$B$3</f>
        <v>0.1534</v>
      </c>
    </row>
    <row r="227" customFormat="false" ht="15" hidden="false" customHeight="false" outlineLevel="0" collapsed="false">
      <c r="A227" s="0" t="s">
        <v>192</v>
      </c>
      <c r="B227" s="0" t="s">
        <v>179</v>
      </c>
      <c r="C227" s="0" t="n">
        <v>10</v>
      </c>
      <c r="D227" s="5" t="n">
        <f aca="false">Supuestos!$B$10</f>
        <v>0.02</v>
      </c>
      <c r="E227" s="5" t="n">
        <f aca="false">IF(C227&lt;Familias!F20,0,INDEX(Supuestos!$B$13:$B$19,MIN(C227-Familias!F20+1,7)))</f>
        <v>1</v>
      </c>
      <c r="F227" s="4" t="n">
        <f aca="false">Familias!E20*D227*E227</f>
        <v>11.8</v>
      </c>
      <c r="G227" s="4" t="n">
        <f aca="false">F227*Supuestos!$B$2</f>
        <v>0.236</v>
      </c>
      <c r="H227" s="4" t="n">
        <f aca="false">G227*Supuestos!$B$3</f>
        <v>0.1534</v>
      </c>
    </row>
    <row r="228" customFormat="false" ht="15" hidden="false" customHeight="false" outlineLevel="0" collapsed="false">
      <c r="A228" s="0" t="s">
        <v>192</v>
      </c>
      <c r="B228" s="0" t="s">
        <v>179</v>
      </c>
      <c r="C228" s="0" t="n">
        <v>11</v>
      </c>
      <c r="D228" s="5" t="n">
        <f aca="false">Supuestos!$B$10</f>
        <v>0.02</v>
      </c>
      <c r="E228" s="5" t="n">
        <f aca="false">IF(C228&lt;Familias!F20,0,INDEX(Supuestos!$B$13:$B$19,MIN(C228-Familias!F20+1,7)))</f>
        <v>1</v>
      </c>
      <c r="F228" s="4" t="n">
        <f aca="false">Familias!E20*D228*E228</f>
        <v>11.8</v>
      </c>
      <c r="G228" s="4" t="n">
        <f aca="false">F228*Supuestos!$B$2</f>
        <v>0.236</v>
      </c>
      <c r="H228" s="4" t="n">
        <f aca="false">G228*Supuestos!$B$3</f>
        <v>0.1534</v>
      </c>
    </row>
    <row r="229" customFormat="false" ht="15" hidden="false" customHeight="false" outlineLevel="0" collapsed="false">
      <c r="A229" s="0" t="s">
        <v>192</v>
      </c>
      <c r="B229" s="0" t="s">
        <v>179</v>
      </c>
      <c r="C229" s="0" t="n">
        <v>12</v>
      </c>
      <c r="D229" s="5" t="n">
        <f aca="false">Supuestos!$B$10</f>
        <v>0.02</v>
      </c>
      <c r="E229" s="5" t="n">
        <f aca="false">IF(C229&lt;Familias!F20,0,INDEX(Supuestos!$B$13:$B$19,MIN(C229-Familias!F20+1,7)))</f>
        <v>1</v>
      </c>
      <c r="F229" s="4" t="n">
        <f aca="false">Familias!E20*D229*E229</f>
        <v>11.8</v>
      </c>
      <c r="G229" s="4" t="n">
        <f aca="false">F229*Supuestos!$B$2</f>
        <v>0.236</v>
      </c>
      <c r="H229" s="4" t="n">
        <f aca="false">G229*Supuestos!$B$3</f>
        <v>0.1534</v>
      </c>
    </row>
    <row r="230" customFormat="false" ht="15" hidden="false" customHeight="false" outlineLevel="0" collapsed="false">
      <c r="A230" s="0" t="s">
        <v>193</v>
      </c>
      <c r="B230" s="0" t="s">
        <v>83</v>
      </c>
      <c r="C230" s="0" t="n">
        <v>1</v>
      </c>
      <c r="D230" s="5" t="n">
        <f aca="false">Supuestos!$B$11</f>
        <v>0.05</v>
      </c>
      <c r="E230" s="5" t="n">
        <f aca="false">IF(C230&lt;Familias!F2,0,INDEX(Supuestos!$B$13:$B$19,MIN(C230-Familias!F2+1,7)))</f>
        <v>0.1</v>
      </c>
      <c r="F230" s="4" t="n">
        <f aca="false">Familias!E2*D230*E230</f>
        <v>14.5</v>
      </c>
      <c r="G230" s="4" t="n">
        <f aca="false">F230*Supuestos!$B$2</f>
        <v>0.29</v>
      </c>
      <c r="H230" s="4" t="n">
        <f aca="false">G230*Supuestos!$B$3</f>
        <v>0.1885</v>
      </c>
    </row>
    <row r="231" customFormat="false" ht="15" hidden="false" customHeight="false" outlineLevel="0" collapsed="false">
      <c r="A231" s="0" t="s">
        <v>193</v>
      </c>
      <c r="B231" s="0" t="s">
        <v>83</v>
      </c>
      <c r="C231" s="0" t="n">
        <v>2</v>
      </c>
      <c r="D231" s="5" t="n">
        <f aca="false">Supuestos!$B$11</f>
        <v>0.05</v>
      </c>
      <c r="E231" s="5" t="n">
        <f aca="false">IF(C231&lt;Familias!F2,0,INDEX(Supuestos!$B$13:$B$19,MIN(C231-Familias!F2+1,7)))</f>
        <v>0.2</v>
      </c>
      <c r="F231" s="4" t="n">
        <f aca="false">Familias!E2*D231*E231</f>
        <v>29</v>
      </c>
      <c r="G231" s="4" t="n">
        <f aca="false">F231*Supuestos!$B$2</f>
        <v>0.58</v>
      </c>
      <c r="H231" s="4" t="n">
        <f aca="false">G231*Supuestos!$B$3</f>
        <v>0.377</v>
      </c>
    </row>
    <row r="232" customFormat="false" ht="15" hidden="false" customHeight="false" outlineLevel="0" collapsed="false">
      <c r="A232" s="0" t="s">
        <v>193</v>
      </c>
      <c r="B232" s="0" t="s">
        <v>83</v>
      </c>
      <c r="C232" s="0" t="n">
        <v>3</v>
      </c>
      <c r="D232" s="5" t="n">
        <f aca="false">Supuestos!$B$11</f>
        <v>0.05</v>
      </c>
      <c r="E232" s="5" t="n">
        <f aca="false">IF(C232&lt;Familias!F2,0,INDEX(Supuestos!$B$13:$B$19,MIN(C232-Familias!F2+1,7)))</f>
        <v>0.35</v>
      </c>
      <c r="F232" s="4" t="n">
        <f aca="false">Familias!E2*D232*E232</f>
        <v>50.75</v>
      </c>
      <c r="G232" s="4" t="n">
        <f aca="false">F232*Supuestos!$B$2</f>
        <v>1.015</v>
      </c>
      <c r="H232" s="4" t="n">
        <f aca="false">G232*Supuestos!$B$3</f>
        <v>0.65975</v>
      </c>
    </row>
    <row r="233" customFormat="false" ht="15" hidden="false" customHeight="false" outlineLevel="0" collapsed="false">
      <c r="A233" s="0" t="s">
        <v>193</v>
      </c>
      <c r="B233" s="0" t="s">
        <v>83</v>
      </c>
      <c r="C233" s="0" t="n">
        <v>4</v>
      </c>
      <c r="D233" s="5" t="n">
        <f aca="false">Supuestos!$B$11</f>
        <v>0.05</v>
      </c>
      <c r="E233" s="5" t="n">
        <f aca="false">IF(C233&lt;Familias!F2,0,INDEX(Supuestos!$B$13:$B$19,MIN(C233-Familias!F2+1,7)))</f>
        <v>0.5</v>
      </c>
      <c r="F233" s="4" t="n">
        <f aca="false">Familias!E2*D233*E233</f>
        <v>72.5</v>
      </c>
      <c r="G233" s="4" t="n">
        <f aca="false">F233*Supuestos!$B$2</f>
        <v>1.45</v>
      </c>
      <c r="H233" s="4" t="n">
        <f aca="false">G233*Supuestos!$B$3</f>
        <v>0.9425</v>
      </c>
    </row>
    <row r="234" customFormat="false" ht="15" hidden="false" customHeight="false" outlineLevel="0" collapsed="false">
      <c r="A234" s="0" t="s">
        <v>193</v>
      </c>
      <c r="B234" s="0" t="s">
        <v>83</v>
      </c>
      <c r="C234" s="0" t="n">
        <v>5</v>
      </c>
      <c r="D234" s="5" t="n">
        <f aca="false">Supuestos!$B$11</f>
        <v>0.05</v>
      </c>
      <c r="E234" s="5" t="n">
        <f aca="false">IF(C234&lt;Familias!F2,0,INDEX(Supuestos!$B$13:$B$19,MIN(C234-Familias!F2+1,7)))</f>
        <v>0.65</v>
      </c>
      <c r="F234" s="4" t="n">
        <f aca="false">Familias!E2*D234*E234</f>
        <v>94.25</v>
      </c>
      <c r="G234" s="4" t="n">
        <f aca="false">F234*Supuestos!$B$2</f>
        <v>1.885</v>
      </c>
      <c r="H234" s="4" t="n">
        <f aca="false">G234*Supuestos!$B$3</f>
        <v>1.22525</v>
      </c>
    </row>
    <row r="235" customFormat="false" ht="15" hidden="false" customHeight="false" outlineLevel="0" collapsed="false">
      <c r="A235" s="0" t="s">
        <v>193</v>
      </c>
      <c r="B235" s="0" t="s">
        <v>83</v>
      </c>
      <c r="C235" s="0" t="n">
        <v>6</v>
      </c>
      <c r="D235" s="5" t="n">
        <f aca="false">Supuestos!$B$11</f>
        <v>0.05</v>
      </c>
      <c r="E235" s="5" t="n">
        <f aca="false">IF(C235&lt;Familias!F2,0,INDEX(Supuestos!$B$13:$B$19,MIN(C235-Familias!F2+1,7)))</f>
        <v>0.8</v>
      </c>
      <c r="F235" s="4" t="n">
        <f aca="false">Familias!E2*D235*E235</f>
        <v>116</v>
      </c>
      <c r="G235" s="4" t="n">
        <f aca="false">F235*Supuestos!$B$2</f>
        <v>2.32</v>
      </c>
      <c r="H235" s="4" t="n">
        <f aca="false">G235*Supuestos!$B$3</f>
        <v>1.508</v>
      </c>
    </row>
    <row r="236" customFormat="false" ht="15" hidden="false" customHeight="false" outlineLevel="0" collapsed="false">
      <c r="A236" s="0" t="s">
        <v>193</v>
      </c>
      <c r="B236" s="0" t="s">
        <v>83</v>
      </c>
      <c r="C236" s="0" t="n">
        <v>7</v>
      </c>
      <c r="D236" s="5" t="n">
        <f aca="false">Supuestos!$B$11</f>
        <v>0.05</v>
      </c>
      <c r="E236" s="5" t="n">
        <f aca="false">IF(C236&lt;Familias!F2,0,INDEX(Supuestos!$B$13:$B$19,MIN(C236-Familias!F2+1,7)))</f>
        <v>1</v>
      </c>
      <c r="F236" s="4" t="n">
        <f aca="false">Familias!E2*D236*E236</f>
        <v>145</v>
      </c>
      <c r="G236" s="4" t="n">
        <f aca="false">F236*Supuestos!$B$2</f>
        <v>2.9</v>
      </c>
      <c r="H236" s="4" t="n">
        <f aca="false">G236*Supuestos!$B$3</f>
        <v>1.885</v>
      </c>
    </row>
    <row r="237" customFormat="false" ht="15" hidden="false" customHeight="false" outlineLevel="0" collapsed="false">
      <c r="A237" s="0" t="s">
        <v>193</v>
      </c>
      <c r="B237" s="0" t="s">
        <v>83</v>
      </c>
      <c r="C237" s="0" t="n">
        <v>8</v>
      </c>
      <c r="D237" s="5" t="n">
        <f aca="false">Supuestos!$B$11</f>
        <v>0.05</v>
      </c>
      <c r="E237" s="5" t="n">
        <f aca="false">IF(C237&lt;Familias!F2,0,INDEX(Supuestos!$B$13:$B$19,MIN(C237-Familias!F2+1,7)))</f>
        <v>1</v>
      </c>
      <c r="F237" s="4" t="n">
        <f aca="false">Familias!E2*D237*E237</f>
        <v>145</v>
      </c>
      <c r="G237" s="4" t="n">
        <f aca="false">F237*Supuestos!$B$2</f>
        <v>2.9</v>
      </c>
      <c r="H237" s="4" t="n">
        <f aca="false">G237*Supuestos!$B$3</f>
        <v>1.885</v>
      </c>
    </row>
    <row r="238" customFormat="false" ht="15" hidden="false" customHeight="false" outlineLevel="0" collapsed="false">
      <c r="A238" s="0" t="s">
        <v>193</v>
      </c>
      <c r="B238" s="0" t="s">
        <v>83</v>
      </c>
      <c r="C238" s="0" t="n">
        <v>9</v>
      </c>
      <c r="D238" s="5" t="n">
        <f aca="false">Supuestos!$B$11</f>
        <v>0.05</v>
      </c>
      <c r="E238" s="5" t="n">
        <f aca="false">IF(C238&lt;Familias!F2,0,INDEX(Supuestos!$B$13:$B$19,MIN(C238-Familias!F2+1,7)))</f>
        <v>1</v>
      </c>
      <c r="F238" s="4" t="n">
        <f aca="false">Familias!E2*D238*E238</f>
        <v>145</v>
      </c>
      <c r="G238" s="4" t="n">
        <f aca="false">F238*Supuestos!$B$2</f>
        <v>2.9</v>
      </c>
      <c r="H238" s="4" t="n">
        <f aca="false">G238*Supuestos!$B$3</f>
        <v>1.885</v>
      </c>
    </row>
    <row r="239" customFormat="false" ht="15" hidden="false" customHeight="false" outlineLevel="0" collapsed="false">
      <c r="A239" s="0" t="s">
        <v>193</v>
      </c>
      <c r="B239" s="0" t="s">
        <v>83</v>
      </c>
      <c r="C239" s="0" t="n">
        <v>10</v>
      </c>
      <c r="D239" s="5" t="n">
        <f aca="false">Supuestos!$B$11</f>
        <v>0.05</v>
      </c>
      <c r="E239" s="5" t="n">
        <f aca="false">IF(C239&lt;Familias!F2,0,INDEX(Supuestos!$B$13:$B$19,MIN(C239-Familias!F2+1,7)))</f>
        <v>1</v>
      </c>
      <c r="F239" s="4" t="n">
        <f aca="false">Familias!E2*D239*E239</f>
        <v>145</v>
      </c>
      <c r="G239" s="4" t="n">
        <f aca="false">F239*Supuestos!$B$2</f>
        <v>2.9</v>
      </c>
      <c r="H239" s="4" t="n">
        <f aca="false">G239*Supuestos!$B$3</f>
        <v>1.885</v>
      </c>
    </row>
    <row r="240" customFormat="false" ht="15" hidden="false" customHeight="false" outlineLevel="0" collapsed="false">
      <c r="A240" s="0" t="s">
        <v>193</v>
      </c>
      <c r="B240" s="0" t="s">
        <v>83</v>
      </c>
      <c r="C240" s="0" t="n">
        <v>11</v>
      </c>
      <c r="D240" s="5" t="n">
        <f aca="false">Supuestos!$B$11</f>
        <v>0.05</v>
      </c>
      <c r="E240" s="5" t="n">
        <f aca="false">IF(C240&lt;Familias!F2,0,INDEX(Supuestos!$B$13:$B$19,MIN(C240-Familias!F2+1,7)))</f>
        <v>1</v>
      </c>
      <c r="F240" s="4" t="n">
        <f aca="false">Familias!E2*D240*E240</f>
        <v>145</v>
      </c>
      <c r="G240" s="4" t="n">
        <f aca="false">F240*Supuestos!$B$2</f>
        <v>2.9</v>
      </c>
      <c r="H240" s="4" t="n">
        <f aca="false">G240*Supuestos!$B$3</f>
        <v>1.885</v>
      </c>
    </row>
    <row r="241" customFormat="false" ht="15" hidden="false" customHeight="false" outlineLevel="0" collapsed="false">
      <c r="A241" s="0" t="s">
        <v>193</v>
      </c>
      <c r="B241" s="0" t="s">
        <v>83</v>
      </c>
      <c r="C241" s="0" t="n">
        <v>12</v>
      </c>
      <c r="D241" s="5" t="n">
        <f aca="false">Supuestos!$B$11</f>
        <v>0.05</v>
      </c>
      <c r="E241" s="5" t="n">
        <f aca="false">IF(C241&lt;Familias!F2,0,INDEX(Supuestos!$B$13:$B$19,MIN(C241-Familias!F2+1,7)))</f>
        <v>1</v>
      </c>
      <c r="F241" s="4" t="n">
        <f aca="false">Familias!E2*D241*E241</f>
        <v>145</v>
      </c>
      <c r="G241" s="4" t="n">
        <f aca="false">F241*Supuestos!$B$2</f>
        <v>2.9</v>
      </c>
      <c r="H241" s="4" t="n">
        <f aca="false">G241*Supuestos!$B$3</f>
        <v>1.885</v>
      </c>
    </row>
    <row r="242" customFormat="false" ht="15" hidden="false" customHeight="false" outlineLevel="0" collapsed="false">
      <c r="A242" s="0" t="s">
        <v>193</v>
      </c>
      <c r="B242" s="0" t="s">
        <v>90</v>
      </c>
      <c r="C242" s="0" t="n">
        <v>1</v>
      </c>
      <c r="D242" s="5" t="n">
        <f aca="false">Supuestos!$B$11</f>
        <v>0.05</v>
      </c>
      <c r="E242" s="5" t="n">
        <f aca="false">IF(C242&lt;Familias!F3,0,INDEX(Supuestos!$B$13:$B$19,MIN(C242-Familias!F3+1,7)))</f>
        <v>0</v>
      </c>
      <c r="F242" s="4" t="n">
        <f aca="false">Familias!E3*D242*E242</f>
        <v>0</v>
      </c>
      <c r="G242" s="4" t="n">
        <f aca="false">F242*Supuestos!$B$2</f>
        <v>0</v>
      </c>
      <c r="H242" s="4" t="n">
        <f aca="false">G242*Supuestos!$B$3</f>
        <v>0</v>
      </c>
    </row>
    <row r="243" customFormat="false" ht="15" hidden="false" customHeight="false" outlineLevel="0" collapsed="false">
      <c r="A243" s="0" t="s">
        <v>193</v>
      </c>
      <c r="B243" s="0" t="s">
        <v>90</v>
      </c>
      <c r="C243" s="0" t="n">
        <v>2</v>
      </c>
      <c r="D243" s="5" t="n">
        <f aca="false">Supuestos!$B$11</f>
        <v>0.05</v>
      </c>
      <c r="E243" s="5" t="n">
        <f aca="false">IF(C243&lt;Familias!F3,0,INDEX(Supuestos!$B$13:$B$19,MIN(C243-Familias!F3+1,7)))</f>
        <v>0.1</v>
      </c>
      <c r="F243" s="4" t="n">
        <f aca="false">Familias!E3*D243*E243</f>
        <v>1.05</v>
      </c>
      <c r="G243" s="4" t="n">
        <f aca="false">F243*Supuestos!$B$2</f>
        <v>0.021</v>
      </c>
      <c r="H243" s="4" t="n">
        <f aca="false">G243*Supuestos!$B$3</f>
        <v>0.01365</v>
      </c>
    </row>
    <row r="244" customFormat="false" ht="15" hidden="false" customHeight="false" outlineLevel="0" collapsed="false">
      <c r="A244" s="0" t="s">
        <v>193</v>
      </c>
      <c r="B244" s="0" t="s">
        <v>90</v>
      </c>
      <c r="C244" s="0" t="n">
        <v>3</v>
      </c>
      <c r="D244" s="5" t="n">
        <f aca="false">Supuestos!$B$11</f>
        <v>0.05</v>
      </c>
      <c r="E244" s="5" t="n">
        <f aca="false">IF(C244&lt;Familias!F3,0,INDEX(Supuestos!$B$13:$B$19,MIN(C244-Familias!F3+1,7)))</f>
        <v>0.2</v>
      </c>
      <c r="F244" s="4" t="n">
        <f aca="false">Familias!E3*D244*E244</f>
        <v>2.1</v>
      </c>
      <c r="G244" s="4" t="n">
        <f aca="false">F244*Supuestos!$B$2</f>
        <v>0.042</v>
      </c>
      <c r="H244" s="4" t="n">
        <f aca="false">G244*Supuestos!$B$3</f>
        <v>0.0273</v>
      </c>
    </row>
    <row r="245" customFormat="false" ht="15" hidden="false" customHeight="false" outlineLevel="0" collapsed="false">
      <c r="A245" s="0" t="s">
        <v>193</v>
      </c>
      <c r="B245" s="0" t="s">
        <v>90</v>
      </c>
      <c r="C245" s="0" t="n">
        <v>4</v>
      </c>
      <c r="D245" s="5" t="n">
        <f aca="false">Supuestos!$B$11</f>
        <v>0.05</v>
      </c>
      <c r="E245" s="5" t="n">
        <f aca="false">IF(C245&lt;Familias!F3,0,INDEX(Supuestos!$B$13:$B$19,MIN(C245-Familias!F3+1,7)))</f>
        <v>0.35</v>
      </c>
      <c r="F245" s="4" t="n">
        <f aca="false">Familias!E3*D245*E245</f>
        <v>3.675</v>
      </c>
      <c r="G245" s="4" t="n">
        <f aca="false">F245*Supuestos!$B$2</f>
        <v>0.0735</v>
      </c>
      <c r="H245" s="4" t="n">
        <f aca="false">G245*Supuestos!$B$3</f>
        <v>0.047775</v>
      </c>
    </row>
    <row r="246" customFormat="false" ht="15" hidden="false" customHeight="false" outlineLevel="0" collapsed="false">
      <c r="A246" s="0" t="s">
        <v>193</v>
      </c>
      <c r="B246" s="0" t="s">
        <v>90</v>
      </c>
      <c r="C246" s="0" t="n">
        <v>5</v>
      </c>
      <c r="D246" s="5" t="n">
        <f aca="false">Supuestos!$B$11</f>
        <v>0.05</v>
      </c>
      <c r="E246" s="5" t="n">
        <f aca="false">IF(C246&lt;Familias!F3,0,INDEX(Supuestos!$B$13:$B$19,MIN(C246-Familias!F3+1,7)))</f>
        <v>0.5</v>
      </c>
      <c r="F246" s="4" t="n">
        <f aca="false">Familias!E3*D246*E246</f>
        <v>5.25</v>
      </c>
      <c r="G246" s="4" t="n">
        <f aca="false">F246*Supuestos!$B$2</f>
        <v>0.105</v>
      </c>
      <c r="H246" s="4" t="n">
        <f aca="false">G246*Supuestos!$B$3</f>
        <v>0.06825</v>
      </c>
    </row>
    <row r="247" customFormat="false" ht="15" hidden="false" customHeight="false" outlineLevel="0" collapsed="false">
      <c r="A247" s="0" t="s">
        <v>193</v>
      </c>
      <c r="B247" s="0" t="s">
        <v>90</v>
      </c>
      <c r="C247" s="0" t="n">
        <v>6</v>
      </c>
      <c r="D247" s="5" t="n">
        <f aca="false">Supuestos!$B$11</f>
        <v>0.05</v>
      </c>
      <c r="E247" s="5" t="n">
        <f aca="false">IF(C247&lt;Familias!F3,0,INDEX(Supuestos!$B$13:$B$19,MIN(C247-Familias!F3+1,7)))</f>
        <v>0.65</v>
      </c>
      <c r="F247" s="4" t="n">
        <f aca="false">Familias!E3*D247*E247</f>
        <v>6.825</v>
      </c>
      <c r="G247" s="4" t="n">
        <f aca="false">F247*Supuestos!$B$2</f>
        <v>0.1365</v>
      </c>
      <c r="H247" s="4" t="n">
        <f aca="false">G247*Supuestos!$B$3</f>
        <v>0.088725</v>
      </c>
    </row>
    <row r="248" customFormat="false" ht="15" hidden="false" customHeight="false" outlineLevel="0" collapsed="false">
      <c r="A248" s="0" t="s">
        <v>193</v>
      </c>
      <c r="B248" s="0" t="s">
        <v>90</v>
      </c>
      <c r="C248" s="0" t="n">
        <v>7</v>
      </c>
      <c r="D248" s="5" t="n">
        <f aca="false">Supuestos!$B$11</f>
        <v>0.05</v>
      </c>
      <c r="E248" s="5" t="n">
        <f aca="false">IF(C248&lt;Familias!F3,0,INDEX(Supuestos!$B$13:$B$19,MIN(C248-Familias!F3+1,7)))</f>
        <v>0.8</v>
      </c>
      <c r="F248" s="4" t="n">
        <f aca="false">Familias!E3*D248*E248</f>
        <v>8.4</v>
      </c>
      <c r="G248" s="4" t="n">
        <f aca="false">F248*Supuestos!$B$2</f>
        <v>0.168</v>
      </c>
      <c r="H248" s="4" t="n">
        <f aca="false">G248*Supuestos!$B$3</f>
        <v>0.1092</v>
      </c>
    </row>
    <row r="249" customFormat="false" ht="15" hidden="false" customHeight="false" outlineLevel="0" collapsed="false">
      <c r="A249" s="0" t="s">
        <v>193</v>
      </c>
      <c r="B249" s="0" t="s">
        <v>90</v>
      </c>
      <c r="C249" s="0" t="n">
        <v>8</v>
      </c>
      <c r="D249" s="5" t="n">
        <f aca="false">Supuestos!$B$11</f>
        <v>0.05</v>
      </c>
      <c r="E249" s="5" t="n">
        <f aca="false">IF(C249&lt;Familias!F3,0,INDEX(Supuestos!$B$13:$B$19,MIN(C249-Familias!F3+1,7)))</f>
        <v>1</v>
      </c>
      <c r="F249" s="4" t="n">
        <f aca="false">Familias!E3*D249*E249</f>
        <v>10.5</v>
      </c>
      <c r="G249" s="4" t="n">
        <f aca="false">F249*Supuestos!$B$2</f>
        <v>0.21</v>
      </c>
      <c r="H249" s="4" t="n">
        <f aca="false">G249*Supuestos!$B$3</f>
        <v>0.1365</v>
      </c>
    </row>
    <row r="250" customFormat="false" ht="15" hidden="false" customHeight="false" outlineLevel="0" collapsed="false">
      <c r="A250" s="0" t="s">
        <v>193</v>
      </c>
      <c r="B250" s="0" t="s">
        <v>90</v>
      </c>
      <c r="C250" s="0" t="n">
        <v>9</v>
      </c>
      <c r="D250" s="5" t="n">
        <f aca="false">Supuestos!$B$11</f>
        <v>0.05</v>
      </c>
      <c r="E250" s="5" t="n">
        <f aca="false">IF(C250&lt;Familias!F3,0,INDEX(Supuestos!$B$13:$B$19,MIN(C250-Familias!F3+1,7)))</f>
        <v>1</v>
      </c>
      <c r="F250" s="4" t="n">
        <f aca="false">Familias!E3*D250*E250</f>
        <v>10.5</v>
      </c>
      <c r="G250" s="4" t="n">
        <f aca="false">F250*Supuestos!$B$2</f>
        <v>0.21</v>
      </c>
      <c r="H250" s="4" t="n">
        <f aca="false">G250*Supuestos!$B$3</f>
        <v>0.1365</v>
      </c>
    </row>
    <row r="251" customFormat="false" ht="15" hidden="false" customHeight="false" outlineLevel="0" collapsed="false">
      <c r="A251" s="0" t="s">
        <v>193</v>
      </c>
      <c r="B251" s="0" t="s">
        <v>90</v>
      </c>
      <c r="C251" s="0" t="n">
        <v>10</v>
      </c>
      <c r="D251" s="5" t="n">
        <f aca="false">Supuestos!$B$11</f>
        <v>0.05</v>
      </c>
      <c r="E251" s="5" t="n">
        <f aca="false">IF(C251&lt;Familias!F3,0,INDEX(Supuestos!$B$13:$B$19,MIN(C251-Familias!F3+1,7)))</f>
        <v>1</v>
      </c>
      <c r="F251" s="4" t="n">
        <f aca="false">Familias!E3*D251*E251</f>
        <v>10.5</v>
      </c>
      <c r="G251" s="4" t="n">
        <f aca="false">F251*Supuestos!$B$2</f>
        <v>0.21</v>
      </c>
      <c r="H251" s="4" t="n">
        <f aca="false">G251*Supuestos!$B$3</f>
        <v>0.1365</v>
      </c>
    </row>
    <row r="252" customFormat="false" ht="15" hidden="false" customHeight="false" outlineLevel="0" collapsed="false">
      <c r="A252" s="0" t="s">
        <v>193</v>
      </c>
      <c r="B252" s="0" t="s">
        <v>90</v>
      </c>
      <c r="C252" s="0" t="n">
        <v>11</v>
      </c>
      <c r="D252" s="5" t="n">
        <f aca="false">Supuestos!$B$11</f>
        <v>0.05</v>
      </c>
      <c r="E252" s="5" t="n">
        <f aca="false">IF(C252&lt;Familias!F3,0,INDEX(Supuestos!$B$13:$B$19,MIN(C252-Familias!F3+1,7)))</f>
        <v>1</v>
      </c>
      <c r="F252" s="4" t="n">
        <f aca="false">Familias!E3*D252*E252</f>
        <v>10.5</v>
      </c>
      <c r="G252" s="4" t="n">
        <f aca="false">F252*Supuestos!$B$2</f>
        <v>0.21</v>
      </c>
      <c r="H252" s="4" t="n">
        <f aca="false">G252*Supuestos!$B$3</f>
        <v>0.1365</v>
      </c>
    </row>
    <row r="253" customFormat="false" ht="15" hidden="false" customHeight="false" outlineLevel="0" collapsed="false">
      <c r="A253" s="0" t="s">
        <v>193</v>
      </c>
      <c r="B253" s="0" t="s">
        <v>90</v>
      </c>
      <c r="C253" s="0" t="n">
        <v>12</v>
      </c>
      <c r="D253" s="5" t="n">
        <f aca="false">Supuestos!$B$11</f>
        <v>0.05</v>
      </c>
      <c r="E253" s="5" t="n">
        <f aca="false">IF(C253&lt;Familias!F3,0,INDEX(Supuestos!$B$13:$B$19,MIN(C253-Familias!F3+1,7)))</f>
        <v>1</v>
      </c>
      <c r="F253" s="4" t="n">
        <f aca="false">Familias!E3*D253*E253</f>
        <v>10.5</v>
      </c>
      <c r="G253" s="4" t="n">
        <f aca="false">F253*Supuestos!$B$2</f>
        <v>0.21</v>
      </c>
      <c r="H253" s="4" t="n">
        <f aca="false">G253*Supuestos!$B$3</f>
        <v>0.1365</v>
      </c>
    </row>
    <row r="254" customFormat="false" ht="15" hidden="false" customHeight="false" outlineLevel="0" collapsed="false">
      <c r="A254" s="0" t="s">
        <v>193</v>
      </c>
      <c r="B254" s="0" t="s">
        <v>96</v>
      </c>
      <c r="C254" s="0" t="n">
        <v>1</v>
      </c>
      <c r="D254" s="5" t="n">
        <f aca="false">Supuestos!$B$11</f>
        <v>0.05</v>
      </c>
      <c r="E254" s="5" t="n">
        <f aca="false">IF(C254&lt;Familias!F4,0,INDEX(Supuestos!$B$13:$B$19,MIN(C254-Familias!F4+1,7)))</f>
        <v>0</v>
      </c>
      <c r="F254" s="4" t="n">
        <f aca="false">Familias!E4*D254*E254</f>
        <v>0</v>
      </c>
      <c r="G254" s="4" t="n">
        <f aca="false">F254*Supuestos!$B$2</f>
        <v>0</v>
      </c>
      <c r="H254" s="4" t="n">
        <f aca="false">G254*Supuestos!$B$3</f>
        <v>0</v>
      </c>
    </row>
    <row r="255" customFormat="false" ht="15" hidden="false" customHeight="false" outlineLevel="0" collapsed="false">
      <c r="A255" s="0" t="s">
        <v>193</v>
      </c>
      <c r="B255" s="0" t="s">
        <v>96</v>
      </c>
      <c r="C255" s="0" t="n">
        <v>2</v>
      </c>
      <c r="D255" s="5" t="n">
        <f aca="false">Supuestos!$B$11</f>
        <v>0.05</v>
      </c>
      <c r="E255" s="5" t="n">
        <f aca="false">IF(C255&lt;Familias!F4,0,INDEX(Supuestos!$B$13:$B$19,MIN(C255-Familias!F4+1,7)))</f>
        <v>0</v>
      </c>
      <c r="F255" s="4" t="n">
        <f aca="false">Familias!E4*D255*E255</f>
        <v>0</v>
      </c>
      <c r="G255" s="4" t="n">
        <f aca="false">F255*Supuestos!$B$2</f>
        <v>0</v>
      </c>
      <c r="H255" s="4" t="n">
        <f aca="false">G255*Supuestos!$B$3</f>
        <v>0</v>
      </c>
    </row>
    <row r="256" customFormat="false" ht="15" hidden="false" customHeight="false" outlineLevel="0" collapsed="false">
      <c r="A256" s="0" t="s">
        <v>193</v>
      </c>
      <c r="B256" s="0" t="s">
        <v>96</v>
      </c>
      <c r="C256" s="0" t="n">
        <v>3</v>
      </c>
      <c r="D256" s="5" t="n">
        <f aca="false">Supuestos!$B$11</f>
        <v>0.05</v>
      </c>
      <c r="E256" s="5" t="n">
        <f aca="false">IF(C256&lt;Familias!F4,0,INDEX(Supuestos!$B$13:$B$19,MIN(C256-Familias!F4+1,7)))</f>
        <v>0.1</v>
      </c>
      <c r="F256" s="4" t="n">
        <f aca="false">Familias!E4*D256*E256</f>
        <v>1.6</v>
      </c>
      <c r="G256" s="4" t="n">
        <f aca="false">F256*Supuestos!$B$2</f>
        <v>0.032</v>
      </c>
      <c r="H256" s="4" t="n">
        <f aca="false">G256*Supuestos!$B$3</f>
        <v>0.0208</v>
      </c>
    </row>
    <row r="257" customFormat="false" ht="15" hidden="false" customHeight="false" outlineLevel="0" collapsed="false">
      <c r="A257" s="0" t="s">
        <v>193</v>
      </c>
      <c r="B257" s="0" t="s">
        <v>96</v>
      </c>
      <c r="C257" s="0" t="n">
        <v>4</v>
      </c>
      <c r="D257" s="5" t="n">
        <f aca="false">Supuestos!$B$11</f>
        <v>0.05</v>
      </c>
      <c r="E257" s="5" t="n">
        <f aca="false">IF(C257&lt;Familias!F4,0,INDEX(Supuestos!$B$13:$B$19,MIN(C257-Familias!F4+1,7)))</f>
        <v>0.2</v>
      </c>
      <c r="F257" s="4" t="n">
        <f aca="false">Familias!E4*D257*E257</f>
        <v>3.2</v>
      </c>
      <c r="G257" s="4" t="n">
        <f aca="false">F257*Supuestos!$B$2</f>
        <v>0.064</v>
      </c>
      <c r="H257" s="4" t="n">
        <f aca="false">G257*Supuestos!$B$3</f>
        <v>0.0416</v>
      </c>
    </row>
    <row r="258" customFormat="false" ht="15" hidden="false" customHeight="false" outlineLevel="0" collapsed="false">
      <c r="A258" s="0" t="s">
        <v>193</v>
      </c>
      <c r="B258" s="0" t="s">
        <v>96</v>
      </c>
      <c r="C258" s="0" t="n">
        <v>5</v>
      </c>
      <c r="D258" s="5" t="n">
        <f aca="false">Supuestos!$B$11</f>
        <v>0.05</v>
      </c>
      <c r="E258" s="5" t="n">
        <f aca="false">IF(C258&lt;Familias!F4,0,INDEX(Supuestos!$B$13:$B$19,MIN(C258-Familias!F4+1,7)))</f>
        <v>0.35</v>
      </c>
      <c r="F258" s="4" t="n">
        <f aca="false">Familias!E4*D258*E258</f>
        <v>5.6</v>
      </c>
      <c r="G258" s="4" t="n">
        <f aca="false">F258*Supuestos!$B$2</f>
        <v>0.112</v>
      </c>
      <c r="H258" s="4" t="n">
        <f aca="false">G258*Supuestos!$B$3</f>
        <v>0.0728</v>
      </c>
    </row>
    <row r="259" customFormat="false" ht="15" hidden="false" customHeight="false" outlineLevel="0" collapsed="false">
      <c r="A259" s="0" t="s">
        <v>193</v>
      </c>
      <c r="B259" s="0" t="s">
        <v>96</v>
      </c>
      <c r="C259" s="0" t="n">
        <v>6</v>
      </c>
      <c r="D259" s="5" t="n">
        <f aca="false">Supuestos!$B$11</f>
        <v>0.05</v>
      </c>
      <c r="E259" s="5" t="n">
        <f aca="false">IF(C259&lt;Familias!F4,0,INDEX(Supuestos!$B$13:$B$19,MIN(C259-Familias!F4+1,7)))</f>
        <v>0.5</v>
      </c>
      <c r="F259" s="4" t="n">
        <f aca="false">Familias!E4*D259*E259</f>
        <v>8</v>
      </c>
      <c r="G259" s="4" t="n">
        <f aca="false">F259*Supuestos!$B$2</f>
        <v>0.16</v>
      </c>
      <c r="H259" s="4" t="n">
        <f aca="false">G259*Supuestos!$B$3</f>
        <v>0.104</v>
      </c>
    </row>
    <row r="260" customFormat="false" ht="15" hidden="false" customHeight="false" outlineLevel="0" collapsed="false">
      <c r="A260" s="0" t="s">
        <v>193</v>
      </c>
      <c r="B260" s="0" t="s">
        <v>96</v>
      </c>
      <c r="C260" s="0" t="n">
        <v>7</v>
      </c>
      <c r="D260" s="5" t="n">
        <f aca="false">Supuestos!$B$11</f>
        <v>0.05</v>
      </c>
      <c r="E260" s="5" t="n">
        <f aca="false">IF(C260&lt;Familias!F4,0,INDEX(Supuestos!$B$13:$B$19,MIN(C260-Familias!F4+1,7)))</f>
        <v>0.65</v>
      </c>
      <c r="F260" s="4" t="n">
        <f aca="false">Familias!E4*D260*E260</f>
        <v>10.4</v>
      </c>
      <c r="G260" s="4" t="n">
        <f aca="false">F260*Supuestos!$B$2</f>
        <v>0.208</v>
      </c>
      <c r="H260" s="4" t="n">
        <f aca="false">G260*Supuestos!$B$3</f>
        <v>0.1352</v>
      </c>
    </row>
    <row r="261" customFormat="false" ht="15" hidden="false" customHeight="false" outlineLevel="0" collapsed="false">
      <c r="A261" s="0" t="s">
        <v>193</v>
      </c>
      <c r="B261" s="0" t="s">
        <v>96</v>
      </c>
      <c r="C261" s="0" t="n">
        <v>8</v>
      </c>
      <c r="D261" s="5" t="n">
        <f aca="false">Supuestos!$B$11</f>
        <v>0.05</v>
      </c>
      <c r="E261" s="5" t="n">
        <f aca="false">IF(C261&lt;Familias!F4,0,INDEX(Supuestos!$B$13:$B$19,MIN(C261-Familias!F4+1,7)))</f>
        <v>0.8</v>
      </c>
      <c r="F261" s="4" t="n">
        <f aca="false">Familias!E4*D261*E261</f>
        <v>12.8</v>
      </c>
      <c r="G261" s="4" t="n">
        <f aca="false">F261*Supuestos!$B$2</f>
        <v>0.256</v>
      </c>
      <c r="H261" s="4" t="n">
        <f aca="false">G261*Supuestos!$B$3</f>
        <v>0.1664</v>
      </c>
    </row>
    <row r="262" customFormat="false" ht="15" hidden="false" customHeight="false" outlineLevel="0" collapsed="false">
      <c r="A262" s="0" t="s">
        <v>193</v>
      </c>
      <c r="B262" s="0" t="s">
        <v>96</v>
      </c>
      <c r="C262" s="0" t="n">
        <v>9</v>
      </c>
      <c r="D262" s="5" t="n">
        <f aca="false">Supuestos!$B$11</f>
        <v>0.05</v>
      </c>
      <c r="E262" s="5" t="n">
        <f aca="false">IF(C262&lt;Familias!F4,0,INDEX(Supuestos!$B$13:$B$19,MIN(C262-Familias!F4+1,7)))</f>
        <v>1</v>
      </c>
      <c r="F262" s="4" t="n">
        <f aca="false">Familias!E4*D262*E262</f>
        <v>16</v>
      </c>
      <c r="G262" s="4" t="n">
        <f aca="false">F262*Supuestos!$B$2</f>
        <v>0.32</v>
      </c>
      <c r="H262" s="4" t="n">
        <f aca="false">G262*Supuestos!$B$3</f>
        <v>0.208</v>
      </c>
    </row>
    <row r="263" customFormat="false" ht="15" hidden="false" customHeight="false" outlineLevel="0" collapsed="false">
      <c r="A263" s="0" t="s">
        <v>193</v>
      </c>
      <c r="B263" s="0" t="s">
        <v>96</v>
      </c>
      <c r="C263" s="0" t="n">
        <v>10</v>
      </c>
      <c r="D263" s="5" t="n">
        <f aca="false">Supuestos!$B$11</f>
        <v>0.05</v>
      </c>
      <c r="E263" s="5" t="n">
        <f aca="false">IF(C263&lt;Familias!F4,0,INDEX(Supuestos!$B$13:$B$19,MIN(C263-Familias!F4+1,7)))</f>
        <v>1</v>
      </c>
      <c r="F263" s="4" t="n">
        <f aca="false">Familias!E4*D263*E263</f>
        <v>16</v>
      </c>
      <c r="G263" s="4" t="n">
        <f aca="false">F263*Supuestos!$B$2</f>
        <v>0.32</v>
      </c>
      <c r="H263" s="4" t="n">
        <f aca="false">G263*Supuestos!$B$3</f>
        <v>0.208</v>
      </c>
    </row>
    <row r="264" customFormat="false" ht="15" hidden="false" customHeight="false" outlineLevel="0" collapsed="false">
      <c r="A264" s="0" t="s">
        <v>193</v>
      </c>
      <c r="B264" s="0" t="s">
        <v>96</v>
      </c>
      <c r="C264" s="0" t="n">
        <v>11</v>
      </c>
      <c r="D264" s="5" t="n">
        <f aca="false">Supuestos!$B$11</f>
        <v>0.05</v>
      </c>
      <c r="E264" s="5" t="n">
        <f aca="false">IF(C264&lt;Familias!F4,0,INDEX(Supuestos!$B$13:$B$19,MIN(C264-Familias!F4+1,7)))</f>
        <v>1</v>
      </c>
      <c r="F264" s="4" t="n">
        <f aca="false">Familias!E4*D264*E264</f>
        <v>16</v>
      </c>
      <c r="G264" s="4" t="n">
        <f aca="false">F264*Supuestos!$B$2</f>
        <v>0.32</v>
      </c>
      <c r="H264" s="4" t="n">
        <f aca="false">G264*Supuestos!$B$3</f>
        <v>0.208</v>
      </c>
    </row>
    <row r="265" customFormat="false" ht="15" hidden="false" customHeight="false" outlineLevel="0" collapsed="false">
      <c r="A265" s="0" t="s">
        <v>193</v>
      </c>
      <c r="B265" s="0" t="s">
        <v>96</v>
      </c>
      <c r="C265" s="0" t="n">
        <v>12</v>
      </c>
      <c r="D265" s="5" t="n">
        <f aca="false">Supuestos!$B$11</f>
        <v>0.05</v>
      </c>
      <c r="E265" s="5" t="n">
        <f aca="false">IF(C265&lt;Familias!F4,0,INDEX(Supuestos!$B$13:$B$19,MIN(C265-Familias!F4+1,7)))</f>
        <v>1</v>
      </c>
      <c r="F265" s="4" t="n">
        <f aca="false">Familias!E4*D265*E265</f>
        <v>16</v>
      </c>
      <c r="G265" s="4" t="n">
        <f aca="false">F265*Supuestos!$B$2</f>
        <v>0.32</v>
      </c>
      <c r="H265" s="4" t="n">
        <f aca="false">G265*Supuestos!$B$3</f>
        <v>0.208</v>
      </c>
    </row>
    <row r="266" customFormat="false" ht="15" hidden="false" customHeight="false" outlineLevel="0" collapsed="false">
      <c r="A266" s="0" t="s">
        <v>193</v>
      </c>
      <c r="B266" s="0" t="s">
        <v>101</v>
      </c>
      <c r="C266" s="0" t="n">
        <v>1</v>
      </c>
      <c r="D266" s="5" t="n">
        <f aca="false">Supuestos!$B$11</f>
        <v>0.05</v>
      </c>
      <c r="E266" s="5" t="n">
        <f aca="false">IF(C266&lt;Familias!F5,0,INDEX(Supuestos!$B$13:$B$19,MIN(C266-Familias!F5+1,7)))</f>
        <v>0.1</v>
      </c>
      <c r="F266" s="4" t="n">
        <f aca="false">Familias!E5*D266*E266</f>
        <v>1.05</v>
      </c>
      <c r="G266" s="4" t="n">
        <f aca="false">F266*Supuestos!$B$2</f>
        <v>0.021</v>
      </c>
      <c r="H266" s="4" t="n">
        <f aca="false">G266*Supuestos!$B$3</f>
        <v>0.01365</v>
      </c>
    </row>
    <row r="267" customFormat="false" ht="15" hidden="false" customHeight="false" outlineLevel="0" collapsed="false">
      <c r="A267" s="0" t="s">
        <v>193</v>
      </c>
      <c r="B267" s="0" t="s">
        <v>101</v>
      </c>
      <c r="C267" s="0" t="n">
        <v>2</v>
      </c>
      <c r="D267" s="5" t="n">
        <f aca="false">Supuestos!$B$11</f>
        <v>0.05</v>
      </c>
      <c r="E267" s="5" t="n">
        <f aca="false">IF(C267&lt;Familias!F5,0,INDEX(Supuestos!$B$13:$B$19,MIN(C267-Familias!F5+1,7)))</f>
        <v>0.2</v>
      </c>
      <c r="F267" s="4" t="n">
        <f aca="false">Familias!E5*D267*E267</f>
        <v>2.1</v>
      </c>
      <c r="G267" s="4" t="n">
        <f aca="false">F267*Supuestos!$B$2</f>
        <v>0.042</v>
      </c>
      <c r="H267" s="4" t="n">
        <f aca="false">G267*Supuestos!$B$3</f>
        <v>0.0273</v>
      </c>
    </row>
    <row r="268" customFormat="false" ht="15" hidden="false" customHeight="false" outlineLevel="0" collapsed="false">
      <c r="A268" s="0" t="s">
        <v>193</v>
      </c>
      <c r="B268" s="0" t="s">
        <v>101</v>
      </c>
      <c r="C268" s="0" t="n">
        <v>3</v>
      </c>
      <c r="D268" s="5" t="n">
        <f aca="false">Supuestos!$B$11</f>
        <v>0.05</v>
      </c>
      <c r="E268" s="5" t="n">
        <f aca="false">IF(C268&lt;Familias!F5,0,INDEX(Supuestos!$B$13:$B$19,MIN(C268-Familias!F5+1,7)))</f>
        <v>0.35</v>
      </c>
      <c r="F268" s="4" t="n">
        <f aca="false">Familias!E5*D268*E268</f>
        <v>3.675</v>
      </c>
      <c r="G268" s="4" t="n">
        <f aca="false">F268*Supuestos!$B$2</f>
        <v>0.0735</v>
      </c>
      <c r="H268" s="4" t="n">
        <f aca="false">G268*Supuestos!$B$3</f>
        <v>0.047775</v>
      </c>
    </row>
    <row r="269" customFormat="false" ht="15" hidden="false" customHeight="false" outlineLevel="0" collapsed="false">
      <c r="A269" s="0" t="s">
        <v>193</v>
      </c>
      <c r="B269" s="0" t="s">
        <v>101</v>
      </c>
      <c r="C269" s="0" t="n">
        <v>4</v>
      </c>
      <c r="D269" s="5" t="n">
        <f aca="false">Supuestos!$B$11</f>
        <v>0.05</v>
      </c>
      <c r="E269" s="5" t="n">
        <f aca="false">IF(C269&lt;Familias!F5,0,INDEX(Supuestos!$B$13:$B$19,MIN(C269-Familias!F5+1,7)))</f>
        <v>0.5</v>
      </c>
      <c r="F269" s="4" t="n">
        <f aca="false">Familias!E5*D269*E269</f>
        <v>5.25</v>
      </c>
      <c r="G269" s="4" t="n">
        <f aca="false">F269*Supuestos!$B$2</f>
        <v>0.105</v>
      </c>
      <c r="H269" s="4" t="n">
        <f aca="false">G269*Supuestos!$B$3</f>
        <v>0.06825</v>
      </c>
    </row>
    <row r="270" customFormat="false" ht="15" hidden="false" customHeight="false" outlineLevel="0" collapsed="false">
      <c r="A270" s="0" t="s">
        <v>193</v>
      </c>
      <c r="B270" s="0" t="s">
        <v>101</v>
      </c>
      <c r="C270" s="0" t="n">
        <v>5</v>
      </c>
      <c r="D270" s="5" t="n">
        <f aca="false">Supuestos!$B$11</f>
        <v>0.05</v>
      </c>
      <c r="E270" s="5" t="n">
        <f aca="false">IF(C270&lt;Familias!F5,0,INDEX(Supuestos!$B$13:$B$19,MIN(C270-Familias!F5+1,7)))</f>
        <v>0.65</v>
      </c>
      <c r="F270" s="4" t="n">
        <f aca="false">Familias!E5*D270*E270</f>
        <v>6.825</v>
      </c>
      <c r="G270" s="4" t="n">
        <f aca="false">F270*Supuestos!$B$2</f>
        <v>0.1365</v>
      </c>
      <c r="H270" s="4" t="n">
        <f aca="false">G270*Supuestos!$B$3</f>
        <v>0.088725</v>
      </c>
    </row>
    <row r="271" customFormat="false" ht="15" hidden="false" customHeight="false" outlineLevel="0" collapsed="false">
      <c r="A271" s="0" t="s">
        <v>193</v>
      </c>
      <c r="B271" s="0" t="s">
        <v>101</v>
      </c>
      <c r="C271" s="0" t="n">
        <v>6</v>
      </c>
      <c r="D271" s="5" t="n">
        <f aca="false">Supuestos!$B$11</f>
        <v>0.05</v>
      </c>
      <c r="E271" s="5" t="n">
        <f aca="false">IF(C271&lt;Familias!F5,0,INDEX(Supuestos!$B$13:$B$19,MIN(C271-Familias!F5+1,7)))</f>
        <v>0.8</v>
      </c>
      <c r="F271" s="4" t="n">
        <f aca="false">Familias!E5*D271*E271</f>
        <v>8.4</v>
      </c>
      <c r="G271" s="4" t="n">
        <f aca="false">F271*Supuestos!$B$2</f>
        <v>0.168</v>
      </c>
      <c r="H271" s="4" t="n">
        <f aca="false">G271*Supuestos!$B$3</f>
        <v>0.1092</v>
      </c>
    </row>
    <row r="272" customFormat="false" ht="15" hidden="false" customHeight="false" outlineLevel="0" collapsed="false">
      <c r="A272" s="0" t="s">
        <v>193</v>
      </c>
      <c r="B272" s="0" t="s">
        <v>101</v>
      </c>
      <c r="C272" s="0" t="n">
        <v>7</v>
      </c>
      <c r="D272" s="5" t="n">
        <f aca="false">Supuestos!$B$11</f>
        <v>0.05</v>
      </c>
      <c r="E272" s="5" t="n">
        <f aca="false">IF(C272&lt;Familias!F5,0,INDEX(Supuestos!$B$13:$B$19,MIN(C272-Familias!F5+1,7)))</f>
        <v>1</v>
      </c>
      <c r="F272" s="4" t="n">
        <f aca="false">Familias!E5*D272*E272</f>
        <v>10.5</v>
      </c>
      <c r="G272" s="4" t="n">
        <f aca="false">F272*Supuestos!$B$2</f>
        <v>0.21</v>
      </c>
      <c r="H272" s="4" t="n">
        <f aca="false">G272*Supuestos!$B$3</f>
        <v>0.1365</v>
      </c>
    </row>
    <row r="273" customFormat="false" ht="15" hidden="false" customHeight="false" outlineLevel="0" collapsed="false">
      <c r="A273" s="0" t="s">
        <v>193</v>
      </c>
      <c r="B273" s="0" t="s">
        <v>101</v>
      </c>
      <c r="C273" s="0" t="n">
        <v>8</v>
      </c>
      <c r="D273" s="5" t="n">
        <f aca="false">Supuestos!$B$11</f>
        <v>0.05</v>
      </c>
      <c r="E273" s="5" t="n">
        <f aca="false">IF(C273&lt;Familias!F5,0,INDEX(Supuestos!$B$13:$B$19,MIN(C273-Familias!F5+1,7)))</f>
        <v>1</v>
      </c>
      <c r="F273" s="4" t="n">
        <f aca="false">Familias!E5*D273*E273</f>
        <v>10.5</v>
      </c>
      <c r="G273" s="4" t="n">
        <f aca="false">F273*Supuestos!$B$2</f>
        <v>0.21</v>
      </c>
      <c r="H273" s="4" t="n">
        <f aca="false">G273*Supuestos!$B$3</f>
        <v>0.1365</v>
      </c>
    </row>
    <row r="274" customFormat="false" ht="15" hidden="false" customHeight="false" outlineLevel="0" collapsed="false">
      <c r="A274" s="0" t="s">
        <v>193</v>
      </c>
      <c r="B274" s="0" t="s">
        <v>101</v>
      </c>
      <c r="C274" s="0" t="n">
        <v>9</v>
      </c>
      <c r="D274" s="5" t="n">
        <f aca="false">Supuestos!$B$11</f>
        <v>0.05</v>
      </c>
      <c r="E274" s="5" t="n">
        <f aca="false">IF(C274&lt;Familias!F5,0,INDEX(Supuestos!$B$13:$B$19,MIN(C274-Familias!F5+1,7)))</f>
        <v>1</v>
      </c>
      <c r="F274" s="4" t="n">
        <f aca="false">Familias!E5*D274*E274</f>
        <v>10.5</v>
      </c>
      <c r="G274" s="4" t="n">
        <f aca="false">F274*Supuestos!$B$2</f>
        <v>0.21</v>
      </c>
      <c r="H274" s="4" t="n">
        <f aca="false">G274*Supuestos!$B$3</f>
        <v>0.1365</v>
      </c>
    </row>
    <row r="275" customFormat="false" ht="15" hidden="false" customHeight="false" outlineLevel="0" collapsed="false">
      <c r="A275" s="0" t="s">
        <v>193</v>
      </c>
      <c r="B275" s="0" t="s">
        <v>101</v>
      </c>
      <c r="C275" s="0" t="n">
        <v>10</v>
      </c>
      <c r="D275" s="5" t="n">
        <f aca="false">Supuestos!$B$11</f>
        <v>0.05</v>
      </c>
      <c r="E275" s="5" t="n">
        <f aca="false">IF(C275&lt;Familias!F5,0,INDEX(Supuestos!$B$13:$B$19,MIN(C275-Familias!F5+1,7)))</f>
        <v>1</v>
      </c>
      <c r="F275" s="4" t="n">
        <f aca="false">Familias!E5*D275*E275</f>
        <v>10.5</v>
      </c>
      <c r="G275" s="4" t="n">
        <f aca="false">F275*Supuestos!$B$2</f>
        <v>0.21</v>
      </c>
      <c r="H275" s="4" t="n">
        <f aca="false">G275*Supuestos!$B$3</f>
        <v>0.1365</v>
      </c>
    </row>
    <row r="276" customFormat="false" ht="15" hidden="false" customHeight="false" outlineLevel="0" collapsed="false">
      <c r="A276" s="0" t="s">
        <v>193</v>
      </c>
      <c r="B276" s="0" t="s">
        <v>101</v>
      </c>
      <c r="C276" s="0" t="n">
        <v>11</v>
      </c>
      <c r="D276" s="5" t="n">
        <f aca="false">Supuestos!$B$11</f>
        <v>0.05</v>
      </c>
      <c r="E276" s="5" t="n">
        <f aca="false">IF(C276&lt;Familias!F5,0,INDEX(Supuestos!$B$13:$B$19,MIN(C276-Familias!F5+1,7)))</f>
        <v>1</v>
      </c>
      <c r="F276" s="4" t="n">
        <f aca="false">Familias!E5*D276*E276</f>
        <v>10.5</v>
      </c>
      <c r="G276" s="4" t="n">
        <f aca="false">F276*Supuestos!$B$2</f>
        <v>0.21</v>
      </c>
      <c r="H276" s="4" t="n">
        <f aca="false">G276*Supuestos!$B$3</f>
        <v>0.1365</v>
      </c>
    </row>
    <row r="277" customFormat="false" ht="15" hidden="false" customHeight="false" outlineLevel="0" collapsed="false">
      <c r="A277" s="0" t="s">
        <v>193</v>
      </c>
      <c r="B277" s="0" t="s">
        <v>101</v>
      </c>
      <c r="C277" s="0" t="n">
        <v>12</v>
      </c>
      <c r="D277" s="5" t="n">
        <f aca="false">Supuestos!$B$11</f>
        <v>0.05</v>
      </c>
      <c r="E277" s="5" t="n">
        <f aca="false">IF(C277&lt;Familias!F5,0,INDEX(Supuestos!$B$13:$B$19,MIN(C277-Familias!F5+1,7)))</f>
        <v>1</v>
      </c>
      <c r="F277" s="4" t="n">
        <f aca="false">Familias!E5*D277*E277</f>
        <v>10.5</v>
      </c>
      <c r="G277" s="4" t="n">
        <f aca="false">F277*Supuestos!$B$2</f>
        <v>0.21</v>
      </c>
      <c r="H277" s="4" t="n">
        <f aca="false">G277*Supuestos!$B$3</f>
        <v>0.1365</v>
      </c>
    </row>
    <row r="278" customFormat="false" ht="15" hidden="false" customHeight="false" outlineLevel="0" collapsed="false">
      <c r="A278" s="0" t="s">
        <v>193</v>
      </c>
      <c r="B278" s="0" t="s">
        <v>106</v>
      </c>
      <c r="C278" s="0" t="n">
        <v>1</v>
      </c>
      <c r="D278" s="5" t="n">
        <f aca="false">Supuestos!$B$11</f>
        <v>0.05</v>
      </c>
      <c r="E278" s="5" t="n">
        <f aca="false">IF(C278&lt;Familias!F6,0,INDEX(Supuestos!$B$13:$B$19,MIN(C278-Familias!F6+1,7)))</f>
        <v>0.1</v>
      </c>
      <c r="F278" s="4" t="n">
        <f aca="false">Familias!E6*D278*E278</f>
        <v>0.25</v>
      </c>
      <c r="G278" s="4" t="n">
        <f aca="false">F278*Supuestos!$B$2</f>
        <v>0.005</v>
      </c>
      <c r="H278" s="4" t="n">
        <f aca="false">G278*Supuestos!$B$3</f>
        <v>0.00325</v>
      </c>
    </row>
    <row r="279" customFormat="false" ht="15" hidden="false" customHeight="false" outlineLevel="0" collapsed="false">
      <c r="A279" s="0" t="s">
        <v>193</v>
      </c>
      <c r="B279" s="0" t="s">
        <v>106</v>
      </c>
      <c r="C279" s="0" t="n">
        <v>2</v>
      </c>
      <c r="D279" s="5" t="n">
        <f aca="false">Supuestos!$B$11</f>
        <v>0.05</v>
      </c>
      <c r="E279" s="5" t="n">
        <f aca="false">IF(C279&lt;Familias!F6,0,INDEX(Supuestos!$B$13:$B$19,MIN(C279-Familias!F6+1,7)))</f>
        <v>0.2</v>
      </c>
      <c r="F279" s="4" t="n">
        <f aca="false">Familias!E6*D279*E279</f>
        <v>0.5</v>
      </c>
      <c r="G279" s="4" t="n">
        <f aca="false">F279*Supuestos!$B$2</f>
        <v>0.01</v>
      </c>
      <c r="H279" s="4" t="n">
        <f aca="false">G279*Supuestos!$B$3</f>
        <v>0.0065</v>
      </c>
    </row>
    <row r="280" customFormat="false" ht="15" hidden="false" customHeight="false" outlineLevel="0" collapsed="false">
      <c r="A280" s="0" t="s">
        <v>193</v>
      </c>
      <c r="B280" s="0" t="s">
        <v>106</v>
      </c>
      <c r="C280" s="0" t="n">
        <v>3</v>
      </c>
      <c r="D280" s="5" t="n">
        <f aca="false">Supuestos!$B$11</f>
        <v>0.05</v>
      </c>
      <c r="E280" s="5" t="n">
        <f aca="false">IF(C280&lt;Familias!F6,0,INDEX(Supuestos!$B$13:$B$19,MIN(C280-Familias!F6+1,7)))</f>
        <v>0.35</v>
      </c>
      <c r="F280" s="4" t="n">
        <f aca="false">Familias!E6*D280*E280</f>
        <v>0.875</v>
      </c>
      <c r="G280" s="4" t="n">
        <f aca="false">F280*Supuestos!$B$2</f>
        <v>0.0175</v>
      </c>
      <c r="H280" s="4" t="n">
        <f aca="false">G280*Supuestos!$B$3</f>
        <v>0.011375</v>
      </c>
    </row>
    <row r="281" customFormat="false" ht="15" hidden="false" customHeight="false" outlineLevel="0" collapsed="false">
      <c r="A281" s="0" t="s">
        <v>193</v>
      </c>
      <c r="B281" s="0" t="s">
        <v>106</v>
      </c>
      <c r="C281" s="0" t="n">
        <v>4</v>
      </c>
      <c r="D281" s="5" t="n">
        <f aca="false">Supuestos!$B$11</f>
        <v>0.05</v>
      </c>
      <c r="E281" s="5" t="n">
        <f aca="false">IF(C281&lt;Familias!F6,0,INDEX(Supuestos!$B$13:$B$19,MIN(C281-Familias!F6+1,7)))</f>
        <v>0.5</v>
      </c>
      <c r="F281" s="4" t="n">
        <f aca="false">Familias!E6*D281*E281</f>
        <v>1.25</v>
      </c>
      <c r="G281" s="4" t="n">
        <f aca="false">F281*Supuestos!$B$2</f>
        <v>0.025</v>
      </c>
      <c r="H281" s="4" t="n">
        <f aca="false">G281*Supuestos!$B$3</f>
        <v>0.01625</v>
      </c>
    </row>
    <row r="282" customFormat="false" ht="15" hidden="false" customHeight="false" outlineLevel="0" collapsed="false">
      <c r="A282" s="0" t="s">
        <v>193</v>
      </c>
      <c r="B282" s="0" t="s">
        <v>106</v>
      </c>
      <c r="C282" s="0" t="n">
        <v>5</v>
      </c>
      <c r="D282" s="5" t="n">
        <f aca="false">Supuestos!$B$11</f>
        <v>0.05</v>
      </c>
      <c r="E282" s="5" t="n">
        <f aca="false">IF(C282&lt;Familias!F6,0,INDEX(Supuestos!$B$13:$B$19,MIN(C282-Familias!F6+1,7)))</f>
        <v>0.65</v>
      </c>
      <c r="F282" s="4" t="n">
        <f aca="false">Familias!E6*D282*E282</f>
        <v>1.625</v>
      </c>
      <c r="G282" s="4" t="n">
        <f aca="false">F282*Supuestos!$B$2</f>
        <v>0.0325</v>
      </c>
      <c r="H282" s="4" t="n">
        <f aca="false">G282*Supuestos!$B$3</f>
        <v>0.021125</v>
      </c>
    </row>
    <row r="283" customFormat="false" ht="15" hidden="false" customHeight="false" outlineLevel="0" collapsed="false">
      <c r="A283" s="0" t="s">
        <v>193</v>
      </c>
      <c r="B283" s="0" t="s">
        <v>106</v>
      </c>
      <c r="C283" s="0" t="n">
        <v>6</v>
      </c>
      <c r="D283" s="5" t="n">
        <f aca="false">Supuestos!$B$11</f>
        <v>0.05</v>
      </c>
      <c r="E283" s="5" t="n">
        <f aca="false">IF(C283&lt;Familias!F6,0,INDEX(Supuestos!$B$13:$B$19,MIN(C283-Familias!F6+1,7)))</f>
        <v>0.8</v>
      </c>
      <c r="F283" s="4" t="n">
        <f aca="false">Familias!E6*D283*E283</f>
        <v>2</v>
      </c>
      <c r="G283" s="4" t="n">
        <f aca="false">F283*Supuestos!$B$2</f>
        <v>0.04</v>
      </c>
      <c r="H283" s="4" t="n">
        <f aca="false">G283*Supuestos!$B$3</f>
        <v>0.026</v>
      </c>
    </row>
    <row r="284" customFormat="false" ht="15" hidden="false" customHeight="false" outlineLevel="0" collapsed="false">
      <c r="A284" s="0" t="s">
        <v>193</v>
      </c>
      <c r="B284" s="0" t="s">
        <v>106</v>
      </c>
      <c r="C284" s="0" t="n">
        <v>7</v>
      </c>
      <c r="D284" s="5" t="n">
        <f aca="false">Supuestos!$B$11</f>
        <v>0.05</v>
      </c>
      <c r="E284" s="5" t="n">
        <f aca="false">IF(C284&lt;Familias!F6,0,INDEX(Supuestos!$B$13:$B$19,MIN(C284-Familias!F6+1,7)))</f>
        <v>1</v>
      </c>
      <c r="F284" s="4" t="n">
        <f aca="false">Familias!E6*D284*E284</f>
        <v>2.5</v>
      </c>
      <c r="G284" s="4" t="n">
        <f aca="false">F284*Supuestos!$B$2</f>
        <v>0.05</v>
      </c>
      <c r="H284" s="4" t="n">
        <f aca="false">G284*Supuestos!$B$3</f>
        <v>0.0325</v>
      </c>
    </row>
    <row r="285" customFormat="false" ht="15" hidden="false" customHeight="false" outlineLevel="0" collapsed="false">
      <c r="A285" s="0" t="s">
        <v>193</v>
      </c>
      <c r="B285" s="0" t="s">
        <v>106</v>
      </c>
      <c r="C285" s="0" t="n">
        <v>8</v>
      </c>
      <c r="D285" s="5" t="n">
        <f aca="false">Supuestos!$B$11</f>
        <v>0.05</v>
      </c>
      <c r="E285" s="5" t="n">
        <f aca="false">IF(C285&lt;Familias!F6,0,INDEX(Supuestos!$B$13:$B$19,MIN(C285-Familias!F6+1,7)))</f>
        <v>1</v>
      </c>
      <c r="F285" s="4" t="n">
        <f aca="false">Familias!E6*D285*E285</f>
        <v>2.5</v>
      </c>
      <c r="G285" s="4" t="n">
        <f aca="false">F285*Supuestos!$B$2</f>
        <v>0.05</v>
      </c>
      <c r="H285" s="4" t="n">
        <f aca="false">G285*Supuestos!$B$3</f>
        <v>0.0325</v>
      </c>
    </row>
    <row r="286" customFormat="false" ht="15" hidden="false" customHeight="false" outlineLevel="0" collapsed="false">
      <c r="A286" s="0" t="s">
        <v>193</v>
      </c>
      <c r="B286" s="0" t="s">
        <v>106</v>
      </c>
      <c r="C286" s="0" t="n">
        <v>9</v>
      </c>
      <c r="D286" s="5" t="n">
        <f aca="false">Supuestos!$B$11</f>
        <v>0.05</v>
      </c>
      <c r="E286" s="5" t="n">
        <f aca="false">IF(C286&lt;Familias!F6,0,INDEX(Supuestos!$B$13:$B$19,MIN(C286-Familias!F6+1,7)))</f>
        <v>1</v>
      </c>
      <c r="F286" s="4" t="n">
        <f aca="false">Familias!E6*D286*E286</f>
        <v>2.5</v>
      </c>
      <c r="G286" s="4" t="n">
        <f aca="false">F286*Supuestos!$B$2</f>
        <v>0.05</v>
      </c>
      <c r="H286" s="4" t="n">
        <f aca="false">G286*Supuestos!$B$3</f>
        <v>0.0325</v>
      </c>
    </row>
    <row r="287" customFormat="false" ht="15" hidden="false" customHeight="false" outlineLevel="0" collapsed="false">
      <c r="A287" s="0" t="s">
        <v>193</v>
      </c>
      <c r="B287" s="0" t="s">
        <v>106</v>
      </c>
      <c r="C287" s="0" t="n">
        <v>10</v>
      </c>
      <c r="D287" s="5" t="n">
        <f aca="false">Supuestos!$B$11</f>
        <v>0.05</v>
      </c>
      <c r="E287" s="5" t="n">
        <f aca="false">IF(C287&lt;Familias!F6,0,INDEX(Supuestos!$B$13:$B$19,MIN(C287-Familias!F6+1,7)))</f>
        <v>1</v>
      </c>
      <c r="F287" s="4" t="n">
        <f aca="false">Familias!E6*D287*E287</f>
        <v>2.5</v>
      </c>
      <c r="G287" s="4" t="n">
        <f aca="false">F287*Supuestos!$B$2</f>
        <v>0.05</v>
      </c>
      <c r="H287" s="4" t="n">
        <f aca="false">G287*Supuestos!$B$3</f>
        <v>0.0325</v>
      </c>
    </row>
    <row r="288" customFormat="false" ht="15" hidden="false" customHeight="false" outlineLevel="0" collapsed="false">
      <c r="A288" s="0" t="s">
        <v>193</v>
      </c>
      <c r="B288" s="0" t="s">
        <v>106</v>
      </c>
      <c r="C288" s="0" t="n">
        <v>11</v>
      </c>
      <c r="D288" s="5" t="n">
        <f aca="false">Supuestos!$B$11</f>
        <v>0.05</v>
      </c>
      <c r="E288" s="5" t="n">
        <f aca="false">IF(C288&lt;Familias!F6,0,INDEX(Supuestos!$B$13:$B$19,MIN(C288-Familias!F6+1,7)))</f>
        <v>1</v>
      </c>
      <c r="F288" s="4" t="n">
        <f aca="false">Familias!E6*D288*E288</f>
        <v>2.5</v>
      </c>
      <c r="G288" s="4" t="n">
        <f aca="false">F288*Supuestos!$B$2</f>
        <v>0.05</v>
      </c>
      <c r="H288" s="4" t="n">
        <f aca="false">G288*Supuestos!$B$3</f>
        <v>0.0325</v>
      </c>
    </row>
    <row r="289" customFormat="false" ht="15" hidden="false" customHeight="false" outlineLevel="0" collapsed="false">
      <c r="A289" s="0" t="s">
        <v>193</v>
      </c>
      <c r="B289" s="0" t="s">
        <v>106</v>
      </c>
      <c r="C289" s="0" t="n">
        <v>12</v>
      </c>
      <c r="D289" s="5" t="n">
        <f aca="false">Supuestos!$B$11</f>
        <v>0.05</v>
      </c>
      <c r="E289" s="5" t="n">
        <f aca="false">IF(C289&lt;Familias!F6,0,INDEX(Supuestos!$B$13:$B$19,MIN(C289-Familias!F6+1,7)))</f>
        <v>1</v>
      </c>
      <c r="F289" s="4" t="n">
        <f aca="false">Familias!E6*D289*E289</f>
        <v>2.5</v>
      </c>
      <c r="G289" s="4" t="n">
        <f aca="false">F289*Supuestos!$B$2</f>
        <v>0.05</v>
      </c>
      <c r="H289" s="4" t="n">
        <f aca="false">G289*Supuestos!$B$3</f>
        <v>0.0325</v>
      </c>
    </row>
    <row r="290" customFormat="false" ht="15" hidden="false" customHeight="false" outlineLevel="0" collapsed="false">
      <c r="A290" s="0" t="s">
        <v>193</v>
      </c>
      <c r="B290" s="0" t="s">
        <v>110</v>
      </c>
      <c r="C290" s="0" t="n">
        <v>1</v>
      </c>
      <c r="D290" s="5" t="n">
        <f aca="false">Supuestos!$B$11</f>
        <v>0.05</v>
      </c>
      <c r="E290" s="5" t="n">
        <f aca="false">IF(C290&lt;Familias!F7,0,INDEX(Supuestos!$B$13:$B$19,MIN(C290-Familias!F7+1,7)))</f>
        <v>0.1</v>
      </c>
      <c r="F290" s="4" t="n">
        <f aca="false">Familias!E7*D290*E290</f>
        <v>0.25</v>
      </c>
      <c r="G290" s="4" t="n">
        <f aca="false">F290*Supuestos!$B$2</f>
        <v>0.005</v>
      </c>
      <c r="H290" s="4" t="n">
        <f aca="false">G290*Supuestos!$B$3</f>
        <v>0.00325</v>
      </c>
    </row>
    <row r="291" customFormat="false" ht="15" hidden="false" customHeight="false" outlineLevel="0" collapsed="false">
      <c r="A291" s="0" t="s">
        <v>193</v>
      </c>
      <c r="B291" s="0" t="s">
        <v>110</v>
      </c>
      <c r="C291" s="0" t="n">
        <v>2</v>
      </c>
      <c r="D291" s="5" t="n">
        <f aca="false">Supuestos!$B$11</f>
        <v>0.05</v>
      </c>
      <c r="E291" s="5" t="n">
        <f aca="false">IF(C291&lt;Familias!F7,0,INDEX(Supuestos!$B$13:$B$19,MIN(C291-Familias!F7+1,7)))</f>
        <v>0.2</v>
      </c>
      <c r="F291" s="4" t="n">
        <f aca="false">Familias!E7*D291*E291</f>
        <v>0.5</v>
      </c>
      <c r="G291" s="4" t="n">
        <f aca="false">F291*Supuestos!$B$2</f>
        <v>0.01</v>
      </c>
      <c r="H291" s="4" t="n">
        <f aca="false">G291*Supuestos!$B$3</f>
        <v>0.0065</v>
      </c>
    </row>
    <row r="292" customFormat="false" ht="15" hidden="false" customHeight="false" outlineLevel="0" collapsed="false">
      <c r="A292" s="0" t="s">
        <v>193</v>
      </c>
      <c r="B292" s="0" t="s">
        <v>110</v>
      </c>
      <c r="C292" s="0" t="n">
        <v>3</v>
      </c>
      <c r="D292" s="5" t="n">
        <f aca="false">Supuestos!$B$11</f>
        <v>0.05</v>
      </c>
      <c r="E292" s="5" t="n">
        <f aca="false">IF(C292&lt;Familias!F7,0,INDEX(Supuestos!$B$13:$B$19,MIN(C292-Familias!F7+1,7)))</f>
        <v>0.35</v>
      </c>
      <c r="F292" s="4" t="n">
        <f aca="false">Familias!E7*D292*E292</f>
        <v>0.875</v>
      </c>
      <c r="G292" s="4" t="n">
        <f aca="false">F292*Supuestos!$B$2</f>
        <v>0.0175</v>
      </c>
      <c r="H292" s="4" t="n">
        <f aca="false">G292*Supuestos!$B$3</f>
        <v>0.011375</v>
      </c>
    </row>
    <row r="293" customFormat="false" ht="15" hidden="false" customHeight="false" outlineLevel="0" collapsed="false">
      <c r="A293" s="0" t="s">
        <v>193</v>
      </c>
      <c r="B293" s="0" t="s">
        <v>110</v>
      </c>
      <c r="C293" s="0" t="n">
        <v>4</v>
      </c>
      <c r="D293" s="5" t="n">
        <f aca="false">Supuestos!$B$11</f>
        <v>0.05</v>
      </c>
      <c r="E293" s="5" t="n">
        <f aca="false">IF(C293&lt;Familias!F7,0,INDEX(Supuestos!$B$13:$B$19,MIN(C293-Familias!F7+1,7)))</f>
        <v>0.5</v>
      </c>
      <c r="F293" s="4" t="n">
        <f aca="false">Familias!E7*D293*E293</f>
        <v>1.25</v>
      </c>
      <c r="G293" s="4" t="n">
        <f aca="false">F293*Supuestos!$B$2</f>
        <v>0.025</v>
      </c>
      <c r="H293" s="4" t="n">
        <f aca="false">G293*Supuestos!$B$3</f>
        <v>0.01625</v>
      </c>
    </row>
    <row r="294" customFormat="false" ht="15" hidden="false" customHeight="false" outlineLevel="0" collapsed="false">
      <c r="A294" s="0" t="s">
        <v>193</v>
      </c>
      <c r="B294" s="0" t="s">
        <v>110</v>
      </c>
      <c r="C294" s="0" t="n">
        <v>5</v>
      </c>
      <c r="D294" s="5" t="n">
        <f aca="false">Supuestos!$B$11</f>
        <v>0.05</v>
      </c>
      <c r="E294" s="5" t="n">
        <f aca="false">IF(C294&lt;Familias!F7,0,INDEX(Supuestos!$B$13:$B$19,MIN(C294-Familias!F7+1,7)))</f>
        <v>0.65</v>
      </c>
      <c r="F294" s="4" t="n">
        <f aca="false">Familias!E7*D294*E294</f>
        <v>1.625</v>
      </c>
      <c r="G294" s="4" t="n">
        <f aca="false">F294*Supuestos!$B$2</f>
        <v>0.0325</v>
      </c>
      <c r="H294" s="4" t="n">
        <f aca="false">G294*Supuestos!$B$3</f>
        <v>0.021125</v>
      </c>
    </row>
    <row r="295" customFormat="false" ht="15" hidden="false" customHeight="false" outlineLevel="0" collapsed="false">
      <c r="A295" s="0" t="s">
        <v>193</v>
      </c>
      <c r="B295" s="0" t="s">
        <v>110</v>
      </c>
      <c r="C295" s="0" t="n">
        <v>6</v>
      </c>
      <c r="D295" s="5" t="n">
        <f aca="false">Supuestos!$B$11</f>
        <v>0.05</v>
      </c>
      <c r="E295" s="5" t="n">
        <f aca="false">IF(C295&lt;Familias!F7,0,INDEX(Supuestos!$B$13:$B$19,MIN(C295-Familias!F7+1,7)))</f>
        <v>0.8</v>
      </c>
      <c r="F295" s="4" t="n">
        <f aca="false">Familias!E7*D295*E295</f>
        <v>2</v>
      </c>
      <c r="G295" s="4" t="n">
        <f aca="false">F295*Supuestos!$B$2</f>
        <v>0.04</v>
      </c>
      <c r="H295" s="4" t="n">
        <f aca="false">G295*Supuestos!$B$3</f>
        <v>0.026</v>
      </c>
    </row>
    <row r="296" customFormat="false" ht="15" hidden="false" customHeight="false" outlineLevel="0" collapsed="false">
      <c r="A296" s="0" t="s">
        <v>193</v>
      </c>
      <c r="B296" s="0" t="s">
        <v>110</v>
      </c>
      <c r="C296" s="0" t="n">
        <v>7</v>
      </c>
      <c r="D296" s="5" t="n">
        <f aca="false">Supuestos!$B$11</f>
        <v>0.05</v>
      </c>
      <c r="E296" s="5" t="n">
        <f aca="false">IF(C296&lt;Familias!F7,0,INDEX(Supuestos!$B$13:$B$19,MIN(C296-Familias!F7+1,7)))</f>
        <v>1</v>
      </c>
      <c r="F296" s="4" t="n">
        <f aca="false">Familias!E7*D296*E296</f>
        <v>2.5</v>
      </c>
      <c r="G296" s="4" t="n">
        <f aca="false">F296*Supuestos!$B$2</f>
        <v>0.05</v>
      </c>
      <c r="H296" s="4" t="n">
        <f aca="false">G296*Supuestos!$B$3</f>
        <v>0.0325</v>
      </c>
    </row>
    <row r="297" customFormat="false" ht="15" hidden="false" customHeight="false" outlineLevel="0" collapsed="false">
      <c r="A297" s="0" t="s">
        <v>193</v>
      </c>
      <c r="B297" s="0" t="s">
        <v>110</v>
      </c>
      <c r="C297" s="0" t="n">
        <v>8</v>
      </c>
      <c r="D297" s="5" t="n">
        <f aca="false">Supuestos!$B$11</f>
        <v>0.05</v>
      </c>
      <c r="E297" s="5" t="n">
        <f aca="false">IF(C297&lt;Familias!F7,0,INDEX(Supuestos!$B$13:$B$19,MIN(C297-Familias!F7+1,7)))</f>
        <v>1</v>
      </c>
      <c r="F297" s="4" t="n">
        <f aca="false">Familias!E7*D297*E297</f>
        <v>2.5</v>
      </c>
      <c r="G297" s="4" t="n">
        <f aca="false">F297*Supuestos!$B$2</f>
        <v>0.05</v>
      </c>
      <c r="H297" s="4" t="n">
        <f aca="false">G297*Supuestos!$B$3</f>
        <v>0.0325</v>
      </c>
    </row>
    <row r="298" customFormat="false" ht="15" hidden="false" customHeight="false" outlineLevel="0" collapsed="false">
      <c r="A298" s="0" t="s">
        <v>193</v>
      </c>
      <c r="B298" s="0" t="s">
        <v>110</v>
      </c>
      <c r="C298" s="0" t="n">
        <v>9</v>
      </c>
      <c r="D298" s="5" t="n">
        <f aca="false">Supuestos!$B$11</f>
        <v>0.05</v>
      </c>
      <c r="E298" s="5" t="n">
        <f aca="false">IF(C298&lt;Familias!F7,0,INDEX(Supuestos!$B$13:$B$19,MIN(C298-Familias!F7+1,7)))</f>
        <v>1</v>
      </c>
      <c r="F298" s="4" t="n">
        <f aca="false">Familias!E7*D298*E298</f>
        <v>2.5</v>
      </c>
      <c r="G298" s="4" t="n">
        <f aca="false">F298*Supuestos!$B$2</f>
        <v>0.05</v>
      </c>
      <c r="H298" s="4" t="n">
        <f aca="false">G298*Supuestos!$B$3</f>
        <v>0.0325</v>
      </c>
    </row>
    <row r="299" customFormat="false" ht="15" hidden="false" customHeight="false" outlineLevel="0" collapsed="false">
      <c r="A299" s="0" t="s">
        <v>193</v>
      </c>
      <c r="B299" s="0" t="s">
        <v>110</v>
      </c>
      <c r="C299" s="0" t="n">
        <v>10</v>
      </c>
      <c r="D299" s="5" t="n">
        <f aca="false">Supuestos!$B$11</f>
        <v>0.05</v>
      </c>
      <c r="E299" s="5" t="n">
        <f aca="false">IF(C299&lt;Familias!F7,0,INDEX(Supuestos!$B$13:$B$19,MIN(C299-Familias!F7+1,7)))</f>
        <v>1</v>
      </c>
      <c r="F299" s="4" t="n">
        <f aca="false">Familias!E7*D299*E299</f>
        <v>2.5</v>
      </c>
      <c r="G299" s="4" t="n">
        <f aca="false">F299*Supuestos!$B$2</f>
        <v>0.05</v>
      </c>
      <c r="H299" s="4" t="n">
        <f aca="false">G299*Supuestos!$B$3</f>
        <v>0.0325</v>
      </c>
    </row>
    <row r="300" customFormat="false" ht="15" hidden="false" customHeight="false" outlineLevel="0" collapsed="false">
      <c r="A300" s="0" t="s">
        <v>193</v>
      </c>
      <c r="B300" s="0" t="s">
        <v>110</v>
      </c>
      <c r="C300" s="0" t="n">
        <v>11</v>
      </c>
      <c r="D300" s="5" t="n">
        <f aca="false">Supuestos!$B$11</f>
        <v>0.05</v>
      </c>
      <c r="E300" s="5" t="n">
        <f aca="false">IF(C300&lt;Familias!F7,0,INDEX(Supuestos!$B$13:$B$19,MIN(C300-Familias!F7+1,7)))</f>
        <v>1</v>
      </c>
      <c r="F300" s="4" t="n">
        <f aca="false">Familias!E7*D300*E300</f>
        <v>2.5</v>
      </c>
      <c r="G300" s="4" t="n">
        <f aca="false">F300*Supuestos!$B$2</f>
        <v>0.05</v>
      </c>
      <c r="H300" s="4" t="n">
        <f aca="false">G300*Supuestos!$B$3</f>
        <v>0.0325</v>
      </c>
    </row>
    <row r="301" customFormat="false" ht="15" hidden="false" customHeight="false" outlineLevel="0" collapsed="false">
      <c r="A301" s="0" t="s">
        <v>193</v>
      </c>
      <c r="B301" s="0" t="s">
        <v>110</v>
      </c>
      <c r="C301" s="0" t="n">
        <v>12</v>
      </c>
      <c r="D301" s="5" t="n">
        <f aca="false">Supuestos!$B$11</f>
        <v>0.05</v>
      </c>
      <c r="E301" s="5" t="n">
        <f aca="false">IF(C301&lt;Familias!F7,0,INDEX(Supuestos!$B$13:$B$19,MIN(C301-Familias!F7+1,7)))</f>
        <v>1</v>
      </c>
      <c r="F301" s="4" t="n">
        <f aca="false">Familias!E7*D301*E301</f>
        <v>2.5</v>
      </c>
      <c r="G301" s="4" t="n">
        <f aca="false">F301*Supuestos!$B$2</f>
        <v>0.05</v>
      </c>
      <c r="H301" s="4" t="n">
        <f aca="false">G301*Supuestos!$B$3</f>
        <v>0.0325</v>
      </c>
    </row>
    <row r="302" customFormat="false" ht="15" hidden="false" customHeight="false" outlineLevel="0" collapsed="false">
      <c r="A302" s="0" t="s">
        <v>193</v>
      </c>
      <c r="B302" s="0" t="s">
        <v>115</v>
      </c>
      <c r="C302" s="0" t="n">
        <v>1</v>
      </c>
      <c r="D302" s="5" t="n">
        <f aca="false">Supuestos!$B$11</f>
        <v>0.05</v>
      </c>
      <c r="E302" s="5" t="n">
        <f aca="false">IF(C302&lt;Familias!F8,0,INDEX(Supuestos!$B$13:$B$19,MIN(C302-Familias!F8+1,7)))</f>
        <v>0</v>
      </c>
      <c r="F302" s="4" t="n">
        <f aca="false">Familias!E8*D302*E302</f>
        <v>0</v>
      </c>
      <c r="G302" s="4" t="n">
        <f aca="false">F302*Supuestos!$B$2</f>
        <v>0</v>
      </c>
      <c r="H302" s="4" t="n">
        <f aca="false">G302*Supuestos!$B$3</f>
        <v>0</v>
      </c>
    </row>
    <row r="303" customFormat="false" ht="15" hidden="false" customHeight="false" outlineLevel="0" collapsed="false">
      <c r="A303" s="0" t="s">
        <v>193</v>
      </c>
      <c r="B303" s="0" t="s">
        <v>115</v>
      </c>
      <c r="C303" s="0" t="n">
        <v>2</v>
      </c>
      <c r="D303" s="5" t="n">
        <f aca="false">Supuestos!$B$11</f>
        <v>0.05</v>
      </c>
      <c r="E303" s="5" t="n">
        <f aca="false">IF(C303&lt;Familias!F8,0,INDEX(Supuestos!$B$13:$B$19,MIN(C303-Familias!F8+1,7)))</f>
        <v>0.1</v>
      </c>
      <c r="F303" s="4" t="n">
        <f aca="false">Familias!E8*D303*E303</f>
        <v>8</v>
      </c>
      <c r="G303" s="4" t="n">
        <f aca="false">F303*Supuestos!$B$2</f>
        <v>0.16</v>
      </c>
      <c r="H303" s="4" t="n">
        <f aca="false">G303*Supuestos!$B$3</f>
        <v>0.104</v>
      </c>
    </row>
    <row r="304" customFormat="false" ht="15" hidden="false" customHeight="false" outlineLevel="0" collapsed="false">
      <c r="A304" s="0" t="s">
        <v>193</v>
      </c>
      <c r="B304" s="0" t="s">
        <v>115</v>
      </c>
      <c r="C304" s="0" t="n">
        <v>3</v>
      </c>
      <c r="D304" s="5" t="n">
        <f aca="false">Supuestos!$B$11</f>
        <v>0.05</v>
      </c>
      <c r="E304" s="5" t="n">
        <f aca="false">IF(C304&lt;Familias!F8,0,INDEX(Supuestos!$B$13:$B$19,MIN(C304-Familias!F8+1,7)))</f>
        <v>0.2</v>
      </c>
      <c r="F304" s="4" t="n">
        <f aca="false">Familias!E8*D304*E304</f>
        <v>16</v>
      </c>
      <c r="G304" s="4" t="n">
        <f aca="false">F304*Supuestos!$B$2</f>
        <v>0.32</v>
      </c>
      <c r="H304" s="4" t="n">
        <f aca="false">G304*Supuestos!$B$3</f>
        <v>0.208</v>
      </c>
    </row>
    <row r="305" customFormat="false" ht="15" hidden="false" customHeight="false" outlineLevel="0" collapsed="false">
      <c r="A305" s="0" t="s">
        <v>193</v>
      </c>
      <c r="B305" s="0" t="s">
        <v>115</v>
      </c>
      <c r="C305" s="0" t="n">
        <v>4</v>
      </c>
      <c r="D305" s="5" t="n">
        <f aca="false">Supuestos!$B$11</f>
        <v>0.05</v>
      </c>
      <c r="E305" s="5" t="n">
        <f aca="false">IF(C305&lt;Familias!F8,0,INDEX(Supuestos!$B$13:$B$19,MIN(C305-Familias!F8+1,7)))</f>
        <v>0.35</v>
      </c>
      <c r="F305" s="4" t="n">
        <f aca="false">Familias!E8*D305*E305</f>
        <v>28</v>
      </c>
      <c r="G305" s="4" t="n">
        <f aca="false">F305*Supuestos!$B$2</f>
        <v>0.56</v>
      </c>
      <c r="H305" s="4" t="n">
        <f aca="false">G305*Supuestos!$B$3</f>
        <v>0.364</v>
      </c>
    </row>
    <row r="306" customFormat="false" ht="15" hidden="false" customHeight="false" outlineLevel="0" collapsed="false">
      <c r="A306" s="0" t="s">
        <v>193</v>
      </c>
      <c r="B306" s="0" t="s">
        <v>115</v>
      </c>
      <c r="C306" s="0" t="n">
        <v>5</v>
      </c>
      <c r="D306" s="5" t="n">
        <f aca="false">Supuestos!$B$11</f>
        <v>0.05</v>
      </c>
      <c r="E306" s="5" t="n">
        <f aca="false">IF(C306&lt;Familias!F8,0,INDEX(Supuestos!$B$13:$B$19,MIN(C306-Familias!F8+1,7)))</f>
        <v>0.5</v>
      </c>
      <c r="F306" s="4" t="n">
        <f aca="false">Familias!E8*D306*E306</f>
        <v>40</v>
      </c>
      <c r="G306" s="4" t="n">
        <f aca="false">F306*Supuestos!$B$2</f>
        <v>0.8</v>
      </c>
      <c r="H306" s="4" t="n">
        <f aca="false">G306*Supuestos!$B$3</f>
        <v>0.52</v>
      </c>
    </row>
    <row r="307" customFormat="false" ht="15" hidden="false" customHeight="false" outlineLevel="0" collapsed="false">
      <c r="A307" s="0" t="s">
        <v>193</v>
      </c>
      <c r="B307" s="0" t="s">
        <v>115</v>
      </c>
      <c r="C307" s="0" t="n">
        <v>6</v>
      </c>
      <c r="D307" s="5" t="n">
        <f aca="false">Supuestos!$B$11</f>
        <v>0.05</v>
      </c>
      <c r="E307" s="5" t="n">
        <f aca="false">IF(C307&lt;Familias!F8,0,INDEX(Supuestos!$B$13:$B$19,MIN(C307-Familias!F8+1,7)))</f>
        <v>0.65</v>
      </c>
      <c r="F307" s="4" t="n">
        <f aca="false">Familias!E8*D307*E307</f>
        <v>52</v>
      </c>
      <c r="G307" s="4" t="n">
        <f aca="false">F307*Supuestos!$B$2</f>
        <v>1.04</v>
      </c>
      <c r="H307" s="4" t="n">
        <f aca="false">G307*Supuestos!$B$3</f>
        <v>0.676</v>
      </c>
    </row>
    <row r="308" customFormat="false" ht="15" hidden="false" customHeight="false" outlineLevel="0" collapsed="false">
      <c r="A308" s="0" t="s">
        <v>193</v>
      </c>
      <c r="B308" s="0" t="s">
        <v>115</v>
      </c>
      <c r="C308" s="0" t="n">
        <v>7</v>
      </c>
      <c r="D308" s="5" t="n">
        <f aca="false">Supuestos!$B$11</f>
        <v>0.05</v>
      </c>
      <c r="E308" s="5" t="n">
        <f aca="false">IF(C308&lt;Familias!F8,0,INDEX(Supuestos!$B$13:$B$19,MIN(C308-Familias!F8+1,7)))</f>
        <v>0.8</v>
      </c>
      <c r="F308" s="4" t="n">
        <f aca="false">Familias!E8*D308*E308</f>
        <v>64</v>
      </c>
      <c r="G308" s="4" t="n">
        <f aca="false">F308*Supuestos!$B$2</f>
        <v>1.28</v>
      </c>
      <c r="H308" s="4" t="n">
        <f aca="false">G308*Supuestos!$B$3</f>
        <v>0.832</v>
      </c>
    </row>
    <row r="309" customFormat="false" ht="15" hidden="false" customHeight="false" outlineLevel="0" collapsed="false">
      <c r="A309" s="0" t="s">
        <v>193</v>
      </c>
      <c r="B309" s="0" t="s">
        <v>115</v>
      </c>
      <c r="C309" s="0" t="n">
        <v>8</v>
      </c>
      <c r="D309" s="5" t="n">
        <f aca="false">Supuestos!$B$11</f>
        <v>0.05</v>
      </c>
      <c r="E309" s="5" t="n">
        <f aca="false">IF(C309&lt;Familias!F8,0,INDEX(Supuestos!$B$13:$B$19,MIN(C309-Familias!F8+1,7)))</f>
        <v>1</v>
      </c>
      <c r="F309" s="4" t="n">
        <f aca="false">Familias!E8*D309*E309</f>
        <v>80</v>
      </c>
      <c r="G309" s="4" t="n">
        <f aca="false">F309*Supuestos!$B$2</f>
        <v>1.6</v>
      </c>
      <c r="H309" s="4" t="n">
        <f aca="false">G309*Supuestos!$B$3</f>
        <v>1.04</v>
      </c>
    </row>
    <row r="310" customFormat="false" ht="15" hidden="false" customHeight="false" outlineLevel="0" collapsed="false">
      <c r="A310" s="0" t="s">
        <v>193</v>
      </c>
      <c r="B310" s="0" t="s">
        <v>115</v>
      </c>
      <c r="C310" s="0" t="n">
        <v>9</v>
      </c>
      <c r="D310" s="5" t="n">
        <f aca="false">Supuestos!$B$11</f>
        <v>0.05</v>
      </c>
      <c r="E310" s="5" t="n">
        <f aca="false">IF(C310&lt;Familias!F8,0,INDEX(Supuestos!$B$13:$B$19,MIN(C310-Familias!F8+1,7)))</f>
        <v>1</v>
      </c>
      <c r="F310" s="4" t="n">
        <f aca="false">Familias!E8*D310*E310</f>
        <v>80</v>
      </c>
      <c r="G310" s="4" t="n">
        <f aca="false">F310*Supuestos!$B$2</f>
        <v>1.6</v>
      </c>
      <c r="H310" s="4" t="n">
        <f aca="false">G310*Supuestos!$B$3</f>
        <v>1.04</v>
      </c>
    </row>
    <row r="311" customFormat="false" ht="15" hidden="false" customHeight="false" outlineLevel="0" collapsed="false">
      <c r="A311" s="0" t="s">
        <v>193</v>
      </c>
      <c r="B311" s="0" t="s">
        <v>115</v>
      </c>
      <c r="C311" s="0" t="n">
        <v>10</v>
      </c>
      <c r="D311" s="5" t="n">
        <f aca="false">Supuestos!$B$11</f>
        <v>0.05</v>
      </c>
      <c r="E311" s="5" t="n">
        <f aca="false">IF(C311&lt;Familias!F8,0,INDEX(Supuestos!$B$13:$B$19,MIN(C311-Familias!F8+1,7)))</f>
        <v>1</v>
      </c>
      <c r="F311" s="4" t="n">
        <f aca="false">Familias!E8*D311*E311</f>
        <v>80</v>
      </c>
      <c r="G311" s="4" t="n">
        <f aca="false">F311*Supuestos!$B$2</f>
        <v>1.6</v>
      </c>
      <c r="H311" s="4" t="n">
        <f aca="false">G311*Supuestos!$B$3</f>
        <v>1.04</v>
      </c>
    </row>
    <row r="312" customFormat="false" ht="15" hidden="false" customHeight="false" outlineLevel="0" collapsed="false">
      <c r="A312" s="0" t="s">
        <v>193</v>
      </c>
      <c r="B312" s="0" t="s">
        <v>115</v>
      </c>
      <c r="C312" s="0" t="n">
        <v>11</v>
      </c>
      <c r="D312" s="5" t="n">
        <f aca="false">Supuestos!$B$11</f>
        <v>0.05</v>
      </c>
      <c r="E312" s="5" t="n">
        <f aca="false">IF(C312&lt;Familias!F8,0,INDEX(Supuestos!$B$13:$B$19,MIN(C312-Familias!F8+1,7)))</f>
        <v>1</v>
      </c>
      <c r="F312" s="4" t="n">
        <f aca="false">Familias!E8*D312*E312</f>
        <v>80</v>
      </c>
      <c r="G312" s="4" t="n">
        <f aca="false">F312*Supuestos!$B$2</f>
        <v>1.6</v>
      </c>
      <c r="H312" s="4" t="n">
        <f aca="false">G312*Supuestos!$B$3</f>
        <v>1.04</v>
      </c>
    </row>
    <row r="313" customFormat="false" ht="15" hidden="false" customHeight="false" outlineLevel="0" collapsed="false">
      <c r="A313" s="0" t="s">
        <v>193</v>
      </c>
      <c r="B313" s="0" t="s">
        <v>115</v>
      </c>
      <c r="C313" s="0" t="n">
        <v>12</v>
      </c>
      <c r="D313" s="5" t="n">
        <f aca="false">Supuestos!$B$11</f>
        <v>0.05</v>
      </c>
      <c r="E313" s="5" t="n">
        <f aca="false">IF(C313&lt;Familias!F8,0,INDEX(Supuestos!$B$13:$B$19,MIN(C313-Familias!F8+1,7)))</f>
        <v>1</v>
      </c>
      <c r="F313" s="4" t="n">
        <f aca="false">Familias!E8*D313*E313</f>
        <v>80</v>
      </c>
      <c r="G313" s="4" t="n">
        <f aca="false">F313*Supuestos!$B$2</f>
        <v>1.6</v>
      </c>
      <c r="H313" s="4" t="n">
        <f aca="false">G313*Supuestos!$B$3</f>
        <v>1.04</v>
      </c>
    </row>
    <row r="314" customFormat="false" ht="15" hidden="false" customHeight="false" outlineLevel="0" collapsed="false">
      <c r="A314" s="0" t="s">
        <v>193</v>
      </c>
      <c r="B314" s="0" t="s">
        <v>121</v>
      </c>
      <c r="C314" s="0" t="n">
        <v>1</v>
      </c>
      <c r="D314" s="5" t="n">
        <f aca="false">Supuestos!$B$11</f>
        <v>0.05</v>
      </c>
      <c r="E314" s="5" t="n">
        <f aca="false">IF(C314&lt;Familias!F9,0,INDEX(Supuestos!$B$13:$B$19,MIN(C314-Familias!F9+1,7)))</f>
        <v>0.1</v>
      </c>
      <c r="F314" s="4" t="n">
        <f aca="false">Familias!E9*D314*E314</f>
        <v>6.5</v>
      </c>
      <c r="G314" s="4" t="n">
        <f aca="false">F314*Supuestos!$B$2</f>
        <v>0.13</v>
      </c>
      <c r="H314" s="4" t="n">
        <f aca="false">G314*Supuestos!$B$3</f>
        <v>0.0845</v>
      </c>
    </row>
    <row r="315" customFormat="false" ht="15" hidden="false" customHeight="false" outlineLevel="0" collapsed="false">
      <c r="A315" s="0" t="s">
        <v>193</v>
      </c>
      <c r="B315" s="0" t="s">
        <v>121</v>
      </c>
      <c r="C315" s="0" t="n">
        <v>2</v>
      </c>
      <c r="D315" s="5" t="n">
        <f aca="false">Supuestos!$B$11</f>
        <v>0.05</v>
      </c>
      <c r="E315" s="5" t="n">
        <f aca="false">IF(C315&lt;Familias!F9,0,INDEX(Supuestos!$B$13:$B$19,MIN(C315-Familias!F9+1,7)))</f>
        <v>0.2</v>
      </c>
      <c r="F315" s="4" t="n">
        <f aca="false">Familias!E9*D315*E315</f>
        <v>13</v>
      </c>
      <c r="G315" s="4" t="n">
        <f aca="false">F315*Supuestos!$B$2</f>
        <v>0.26</v>
      </c>
      <c r="H315" s="4" t="n">
        <f aca="false">G315*Supuestos!$B$3</f>
        <v>0.169</v>
      </c>
    </row>
    <row r="316" customFormat="false" ht="15" hidden="false" customHeight="false" outlineLevel="0" collapsed="false">
      <c r="A316" s="0" t="s">
        <v>193</v>
      </c>
      <c r="B316" s="0" t="s">
        <v>121</v>
      </c>
      <c r="C316" s="0" t="n">
        <v>3</v>
      </c>
      <c r="D316" s="5" t="n">
        <f aca="false">Supuestos!$B$11</f>
        <v>0.05</v>
      </c>
      <c r="E316" s="5" t="n">
        <f aca="false">IF(C316&lt;Familias!F9,0,INDEX(Supuestos!$B$13:$B$19,MIN(C316-Familias!F9+1,7)))</f>
        <v>0.35</v>
      </c>
      <c r="F316" s="4" t="n">
        <f aca="false">Familias!E9*D316*E316</f>
        <v>22.75</v>
      </c>
      <c r="G316" s="4" t="n">
        <f aca="false">F316*Supuestos!$B$2</f>
        <v>0.455</v>
      </c>
      <c r="H316" s="4" t="n">
        <f aca="false">G316*Supuestos!$B$3</f>
        <v>0.29575</v>
      </c>
    </row>
    <row r="317" customFormat="false" ht="15" hidden="false" customHeight="false" outlineLevel="0" collapsed="false">
      <c r="A317" s="0" t="s">
        <v>193</v>
      </c>
      <c r="B317" s="0" t="s">
        <v>121</v>
      </c>
      <c r="C317" s="0" t="n">
        <v>4</v>
      </c>
      <c r="D317" s="5" t="n">
        <f aca="false">Supuestos!$B$11</f>
        <v>0.05</v>
      </c>
      <c r="E317" s="5" t="n">
        <f aca="false">IF(C317&lt;Familias!F9,0,INDEX(Supuestos!$B$13:$B$19,MIN(C317-Familias!F9+1,7)))</f>
        <v>0.5</v>
      </c>
      <c r="F317" s="4" t="n">
        <f aca="false">Familias!E9*D317*E317</f>
        <v>32.5</v>
      </c>
      <c r="G317" s="4" t="n">
        <f aca="false">F317*Supuestos!$B$2</f>
        <v>0.65</v>
      </c>
      <c r="H317" s="4" t="n">
        <f aca="false">G317*Supuestos!$B$3</f>
        <v>0.4225</v>
      </c>
    </row>
    <row r="318" customFormat="false" ht="15" hidden="false" customHeight="false" outlineLevel="0" collapsed="false">
      <c r="A318" s="0" t="s">
        <v>193</v>
      </c>
      <c r="B318" s="0" t="s">
        <v>121</v>
      </c>
      <c r="C318" s="0" t="n">
        <v>5</v>
      </c>
      <c r="D318" s="5" t="n">
        <f aca="false">Supuestos!$B$11</f>
        <v>0.05</v>
      </c>
      <c r="E318" s="5" t="n">
        <f aca="false">IF(C318&lt;Familias!F9,0,INDEX(Supuestos!$B$13:$B$19,MIN(C318-Familias!F9+1,7)))</f>
        <v>0.65</v>
      </c>
      <c r="F318" s="4" t="n">
        <f aca="false">Familias!E9*D318*E318</f>
        <v>42.25</v>
      </c>
      <c r="G318" s="4" t="n">
        <f aca="false">F318*Supuestos!$B$2</f>
        <v>0.845</v>
      </c>
      <c r="H318" s="4" t="n">
        <f aca="false">G318*Supuestos!$B$3</f>
        <v>0.54925</v>
      </c>
    </row>
    <row r="319" customFormat="false" ht="15" hidden="false" customHeight="false" outlineLevel="0" collapsed="false">
      <c r="A319" s="0" t="s">
        <v>193</v>
      </c>
      <c r="B319" s="0" t="s">
        <v>121</v>
      </c>
      <c r="C319" s="0" t="n">
        <v>6</v>
      </c>
      <c r="D319" s="5" t="n">
        <f aca="false">Supuestos!$B$11</f>
        <v>0.05</v>
      </c>
      <c r="E319" s="5" t="n">
        <f aca="false">IF(C319&lt;Familias!F9,0,INDEX(Supuestos!$B$13:$B$19,MIN(C319-Familias!F9+1,7)))</f>
        <v>0.8</v>
      </c>
      <c r="F319" s="4" t="n">
        <f aca="false">Familias!E9*D319*E319</f>
        <v>52</v>
      </c>
      <c r="G319" s="4" t="n">
        <f aca="false">F319*Supuestos!$B$2</f>
        <v>1.04</v>
      </c>
      <c r="H319" s="4" t="n">
        <f aca="false">G319*Supuestos!$B$3</f>
        <v>0.676</v>
      </c>
    </row>
    <row r="320" customFormat="false" ht="15" hidden="false" customHeight="false" outlineLevel="0" collapsed="false">
      <c r="A320" s="0" t="s">
        <v>193</v>
      </c>
      <c r="B320" s="0" t="s">
        <v>121</v>
      </c>
      <c r="C320" s="0" t="n">
        <v>7</v>
      </c>
      <c r="D320" s="5" t="n">
        <f aca="false">Supuestos!$B$11</f>
        <v>0.05</v>
      </c>
      <c r="E320" s="5" t="n">
        <f aca="false">IF(C320&lt;Familias!F9,0,INDEX(Supuestos!$B$13:$B$19,MIN(C320-Familias!F9+1,7)))</f>
        <v>1</v>
      </c>
      <c r="F320" s="4" t="n">
        <f aca="false">Familias!E9*D320*E320</f>
        <v>65</v>
      </c>
      <c r="G320" s="4" t="n">
        <f aca="false">F320*Supuestos!$B$2</f>
        <v>1.3</v>
      </c>
      <c r="H320" s="4" t="n">
        <f aca="false">G320*Supuestos!$B$3</f>
        <v>0.845</v>
      </c>
    </row>
    <row r="321" customFormat="false" ht="15" hidden="false" customHeight="false" outlineLevel="0" collapsed="false">
      <c r="A321" s="0" t="s">
        <v>193</v>
      </c>
      <c r="B321" s="0" t="s">
        <v>121</v>
      </c>
      <c r="C321" s="0" t="n">
        <v>8</v>
      </c>
      <c r="D321" s="5" t="n">
        <f aca="false">Supuestos!$B$11</f>
        <v>0.05</v>
      </c>
      <c r="E321" s="5" t="n">
        <f aca="false">IF(C321&lt;Familias!F9,0,INDEX(Supuestos!$B$13:$B$19,MIN(C321-Familias!F9+1,7)))</f>
        <v>1</v>
      </c>
      <c r="F321" s="4" t="n">
        <f aca="false">Familias!E9*D321*E321</f>
        <v>65</v>
      </c>
      <c r="G321" s="4" t="n">
        <f aca="false">F321*Supuestos!$B$2</f>
        <v>1.3</v>
      </c>
      <c r="H321" s="4" t="n">
        <f aca="false">G321*Supuestos!$B$3</f>
        <v>0.845</v>
      </c>
    </row>
    <row r="322" customFormat="false" ht="15" hidden="false" customHeight="false" outlineLevel="0" collapsed="false">
      <c r="A322" s="0" t="s">
        <v>193</v>
      </c>
      <c r="B322" s="0" t="s">
        <v>121</v>
      </c>
      <c r="C322" s="0" t="n">
        <v>9</v>
      </c>
      <c r="D322" s="5" t="n">
        <f aca="false">Supuestos!$B$11</f>
        <v>0.05</v>
      </c>
      <c r="E322" s="5" t="n">
        <f aca="false">IF(C322&lt;Familias!F9,0,INDEX(Supuestos!$B$13:$B$19,MIN(C322-Familias!F9+1,7)))</f>
        <v>1</v>
      </c>
      <c r="F322" s="4" t="n">
        <f aca="false">Familias!E9*D322*E322</f>
        <v>65</v>
      </c>
      <c r="G322" s="4" t="n">
        <f aca="false">F322*Supuestos!$B$2</f>
        <v>1.3</v>
      </c>
      <c r="H322" s="4" t="n">
        <f aca="false">G322*Supuestos!$B$3</f>
        <v>0.845</v>
      </c>
    </row>
    <row r="323" customFormat="false" ht="15" hidden="false" customHeight="false" outlineLevel="0" collapsed="false">
      <c r="A323" s="0" t="s">
        <v>193</v>
      </c>
      <c r="B323" s="0" t="s">
        <v>121</v>
      </c>
      <c r="C323" s="0" t="n">
        <v>10</v>
      </c>
      <c r="D323" s="5" t="n">
        <f aca="false">Supuestos!$B$11</f>
        <v>0.05</v>
      </c>
      <c r="E323" s="5" t="n">
        <f aca="false">IF(C323&lt;Familias!F9,0,INDEX(Supuestos!$B$13:$B$19,MIN(C323-Familias!F9+1,7)))</f>
        <v>1</v>
      </c>
      <c r="F323" s="4" t="n">
        <f aca="false">Familias!E9*D323*E323</f>
        <v>65</v>
      </c>
      <c r="G323" s="4" t="n">
        <f aca="false">F323*Supuestos!$B$2</f>
        <v>1.3</v>
      </c>
      <c r="H323" s="4" t="n">
        <f aca="false">G323*Supuestos!$B$3</f>
        <v>0.845</v>
      </c>
    </row>
    <row r="324" customFormat="false" ht="15" hidden="false" customHeight="false" outlineLevel="0" collapsed="false">
      <c r="A324" s="0" t="s">
        <v>193</v>
      </c>
      <c r="B324" s="0" t="s">
        <v>121</v>
      </c>
      <c r="C324" s="0" t="n">
        <v>11</v>
      </c>
      <c r="D324" s="5" t="n">
        <f aca="false">Supuestos!$B$11</f>
        <v>0.05</v>
      </c>
      <c r="E324" s="5" t="n">
        <f aca="false">IF(C324&lt;Familias!F9,0,INDEX(Supuestos!$B$13:$B$19,MIN(C324-Familias!F9+1,7)))</f>
        <v>1</v>
      </c>
      <c r="F324" s="4" t="n">
        <f aca="false">Familias!E9*D324*E324</f>
        <v>65</v>
      </c>
      <c r="G324" s="4" t="n">
        <f aca="false">F324*Supuestos!$B$2</f>
        <v>1.3</v>
      </c>
      <c r="H324" s="4" t="n">
        <f aca="false">G324*Supuestos!$B$3</f>
        <v>0.845</v>
      </c>
    </row>
    <row r="325" customFormat="false" ht="15" hidden="false" customHeight="false" outlineLevel="0" collapsed="false">
      <c r="A325" s="0" t="s">
        <v>193</v>
      </c>
      <c r="B325" s="0" t="s">
        <v>121</v>
      </c>
      <c r="C325" s="0" t="n">
        <v>12</v>
      </c>
      <c r="D325" s="5" t="n">
        <f aca="false">Supuestos!$B$11</f>
        <v>0.05</v>
      </c>
      <c r="E325" s="5" t="n">
        <f aca="false">IF(C325&lt;Familias!F9,0,INDEX(Supuestos!$B$13:$B$19,MIN(C325-Familias!F9+1,7)))</f>
        <v>1</v>
      </c>
      <c r="F325" s="4" t="n">
        <f aca="false">Familias!E9*D325*E325</f>
        <v>65</v>
      </c>
      <c r="G325" s="4" t="n">
        <f aca="false">F325*Supuestos!$B$2</f>
        <v>1.3</v>
      </c>
      <c r="H325" s="4" t="n">
        <f aca="false">G325*Supuestos!$B$3</f>
        <v>0.845</v>
      </c>
    </row>
    <row r="326" customFormat="false" ht="15" hidden="false" customHeight="false" outlineLevel="0" collapsed="false">
      <c r="A326" s="0" t="s">
        <v>193</v>
      </c>
      <c r="B326" s="0" t="s">
        <v>127</v>
      </c>
      <c r="C326" s="0" t="n">
        <v>1</v>
      </c>
      <c r="D326" s="5" t="n">
        <f aca="false">Supuestos!$B$11</f>
        <v>0.05</v>
      </c>
      <c r="E326" s="5" t="n">
        <f aca="false">IF(C326&lt;Familias!F10,0,INDEX(Supuestos!$B$13:$B$19,MIN(C326-Familias!F10+1,7)))</f>
        <v>0</v>
      </c>
      <c r="F326" s="4" t="n">
        <f aca="false">Familias!E10*D326*E326</f>
        <v>0</v>
      </c>
      <c r="G326" s="4" t="n">
        <f aca="false">F326*Supuestos!$B$2</f>
        <v>0</v>
      </c>
      <c r="H326" s="4" t="n">
        <f aca="false">G326*Supuestos!$B$3</f>
        <v>0</v>
      </c>
    </row>
    <row r="327" customFormat="false" ht="15" hidden="false" customHeight="false" outlineLevel="0" collapsed="false">
      <c r="A327" s="0" t="s">
        <v>193</v>
      </c>
      <c r="B327" s="0" t="s">
        <v>127</v>
      </c>
      <c r="C327" s="0" t="n">
        <v>2</v>
      </c>
      <c r="D327" s="5" t="n">
        <f aca="false">Supuestos!$B$11</f>
        <v>0.05</v>
      </c>
      <c r="E327" s="5" t="n">
        <f aca="false">IF(C327&lt;Familias!F10,0,INDEX(Supuestos!$B$13:$B$19,MIN(C327-Familias!F10+1,7)))</f>
        <v>0</v>
      </c>
      <c r="F327" s="4" t="n">
        <f aca="false">Familias!E10*D327*E327</f>
        <v>0</v>
      </c>
      <c r="G327" s="4" t="n">
        <f aca="false">F327*Supuestos!$B$2</f>
        <v>0</v>
      </c>
      <c r="H327" s="4" t="n">
        <f aca="false">G327*Supuestos!$B$3</f>
        <v>0</v>
      </c>
    </row>
    <row r="328" customFormat="false" ht="15" hidden="false" customHeight="false" outlineLevel="0" collapsed="false">
      <c r="A328" s="0" t="s">
        <v>193</v>
      </c>
      <c r="B328" s="0" t="s">
        <v>127</v>
      </c>
      <c r="C328" s="0" t="n">
        <v>3</v>
      </c>
      <c r="D328" s="5" t="n">
        <f aca="false">Supuestos!$B$11</f>
        <v>0.05</v>
      </c>
      <c r="E328" s="5" t="n">
        <f aca="false">IF(C328&lt;Familias!F10,0,INDEX(Supuestos!$B$13:$B$19,MIN(C328-Familias!F10+1,7)))</f>
        <v>0.1</v>
      </c>
      <c r="F328" s="4" t="n">
        <f aca="false">Familias!E10*D328*E328</f>
        <v>1.95</v>
      </c>
      <c r="G328" s="4" t="n">
        <f aca="false">F328*Supuestos!$B$2</f>
        <v>0.039</v>
      </c>
      <c r="H328" s="4" t="n">
        <f aca="false">G328*Supuestos!$B$3</f>
        <v>0.02535</v>
      </c>
    </row>
    <row r="329" customFormat="false" ht="15" hidden="false" customHeight="false" outlineLevel="0" collapsed="false">
      <c r="A329" s="0" t="s">
        <v>193</v>
      </c>
      <c r="B329" s="0" t="s">
        <v>127</v>
      </c>
      <c r="C329" s="0" t="n">
        <v>4</v>
      </c>
      <c r="D329" s="5" t="n">
        <f aca="false">Supuestos!$B$11</f>
        <v>0.05</v>
      </c>
      <c r="E329" s="5" t="n">
        <f aca="false">IF(C329&lt;Familias!F10,0,INDEX(Supuestos!$B$13:$B$19,MIN(C329-Familias!F10+1,7)))</f>
        <v>0.2</v>
      </c>
      <c r="F329" s="4" t="n">
        <f aca="false">Familias!E10*D329*E329</f>
        <v>3.9</v>
      </c>
      <c r="G329" s="4" t="n">
        <f aca="false">F329*Supuestos!$B$2</f>
        <v>0.078</v>
      </c>
      <c r="H329" s="4" t="n">
        <f aca="false">G329*Supuestos!$B$3</f>
        <v>0.0507</v>
      </c>
    </row>
    <row r="330" customFormat="false" ht="15" hidden="false" customHeight="false" outlineLevel="0" collapsed="false">
      <c r="A330" s="0" t="s">
        <v>193</v>
      </c>
      <c r="B330" s="0" t="s">
        <v>127</v>
      </c>
      <c r="C330" s="0" t="n">
        <v>5</v>
      </c>
      <c r="D330" s="5" t="n">
        <f aca="false">Supuestos!$B$11</f>
        <v>0.05</v>
      </c>
      <c r="E330" s="5" t="n">
        <f aca="false">IF(C330&lt;Familias!F10,0,INDEX(Supuestos!$B$13:$B$19,MIN(C330-Familias!F10+1,7)))</f>
        <v>0.35</v>
      </c>
      <c r="F330" s="4" t="n">
        <f aca="false">Familias!E10*D330*E330</f>
        <v>6.825</v>
      </c>
      <c r="G330" s="4" t="n">
        <f aca="false">F330*Supuestos!$B$2</f>
        <v>0.1365</v>
      </c>
      <c r="H330" s="4" t="n">
        <f aca="false">G330*Supuestos!$B$3</f>
        <v>0.088725</v>
      </c>
    </row>
    <row r="331" customFormat="false" ht="15" hidden="false" customHeight="false" outlineLevel="0" collapsed="false">
      <c r="A331" s="0" t="s">
        <v>193</v>
      </c>
      <c r="B331" s="0" t="s">
        <v>127</v>
      </c>
      <c r="C331" s="0" t="n">
        <v>6</v>
      </c>
      <c r="D331" s="5" t="n">
        <f aca="false">Supuestos!$B$11</f>
        <v>0.05</v>
      </c>
      <c r="E331" s="5" t="n">
        <f aca="false">IF(C331&lt;Familias!F10,0,INDEX(Supuestos!$B$13:$B$19,MIN(C331-Familias!F10+1,7)))</f>
        <v>0.5</v>
      </c>
      <c r="F331" s="4" t="n">
        <f aca="false">Familias!E10*D331*E331</f>
        <v>9.75</v>
      </c>
      <c r="G331" s="4" t="n">
        <f aca="false">F331*Supuestos!$B$2</f>
        <v>0.195</v>
      </c>
      <c r="H331" s="4" t="n">
        <f aca="false">G331*Supuestos!$B$3</f>
        <v>0.12675</v>
      </c>
    </row>
    <row r="332" customFormat="false" ht="15" hidden="false" customHeight="false" outlineLevel="0" collapsed="false">
      <c r="A332" s="0" t="s">
        <v>193</v>
      </c>
      <c r="B332" s="0" t="s">
        <v>127</v>
      </c>
      <c r="C332" s="0" t="n">
        <v>7</v>
      </c>
      <c r="D332" s="5" t="n">
        <f aca="false">Supuestos!$B$11</f>
        <v>0.05</v>
      </c>
      <c r="E332" s="5" t="n">
        <f aca="false">IF(C332&lt;Familias!F10,0,INDEX(Supuestos!$B$13:$B$19,MIN(C332-Familias!F10+1,7)))</f>
        <v>0.65</v>
      </c>
      <c r="F332" s="4" t="n">
        <f aca="false">Familias!E10*D332*E332</f>
        <v>12.675</v>
      </c>
      <c r="G332" s="4" t="n">
        <f aca="false">F332*Supuestos!$B$2</f>
        <v>0.2535</v>
      </c>
      <c r="H332" s="4" t="n">
        <f aca="false">G332*Supuestos!$B$3</f>
        <v>0.164775</v>
      </c>
    </row>
    <row r="333" customFormat="false" ht="15" hidden="false" customHeight="false" outlineLevel="0" collapsed="false">
      <c r="A333" s="0" t="s">
        <v>193</v>
      </c>
      <c r="B333" s="0" t="s">
        <v>127</v>
      </c>
      <c r="C333" s="0" t="n">
        <v>8</v>
      </c>
      <c r="D333" s="5" t="n">
        <f aca="false">Supuestos!$B$11</f>
        <v>0.05</v>
      </c>
      <c r="E333" s="5" t="n">
        <f aca="false">IF(C333&lt;Familias!F10,0,INDEX(Supuestos!$B$13:$B$19,MIN(C333-Familias!F10+1,7)))</f>
        <v>0.8</v>
      </c>
      <c r="F333" s="4" t="n">
        <f aca="false">Familias!E10*D333*E333</f>
        <v>15.6</v>
      </c>
      <c r="G333" s="4" t="n">
        <f aca="false">F333*Supuestos!$B$2</f>
        <v>0.312</v>
      </c>
      <c r="H333" s="4" t="n">
        <f aca="false">G333*Supuestos!$B$3</f>
        <v>0.2028</v>
      </c>
    </row>
    <row r="334" customFormat="false" ht="15" hidden="false" customHeight="false" outlineLevel="0" collapsed="false">
      <c r="A334" s="0" t="s">
        <v>193</v>
      </c>
      <c r="B334" s="0" t="s">
        <v>127</v>
      </c>
      <c r="C334" s="0" t="n">
        <v>9</v>
      </c>
      <c r="D334" s="5" t="n">
        <f aca="false">Supuestos!$B$11</f>
        <v>0.05</v>
      </c>
      <c r="E334" s="5" t="n">
        <f aca="false">IF(C334&lt;Familias!F10,0,INDEX(Supuestos!$B$13:$B$19,MIN(C334-Familias!F10+1,7)))</f>
        <v>1</v>
      </c>
      <c r="F334" s="4" t="n">
        <f aca="false">Familias!E10*D334*E334</f>
        <v>19.5</v>
      </c>
      <c r="G334" s="4" t="n">
        <f aca="false">F334*Supuestos!$B$2</f>
        <v>0.39</v>
      </c>
      <c r="H334" s="4" t="n">
        <f aca="false">G334*Supuestos!$B$3</f>
        <v>0.2535</v>
      </c>
    </row>
    <row r="335" customFormat="false" ht="15" hidden="false" customHeight="false" outlineLevel="0" collapsed="false">
      <c r="A335" s="0" t="s">
        <v>193</v>
      </c>
      <c r="B335" s="0" t="s">
        <v>127</v>
      </c>
      <c r="C335" s="0" t="n">
        <v>10</v>
      </c>
      <c r="D335" s="5" t="n">
        <f aca="false">Supuestos!$B$11</f>
        <v>0.05</v>
      </c>
      <c r="E335" s="5" t="n">
        <f aca="false">IF(C335&lt;Familias!F10,0,INDEX(Supuestos!$B$13:$B$19,MIN(C335-Familias!F10+1,7)))</f>
        <v>1</v>
      </c>
      <c r="F335" s="4" t="n">
        <f aca="false">Familias!E10*D335*E335</f>
        <v>19.5</v>
      </c>
      <c r="G335" s="4" t="n">
        <f aca="false">F335*Supuestos!$B$2</f>
        <v>0.39</v>
      </c>
      <c r="H335" s="4" t="n">
        <f aca="false">G335*Supuestos!$B$3</f>
        <v>0.2535</v>
      </c>
    </row>
    <row r="336" customFormat="false" ht="15" hidden="false" customHeight="false" outlineLevel="0" collapsed="false">
      <c r="A336" s="0" t="s">
        <v>193</v>
      </c>
      <c r="B336" s="0" t="s">
        <v>127</v>
      </c>
      <c r="C336" s="0" t="n">
        <v>11</v>
      </c>
      <c r="D336" s="5" t="n">
        <f aca="false">Supuestos!$B$11</f>
        <v>0.05</v>
      </c>
      <c r="E336" s="5" t="n">
        <f aca="false">IF(C336&lt;Familias!F10,0,INDEX(Supuestos!$B$13:$B$19,MIN(C336-Familias!F10+1,7)))</f>
        <v>1</v>
      </c>
      <c r="F336" s="4" t="n">
        <f aca="false">Familias!E10*D336*E336</f>
        <v>19.5</v>
      </c>
      <c r="G336" s="4" t="n">
        <f aca="false">F336*Supuestos!$B$2</f>
        <v>0.39</v>
      </c>
      <c r="H336" s="4" t="n">
        <f aca="false">G336*Supuestos!$B$3</f>
        <v>0.2535</v>
      </c>
    </row>
    <row r="337" customFormat="false" ht="15" hidden="false" customHeight="false" outlineLevel="0" collapsed="false">
      <c r="A337" s="0" t="s">
        <v>193</v>
      </c>
      <c r="B337" s="0" t="s">
        <v>127</v>
      </c>
      <c r="C337" s="0" t="n">
        <v>12</v>
      </c>
      <c r="D337" s="5" t="n">
        <f aca="false">Supuestos!$B$11</f>
        <v>0.05</v>
      </c>
      <c r="E337" s="5" t="n">
        <f aca="false">IF(C337&lt;Familias!F10,0,INDEX(Supuestos!$B$13:$B$19,MIN(C337-Familias!F10+1,7)))</f>
        <v>1</v>
      </c>
      <c r="F337" s="4" t="n">
        <f aca="false">Familias!E10*D337*E337</f>
        <v>19.5</v>
      </c>
      <c r="G337" s="4" t="n">
        <f aca="false">F337*Supuestos!$B$2</f>
        <v>0.39</v>
      </c>
      <c r="H337" s="4" t="n">
        <f aca="false">G337*Supuestos!$B$3</f>
        <v>0.2535</v>
      </c>
    </row>
    <row r="338" customFormat="false" ht="15" hidden="false" customHeight="false" outlineLevel="0" collapsed="false">
      <c r="A338" s="0" t="s">
        <v>193</v>
      </c>
      <c r="B338" s="0" t="s">
        <v>132</v>
      </c>
      <c r="C338" s="0" t="n">
        <v>1</v>
      </c>
      <c r="D338" s="5" t="n">
        <f aca="false">Supuestos!$B$11</f>
        <v>0.05</v>
      </c>
      <c r="E338" s="5" t="n">
        <f aca="false">IF(C338&lt;Familias!F11,0,INDEX(Supuestos!$B$13:$B$19,MIN(C338-Familias!F11+1,7)))</f>
        <v>0</v>
      </c>
      <c r="F338" s="4" t="n">
        <f aca="false">Familias!E11*D338*E338</f>
        <v>0</v>
      </c>
      <c r="G338" s="4" t="n">
        <f aca="false">F338*Supuestos!$B$2</f>
        <v>0</v>
      </c>
      <c r="H338" s="4" t="n">
        <f aca="false">G338*Supuestos!$B$3</f>
        <v>0</v>
      </c>
    </row>
    <row r="339" customFormat="false" ht="15" hidden="false" customHeight="false" outlineLevel="0" collapsed="false">
      <c r="A339" s="0" t="s">
        <v>193</v>
      </c>
      <c r="B339" s="0" t="s">
        <v>132</v>
      </c>
      <c r="C339" s="0" t="n">
        <v>2</v>
      </c>
      <c r="D339" s="5" t="n">
        <f aca="false">Supuestos!$B$11</f>
        <v>0.05</v>
      </c>
      <c r="E339" s="5" t="n">
        <f aca="false">IF(C339&lt;Familias!F11,0,INDEX(Supuestos!$B$13:$B$19,MIN(C339-Familias!F11+1,7)))</f>
        <v>0</v>
      </c>
      <c r="F339" s="4" t="n">
        <f aca="false">Familias!E11*D339*E339</f>
        <v>0</v>
      </c>
      <c r="G339" s="4" t="n">
        <f aca="false">F339*Supuestos!$B$2</f>
        <v>0</v>
      </c>
      <c r="H339" s="4" t="n">
        <f aca="false">G339*Supuestos!$B$3</f>
        <v>0</v>
      </c>
    </row>
    <row r="340" customFormat="false" ht="15" hidden="false" customHeight="false" outlineLevel="0" collapsed="false">
      <c r="A340" s="0" t="s">
        <v>193</v>
      </c>
      <c r="B340" s="0" t="s">
        <v>132</v>
      </c>
      <c r="C340" s="0" t="n">
        <v>3</v>
      </c>
      <c r="D340" s="5" t="n">
        <f aca="false">Supuestos!$B$11</f>
        <v>0.05</v>
      </c>
      <c r="E340" s="5" t="n">
        <f aca="false">IF(C340&lt;Familias!F11,0,INDEX(Supuestos!$B$13:$B$19,MIN(C340-Familias!F11+1,7)))</f>
        <v>0.1</v>
      </c>
      <c r="F340" s="4" t="n">
        <f aca="false">Familias!E11*D340*E340</f>
        <v>0.2</v>
      </c>
      <c r="G340" s="4" t="n">
        <f aca="false">F340*Supuestos!$B$2</f>
        <v>0.004</v>
      </c>
      <c r="H340" s="4" t="n">
        <f aca="false">G340*Supuestos!$B$3</f>
        <v>0.0026</v>
      </c>
    </row>
    <row r="341" customFormat="false" ht="15" hidden="false" customHeight="false" outlineLevel="0" collapsed="false">
      <c r="A341" s="0" t="s">
        <v>193</v>
      </c>
      <c r="B341" s="0" t="s">
        <v>132</v>
      </c>
      <c r="C341" s="0" t="n">
        <v>4</v>
      </c>
      <c r="D341" s="5" t="n">
        <f aca="false">Supuestos!$B$11</f>
        <v>0.05</v>
      </c>
      <c r="E341" s="5" t="n">
        <f aca="false">IF(C341&lt;Familias!F11,0,INDEX(Supuestos!$B$13:$B$19,MIN(C341-Familias!F11+1,7)))</f>
        <v>0.2</v>
      </c>
      <c r="F341" s="4" t="n">
        <f aca="false">Familias!E11*D341*E341</f>
        <v>0.4</v>
      </c>
      <c r="G341" s="4" t="n">
        <f aca="false">F341*Supuestos!$B$2</f>
        <v>0.008</v>
      </c>
      <c r="H341" s="4" t="n">
        <f aca="false">G341*Supuestos!$B$3</f>
        <v>0.0052</v>
      </c>
    </row>
    <row r="342" customFormat="false" ht="15" hidden="false" customHeight="false" outlineLevel="0" collapsed="false">
      <c r="A342" s="0" t="s">
        <v>193</v>
      </c>
      <c r="B342" s="0" t="s">
        <v>132</v>
      </c>
      <c r="C342" s="0" t="n">
        <v>5</v>
      </c>
      <c r="D342" s="5" t="n">
        <f aca="false">Supuestos!$B$11</f>
        <v>0.05</v>
      </c>
      <c r="E342" s="5" t="n">
        <f aca="false">IF(C342&lt;Familias!F11,0,INDEX(Supuestos!$B$13:$B$19,MIN(C342-Familias!F11+1,7)))</f>
        <v>0.35</v>
      </c>
      <c r="F342" s="4" t="n">
        <f aca="false">Familias!E11*D342*E342</f>
        <v>0.7</v>
      </c>
      <c r="G342" s="4" t="n">
        <f aca="false">F342*Supuestos!$B$2</f>
        <v>0.014</v>
      </c>
      <c r="H342" s="4" t="n">
        <f aca="false">G342*Supuestos!$B$3</f>
        <v>0.0091</v>
      </c>
    </row>
    <row r="343" customFormat="false" ht="15" hidden="false" customHeight="false" outlineLevel="0" collapsed="false">
      <c r="A343" s="0" t="s">
        <v>193</v>
      </c>
      <c r="B343" s="0" t="s">
        <v>132</v>
      </c>
      <c r="C343" s="0" t="n">
        <v>6</v>
      </c>
      <c r="D343" s="5" t="n">
        <f aca="false">Supuestos!$B$11</f>
        <v>0.05</v>
      </c>
      <c r="E343" s="5" t="n">
        <f aca="false">IF(C343&lt;Familias!F11,0,INDEX(Supuestos!$B$13:$B$19,MIN(C343-Familias!F11+1,7)))</f>
        <v>0.5</v>
      </c>
      <c r="F343" s="4" t="n">
        <f aca="false">Familias!E11*D343*E343</f>
        <v>1</v>
      </c>
      <c r="G343" s="4" t="n">
        <f aca="false">F343*Supuestos!$B$2</f>
        <v>0.02</v>
      </c>
      <c r="H343" s="4" t="n">
        <f aca="false">G343*Supuestos!$B$3</f>
        <v>0.013</v>
      </c>
    </row>
    <row r="344" customFormat="false" ht="15" hidden="false" customHeight="false" outlineLevel="0" collapsed="false">
      <c r="A344" s="0" t="s">
        <v>193</v>
      </c>
      <c r="B344" s="0" t="s">
        <v>132</v>
      </c>
      <c r="C344" s="0" t="n">
        <v>7</v>
      </c>
      <c r="D344" s="5" t="n">
        <f aca="false">Supuestos!$B$11</f>
        <v>0.05</v>
      </c>
      <c r="E344" s="5" t="n">
        <f aca="false">IF(C344&lt;Familias!F11,0,INDEX(Supuestos!$B$13:$B$19,MIN(C344-Familias!F11+1,7)))</f>
        <v>0.65</v>
      </c>
      <c r="F344" s="4" t="n">
        <f aca="false">Familias!E11*D344*E344</f>
        <v>1.3</v>
      </c>
      <c r="G344" s="4" t="n">
        <f aca="false">F344*Supuestos!$B$2</f>
        <v>0.026</v>
      </c>
      <c r="H344" s="4" t="n">
        <f aca="false">G344*Supuestos!$B$3</f>
        <v>0.0169</v>
      </c>
    </row>
    <row r="345" customFormat="false" ht="15" hidden="false" customHeight="false" outlineLevel="0" collapsed="false">
      <c r="A345" s="0" t="s">
        <v>193</v>
      </c>
      <c r="B345" s="0" t="s">
        <v>132</v>
      </c>
      <c r="C345" s="0" t="n">
        <v>8</v>
      </c>
      <c r="D345" s="5" t="n">
        <f aca="false">Supuestos!$B$11</f>
        <v>0.05</v>
      </c>
      <c r="E345" s="5" t="n">
        <f aca="false">IF(C345&lt;Familias!F11,0,INDEX(Supuestos!$B$13:$B$19,MIN(C345-Familias!F11+1,7)))</f>
        <v>0.8</v>
      </c>
      <c r="F345" s="4" t="n">
        <f aca="false">Familias!E11*D345*E345</f>
        <v>1.6</v>
      </c>
      <c r="G345" s="4" t="n">
        <f aca="false">F345*Supuestos!$B$2</f>
        <v>0.032</v>
      </c>
      <c r="H345" s="4" t="n">
        <f aca="false">G345*Supuestos!$B$3</f>
        <v>0.0208</v>
      </c>
    </row>
    <row r="346" customFormat="false" ht="15" hidden="false" customHeight="false" outlineLevel="0" collapsed="false">
      <c r="A346" s="0" t="s">
        <v>193</v>
      </c>
      <c r="B346" s="0" t="s">
        <v>132</v>
      </c>
      <c r="C346" s="0" t="n">
        <v>9</v>
      </c>
      <c r="D346" s="5" t="n">
        <f aca="false">Supuestos!$B$11</f>
        <v>0.05</v>
      </c>
      <c r="E346" s="5" t="n">
        <f aca="false">IF(C346&lt;Familias!F11,0,INDEX(Supuestos!$B$13:$B$19,MIN(C346-Familias!F11+1,7)))</f>
        <v>1</v>
      </c>
      <c r="F346" s="4" t="n">
        <f aca="false">Familias!E11*D346*E346</f>
        <v>2</v>
      </c>
      <c r="G346" s="4" t="n">
        <f aca="false">F346*Supuestos!$B$2</f>
        <v>0.04</v>
      </c>
      <c r="H346" s="4" t="n">
        <f aca="false">G346*Supuestos!$B$3</f>
        <v>0.026</v>
      </c>
    </row>
    <row r="347" customFormat="false" ht="15" hidden="false" customHeight="false" outlineLevel="0" collapsed="false">
      <c r="A347" s="0" t="s">
        <v>193</v>
      </c>
      <c r="B347" s="0" t="s">
        <v>132</v>
      </c>
      <c r="C347" s="0" t="n">
        <v>10</v>
      </c>
      <c r="D347" s="5" t="n">
        <f aca="false">Supuestos!$B$11</f>
        <v>0.05</v>
      </c>
      <c r="E347" s="5" t="n">
        <f aca="false">IF(C347&lt;Familias!F11,0,INDEX(Supuestos!$B$13:$B$19,MIN(C347-Familias!F11+1,7)))</f>
        <v>1</v>
      </c>
      <c r="F347" s="4" t="n">
        <f aca="false">Familias!E11*D347*E347</f>
        <v>2</v>
      </c>
      <c r="G347" s="4" t="n">
        <f aca="false">F347*Supuestos!$B$2</f>
        <v>0.04</v>
      </c>
      <c r="H347" s="4" t="n">
        <f aca="false">G347*Supuestos!$B$3</f>
        <v>0.026</v>
      </c>
    </row>
    <row r="348" customFormat="false" ht="15" hidden="false" customHeight="false" outlineLevel="0" collapsed="false">
      <c r="A348" s="0" t="s">
        <v>193</v>
      </c>
      <c r="B348" s="0" t="s">
        <v>132</v>
      </c>
      <c r="C348" s="0" t="n">
        <v>11</v>
      </c>
      <c r="D348" s="5" t="n">
        <f aca="false">Supuestos!$B$11</f>
        <v>0.05</v>
      </c>
      <c r="E348" s="5" t="n">
        <f aca="false">IF(C348&lt;Familias!F11,0,INDEX(Supuestos!$B$13:$B$19,MIN(C348-Familias!F11+1,7)))</f>
        <v>1</v>
      </c>
      <c r="F348" s="4" t="n">
        <f aca="false">Familias!E11*D348*E348</f>
        <v>2</v>
      </c>
      <c r="G348" s="4" t="n">
        <f aca="false">F348*Supuestos!$B$2</f>
        <v>0.04</v>
      </c>
      <c r="H348" s="4" t="n">
        <f aca="false">G348*Supuestos!$B$3</f>
        <v>0.026</v>
      </c>
    </row>
    <row r="349" customFormat="false" ht="15" hidden="false" customHeight="false" outlineLevel="0" collapsed="false">
      <c r="A349" s="0" t="s">
        <v>193</v>
      </c>
      <c r="B349" s="0" t="s">
        <v>132</v>
      </c>
      <c r="C349" s="0" t="n">
        <v>12</v>
      </c>
      <c r="D349" s="5" t="n">
        <f aca="false">Supuestos!$B$11</f>
        <v>0.05</v>
      </c>
      <c r="E349" s="5" t="n">
        <f aca="false">IF(C349&lt;Familias!F11,0,INDEX(Supuestos!$B$13:$B$19,MIN(C349-Familias!F11+1,7)))</f>
        <v>1</v>
      </c>
      <c r="F349" s="4" t="n">
        <f aca="false">Familias!E11*D349*E349</f>
        <v>2</v>
      </c>
      <c r="G349" s="4" t="n">
        <f aca="false">F349*Supuestos!$B$2</f>
        <v>0.04</v>
      </c>
      <c r="H349" s="4" t="n">
        <f aca="false">G349*Supuestos!$B$3</f>
        <v>0.026</v>
      </c>
    </row>
    <row r="350" customFormat="false" ht="15" hidden="false" customHeight="false" outlineLevel="0" collapsed="false">
      <c r="A350" s="0" t="s">
        <v>193</v>
      </c>
      <c r="B350" s="0" t="s">
        <v>136</v>
      </c>
      <c r="C350" s="0" t="n">
        <v>1</v>
      </c>
      <c r="D350" s="5" t="n">
        <f aca="false">Supuestos!$B$11</f>
        <v>0.05</v>
      </c>
      <c r="E350" s="5" t="n">
        <f aca="false">IF(C350&lt;Familias!F12,0,INDEX(Supuestos!$B$13:$B$19,MIN(C350-Familias!F12+1,7)))</f>
        <v>0</v>
      </c>
      <c r="F350" s="4" t="n">
        <f aca="false">Familias!E12*D350*E350</f>
        <v>0</v>
      </c>
      <c r="G350" s="4" t="n">
        <f aca="false">F350*Supuestos!$B$2</f>
        <v>0</v>
      </c>
      <c r="H350" s="4" t="n">
        <f aca="false">G350*Supuestos!$B$3</f>
        <v>0</v>
      </c>
    </row>
    <row r="351" customFormat="false" ht="15" hidden="false" customHeight="false" outlineLevel="0" collapsed="false">
      <c r="A351" s="0" t="s">
        <v>193</v>
      </c>
      <c r="B351" s="0" t="s">
        <v>136</v>
      </c>
      <c r="C351" s="0" t="n">
        <v>2</v>
      </c>
      <c r="D351" s="5" t="n">
        <f aca="false">Supuestos!$B$11</f>
        <v>0.05</v>
      </c>
      <c r="E351" s="5" t="n">
        <f aca="false">IF(C351&lt;Familias!F12,0,INDEX(Supuestos!$B$13:$B$19,MIN(C351-Familias!F12+1,7)))</f>
        <v>0</v>
      </c>
      <c r="F351" s="4" t="n">
        <f aca="false">Familias!E12*D351*E351</f>
        <v>0</v>
      </c>
      <c r="G351" s="4" t="n">
        <f aca="false">F351*Supuestos!$B$2</f>
        <v>0</v>
      </c>
      <c r="H351" s="4" t="n">
        <f aca="false">G351*Supuestos!$B$3</f>
        <v>0</v>
      </c>
    </row>
    <row r="352" customFormat="false" ht="15" hidden="false" customHeight="false" outlineLevel="0" collapsed="false">
      <c r="A352" s="0" t="s">
        <v>193</v>
      </c>
      <c r="B352" s="0" t="s">
        <v>136</v>
      </c>
      <c r="C352" s="0" t="n">
        <v>3</v>
      </c>
      <c r="D352" s="5" t="n">
        <f aca="false">Supuestos!$B$11</f>
        <v>0.05</v>
      </c>
      <c r="E352" s="5" t="n">
        <f aca="false">IF(C352&lt;Familias!F12,0,INDEX(Supuestos!$B$13:$B$19,MIN(C352-Familias!F12+1,7)))</f>
        <v>0</v>
      </c>
      <c r="F352" s="4" t="n">
        <f aca="false">Familias!E12*D352*E352</f>
        <v>0</v>
      </c>
      <c r="G352" s="4" t="n">
        <f aca="false">F352*Supuestos!$B$2</f>
        <v>0</v>
      </c>
      <c r="H352" s="4" t="n">
        <f aca="false">G352*Supuestos!$B$3</f>
        <v>0</v>
      </c>
    </row>
    <row r="353" customFormat="false" ht="15" hidden="false" customHeight="false" outlineLevel="0" collapsed="false">
      <c r="A353" s="0" t="s">
        <v>193</v>
      </c>
      <c r="B353" s="0" t="s">
        <v>136</v>
      </c>
      <c r="C353" s="0" t="n">
        <v>4</v>
      </c>
      <c r="D353" s="5" t="n">
        <f aca="false">Supuestos!$B$11</f>
        <v>0.05</v>
      </c>
      <c r="E353" s="5" t="n">
        <f aca="false">IF(C353&lt;Familias!F12,0,INDEX(Supuestos!$B$13:$B$19,MIN(C353-Familias!F12+1,7)))</f>
        <v>0</v>
      </c>
      <c r="F353" s="4" t="n">
        <f aca="false">Familias!E12*D353*E353</f>
        <v>0</v>
      </c>
      <c r="G353" s="4" t="n">
        <f aca="false">F353*Supuestos!$B$2</f>
        <v>0</v>
      </c>
      <c r="H353" s="4" t="n">
        <f aca="false">G353*Supuestos!$B$3</f>
        <v>0</v>
      </c>
    </row>
    <row r="354" customFormat="false" ht="15" hidden="false" customHeight="false" outlineLevel="0" collapsed="false">
      <c r="A354" s="0" t="s">
        <v>193</v>
      </c>
      <c r="B354" s="0" t="s">
        <v>136</v>
      </c>
      <c r="C354" s="0" t="n">
        <v>5</v>
      </c>
      <c r="D354" s="5" t="n">
        <f aca="false">Supuestos!$B$11</f>
        <v>0.05</v>
      </c>
      <c r="E354" s="5" t="n">
        <f aca="false">IF(C354&lt;Familias!F12,0,INDEX(Supuestos!$B$13:$B$19,MIN(C354-Familias!F12+1,7)))</f>
        <v>0</v>
      </c>
      <c r="F354" s="4" t="n">
        <f aca="false">Familias!E12*D354*E354</f>
        <v>0</v>
      </c>
      <c r="G354" s="4" t="n">
        <f aca="false">F354*Supuestos!$B$2</f>
        <v>0</v>
      </c>
      <c r="H354" s="4" t="n">
        <f aca="false">G354*Supuestos!$B$3</f>
        <v>0</v>
      </c>
    </row>
    <row r="355" customFormat="false" ht="15" hidden="false" customHeight="false" outlineLevel="0" collapsed="false">
      <c r="A355" s="0" t="s">
        <v>193</v>
      </c>
      <c r="B355" s="0" t="s">
        <v>136</v>
      </c>
      <c r="C355" s="0" t="n">
        <v>6</v>
      </c>
      <c r="D355" s="5" t="n">
        <f aca="false">Supuestos!$B$11</f>
        <v>0.05</v>
      </c>
      <c r="E355" s="5" t="n">
        <f aca="false">IF(C355&lt;Familias!F12,0,INDEX(Supuestos!$B$13:$B$19,MIN(C355-Familias!F12+1,7)))</f>
        <v>0</v>
      </c>
      <c r="F355" s="4" t="n">
        <f aca="false">Familias!E12*D355*E355</f>
        <v>0</v>
      </c>
      <c r="G355" s="4" t="n">
        <f aca="false">F355*Supuestos!$B$2</f>
        <v>0</v>
      </c>
      <c r="H355" s="4" t="n">
        <f aca="false">G355*Supuestos!$B$3</f>
        <v>0</v>
      </c>
    </row>
    <row r="356" customFormat="false" ht="15" hidden="false" customHeight="false" outlineLevel="0" collapsed="false">
      <c r="A356" s="0" t="s">
        <v>193</v>
      </c>
      <c r="B356" s="0" t="s">
        <v>136</v>
      </c>
      <c r="C356" s="0" t="n">
        <v>7</v>
      </c>
      <c r="D356" s="5" t="n">
        <f aca="false">Supuestos!$B$11</f>
        <v>0.05</v>
      </c>
      <c r="E356" s="5" t="n">
        <f aca="false">IF(C356&lt;Familias!F12,0,INDEX(Supuestos!$B$13:$B$19,MIN(C356-Familias!F12+1,7)))</f>
        <v>0.1</v>
      </c>
      <c r="F356" s="4" t="n">
        <f aca="false">Familias!E12*D356*E356</f>
        <v>33</v>
      </c>
      <c r="G356" s="4" t="n">
        <f aca="false">F356*Supuestos!$B$2</f>
        <v>0.66</v>
      </c>
      <c r="H356" s="4" t="n">
        <f aca="false">G356*Supuestos!$B$3</f>
        <v>0.429</v>
      </c>
    </row>
    <row r="357" customFormat="false" ht="15" hidden="false" customHeight="false" outlineLevel="0" collapsed="false">
      <c r="A357" s="0" t="s">
        <v>193</v>
      </c>
      <c r="B357" s="0" t="s">
        <v>136</v>
      </c>
      <c r="C357" s="0" t="n">
        <v>8</v>
      </c>
      <c r="D357" s="5" t="n">
        <f aca="false">Supuestos!$B$11</f>
        <v>0.05</v>
      </c>
      <c r="E357" s="5" t="n">
        <f aca="false">IF(C357&lt;Familias!F12,0,INDEX(Supuestos!$B$13:$B$19,MIN(C357-Familias!F12+1,7)))</f>
        <v>0.2</v>
      </c>
      <c r="F357" s="4" t="n">
        <f aca="false">Familias!E12*D357*E357</f>
        <v>66</v>
      </c>
      <c r="G357" s="4" t="n">
        <f aca="false">F357*Supuestos!$B$2</f>
        <v>1.32</v>
      </c>
      <c r="H357" s="4" t="n">
        <f aca="false">G357*Supuestos!$B$3</f>
        <v>0.858</v>
      </c>
    </row>
    <row r="358" customFormat="false" ht="15" hidden="false" customHeight="false" outlineLevel="0" collapsed="false">
      <c r="A358" s="0" t="s">
        <v>193</v>
      </c>
      <c r="B358" s="0" t="s">
        <v>136</v>
      </c>
      <c r="C358" s="0" t="n">
        <v>9</v>
      </c>
      <c r="D358" s="5" t="n">
        <f aca="false">Supuestos!$B$11</f>
        <v>0.05</v>
      </c>
      <c r="E358" s="5" t="n">
        <f aca="false">IF(C358&lt;Familias!F12,0,INDEX(Supuestos!$B$13:$B$19,MIN(C358-Familias!F12+1,7)))</f>
        <v>0.35</v>
      </c>
      <c r="F358" s="4" t="n">
        <f aca="false">Familias!E12*D358*E358</f>
        <v>115.5</v>
      </c>
      <c r="G358" s="4" t="n">
        <f aca="false">F358*Supuestos!$B$2</f>
        <v>2.31</v>
      </c>
      <c r="H358" s="4" t="n">
        <f aca="false">G358*Supuestos!$B$3</f>
        <v>1.5015</v>
      </c>
    </row>
    <row r="359" customFormat="false" ht="15" hidden="false" customHeight="false" outlineLevel="0" collapsed="false">
      <c r="A359" s="0" t="s">
        <v>193</v>
      </c>
      <c r="B359" s="0" t="s">
        <v>136</v>
      </c>
      <c r="C359" s="0" t="n">
        <v>10</v>
      </c>
      <c r="D359" s="5" t="n">
        <f aca="false">Supuestos!$B$11</f>
        <v>0.05</v>
      </c>
      <c r="E359" s="5" t="n">
        <f aca="false">IF(C359&lt;Familias!F12,0,INDEX(Supuestos!$B$13:$B$19,MIN(C359-Familias!F12+1,7)))</f>
        <v>0.5</v>
      </c>
      <c r="F359" s="4" t="n">
        <f aca="false">Familias!E12*D359*E359</f>
        <v>165</v>
      </c>
      <c r="G359" s="4" t="n">
        <f aca="false">F359*Supuestos!$B$2</f>
        <v>3.3</v>
      </c>
      <c r="H359" s="4" t="n">
        <f aca="false">G359*Supuestos!$B$3</f>
        <v>2.145</v>
      </c>
    </row>
    <row r="360" customFormat="false" ht="15" hidden="false" customHeight="false" outlineLevel="0" collapsed="false">
      <c r="A360" s="0" t="s">
        <v>193</v>
      </c>
      <c r="B360" s="0" t="s">
        <v>136</v>
      </c>
      <c r="C360" s="0" t="n">
        <v>11</v>
      </c>
      <c r="D360" s="5" t="n">
        <f aca="false">Supuestos!$B$11</f>
        <v>0.05</v>
      </c>
      <c r="E360" s="5" t="n">
        <f aca="false">IF(C360&lt;Familias!F12,0,INDEX(Supuestos!$B$13:$B$19,MIN(C360-Familias!F12+1,7)))</f>
        <v>0.65</v>
      </c>
      <c r="F360" s="4" t="n">
        <f aca="false">Familias!E12*D360*E360</f>
        <v>214.5</v>
      </c>
      <c r="G360" s="4" t="n">
        <f aca="false">F360*Supuestos!$B$2</f>
        <v>4.29</v>
      </c>
      <c r="H360" s="4" t="n">
        <f aca="false">G360*Supuestos!$B$3</f>
        <v>2.7885</v>
      </c>
    </row>
    <row r="361" customFormat="false" ht="15" hidden="false" customHeight="false" outlineLevel="0" collapsed="false">
      <c r="A361" s="0" t="s">
        <v>193</v>
      </c>
      <c r="B361" s="0" t="s">
        <v>136</v>
      </c>
      <c r="C361" s="0" t="n">
        <v>12</v>
      </c>
      <c r="D361" s="5" t="n">
        <f aca="false">Supuestos!$B$11</f>
        <v>0.05</v>
      </c>
      <c r="E361" s="5" t="n">
        <f aca="false">IF(C361&lt;Familias!F12,0,INDEX(Supuestos!$B$13:$B$19,MIN(C361-Familias!F12+1,7)))</f>
        <v>0.8</v>
      </c>
      <c r="F361" s="4" t="n">
        <f aca="false">Familias!E12*D361*E361</f>
        <v>264</v>
      </c>
      <c r="G361" s="4" t="n">
        <f aca="false">F361*Supuestos!$B$2</f>
        <v>5.28</v>
      </c>
      <c r="H361" s="4" t="n">
        <f aca="false">G361*Supuestos!$B$3</f>
        <v>3.432</v>
      </c>
    </row>
    <row r="362" customFormat="false" ht="15" hidden="false" customHeight="false" outlineLevel="0" collapsed="false">
      <c r="A362" s="0" t="s">
        <v>193</v>
      </c>
      <c r="B362" s="0" t="s">
        <v>143</v>
      </c>
      <c r="C362" s="0" t="n">
        <v>1</v>
      </c>
      <c r="D362" s="5" t="n">
        <f aca="false">Supuestos!$B$11</f>
        <v>0.05</v>
      </c>
      <c r="E362" s="5" t="n">
        <f aca="false">IF(C362&lt;Familias!F13,0,INDEX(Supuestos!$B$13:$B$19,MIN(C362-Familias!F13+1,7)))</f>
        <v>0</v>
      </c>
      <c r="F362" s="4" t="n">
        <f aca="false">Familias!E13*D362*E362</f>
        <v>0</v>
      </c>
      <c r="G362" s="4" t="n">
        <f aca="false">F362*Supuestos!$B$2</f>
        <v>0</v>
      </c>
      <c r="H362" s="4" t="n">
        <f aca="false">G362*Supuestos!$B$3</f>
        <v>0</v>
      </c>
    </row>
    <row r="363" customFormat="false" ht="15" hidden="false" customHeight="false" outlineLevel="0" collapsed="false">
      <c r="A363" s="0" t="s">
        <v>193</v>
      </c>
      <c r="B363" s="0" t="s">
        <v>143</v>
      </c>
      <c r="C363" s="0" t="n">
        <v>2</v>
      </c>
      <c r="D363" s="5" t="n">
        <f aca="false">Supuestos!$B$11</f>
        <v>0.05</v>
      </c>
      <c r="E363" s="5" t="n">
        <f aca="false">IF(C363&lt;Familias!F13,0,INDEX(Supuestos!$B$13:$B$19,MIN(C363-Familias!F13+1,7)))</f>
        <v>0</v>
      </c>
      <c r="F363" s="4" t="n">
        <f aca="false">Familias!E13*D363*E363</f>
        <v>0</v>
      </c>
      <c r="G363" s="4" t="n">
        <f aca="false">F363*Supuestos!$B$2</f>
        <v>0</v>
      </c>
      <c r="H363" s="4" t="n">
        <f aca="false">G363*Supuestos!$B$3</f>
        <v>0</v>
      </c>
    </row>
    <row r="364" customFormat="false" ht="15" hidden="false" customHeight="false" outlineLevel="0" collapsed="false">
      <c r="A364" s="0" t="s">
        <v>193</v>
      </c>
      <c r="B364" s="0" t="s">
        <v>143</v>
      </c>
      <c r="C364" s="0" t="n">
        <v>3</v>
      </c>
      <c r="D364" s="5" t="n">
        <f aca="false">Supuestos!$B$11</f>
        <v>0.05</v>
      </c>
      <c r="E364" s="5" t="n">
        <f aca="false">IF(C364&lt;Familias!F13,0,INDEX(Supuestos!$B$13:$B$19,MIN(C364-Familias!F13+1,7)))</f>
        <v>0</v>
      </c>
      <c r="F364" s="4" t="n">
        <f aca="false">Familias!E13*D364*E364</f>
        <v>0</v>
      </c>
      <c r="G364" s="4" t="n">
        <f aca="false">F364*Supuestos!$B$2</f>
        <v>0</v>
      </c>
      <c r="H364" s="4" t="n">
        <f aca="false">G364*Supuestos!$B$3</f>
        <v>0</v>
      </c>
    </row>
    <row r="365" customFormat="false" ht="15" hidden="false" customHeight="false" outlineLevel="0" collapsed="false">
      <c r="A365" s="0" t="s">
        <v>193</v>
      </c>
      <c r="B365" s="0" t="s">
        <v>143</v>
      </c>
      <c r="C365" s="0" t="n">
        <v>4</v>
      </c>
      <c r="D365" s="5" t="n">
        <f aca="false">Supuestos!$B$11</f>
        <v>0.05</v>
      </c>
      <c r="E365" s="5" t="n">
        <f aca="false">IF(C365&lt;Familias!F13,0,INDEX(Supuestos!$B$13:$B$19,MIN(C365-Familias!F13+1,7)))</f>
        <v>0</v>
      </c>
      <c r="F365" s="4" t="n">
        <f aca="false">Familias!E13*D365*E365</f>
        <v>0</v>
      </c>
      <c r="G365" s="4" t="n">
        <f aca="false">F365*Supuestos!$B$2</f>
        <v>0</v>
      </c>
      <c r="H365" s="4" t="n">
        <f aca="false">G365*Supuestos!$B$3</f>
        <v>0</v>
      </c>
    </row>
    <row r="366" customFormat="false" ht="15" hidden="false" customHeight="false" outlineLevel="0" collapsed="false">
      <c r="A366" s="0" t="s">
        <v>193</v>
      </c>
      <c r="B366" s="0" t="s">
        <v>143</v>
      </c>
      <c r="C366" s="0" t="n">
        <v>5</v>
      </c>
      <c r="D366" s="5" t="n">
        <f aca="false">Supuestos!$B$11</f>
        <v>0.05</v>
      </c>
      <c r="E366" s="5" t="n">
        <f aca="false">IF(C366&lt;Familias!F13,0,INDEX(Supuestos!$B$13:$B$19,MIN(C366-Familias!F13+1,7)))</f>
        <v>0.1</v>
      </c>
      <c r="F366" s="4" t="n">
        <f aca="false">Familias!E13*D366*E366</f>
        <v>9.5</v>
      </c>
      <c r="G366" s="4" t="n">
        <f aca="false">F366*Supuestos!$B$2</f>
        <v>0.19</v>
      </c>
      <c r="H366" s="4" t="n">
        <f aca="false">G366*Supuestos!$B$3</f>
        <v>0.1235</v>
      </c>
    </row>
    <row r="367" customFormat="false" ht="15" hidden="false" customHeight="false" outlineLevel="0" collapsed="false">
      <c r="A367" s="0" t="s">
        <v>193</v>
      </c>
      <c r="B367" s="0" t="s">
        <v>143</v>
      </c>
      <c r="C367" s="0" t="n">
        <v>6</v>
      </c>
      <c r="D367" s="5" t="n">
        <f aca="false">Supuestos!$B$11</f>
        <v>0.05</v>
      </c>
      <c r="E367" s="5" t="n">
        <f aca="false">IF(C367&lt;Familias!F13,0,INDEX(Supuestos!$B$13:$B$19,MIN(C367-Familias!F13+1,7)))</f>
        <v>0.2</v>
      </c>
      <c r="F367" s="4" t="n">
        <f aca="false">Familias!E13*D367*E367</f>
        <v>19</v>
      </c>
      <c r="G367" s="4" t="n">
        <f aca="false">F367*Supuestos!$B$2</f>
        <v>0.38</v>
      </c>
      <c r="H367" s="4" t="n">
        <f aca="false">G367*Supuestos!$B$3</f>
        <v>0.247</v>
      </c>
    </row>
    <row r="368" customFormat="false" ht="15" hidden="false" customHeight="false" outlineLevel="0" collapsed="false">
      <c r="A368" s="0" t="s">
        <v>193</v>
      </c>
      <c r="B368" s="0" t="s">
        <v>143</v>
      </c>
      <c r="C368" s="0" t="n">
        <v>7</v>
      </c>
      <c r="D368" s="5" t="n">
        <f aca="false">Supuestos!$B$11</f>
        <v>0.05</v>
      </c>
      <c r="E368" s="5" t="n">
        <f aca="false">IF(C368&lt;Familias!F13,0,INDEX(Supuestos!$B$13:$B$19,MIN(C368-Familias!F13+1,7)))</f>
        <v>0.35</v>
      </c>
      <c r="F368" s="4" t="n">
        <f aca="false">Familias!E13*D368*E368</f>
        <v>33.25</v>
      </c>
      <c r="G368" s="4" t="n">
        <f aca="false">F368*Supuestos!$B$2</f>
        <v>0.665</v>
      </c>
      <c r="H368" s="4" t="n">
        <f aca="false">G368*Supuestos!$B$3</f>
        <v>0.43225</v>
      </c>
    </row>
    <row r="369" customFormat="false" ht="15" hidden="false" customHeight="false" outlineLevel="0" collapsed="false">
      <c r="A369" s="0" t="s">
        <v>193</v>
      </c>
      <c r="B369" s="0" t="s">
        <v>143</v>
      </c>
      <c r="C369" s="0" t="n">
        <v>8</v>
      </c>
      <c r="D369" s="5" t="n">
        <f aca="false">Supuestos!$B$11</f>
        <v>0.05</v>
      </c>
      <c r="E369" s="5" t="n">
        <f aca="false">IF(C369&lt;Familias!F13,0,INDEX(Supuestos!$B$13:$B$19,MIN(C369-Familias!F13+1,7)))</f>
        <v>0.5</v>
      </c>
      <c r="F369" s="4" t="n">
        <f aca="false">Familias!E13*D369*E369</f>
        <v>47.5</v>
      </c>
      <c r="G369" s="4" t="n">
        <f aca="false">F369*Supuestos!$B$2</f>
        <v>0.95</v>
      </c>
      <c r="H369" s="4" t="n">
        <f aca="false">G369*Supuestos!$B$3</f>
        <v>0.6175</v>
      </c>
    </row>
    <row r="370" customFormat="false" ht="15" hidden="false" customHeight="false" outlineLevel="0" collapsed="false">
      <c r="A370" s="0" t="s">
        <v>193</v>
      </c>
      <c r="B370" s="0" t="s">
        <v>143</v>
      </c>
      <c r="C370" s="0" t="n">
        <v>9</v>
      </c>
      <c r="D370" s="5" t="n">
        <f aca="false">Supuestos!$B$11</f>
        <v>0.05</v>
      </c>
      <c r="E370" s="5" t="n">
        <f aca="false">IF(C370&lt;Familias!F13,0,INDEX(Supuestos!$B$13:$B$19,MIN(C370-Familias!F13+1,7)))</f>
        <v>0.65</v>
      </c>
      <c r="F370" s="4" t="n">
        <f aca="false">Familias!E13*D370*E370</f>
        <v>61.75</v>
      </c>
      <c r="G370" s="4" t="n">
        <f aca="false">F370*Supuestos!$B$2</f>
        <v>1.235</v>
      </c>
      <c r="H370" s="4" t="n">
        <f aca="false">G370*Supuestos!$B$3</f>
        <v>0.80275</v>
      </c>
    </row>
    <row r="371" customFormat="false" ht="15" hidden="false" customHeight="false" outlineLevel="0" collapsed="false">
      <c r="A371" s="0" t="s">
        <v>193</v>
      </c>
      <c r="B371" s="0" t="s">
        <v>143</v>
      </c>
      <c r="C371" s="0" t="n">
        <v>10</v>
      </c>
      <c r="D371" s="5" t="n">
        <f aca="false">Supuestos!$B$11</f>
        <v>0.05</v>
      </c>
      <c r="E371" s="5" t="n">
        <f aca="false">IF(C371&lt;Familias!F13,0,INDEX(Supuestos!$B$13:$B$19,MIN(C371-Familias!F13+1,7)))</f>
        <v>0.8</v>
      </c>
      <c r="F371" s="4" t="n">
        <f aca="false">Familias!E13*D371*E371</f>
        <v>76</v>
      </c>
      <c r="G371" s="4" t="n">
        <f aca="false">F371*Supuestos!$B$2</f>
        <v>1.52</v>
      </c>
      <c r="H371" s="4" t="n">
        <f aca="false">G371*Supuestos!$B$3</f>
        <v>0.988</v>
      </c>
    </row>
    <row r="372" customFormat="false" ht="15" hidden="false" customHeight="false" outlineLevel="0" collapsed="false">
      <c r="A372" s="0" t="s">
        <v>193</v>
      </c>
      <c r="B372" s="0" t="s">
        <v>143</v>
      </c>
      <c r="C372" s="0" t="n">
        <v>11</v>
      </c>
      <c r="D372" s="5" t="n">
        <f aca="false">Supuestos!$B$11</f>
        <v>0.05</v>
      </c>
      <c r="E372" s="5" t="n">
        <f aca="false">IF(C372&lt;Familias!F13,0,INDEX(Supuestos!$B$13:$B$19,MIN(C372-Familias!F13+1,7)))</f>
        <v>1</v>
      </c>
      <c r="F372" s="4" t="n">
        <f aca="false">Familias!E13*D372*E372</f>
        <v>95</v>
      </c>
      <c r="G372" s="4" t="n">
        <f aca="false">F372*Supuestos!$B$2</f>
        <v>1.9</v>
      </c>
      <c r="H372" s="4" t="n">
        <f aca="false">G372*Supuestos!$B$3</f>
        <v>1.235</v>
      </c>
    </row>
    <row r="373" customFormat="false" ht="15" hidden="false" customHeight="false" outlineLevel="0" collapsed="false">
      <c r="A373" s="0" t="s">
        <v>193</v>
      </c>
      <c r="B373" s="0" t="s">
        <v>143</v>
      </c>
      <c r="C373" s="0" t="n">
        <v>12</v>
      </c>
      <c r="D373" s="5" t="n">
        <f aca="false">Supuestos!$B$11</f>
        <v>0.05</v>
      </c>
      <c r="E373" s="5" t="n">
        <f aca="false">IF(C373&lt;Familias!F13,0,INDEX(Supuestos!$B$13:$B$19,MIN(C373-Familias!F13+1,7)))</f>
        <v>1</v>
      </c>
      <c r="F373" s="4" t="n">
        <f aca="false">Familias!E13*D373*E373</f>
        <v>95</v>
      </c>
      <c r="G373" s="4" t="n">
        <f aca="false">F373*Supuestos!$B$2</f>
        <v>1.9</v>
      </c>
      <c r="H373" s="4" t="n">
        <f aca="false">G373*Supuestos!$B$3</f>
        <v>1.235</v>
      </c>
    </row>
    <row r="374" customFormat="false" ht="15" hidden="false" customHeight="false" outlineLevel="0" collapsed="false">
      <c r="A374" s="0" t="s">
        <v>193</v>
      </c>
      <c r="B374" s="0" t="s">
        <v>148</v>
      </c>
      <c r="C374" s="0" t="n">
        <v>1</v>
      </c>
      <c r="D374" s="5" t="n">
        <f aca="false">Supuestos!$B$11</f>
        <v>0.05</v>
      </c>
      <c r="E374" s="5" t="n">
        <f aca="false">IF(C374&lt;Familias!F14,0,INDEX(Supuestos!$B$13:$B$19,MIN(C374-Familias!F14+1,7)))</f>
        <v>0</v>
      </c>
      <c r="F374" s="4" t="n">
        <f aca="false">Familias!E14*D374*E374</f>
        <v>0</v>
      </c>
      <c r="G374" s="4" t="n">
        <f aca="false">F374*Supuestos!$B$2</f>
        <v>0</v>
      </c>
      <c r="H374" s="4" t="n">
        <f aca="false">G374*Supuestos!$B$3</f>
        <v>0</v>
      </c>
    </row>
    <row r="375" customFormat="false" ht="15" hidden="false" customHeight="false" outlineLevel="0" collapsed="false">
      <c r="A375" s="0" t="s">
        <v>193</v>
      </c>
      <c r="B375" s="0" t="s">
        <v>148</v>
      </c>
      <c r="C375" s="0" t="n">
        <v>2</v>
      </c>
      <c r="D375" s="5" t="n">
        <f aca="false">Supuestos!$B$11</f>
        <v>0.05</v>
      </c>
      <c r="E375" s="5" t="n">
        <f aca="false">IF(C375&lt;Familias!F14,0,INDEX(Supuestos!$B$13:$B$19,MIN(C375-Familias!F14+1,7)))</f>
        <v>0</v>
      </c>
      <c r="F375" s="4" t="n">
        <f aca="false">Familias!E14*D375*E375</f>
        <v>0</v>
      </c>
      <c r="G375" s="4" t="n">
        <f aca="false">F375*Supuestos!$B$2</f>
        <v>0</v>
      </c>
      <c r="H375" s="4" t="n">
        <f aca="false">G375*Supuestos!$B$3</f>
        <v>0</v>
      </c>
    </row>
    <row r="376" customFormat="false" ht="15" hidden="false" customHeight="false" outlineLevel="0" collapsed="false">
      <c r="A376" s="0" t="s">
        <v>193</v>
      </c>
      <c r="B376" s="0" t="s">
        <v>148</v>
      </c>
      <c r="C376" s="0" t="n">
        <v>3</v>
      </c>
      <c r="D376" s="5" t="n">
        <f aca="false">Supuestos!$B$11</f>
        <v>0.05</v>
      </c>
      <c r="E376" s="5" t="n">
        <f aca="false">IF(C376&lt;Familias!F14,0,INDEX(Supuestos!$B$13:$B$19,MIN(C376-Familias!F14+1,7)))</f>
        <v>0</v>
      </c>
      <c r="F376" s="4" t="n">
        <f aca="false">Familias!E14*D376*E376</f>
        <v>0</v>
      </c>
      <c r="G376" s="4" t="n">
        <f aca="false">F376*Supuestos!$B$2</f>
        <v>0</v>
      </c>
      <c r="H376" s="4" t="n">
        <f aca="false">G376*Supuestos!$B$3</f>
        <v>0</v>
      </c>
    </row>
    <row r="377" customFormat="false" ht="15" hidden="false" customHeight="false" outlineLevel="0" collapsed="false">
      <c r="A377" s="0" t="s">
        <v>193</v>
      </c>
      <c r="B377" s="0" t="s">
        <v>148</v>
      </c>
      <c r="C377" s="0" t="n">
        <v>4</v>
      </c>
      <c r="D377" s="5" t="n">
        <f aca="false">Supuestos!$B$11</f>
        <v>0.05</v>
      </c>
      <c r="E377" s="5" t="n">
        <f aca="false">IF(C377&lt;Familias!F14,0,INDEX(Supuestos!$B$13:$B$19,MIN(C377-Familias!F14+1,7)))</f>
        <v>0</v>
      </c>
      <c r="F377" s="4" t="n">
        <f aca="false">Familias!E14*D377*E377</f>
        <v>0</v>
      </c>
      <c r="G377" s="4" t="n">
        <f aca="false">F377*Supuestos!$B$2</f>
        <v>0</v>
      </c>
      <c r="H377" s="4" t="n">
        <f aca="false">G377*Supuestos!$B$3</f>
        <v>0</v>
      </c>
    </row>
    <row r="378" customFormat="false" ht="15" hidden="false" customHeight="false" outlineLevel="0" collapsed="false">
      <c r="A378" s="0" t="s">
        <v>193</v>
      </c>
      <c r="B378" s="0" t="s">
        <v>148</v>
      </c>
      <c r="C378" s="0" t="n">
        <v>5</v>
      </c>
      <c r="D378" s="5" t="n">
        <f aca="false">Supuestos!$B$11</f>
        <v>0.05</v>
      </c>
      <c r="E378" s="5" t="n">
        <f aca="false">IF(C378&lt;Familias!F14,0,INDEX(Supuestos!$B$13:$B$19,MIN(C378-Familias!F14+1,7)))</f>
        <v>0</v>
      </c>
      <c r="F378" s="4" t="n">
        <f aca="false">Familias!E14*D378*E378</f>
        <v>0</v>
      </c>
      <c r="G378" s="4" t="n">
        <f aca="false">F378*Supuestos!$B$2</f>
        <v>0</v>
      </c>
      <c r="H378" s="4" t="n">
        <f aca="false">G378*Supuestos!$B$3</f>
        <v>0</v>
      </c>
    </row>
    <row r="379" customFormat="false" ht="15" hidden="false" customHeight="false" outlineLevel="0" collapsed="false">
      <c r="A379" s="0" t="s">
        <v>193</v>
      </c>
      <c r="B379" s="0" t="s">
        <v>148</v>
      </c>
      <c r="C379" s="0" t="n">
        <v>6</v>
      </c>
      <c r="D379" s="5" t="n">
        <f aca="false">Supuestos!$B$11</f>
        <v>0.05</v>
      </c>
      <c r="E379" s="5" t="n">
        <f aca="false">IF(C379&lt;Familias!F14,0,INDEX(Supuestos!$B$13:$B$19,MIN(C379-Familias!F14+1,7)))</f>
        <v>0.1</v>
      </c>
      <c r="F379" s="4" t="n">
        <f aca="false">Familias!E14*D379*E379</f>
        <v>6.5</v>
      </c>
      <c r="G379" s="4" t="n">
        <f aca="false">F379*Supuestos!$B$2</f>
        <v>0.13</v>
      </c>
      <c r="H379" s="4" t="n">
        <f aca="false">G379*Supuestos!$B$3</f>
        <v>0.0845</v>
      </c>
    </row>
    <row r="380" customFormat="false" ht="15" hidden="false" customHeight="false" outlineLevel="0" collapsed="false">
      <c r="A380" s="0" t="s">
        <v>193</v>
      </c>
      <c r="B380" s="0" t="s">
        <v>148</v>
      </c>
      <c r="C380" s="0" t="n">
        <v>7</v>
      </c>
      <c r="D380" s="5" t="n">
        <f aca="false">Supuestos!$B$11</f>
        <v>0.05</v>
      </c>
      <c r="E380" s="5" t="n">
        <f aca="false">IF(C380&lt;Familias!F14,0,INDEX(Supuestos!$B$13:$B$19,MIN(C380-Familias!F14+1,7)))</f>
        <v>0.2</v>
      </c>
      <c r="F380" s="4" t="n">
        <f aca="false">Familias!E14*D380*E380</f>
        <v>13</v>
      </c>
      <c r="G380" s="4" t="n">
        <f aca="false">F380*Supuestos!$B$2</f>
        <v>0.26</v>
      </c>
      <c r="H380" s="4" t="n">
        <f aca="false">G380*Supuestos!$B$3</f>
        <v>0.169</v>
      </c>
    </row>
    <row r="381" customFormat="false" ht="15" hidden="false" customHeight="false" outlineLevel="0" collapsed="false">
      <c r="A381" s="0" t="s">
        <v>193</v>
      </c>
      <c r="B381" s="0" t="s">
        <v>148</v>
      </c>
      <c r="C381" s="0" t="n">
        <v>8</v>
      </c>
      <c r="D381" s="5" t="n">
        <f aca="false">Supuestos!$B$11</f>
        <v>0.05</v>
      </c>
      <c r="E381" s="5" t="n">
        <f aca="false">IF(C381&lt;Familias!F14,0,INDEX(Supuestos!$B$13:$B$19,MIN(C381-Familias!F14+1,7)))</f>
        <v>0.35</v>
      </c>
      <c r="F381" s="4" t="n">
        <f aca="false">Familias!E14*D381*E381</f>
        <v>22.75</v>
      </c>
      <c r="G381" s="4" t="n">
        <f aca="false">F381*Supuestos!$B$2</f>
        <v>0.455</v>
      </c>
      <c r="H381" s="4" t="n">
        <f aca="false">G381*Supuestos!$B$3</f>
        <v>0.29575</v>
      </c>
    </row>
    <row r="382" customFormat="false" ht="15" hidden="false" customHeight="false" outlineLevel="0" collapsed="false">
      <c r="A382" s="0" t="s">
        <v>193</v>
      </c>
      <c r="B382" s="0" t="s">
        <v>148</v>
      </c>
      <c r="C382" s="0" t="n">
        <v>9</v>
      </c>
      <c r="D382" s="5" t="n">
        <f aca="false">Supuestos!$B$11</f>
        <v>0.05</v>
      </c>
      <c r="E382" s="5" t="n">
        <f aca="false">IF(C382&lt;Familias!F14,0,INDEX(Supuestos!$B$13:$B$19,MIN(C382-Familias!F14+1,7)))</f>
        <v>0.5</v>
      </c>
      <c r="F382" s="4" t="n">
        <f aca="false">Familias!E14*D382*E382</f>
        <v>32.5</v>
      </c>
      <c r="G382" s="4" t="n">
        <f aca="false">F382*Supuestos!$B$2</f>
        <v>0.65</v>
      </c>
      <c r="H382" s="4" t="n">
        <f aca="false">G382*Supuestos!$B$3</f>
        <v>0.4225</v>
      </c>
    </row>
    <row r="383" customFormat="false" ht="15" hidden="false" customHeight="false" outlineLevel="0" collapsed="false">
      <c r="A383" s="0" t="s">
        <v>193</v>
      </c>
      <c r="B383" s="0" t="s">
        <v>148</v>
      </c>
      <c r="C383" s="0" t="n">
        <v>10</v>
      </c>
      <c r="D383" s="5" t="n">
        <f aca="false">Supuestos!$B$11</f>
        <v>0.05</v>
      </c>
      <c r="E383" s="5" t="n">
        <f aca="false">IF(C383&lt;Familias!F14,0,INDEX(Supuestos!$B$13:$B$19,MIN(C383-Familias!F14+1,7)))</f>
        <v>0.65</v>
      </c>
      <c r="F383" s="4" t="n">
        <f aca="false">Familias!E14*D383*E383</f>
        <v>42.25</v>
      </c>
      <c r="G383" s="4" t="n">
        <f aca="false">F383*Supuestos!$B$2</f>
        <v>0.845</v>
      </c>
      <c r="H383" s="4" t="n">
        <f aca="false">G383*Supuestos!$B$3</f>
        <v>0.54925</v>
      </c>
    </row>
    <row r="384" customFormat="false" ht="15" hidden="false" customHeight="false" outlineLevel="0" collapsed="false">
      <c r="A384" s="0" t="s">
        <v>193</v>
      </c>
      <c r="B384" s="0" t="s">
        <v>148</v>
      </c>
      <c r="C384" s="0" t="n">
        <v>11</v>
      </c>
      <c r="D384" s="5" t="n">
        <f aca="false">Supuestos!$B$11</f>
        <v>0.05</v>
      </c>
      <c r="E384" s="5" t="n">
        <f aca="false">IF(C384&lt;Familias!F14,0,INDEX(Supuestos!$B$13:$B$19,MIN(C384-Familias!F14+1,7)))</f>
        <v>0.8</v>
      </c>
      <c r="F384" s="4" t="n">
        <f aca="false">Familias!E14*D384*E384</f>
        <v>52</v>
      </c>
      <c r="G384" s="4" t="n">
        <f aca="false">F384*Supuestos!$B$2</f>
        <v>1.04</v>
      </c>
      <c r="H384" s="4" t="n">
        <f aca="false">G384*Supuestos!$B$3</f>
        <v>0.676</v>
      </c>
    </row>
    <row r="385" customFormat="false" ht="15" hidden="false" customHeight="false" outlineLevel="0" collapsed="false">
      <c r="A385" s="0" t="s">
        <v>193</v>
      </c>
      <c r="B385" s="0" t="s">
        <v>148</v>
      </c>
      <c r="C385" s="0" t="n">
        <v>12</v>
      </c>
      <c r="D385" s="5" t="n">
        <f aca="false">Supuestos!$B$11</f>
        <v>0.05</v>
      </c>
      <c r="E385" s="5" t="n">
        <f aca="false">IF(C385&lt;Familias!F14,0,INDEX(Supuestos!$B$13:$B$19,MIN(C385-Familias!F14+1,7)))</f>
        <v>1</v>
      </c>
      <c r="F385" s="4" t="n">
        <f aca="false">Familias!E14*D385*E385</f>
        <v>65</v>
      </c>
      <c r="G385" s="4" t="n">
        <f aca="false">F385*Supuestos!$B$2</f>
        <v>1.3</v>
      </c>
      <c r="H385" s="4" t="n">
        <f aca="false">G385*Supuestos!$B$3</f>
        <v>0.845</v>
      </c>
    </row>
    <row r="386" customFormat="false" ht="15" hidden="false" customHeight="false" outlineLevel="0" collapsed="false">
      <c r="A386" s="0" t="s">
        <v>193</v>
      </c>
      <c r="B386" s="0" t="s">
        <v>154</v>
      </c>
      <c r="C386" s="0" t="n">
        <v>1</v>
      </c>
      <c r="D386" s="5" t="n">
        <f aca="false">Supuestos!$B$11</f>
        <v>0.05</v>
      </c>
      <c r="E386" s="5" t="n">
        <f aca="false">IF(C386&lt;Familias!F15,0,INDEX(Supuestos!$B$13:$B$19,MIN(C386-Familias!F15+1,7)))</f>
        <v>0</v>
      </c>
      <c r="F386" s="4" t="n">
        <f aca="false">Familias!E15*D386*E386</f>
        <v>0</v>
      </c>
      <c r="G386" s="4" t="n">
        <f aca="false">F386*Supuestos!$B$2</f>
        <v>0</v>
      </c>
      <c r="H386" s="4" t="n">
        <f aca="false">G386*Supuestos!$B$3</f>
        <v>0</v>
      </c>
    </row>
    <row r="387" customFormat="false" ht="15" hidden="false" customHeight="false" outlineLevel="0" collapsed="false">
      <c r="A387" s="0" t="s">
        <v>193</v>
      </c>
      <c r="B387" s="0" t="s">
        <v>154</v>
      </c>
      <c r="C387" s="0" t="n">
        <v>2</v>
      </c>
      <c r="D387" s="5" t="n">
        <f aca="false">Supuestos!$B$11</f>
        <v>0.05</v>
      </c>
      <c r="E387" s="5" t="n">
        <f aca="false">IF(C387&lt;Familias!F15,0,INDEX(Supuestos!$B$13:$B$19,MIN(C387-Familias!F15+1,7)))</f>
        <v>0</v>
      </c>
      <c r="F387" s="4" t="n">
        <f aca="false">Familias!E15*D387*E387</f>
        <v>0</v>
      </c>
      <c r="G387" s="4" t="n">
        <f aca="false">F387*Supuestos!$B$2</f>
        <v>0</v>
      </c>
      <c r="H387" s="4" t="n">
        <f aca="false">G387*Supuestos!$B$3</f>
        <v>0</v>
      </c>
    </row>
    <row r="388" customFormat="false" ht="15" hidden="false" customHeight="false" outlineLevel="0" collapsed="false">
      <c r="A388" s="0" t="s">
        <v>193</v>
      </c>
      <c r="B388" s="0" t="s">
        <v>154</v>
      </c>
      <c r="C388" s="0" t="n">
        <v>3</v>
      </c>
      <c r="D388" s="5" t="n">
        <f aca="false">Supuestos!$B$11</f>
        <v>0.05</v>
      </c>
      <c r="E388" s="5" t="n">
        <f aca="false">IF(C388&lt;Familias!F15,0,INDEX(Supuestos!$B$13:$B$19,MIN(C388-Familias!F15+1,7)))</f>
        <v>0</v>
      </c>
      <c r="F388" s="4" t="n">
        <f aca="false">Familias!E15*D388*E388</f>
        <v>0</v>
      </c>
      <c r="G388" s="4" t="n">
        <f aca="false">F388*Supuestos!$B$2</f>
        <v>0</v>
      </c>
      <c r="H388" s="4" t="n">
        <f aca="false">G388*Supuestos!$B$3</f>
        <v>0</v>
      </c>
    </row>
    <row r="389" customFormat="false" ht="15" hidden="false" customHeight="false" outlineLevel="0" collapsed="false">
      <c r="A389" s="0" t="s">
        <v>193</v>
      </c>
      <c r="B389" s="0" t="s">
        <v>154</v>
      </c>
      <c r="C389" s="0" t="n">
        <v>4</v>
      </c>
      <c r="D389" s="5" t="n">
        <f aca="false">Supuestos!$B$11</f>
        <v>0.05</v>
      </c>
      <c r="E389" s="5" t="n">
        <f aca="false">IF(C389&lt;Familias!F15,0,INDEX(Supuestos!$B$13:$B$19,MIN(C389-Familias!F15+1,7)))</f>
        <v>0</v>
      </c>
      <c r="F389" s="4" t="n">
        <f aca="false">Familias!E15*D389*E389</f>
        <v>0</v>
      </c>
      <c r="G389" s="4" t="n">
        <f aca="false">F389*Supuestos!$B$2</f>
        <v>0</v>
      </c>
      <c r="H389" s="4" t="n">
        <f aca="false">G389*Supuestos!$B$3</f>
        <v>0</v>
      </c>
    </row>
    <row r="390" customFormat="false" ht="15" hidden="false" customHeight="false" outlineLevel="0" collapsed="false">
      <c r="A390" s="0" t="s">
        <v>193</v>
      </c>
      <c r="B390" s="0" t="s">
        <v>154</v>
      </c>
      <c r="C390" s="0" t="n">
        <v>5</v>
      </c>
      <c r="D390" s="5" t="n">
        <f aca="false">Supuestos!$B$11</f>
        <v>0.05</v>
      </c>
      <c r="E390" s="5" t="n">
        <f aca="false">IF(C390&lt;Familias!F15,0,INDEX(Supuestos!$B$13:$B$19,MIN(C390-Familias!F15+1,7)))</f>
        <v>0</v>
      </c>
      <c r="F390" s="4" t="n">
        <f aca="false">Familias!E15*D390*E390</f>
        <v>0</v>
      </c>
      <c r="G390" s="4" t="n">
        <f aca="false">F390*Supuestos!$B$2</f>
        <v>0</v>
      </c>
      <c r="H390" s="4" t="n">
        <f aca="false">G390*Supuestos!$B$3</f>
        <v>0</v>
      </c>
    </row>
    <row r="391" customFormat="false" ht="15" hidden="false" customHeight="false" outlineLevel="0" collapsed="false">
      <c r="A391" s="0" t="s">
        <v>193</v>
      </c>
      <c r="B391" s="0" t="s">
        <v>154</v>
      </c>
      <c r="C391" s="0" t="n">
        <v>6</v>
      </c>
      <c r="D391" s="5" t="n">
        <f aca="false">Supuestos!$B$11</f>
        <v>0.05</v>
      </c>
      <c r="E391" s="5" t="n">
        <f aca="false">IF(C391&lt;Familias!F15,0,INDEX(Supuestos!$B$13:$B$19,MIN(C391-Familias!F15+1,7)))</f>
        <v>0.1</v>
      </c>
      <c r="F391" s="4" t="n">
        <f aca="false">Familias!E15*D391*E391</f>
        <v>9.5</v>
      </c>
      <c r="G391" s="4" t="n">
        <f aca="false">F391*Supuestos!$B$2</f>
        <v>0.19</v>
      </c>
      <c r="H391" s="4" t="n">
        <f aca="false">G391*Supuestos!$B$3</f>
        <v>0.1235</v>
      </c>
    </row>
    <row r="392" customFormat="false" ht="15" hidden="false" customHeight="false" outlineLevel="0" collapsed="false">
      <c r="A392" s="0" t="s">
        <v>193</v>
      </c>
      <c r="B392" s="0" t="s">
        <v>154</v>
      </c>
      <c r="C392" s="0" t="n">
        <v>7</v>
      </c>
      <c r="D392" s="5" t="n">
        <f aca="false">Supuestos!$B$11</f>
        <v>0.05</v>
      </c>
      <c r="E392" s="5" t="n">
        <f aca="false">IF(C392&lt;Familias!F15,0,INDEX(Supuestos!$B$13:$B$19,MIN(C392-Familias!F15+1,7)))</f>
        <v>0.2</v>
      </c>
      <c r="F392" s="4" t="n">
        <f aca="false">Familias!E15*D392*E392</f>
        <v>19</v>
      </c>
      <c r="G392" s="4" t="n">
        <f aca="false">F392*Supuestos!$B$2</f>
        <v>0.38</v>
      </c>
      <c r="H392" s="4" t="n">
        <f aca="false">G392*Supuestos!$B$3</f>
        <v>0.247</v>
      </c>
    </row>
    <row r="393" customFormat="false" ht="15" hidden="false" customHeight="false" outlineLevel="0" collapsed="false">
      <c r="A393" s="0" t="s">
        <v>193</v>
      </c>
      <c r="B393" s="0" t="s">
        <v>154</v>
      </c>
      <c r="C393" s="0" t="n">
        <v>8</v>
      </c>
      <c r="D393" s="5" t="n">
        <f aca="false">Supuestos!$B$11</f>
        <v>0.05</v>
      </c>
      <c r="E393" s="5" t="n">
        <f aca="false">IF(C393&lt;Familias!F15,0,INDEX(Supuestos!$B$13:$B$19,MIN(C393-Familias!F15+1,7)))</f>
        <v>0.35</v>
      </c>
      <c r="F393" s="4" t="n">
        <f aca="false">Familias!E15*D393*E393</f>
        <v>33.25</v>
      </c>
      <c r="G393" s="4" t="n">
        <f aca="false">F393*Supuestos!$B$2</f>
        <v>0.665</v>
      </c>
      <c r="H393" s="4" t="n">
        <f aca="false">G393*Supuestos!$B$3</f>
        <v>0.43225</v>
      </c>
    </row>
    <row r="394" customFormat="false" ht="15" hidden="false" customHeight="false" outlineLevel="0" collapsed="false">
      <c r="A394" s="0" t="s">
        <v>193</v>
      </c>
      <c r="B394" s="0" t="s">
        <v>154</v>
      </c>
      <c r="C394" s="0" t="n">
        <v>9</v>
      </c>
      <c r="D394" s="5" t="n">
        <f aca="false">Supuestos!$B$11</f>
        <v>0.05</v>
      </c>
      <c r="E394" s="5" t="n">
        <f aca="false">IF(C394&lt;Familias!F15,0,INDEX(Supuestos!$B$13:$B$19,MIN(C394-Familias!F15+1,7)))</f>
        <v>0.5</v>
      </c>
      <c r="F394" s="4" t="n">
        <f aca="false">Familias!E15*D394*E394</f>
        <v>47.5</v>
      </c>
      <c r="G394" s="4" t="n">
        <f aca="false">F394*Supuestos!$B$2</f>
        <v>0.95</v>
      </c>
      <c r="H394" s="4" t="n">
        <f aca="false">G394*Supuestos!$B$3</f>
        <v>0.6175</v>
      </c>
    </row>
    <row r="395" customFormat="false" ht="15" hidden="false" customHeight="false" outlineLevel="0" collapsed="false">
      <c r="A395" s="0" t="s">
        <v>193</v>
      </c>
      <c r="B395" s="0" t="s">
        <v>154</v>
      </c>
      <c r="C395" s="0" t="n">
        <v>10</v>
      </c>
      <c r="D395" s="5" t="n">
        <f aca="false">Supuestos!$B$11</f>
        <v>0.05</v>
      </c>
      <c r="E395" s="5" t="n">
        <f aca="false">IF(C395&lt;Familias!F15,0,INDEX(Supuestos!$B$13:$B$19,MIN(C395-Familias!F15+1,7)))</f>
        <v>0.65</v>
      </c>
      <c r="F395" s="4" t="n">
        <f aca="false">Familias!E15*D395*E395</f>
        <v>61.75</v>
      </c>
      <c r="G395" s="4" t="n">
        <f aca="false">F395*Supuestos!$B$2</f>
        <v>1.235</v>
      </c>
      <c r="H395" s="4" t="n">
        <f aca="false">G395*Supuestos!$B$3</f>
        <v>0.80275</v>
      </c>
    </row>
    <row r="396" customFormat="false" ht="15" hidden="false" customHeight="false" outlineLevel="0" collapsed="false">
      <c r="A396" s="0" t="s">
        <v>193</v>
      </c>
      <c r="B396" s="0" t="s">
        <v>154</v>
      </c>
      <c r="C396" s="0" t="n">
        <v>11</v>
      </c>
      <c r="D396" s="5" t="n">
        <f aca="false">Supuestos!$B$11</f>
        <v>0.05</v>
      </c>
      <c r="E396" s="5" t="n">
        <f aca="false">IF(C396&lt;Familias!F15,0,INDEX(Supuestos!$B$13:$B$19,MIN(C396-Familias!F15+1,7)))</f>
        <v>0.8</v>
      </c>
      <c r="F396" s="4" t="n">
        <f aca="false">Familias!E15*D396*E396</f>
        <v>76</v>
      </c>
      <c r="G396" s="4" t="n">
        <f aca="false">F396*Supuestos!$B$2</f>
        <v>1.52</v>
      </c>
      <c r="H396" s="4" t="n">
        <f aca="false">G396*Supuestos!$B$3</f>
        <v>0.988</v>
      </c>
    </row>
    <row r="397" customFormat="false" ht="15" hidden="false" customHeight="false" outlineLevel="0" collapsed="false">
      <c r="A397" s="0" t="s">
        <v>193</v>
      </c>
      <c r="B397" s="0" t="s">
        <v>154</v>
      </c>
      <c r="C397" s="0" t="n">
        <v>12</v>
      </c>
      <c r="D397" s="5" t="n">
        <f aca="false">Supuestos!$B$11</f>
        <v>0.05</v>
      </c>
      <c r="E397" s="5" t="n">
        <f aca="false">IF(C397&lt;Familias!F15,0,INDEX(Supuestos!$B$13:$B$19,MIN(C397-Familias!F15+1,7)))</f>
        <v>1</v>
      </c>
      <c r="F397" s="4" t="n">
        <f aca="false">Familias!E15*D397*E397</f>
        <v>95</v>
      </c>
      <c r="G397" s="4" t="n">
        <f aca="false">F397*Supuestos!$B$2</f>
        <v>1.9</v>
      </c>
      <c r="H397" s="4" t="n">
        <f aca="false">G397*Supuestos!$B$3</f>
        <v>1.235</v>
      </c>
    </row>
    <row r="398" customFormat="false" ht="15" hidden="false" customHeight="false" outlineLevel="0" collapsed="false">
      <c r="A398" s="0" t="s">
        <v>193</v>
      </c>
      <c r="B398" s="0" t="s">
        <v>158</v>
      </c>
      <c r="C398" s="0" t="n">
        <v>1</v>
      </c>
      <c r="D398" s="5" t="n">
        <f aca="false">Supuestos!$B$11</f>
        <v>0.05</v>
      </c>
      <c r="E398" s="5" t="n">
        <f aca="false">IF(C398&lt;Familias!F16,0,INDEX(Supuestos!$B$13:$B$19,MIN(C398-Familias!F16+1,7)))</f>
        <v>0</v>
      </c>
      <c r="F398" s="4" t="n">
        <f aca="false">Familias!E16*D398*E398</f>
        <v>0</v>
      </c>
      <c r="G398" s="4" t="n">
        <f aca="false">F398*Supuestos!$B$2</f>
        <v>0</v>
      </c>
      <c r="H398" s="4" t="n">
        <f aca="false">G398*Supuestos!$B$3</f>
        <v>0</v>
      </c>
    </row>
    <row r="399" customFormat="false" ht="15" hidden="false" customHeight="false" outlineLevel="0" collapsed="false">
      <c r="A399" s="0" t="s">
        <v>193</v>
      </c>
      <c r="B399" s="0" t="s">
        <v>158</v>
      </c>
      <c r="C399" s="0" t="n">
        <v>2</v>
      </c>
      <c r="D399" s="5" t="n">
        <f aca="false">Supuestos!$B$11</f>
        <v>0.05</v>
      </c>
      <c r="E399" s="5" t="n">
        <f aca="false">IF(C399&lt;Familias!F16,0,INDEX(Supuestos!$B$13:$B$19,MIN(C399-Familias!F16+1,7)))</f>
        <v>0</v>
      </c>
      <c r="F399" s="4" t="n">
        <f aca="false">Familias!E16*D399*E399</f>
        <v>0</v>
      </c>
      <c r="G399" s="4" t="n">
        <f aca="false">F399*Supuestos!$B$2</f>
        <v>0</v>
      </c>
      <c r="H399" s="4" t="n">
        <f aca="false">G399*Supuestos!$B$3</f>
        <v>0</v>
      </c>
    </row>
    <row r="400" customFormat="false" ht="15" hidden="false" customHeight="false" outlineLevel="0" collapsed="false">
      <c r="A400" s="0" t="s">
        <v>193</v>
      </c>
      <c r="B400" s="0" t="s">
        <v>158</v>
      </c>
      <c r="C400" s="0" t="n">
        <v>3</v>
      </c>
      <c r="D400" s="5" t="n">
        <f aca="false">Supuestos!$B$11</f>
        <v>0.05</v>
      </c>
      <c r="E400" s="5" t="n">
        <f aca="false">IF(C400&lt;Familias!F16,0,INDEX(Supuestos!$B$13:$B$19,MIN(C400-Familias!F16+1,7)))</f>
        <v>0</v>
      </c>
      <c r="F400" s="4" t="n">
        <f aca="false">Familias!E16*D400*E400</f>
        <v>0</v>
      </c>
      <c r="G400" s="4" t="n">
        <f aca="false">F400*Supuestos!$B$2</f>
        <v>0</v>
      </c>
      <c r="H400" s="4" t="n">
        <f aca="false">G400*Supuestos!$B$3</f>
        <v>0</v>
      </c>
    </row>
    <row r="401" customFormat="false" ht="15" hidden="false" customHeight="false" outlineLevel="0" collapsed="false">
      <c r="A401" s="0" t="s">
        <v>193</v>
      </c>
      <c r="B401" s="0" t="s">
        <v>158</v>
      </c>
      <c r="C401" s="0" t="n">
        <v>4</v>
      </c>
      <c r="D401" s="5" t="n">
        <f aca="false">Supuestos!$B$11</f>
        <v>0.05</v>
      </c>
      <c r="E401" s="5" t="n">
        <f aca="false">IF(C401&lt;Familias!F16,0,INDEX(Supuestos!$B$13:$B$19,MIN(C401-Familias!F16+1,7)))</f>
        <v>0</v>
      </c>
      <c r="F401" s="4" t="n">
        <f aca="false">Familias!E16*D401*E401</f>
        <v>0</v>
      </c>
      <c r="G401" s="4" t="n">
        <f aca="false">F401*Supuestos!$B$2</f>
        <v>0</v>
      </c>
      <c r="H401" s="4" t="n">
        <f aca="false">G401*Supuestos!$B$3</f>
        <v>0</v>
      </c>
    </row>
    <row r="402" customFormat="false" ht="15" hidden="false" customHeight="false" outlineLevel="0" collapsed="false">
      <c r="A402" s="0" t="s">
        <v>193</v>
      </c>
      <c r="B402" s="0" t="s">
        <v>158</v>
      </c>
      <c r="C402" s="0" t="n">
        <v>5</v>
      </c>
      <c r="D402" s="5" t="n">
        <f aca="false">Supuestos!$B$11</f>
        <v>0.05</v>
      </c>
      <c r="E402" s="5" t="n">
        <f aca="false">IF(C402&lt;Familias!F16,0,INDEX(Supuestos!$B$13:$B$19,MIN(C402-Familias!F16+1,7)))</f>
        <v>0</v>
      </c>
      <c r="F402" s="4" t="n">
        <f aca="false">Familias!E16*D402*E402</f>
        <v>0</v>
      </c>
      <c r="G402" s="4" t="n">
        <f aca="false">F402*Supuestos!$B$2</f>
        <v>0</v>
      </c>
      <c r="H402" s="4" t="n">
        <f aca="false">G402*Supuestos!$B$3</f>
        <v>0</v>
      </c>
    </row>
    <row r="403" customFormat="false" ht="15" hidden="false" customHeight="false" outlineLevel="0" collapsed="false">
      <c r="A403" s="0" t="s">
        <v>193</v>
      </c>
      <c r="B403" s="0" t="s">
        <v>158</v>
      </c>
      <c r="C403" s="0" t="n">
        <v>6</v>
      </c>
      <c r="D403" s="5" t="n">
        <f aca="false">Supuestos!$B$11</f>
        <v>0.05</v>
      </c>
      <c r="E403" s="5" t="n">
        <f aca="false">IF(C403&lt;Familias!F16,0,INDEX(Supuestos!$B$13:$B$19,MIN(C403-Familias!F16+1,7)))</f>
        <v>0</v>
      </c>
      <c r="F403" s="4" t="n">
        <f aca="false">Familias!E16*D403*E403</f>
        <v>0</v>
      </c>
      <c r="G403" s="4" t="n">
        <f aca="false">F403*Supuestos!$B$2</f>
        <v>0</v>
      </c>
      <c r="H403" s="4" t="n">
        <f aca="false">G403*Supuestos!$B$3</f>
        <v>0</v>
      </c>
    </row>
    <row r="404" customFormat="false" ht="15" hidden="false" customHeight="false" outlineLevel="0" collapsed="false">
      <c r="A404" s="0" t="s">
        <v>193</v>
      </c>
      <c r="B404" s="0" t="s">
        <v>158</v>
      </c>
      <c r="C404" s="0" t="n">
        <v>7</v>
      </c>
      <c r="D404" s="5" t="n">
        <f aca="false">Supuestos!$B$11</f>
        <v>0.05</v>
      </c>
      <c r="E404" s="5" t="n">
        <f aca="false">IF(C404&lt;Familias!F16,0,INDEX(Supuestos!$B$13:$B$19,MIN(C404-Familias!F16+1,7)))</f>
        <v>0</v>
      </c>
      <c r="F404" s="4" t="n">
        <f aca="false">Familias!E16*D404*E404</f>
        <v>0</v>
      </c>
      <c r="G404" s="4" t="n">
        <f aca="false">F404*Supuestos!$B$2</f>
        <v>0</v>
      </c>
      <c r="H404" s="4" t="n">
        <f aca="false">G404*Supuestos!$B$3</f>
        <v>0</v>
      </c>
    </row>
    <row r="405" customFormat="false" ht="15" hidden="false" customHeight="false" outlineLevel="0" collapsed="false">
      <c r="A405" s="0" t="s">
        <v>193</v>
      </c>
      <c r="B405" s="0" t="s">
        <v>158</v>
      </c>
      <c r="C405" s="0" t="n">
        <v>8</v>
      </c>
      <c r="D405" s="5" t="n">
        <f aca="false">Supuestos!$B$11</f>
        <v>0.05</v>
      </c>
      <c r="E405" s="5" t="n">
        <f aca="false">IF(C405&lt;Familias!F16,0,INDEX(Supuestos!$B$13:$B$19,MIN(C405-Familias!F16+1,7)))</f>
        <v>0.1</v>
      </c>
      <c r="F405" s="4" t="n">
        <f aca="false">Familias!E16*D405*E405</f>
        <v>33</v>
      </c>
      <c r="G405" s="4" t="n">
        <f aca="false">F405*Supuestos!$B$2</f>
        <v>0.66</v>
      </c>
      <c r="H405" s="4" t="n">
        <f aca="false">G405*Supuestos!$B$3</f>
        <v>0.429</v>
      </c>
    </row>
    <row r="406" customFormat="false" ht="15" hidden="false" customHeight="false" outlineLevel="0" collapsed="false">
      <c r="A406" s="0" t="s">
        <v>193</v>
      </c>
      <c r="B406" s="0" t="s">
        <v>158</v>
      </c>
      <c r="C406" s="0" t="n">
        <v>9</v>
      </c>
      <c r="D406" s="5" t="n">
        <f aca="false">Supuestos!$B$11</f>
        <v>0.05</v>
      </c>
      <c r="E406" s="5" t="n">
        <f aca="false">IF(C406&lt;Familias!F16,0,INDEX(Supuestos!$B$13:$B$19,MIN(C406-Familias!F16+1,7)))</f>
        <v>0.2</v>
      </c>
      <c r="F406" s="4" t="n">
        <f aca="false">Familias!E16*D406*E406</f>
        <v>66</v>
      </c>
      <c r="G406" s="4" t="n">
        <f aca="false">F406*Supuestos!$B$2</f>
        <v>1.32</v>
      </c>
      <c r="H406" s="4" t="n">
        <f aca="false">G406*Supuestos!$B$3</f>
        <v>0.858</v>
      </c>
    </row>
    <row r="407" customFormat="false" ht="15" hidden="false" customHeight="false" outlineLevel="0" collapsed="false">
      <c r="A407" s="0" t="s">
        <v>193</v>
      </c>
      <c r="B407" s="0" t="s">
        <v>158</v>
      </c>
      <c r="C407" s="0" t="n">
        <v>10</v>
      </c>
      <c r="D407" s="5" t="n">
        <f aca="false">Supuestos!$B$11</f>
        <v>0.05</v>
      </c>
      <c r="E407" s="5" t="n">
        <f aca="false">IF(C407&lt;Familias!F16,0,INDEX(Supuestos!$B$13:$B$19,MIN(C407-Familias!F16+1,7)))</f>
        <v>0.35</v>
      </c>
      <c r="F407" s="4" t="n">
        <f aca="false">Familias!E16*D407*E407</f>
        <v>115.5</v>
      </c>
      <c r="G407" s="4" t="n">
        <f aca="false">F407*Supuestos!$B$2</f>
        <v>2.31</v>
      </c>
      <c r="H407" s="4" t="n">
        <f aca="false">G407*Supuestos!$B$3</f>
        <v>1.5015</v>
      </c>
    </row>
    <row r="408" customFormat="false" ht="15" hidden="false" customHeight="false" outlineLevel="0" collapsed="false">
      <c r="A408" s="0" t="s">
        <v>193</v>
      </c>
      <c r="B408" s="0" t="s">
        <v>158</v>
      </c>
      <c r="C408" s="0" t="n">
        <v>11</v>
      </c>
      <c r="D408" s="5" t="n">
        <f aca="false">Supuestos!$B$11</f>
        <v>0.05</v>
      </c>
      <c r="E408" s="5" t="n">
        <f aca="false">IF(C408&lt;Familias!F16,0,INDEX(Supuestos!$B$13:$B$19,MIN(C408-Familias!F16+1,7)))</f>
        <v>0.5</v>
      </c>
      <c r="F408" s="4" t="n">
        <f aca="false">Familias!E16*D408*E408</f>
        <v>165</v>
      </c>
      <c r="G408" s="4" t="n">
        <f aca="false">F408*Supuestos!$B$2</f>
        <v>3.3</v>
      </c>
      <c r="H408" s="4" t="n">
        <f aca="false">G408*Supuestos!$B$3</f>
        <v>2.145</v>
      </c>
    </row>
    <row r="409" customFormat="false" ht="15" hidden="false" customHeight="false" outlineLevel="0" collapsed="false">
      <c r="A409" s="0" t="s">
        <v>193</v>
      </c>
      <c r="B409" s="0" t="s">
        <v>158</v>
      </c>
      <c r="C409" s="0" t="n">
        <v>12</v>
      </c>
      <c r="D409" s="5" t="n">
        <f aca="false">Supuestos!$B$11</f>
        <v>0.05</v>
      </c>
      <c r="E409" s="5" t="n">
        <f aca="false">IF(C409&lt;Familias!F16,0,INDEX(Supuestos!$B$13:$B$19,MIN(C409-Familias!F16+1,7)))</f>
        <v>0.65</v>
      </c>
      <c r="F409" s="4" t="n">
        <f aca="false">Familias!E16*D409*E409</f>
        <v>214.5</v>
      </c>
      <c r="G409" s="4" t="n">
        <f aca="false">F409*Supuestos!$B$2</f>
        <v>4.29</v>
      </c>
      <c r="H409" s="4" t="n">
        <f aca="false">G409*Supuestos!$B$3</f>
        <v>2.7885</v>
      </c>
    </row>
    <row r="410" customFormat="false" ht="15" hidden="false" customHeight="false" outlineLevel="0" collapsed="false">
      <c r="A410" s="0" t="s">
        <v>193</v>
      </c>
      <c r="B410" s="0" t="s">
        <v>163</v>
      </c>
      <c r="C410" s="0" t="n">
        <v>1</v>
      </c>
      <c r="D410" s="5" t="n">
        <f aca="false">Supuestos!$B$11</f>
        <v>0.05</v>
      </c>
      <c r="E410" s="5" t="n">
        <f aca="false">IF(C410&lt;Familias!F17,0,INDEX(Supuestos!$B$13:$B$19,MIN(C410-Familias!F17+1,7)))</f>
        <v>0.1</v>
      </c>
      <c r="F410" s="4" t="n">
        <f aca="false">Familias!E17*D410*E410</f>
        <v>14.5</v>
      </c>
      <c r="G410" s="4" t="n">
        <f aca="false">F410*Supuestos!$B$2</f>
        <v>0.29</v>
      </c>
      <c r="H410" s="4" t="n">
        <f aca="false">G410*Supuestos!$B$3</f>
        <v>0.1885</v>
      </c>
    </row>
    <row r="411" customFormat="false" ht="15" hidden="false" customHeight="false" outlineLevel="0" collapsed="false">
      <c r="A411" s="0" t="s">
        <v>193</v>
      </c>
      <c r="B411" s="0" t="s">
        <v>163</v>
      </c>
      <c r="C411" s="0" t="n">
        <v>2</v>
      </c>
      <c r="D411" s="5" t="n">
        <f aca="false">Supuestos!$B$11</f>
        <v>0.05</v>
      </c>
      <c r="E411" s="5" t="n">
        <f aca="false">IF(C411&lt;Familias!F17,0,INDEX(Supuestos!$B$13:$B$19,MIN(C411-Familias!F17+1,7)))</f>
        <v>0.2</v>
      </c>
      <c r="F411" s="4" t="n">
        <f aca="false">Familias!E17*D411*E411</f>
        <v>29</v>
      </c>
      <c r="G411" s="4" t="n">
        <f aca="false">F411*Supuestos!$B$2</f>
        <v>0.58</v>
      </c>
      <c r="H411" s="4" t="n">
        <f aca="false">G411*Supuestos!$B$3</f>
        <v>0.377</v>
      </c>
    </row>
    <row r="412" customFormat="false" ht="15" hidden="false" customHeight="false" outlineLevel="0" collapsed="false">
      <c r="A412" s="0" t="s">
        <v>193</v>
      </c>
      <c r="B412" s="0" t="s">
        <v>163</v>
      </c>
      <c r="C412" s="0" t="n">
        <v>3</v>
      </c>
      <c r="D412" s="5" t="n">
        <f aca="false">Supuestos!$B$11</f>
        <v>0.05</v>
      </c>
      <c r="E412" s="5" t="n">
        <f aca="false">IF(C412&lt;Familias!F17,0,INDEX(Supuestos!$B$13:$B$19,MIN(C412-Familias!F17+1,7)))</f>
        <v>0.35</v>
      </c>
      <c r="F412" s="4" t="n">
        <f aca="false">Familias!E17*D412*E412</f>
        <v>50.75</v>
      </c>
      <c r="G412" s="4" t="n">
        <f aca="false">F412*Supuestos!$B$2</f>
        <v>1.015</v>
      </c>
      <c r="H412" s="4" t="n">
        <f aca="false">G412*Supuestos!$B$3</f>
        <v>0.65975</v>
      </c>
    </row>
    <row r="413" customFormat="false" ht="15" hidden="false" customHeight="false" outlineLevel="0" collapsed="false">
      <c r="A413" s="0" t="s">
        <v>193</v>
      </c>
      <c r="B413" s="0" t="s">
        <v>163</v>
      </c>
      <c r="C413" s="0" t="n">
        <v>4</v>
      </c>
      <c r="D413" s="5" t="n">
        <f aca="false">Supuestos!$B$11</f>
        <v>0.05</v>
      </c>
      <c r="E413" s="5" t="n">
        <f aca="false">IF(C413&lt;Familias!F17,0,INDEX(Supuestos!$B$13:$B$19,MIN(C413-Familias!F17+1,7)))</f>
        <v>0.5</v>
      </c>
      <c r="F413" s="4" t="n">
        <f aca="false">Familias!E17*D413*E413</f>
        <v>72.5</v>
      </c>
      <c r="G413" s="4" t="n">
        <f aca="false">F413*Supuestos!$B$2</f>
        <v>1.45</v>
      </c>
      <c r="H413" s="4" t="n">
        <f aca="false">G413*Supuestos!$B$3</f>
        <v>0.9425</v>
      </c>
    </row>
    <row r="414" customFormat="false" ht="15" hidden="false" customHeight="false" outlineLevel="0" collapsed="false">
      <c r="A414" s="0" t="s">
        <v>193</v>
      </c>
      <c r="B414" s="0" t="s">
        <v>163</v>
      </c>
      <c r="C414" s="0" t="n">
        <v>5</v>
      </c>
      <c r="D414" s="5" t="n">
        <f aca="false">Supuestos!$B$11</f>
        <v>0.05</v>
      </c>
      <c r="E414" s="5" t="n">
        <f aca="false">IF(C414&lt;Familias!F17,0,INDEX(Supuestos!$B$13:$B$19,MIN(C414-Familias!F17+1,7)))</f>
        <v>0.65</v>
      </c>
      <c r="F414" s="4" t="n">
        <f aca="false">Familias!E17*D414*E414</f>
        <v>94.25</v>
      </c>
      <c r="G414" s="4" t="n">
        <f aca="false">F414*Supuestos!$B$2</f>
        <v>1.885</v>
      </c>
      <c r="H414" s="4" t="n">
        <f aca="false">G414*Supuestos!$B$3</f>
        <v>1.22525</v>
      </c>
    </row>
    <row r="415" customFormat="false" ht="15" hidden="false" customHeight="false" outlineLevel="0" collapsed="false">
      <c r="A415" s="0" t="s">
        <v>193</v>
      </c>
      <c r="B415" s="0" t="s">
        <v>163</v>
      </c>
      <c r="C415" s="0" t="n">
        <v>6</v>
      </c>
      <c r="D415" s="5" t="n">
        <f aca="false">Supuestos!$B$11</f>
        <v>0.05</v>
      </c>
      <c r="E415" s="5" t="n">
        <f aca="false">IF(C415&lt;Familias!F17,0,INDEX(Supuestos!$B$13:$B$19,MIN(C415-Familias!F17+1,7)))</f>
        <v>0.8</v>
      </c>
      <c r="F415" s="4" t="n">
        <f aca="false">Familias!E17*D415*E415</f>
        <v>116</v>
      </c>
      <c r="G415" s="4" t="n">
        <f aca="false">F415*Supuestos!$B$2</f>
        <v>2.32</v>
      </c>
      <c r="H415" s="4" t="n">
        <f aca="false">G415*Supuestos!$B$3</f>
        <v>1.508</v>
      </c>
    </row>
    <row r="416" customFormat="false" ht="15" hidden="false" customHeight="false" outlineLevel="0" collapsed="false">
      <c r="A416" s="0" t="s">
        <v>193</v>
      </c>
      <c r="B416" s="0" t="s">
        <v>163</v>
      </c>
      <c r="C416" s="0" t="n">
        <v>7</v>
      </c>
      <c r="D416" s="5" t="n">
        <f aca="false">Supuestos!$B$11</f>
        <v>0.05</v>
      </c>
      <c r="E416" s="5" t="n">
        <f aca="false">IF(C416&lt;Familias!F17,0,INDEX(Supuestos!$B$13:$B$19,MIN(C416-Familias!F17+1,7)))</f>
        <v>1</v>
      </c>
      <c r="F416" s="4" t="n">
        <f aca="false">Familias!E17*D416*E416</f>
        <v>145</v>
      </c>
      <c r="G416" s="4" t="n">
        <f aca="false">F416*Supuestos!$B$2</f>
        <v>2.9</v>
      </c>
      <c r="H416" s="4" t="n">
        <f aca="false">G416*Supuestos!$B$3</f>
        <v>1.885</v>
      </c>
    </row>
    <row r="417" customFormat="false" ht="15" hidden="false" customHeight="false" outlineLevel="0" collapsed="false">
      <c r="A417" s="0" t="s">
        <v>193</v>
      </c>
      <c r="B417" s="0" t="s">
        <v>163</v>
      </c>
      <c r="C417" s="0" t="n">
        <v>8</v>
      </c>
      <c r="D417" s="5" t="n">
        <f aca="false">Supuestos!$B$11</f>
        <v>0.05</v>
      </c>
      <c r="E417" s="5" t="n">
        <f aca="false">IF(C417&lt;Familias!F17,0,INDEX(Supuestos!$B$13:$B$19,MIN(C417-Familias!F17+1,7)))</f>
        <v>1</v>
      </c>
      <c r="F417" s="4" t="n">
        <f aca="false">Familias!E17*D417*E417</f>
        <v>145</v>
      </c>
      <c r="G417" s="4" t="n">
        <f aca="false">F417*Supuestos!$B$2</f>
        <v>2.9</v>
      </c>
      <c r="H417" s="4" t="n">
        <f aca="false">G417*Supuestos!$B$3</f>
        <v>1.885</v>
      </c>
    </row>
    <row r="418" customFormat="false" ht="15" hidden="false" customHeight="false" outlineLevel="0" collapsed="false">
      <c r="A418" s="0" t="s">
        <v>193</v>
      </c>
      <c r="B418" s="0" t="s">
        <v>163</v>
      </c>
      <c r="C418" s="0" t="n">
        <v>9</v>
      </c>
      <c r="D418" s="5" t="n">
        <f aca="false">Supuestos!$B$11</f>
        <v>0.05</v>
      </c>
      <c r="E418" s="5" t="n">
        <f aca="false">IF(C418&lt;Familias!F17,0,INDEX(Supuestos!$B$13:$B$19,MIN(C418-Familias!F17+1,7)))</f>
        <v>1</v>
      </c>
      <c r="F418" s="4" t="n">
        <f aca="false">Familias!E17*D418*E418</f>
        <v>145</v>
      </c>
      <c r="G418" s="4" t="n">
        <f aca="false">F418*Supuestos!$B$2</f>
        <v>2.9</v>
      </c>
      <c r="H418" s="4" t="n">
        <f aca="false">G418*Supuestos!$B$3</f>
        <v>1.885</v>
      </c>
    </row>
    <row r="419" customFormat="false" ht="15" hidden="false" customHeight="false" outlineLevel="0" collapsed="false">
      <c r="A419" s="0" t="s">
        <v>193</v>
      </c>
      <c r="B419" s="0" t="s">
        <v>163</v>
      </c>
      <c r="C419" s="0" t="n">
        <v>10</v>
      </c>
      <c r="D419" s="5" t="n">
        <f aca="false">Supuestos!$B$11</f>
        <v>0.05</v>
      </c>
      <c r="E419" s="5" t="n">
        <f aca="false">IF(C419&lt;Familias!F17,0,INDEX(Supuestos!$B$13:$B$19,MIN(C419-Familias!F17+1,7)))</f>
        <v>1</v>
      </c>
      <c r="F419" s="4" t="n">
        <f aca="false">Familias!E17*D419*E419</f>
        <v>145</v>
      </c>
      <c r="G419" s="4" t="n">
        <f aca="false">F419*Supuestos!$B$2</f>
        <v>2.9</v>
      </c>
      <c r="H419" s="4" t="n">
        <f aca="false">G419*Supuestos!$B$3</f>
        <v>1.885</v>
      </c>
    </row>
    <row r="420" customFormat="false" ht="15" hidden="false" customHeight="false" outlineLevel="0" collapsed="false">
      <c r="A420" s="0" t="s">
        <v>193</v>
      </c>
      <c r="B420" s="0" t="s">
        <v>163</v>
      </c>
      <c r="C420" s="0" t="n">
        <v>11</v>
      </c>
      <c r="D420" s="5" t="n">
        <f aca="false">Supuestos!$B$11</f>
        <v>0.05</v>
      </c>
      <c r="E420" s="5" t="n">
        <f aca="false">IF(C420&lt;Familias!F17,0,INDEX(Supuestos!$B$13:$B$19,MIN(C420-Familias!F17+1,7)))</f>
        <v>1</v>
      </c>
      <c r="F420" s="4" t="n">
        <f aca="false">Familias!E17*D420*E420</f>
        <v>145</v>
      </c>
      <c r="G420" s="4" t="n">
        <f aca="false">F420*Supuestos!$B$2</f>
        <v>2.9</v>
      </c>
      <c r="H420" s="4" t="n">
        <f aca="false">G420*Supuestos!$B$3</f>
        <v>1.885</v>
      </c>
    </row>
    <row r="421" customFormat="false" ht="15" hidden="false" customHeight="false" outlineLevel="0" collapsed="false">
      <c r="A421" s="0" t="s">
        <v>193</v>
      </c>
      <c r="B421" s="0" t="s">
        <v>163</v>
      </c>
      <c r="C421" s="0" t="n">
        <v>12</v>
      </c>
      <c r="D421" s="5" t="n">
        <f aca="false">Supuestos!$B$11</f>
        <v>0.05</v>
      </c>
      <c r="E421" s="5" t="n">
        <f aca="false">IF(C421&lt;Familias!F17,0,INDEX(Supuestos!$B$13:$B$19,MIN(C421-Familias!F17+1,7)))</f>
        <v>1</v>
      </c>
      <c r="F421" s="4" t="n">
        <f aca="false">Familias!E17*D421*E421</f>
        <v>145</v>
      </c>
      <c r="G421" s="4" t="n">
        <f aca="false">F421*Supuestos!$B$2</f>
        <v>2.9</v>
      </c>
      <c r="H421" s="4" t="n">
        <f aca="false">G421*Supuestos!$B$3</f>
        <v>1.885</v>
      </c>
    </row>
    <row r="422" customFormat="false" ht="15" hidden="false" customHeight="false" outlineLevel="0" collapsed="false">
      <c r="A422" s="0" t="s">
        <v>193</v>
      </c>
      <c r="B422" s="0" t="s">
        <v>170</v>
      </c>
      <c r="C422" s="0" t="n">
        <v>1</v>
      </c>
      <c r="D422" s="5" t="n">
        <f aca="false">Supuestos!$B$11</f>
        <v>0.05</v>
      </c>
      <c r="E422" s="5" t="n">
        <f aca="false">IF(C422&lt;Familias!F18,0,INDEX(Supuestos!$B$13:$B$19,MIN(C422-Familias!F18+1,7)))</f>
        <v>0</v>
      </c>
      <c r="F422" s="4" t="n">
        <f aca="false">Familias!E18*D422*E422</f>
        <v>0</v>
      </c>
      <c r="G422" s="4" t="n">
        <f aca="false">F422*Supuestos!$B$2</f>
        <v>0</v>
      </c>
      <c r="H422" s="4" t="n">
        <f aca="false">G422*Supuestos!$B$3</f>
        <v>0</v>
      </c>
    </row>
    <row r="423" customFormat="false" ht="15" hidden="false" customHeight="false" outlineLevel="0" collapsed="false">
      <c r="A423" s="0" t="s">
        <v>193</v>
      </c>
      <c r="B423" s="0" t="s">
        <v>170</v>
      </c>
      <c r="C423" s="0" t="n">
        <v>2</v>
      </c>
      <c r="D423" s="5" t="n">
        <f aca="false">Supuestos!$B$11</f>
        <v>0.05</v>
      </c>
      <c r="E423" s="5" t="n">
        <f aca="false">IF(C423&lt;Familias!F18,0,INDEX(Supuestos!$B$13:$B$19,MIN(C423-Familias!F18+1,7)))</f>
        <v>0</v>
      </c>
      <c r="F423" s="4" t="n">
        <f aca="false">Familias!E18*D423*E423</f>
        <v>0</v>
      </c>
      <c r="G423" s="4" t="n">
        <f aca="false">F423*Supuestos!$B$2</f>
        <v>0</v>
      </c>
      <c r="H423" s="4" t="n">
        <f aca="false">G423*Supuestos!$B$3</f>
        <v>0</v>
      </c>
    </row>
    <row r="424" customFormat="false" ht="15" hidden="false" customHeight="false" outlineLevel="0" collapsed="false">
      <c r="A424" s="0" t="s">
        <v>193</v>
      </c>
      <c r="B424" s="0" t="s">
        <v>170</v>
      </c>
      <c r="C424" s="0" t="n">
        <v>3</v>
      </c>
      <c r="D424" s="5" t="n">
        <f aca="false">Supuestos!$B$11</f>
        <v>0.05</v>
      </c>
      <c r="E424" s="5" t="n">
        <f aca="false">IF(C424&lt;Familias!F18,0,INDEX(Supuestos!$B$13:$B$19,MIN(C424-Familias!F18+1,7)))</f>
        <v>0</v>
      </c>
      <c r="F424" s="4" t="n">
        <f aca="false">Familias!E18*D424*E424</f>
        <v>0</v>
      </c>
      <c r="G424" s="4" t="n">
        <f aca="false">F424*Supuestos!$B$2</f>
        <v>0</v>
      </c>
      <c r="H424" s="4" t="n">
        <f aca="false">G424*Supuestos!$B$3</f>
        <v>0</v>
      </c>
    </row>
    <row r="425" customFormat="false" ht="15" hidden="false" customHeight="false" outlineLevel="0" collapsed="false">
      <c r="A425" s="0" t="s">
        <v>193</v>
      </c>
      <c r="B425" s="0" t="s">
        <v>170</v>
      </c>
      <c r="C425" s="0" t="n">
        <v>4</v>
      </c>
      <c r="D425" s="5" t="n">
        <f aca="false">Supuestos!$B$11</f>
        <v>0.05</v>
      </c>
      <c r="E425" s="5" t="n">
        <f aca="false">IF(C425&lt;Familias!F18,0,INDEX(Supuestos!$B$13:$B$19,MIN(C425-Familias!F18+1,7)))</f>
        <v>0.1</v>
      </c>
      <c r="F425" s="4" t="n">
        <f aca="false">Familias!E18*D425*E425</f>
        <v>8</v>
      </c>
      <c r="G425" s="4" t="n">
        <f aca="false">F425*Supuestos!$B$2</f>
        <v>0.16</v>
      </c>
      <c r="H425" s="4" t="n">
        <f aca="false">G425*Supuestos!$B$3</f>
        <v>0.104</v>
      </c>
    </row>
    <row r="426" customFormat="false" ht="15" hidden="false" customHeight="false" outlineLevel="0" collapsed="false">
      <c r="A426" s="0" t="s">
        <v>193</v>
      </c>
      <c r="B426" s="0" t="s">
        <v>170</v>
      </c>
      <c r="C426" s="0" t="n">
        <v>5</v>
      </c>
      <c r="D426" s="5" t="n">
        <f aca="false">Supuestos!$B$11</f>
        <v>0.05</v>
      </c>
      <c r="E426" s="5" t="n">
        <f aca="false">IF(C426&lt;Familias!F18,0,INDEX(Supuestos!$B$13:$B$19,MIN(C426-Familias!F18+1,7)))</f>
        <v>0.2</v>
      </c>
      <c r="F426" s="4" t="n">
        <f aca="false">Familias!E18*D426*E426</f>
        <v>16</v>
      </c>
      <c r="G426" s="4" t="n">
        <f aca="false">F426*Supuestos!$B$2</f>
        <v>0.32</v>
      </c>
      <c r="H426" s="4" t="n">
        <f aca="false">G426*Supuestos!$B$3</f>
        <v>0.208</v>
      </c>
    </row>
    <row r="427" customFormat="false" ht="15" hidden="false" customHeight="false" outlineLevel="0" collapsed="false">
      <c r="A427" s="0" t="s">
        <v>193</v>
      </c>
      <c r="B427" s="0" t="s">
        <v>170</v>
      </c>
      <c r="C427" s="0" t="n">
        <v>6</v>
      </c>
      <c r="D427" s="5" t="n">
        <f aca="false">Supuestos!$B$11</f>
        <v>0.05</v>
      </c>
      <c r="E427" s="5" t="n">
        <f aca="false">IF(C427&lt;Familias!F18,0,INDEX(Supuestos!$B$13:$B$19,MIN(C427-Familias!F18+1,7)))</f>
        <v>0.35</v>
      </c>
      <c r="F427" s="4" t="n">
        <f aca="false">Familias!E18*D427*E427</f>
        <v>28</v>
      </c>
      <c r="G427" s="4" t="n">
        <f aca="false">F427*Supuestos!$B$2</f>
        <v>0.56</v>
      </c>
      <c r="H427" s="4" t="n">
        <f aca="false">G427*Supuestos!$B$3</f>
        <v>0.364</v>
      </c>
    </row>
    <row r="428" customFormat="false" ht="15" hidden="false" customHeight="false" outlineLevel="0" collapsed="false">
      <c r="A428" s="0" t="s">
        <v>193</v>
      </c>
      <c r="B428" s="0" t="s">
        <v>170</v>
      </c>
      <c r="C428" s="0" t="n">
        <v>7</v>
      </c>
      <c r="D428" s="5" t="n">
        <f aca="false">Supuestos!$B$11</f>
        <v>0.05</v>
      </c>
      <c r="E428" s="5" t="n">
        <f aca="false">IF(C428&lt;Familias!F18,0,INDEX(Supuestos!$B$13:$B$19,MIN(C428-Familias!F18+1,7)))</f>
        <v>0.5</v>
      </c>
      <c r="F428" s="4" t="n">
        <f aca="false">Familias!E18*D428*E428</f>
        <v>40</v>
      </c>
      <c r="G428" s="4" t="n">
        <f aca="false">F428*Supuestos!$B$2</f>
        <v>0.8</v>
      </c>
      <c r="H428" s="4" t="n">
        <f aca="false">G428*Supuestos!$B$3</f>
        <v>0.52</v>
      </c>
    </row>
    <row r="429" customFormat="false" ht="15" hidden="false" customHeight="false" outlineLevel="0" collapsed="false">
      <c r="A429" s="0" t="s">
        <v>193</v>
      </c>
      <c r="B429" s="0" t="s">
        <v>170</v>
      </c>
      <c r="C429" s="0" t="n">
        <v>8</v>
      </c>
      <c r="D429" s="5" t="n">
        <f aca="false">Supuestos!$B$11</f>
        <v>0.05</v>
      </c>
      <c r="E429" s="5" t="n">
        <f aca="false">IF(C429&lt;Familias!F18,0,INDEX(Supuestos!$B$13:$B$19,MIN(C429-Familias!F18+1,7)))</f>
        <v>0.65</v>
      </c>
      <c r="F429" s="4" t="n">
        <f aca="false">Familias!E18*D429*E429</f>
        <v>52</v>
      </c>
      <c r="G429" s="4" t="n">
        <f aca="false">F429*Supuestos!$B$2</f>
        <v>1.04</v>
      </c>
      <c r="H429" s="4" t="n">
        <f aca="false">G429*Supuestos!$B$3</f>
        <v>0.676</v>
      </c>
    </row>
    <row r="430" customFormat="false" ht="15" hidden="false" customHeight="false" outlineLevel="0" collapsed="false">
      <c r="A430" s="0" t="s">
        <v>193</v>
      </c>
      <c r="B430" s="0" t="s">
        <v>170</v>
      </c>
      <c r="C430" s="0" t="n">
        <v>9</v>
      </c>
      <c r="D430" s="5" t="n">
        <f aca="false">Supuestos!$B$11</f>
        <v>0.05</v>
      </c>
      <c r="E430" s="5" t="n">
        <f aca="false">IF(C430&lt;Familias!F18,0,INDEX(Supuestos!$B$13:$B$19,MIN(C430-Familias!F18+1,7)))</f>
        <v>0.8</v>
      </c>
      <c r="F430" s="4" t="n">
        <f aca="false">Familias!E18*D430*E430</f>
        <v>64</v>
      </c>
      <c r="G430" s="4" t="n">
        <f aca="false">F430*Supuestos!$B$2</f>
        <v>1.28</v>
      </c>
      <c r="H430" s="4" t="n">
        <f aca="false">G430*Supuestos!$B$3</f>
        <v>0.832</v>
      </c>
    </row>
    <row r="431" customFormat="false" ht="15" hidden="false" customHeight="false" outlineLevel="0" collapsed="false">
      <c r="A431" s="0" t="s">
        <v>193</v>
      </c>
      <c r="B431" s="0" t="s">
        <v>170</v>
      </c>
      <c r="C431" s="0" t="n">
        <v>10</v>
      </c>
      <c r="D431" s="5" t="n">
        <f aca="false">Supuestos!$B$11</f>
        <v>0.05</v>
      </c>
      <c r="E431" s="5" t="n">
        <f aca="false">IF(C431&lt;Familias!F18,0,INDEX(Supuestos!$B$13:$B$19,MIN(C431-Familias!F18+1,7)))</f>
        <v>1</v>
      </c>
      <c r="F431" s="4" t="n">
        <f aca="false">Familias!E18*D431*E431</f>
        <v>80</v>
      </c>
      <c r="G431" s="4" t="n">
        <f aca="false">F431*Supuestos!$B$2</f>
        <v>1.6</v>
      </c>
      <c r="H431" s="4" t="n">
        <f aca="false">G431*Supuestos!$B$3</f>
        <v>1.04</v>
      </c>
    </row>
    <row r="432" customFormat="false" ht="15" hidden="false" customHeight="false" outlineLevel="0" collapsed="false">
      <c r="A432" s="0" t="s">
        <v>193</v>
      </c>
      <c r="B432" s="0" t="s">
        <v>170</v>
      </c>
      <c r="C432" s="0" t="n">
        <v>11</v>
      </c>
      <c r="D432" s="5" t="n">
        <f aca="false">Supuestos!$B$11</f>
        <v>0.05</v>
      </c>
      <c r="E432" s="5" t="n">
        <f aca="false">IF(C432&lt;Familias!F18,0,INDEX(Supuestos!$B$13:$B$19,MIN(C432-Familias!F18+1,7)))</f>
        <v>1</v>
      </c>
      <c r="F432" s="4" t="n">
        <f aca="false">Familias!E18*D432*E432</f>
        <v>80</v>
      </c>
      <c r="G432" s="4" t="n">
        <f aca="false">F432*Supuestos!$B$2</f>
        <v>1.6</v>
      </c>
      <c r="H432" s="4" t="n">
        <f aca="false">G432*Supuestos!$B$3</f>
        <v>1.04</v>
      </c>
    </row>
    <row r="433" customFormat="false" ht="15" hidden="false" customHeight="false" outlineLevel="0" collapsed="false">
      <c r="A433" s="0" t="s">
        <v>193</v>
      </c>
      <c r="B433" s="0" t="s">
        <v>170</v>
      </c>
      <c r="C433" s="0" t="n">
        <v>12</v>
      </c>
      <c r="D433" s="5" t="n">
        <f aca="false">Supuestos!$B$11</f>
        <v>0.05</v>
      </c>
      <c r="E433" s="5" t="n">
        <f aca="false">IF(C433&lt;Familias!F18,0,INDEX(Supuestos!$B$13:$B$19,MIN(C433-Familias!F18+1,7)))</f>
        <v>1</v>
      </c>
      <c r="F433" s="4" t="n">
        <f aca="false">Familias!E18*D433*E433</f>
        <v>80</v>
      </c>
      <c r="G433" s="4" t="n">
        <f aca="false">F433*Supuestos!$B$2</f>
        <v>1.6</v>
      </c>
      <c r="H433" s="4" t="n">
        <f aca="false">G433*Supuestos!$B$3</f>
        <v>1.04</v>
      </c>
    </row>
    <row r="434" customFormat="false" ht="15" hidden="false" customHeight="false" outlineLevel="0" collapsed="false">
      <c r="A434" s="0" t="s">
        <v>193</v>
      </c>
      <c r="B434" s="0" t="s">
        <v>175</v>
      </c>
      <c r="C434" s="0" t="n">
        <v>1</v>
      </c>
      <c r="D434" s="5" t="n">
        <f aca="false">Supuestos!$B$11</f>
        <v>0.05</v>
      </c>
      <c r="E434" s="5" t="n">
        <f aca="false">IF(C434&lt;Familias!F19,0,INDEX(Supuestos!$B$13:$B$19,MIN(C434-Familias!F19+1,7)))</f>
        <v>0.1</v>
      </c>
      <c r="F434" s="4" t="n">
        <f aca="false">Familias!E19*D434*E434</f>
        <v>2.95</v>
      </c>
      <c r="G434" s="4" t="n">
        <f aca="false">F434*Supuestos!$B$2</f>
        <v>0.059</v>
      </c>
      <c r="H434" s="4" t="n">
        <f aca="false">G434*Supuestos!$B$3</f>
        <v>0.03835</v>
      </c>
    </row>
    <row r="435" customFormat="false" ht="15" hidden="false" customHeight="false" outlineLevel="0" collapsed="false">
      <c r="A435" s="0" t="s">
        <v>193</v>
      </c>
      <c r="B435" s="0" t="s">
        <v>175</v>
      </c>
      <c r="C435" s="0" t="n">
        <v>2</v>
      </c>
      <c r="D435" s="5" t="n">
        <f aca="false">Supuestos!$B$11</f>
        <v>0.05</v>
      </c>
      <c r="E435" s="5" t="n">
        <f aca="false">IF(C435&lt;Familias!F19,0,INDEX(Supuestos!$B$13:$B$19,MIN(C435-Familias!F19+1,7)))</f>
        <v>0.2</v>
      </c>
      <c r="F435" s="4" t="n">
        <f aca="false">Familias!E19*D435*E435</f>
        <v>5.9</v>
      </c>
      <c r="G435" s="4" t="n">
        <f aca="false">F435*Supuestos!$B$2</f>
        <v>0.118</v>
      </c>
      <c r="H435" s="4" t="n">
        <f aca="false">G435*Supuestos!$B$3</f>
        <v>0.0767</v>
      </c>
    </row>
    <row r="436" customFormat="false" ht="15" hidden="false" customHeight="false" outlineLevel="0" collapsed="false">
      <c r="A436" s="0" t="s">
        <v>193</v>
      </c>
      <c r="B436" s="0" t="s">
        <v>175</v>
      </c>
      <c r="C436" s="0" t="n">
        <v>3</v>
      </c>
      <c r="D436" s="5" t="n">
        <f aca="false">Supuestos!$B$11</f>
        <v>0.05</v>
      </c>
      <c r="E436" s="5" t="n">
        <f aca="false">IF(C436&lt;Familias!F19,0,INDEX(Supuestos!$B$13:$B$19,MIN(C436-Familias!F19+1,7)))</f>
        <v>0.35</v>
      </c>
      <c r="F436" s="4" t="n">
        <f aca="false">Familias!E19*D436*E436</f>
        <v>10.325</v>
      </c>
      <c r="G436" s="4" t="n">
        <f aca="false">F436*Supuestos!$B$2</f>
        <v>0.2065</v>
      </c>
      <c r="H436" s="4" t="n">
        <f aca="false">G436*Supuestos!$B$3</f>
        <v>0.134225</v>
      </c>
    </row>
    <row r="437" customFormat="false" ht="15" hidden="false" customHeight="false" outlineLevel="0" collapsed="false">
      <c r="A437" s="0" t="s">
        <v>193</v>
      </c>
      <c r="B437" s="0" t="s">
        <v>175</v>
      </c>
      <c r="C437" s="0" t="n">
        <v>4</v>
      </c>
      <c r="D437" s="5" t="n">
        <f aca="false">Supuestos!$B$11</f>
        <v>0.05</v>
      </c>
      <c r="E437" s="5" t="n">
        <f aca="false">IF(C437&lt;Familias!F19,0,INDEX(Supuestos!$B$13:$B$19,MIN(C437-Familias!F19+1,7)))</f>
        <v>0.5</v>
      </c>
      <c r="F437" s="4" t="n">
        <f aca="false">Familias!E19*D437*E437</f>
        <v>14.75</v>
      </c>
      <c r="G437" s="4" t="n">
        <f aca="false">F437*Supuestos!$B$2</f>
        <v>0.295</v>
      </c>
      <c r="H437" s="4" t="n">
        <f aca="false">G437*Supuestos!$B$3</f>
        <v>0.19175</v>
      </c>
    </row>
    <row r="438" customFormat="false" ht="15" hidden="false" customHeight="false" outlineLevel="0" collapsed="false">
      <c r="A438" s="0" t="s">
        <v>193</v>
      </c>
      <c r="B438" s="0" t="s">
        <v>175</v>
      </c>
      <c r="C438" s="0" t="n">
        <v>5</v>
      </c>
      <c r="D438" s="5" t="n">
        <f aca="false">Supuestos!$B$11</f>
        <v>0.05</v>
      </c>
      <c r="E438" s="5" t="n">
        <f aca="false">IF(C438&lt;Familias!F19,0,INDEX(Supuestos!$B$13:$B$19,MIN(C438-Familias!F19+1,7)))</f>
        <v>0.65</v>
      </c>
      <c r="F438" s="4" t="n">
        <f aca="false">Familias!E19*D438*E438</f>
        <v>19.175</v>
      </c>
      <c r="G438" s="4" t="n">
        <f aca="false">F438*Supuestos!$B$2</f>
        <v>0.3835</v>
      </c>
      <c r="H438" s="4" t="n">
        <f aca="false">G438*Supuestos!$B$3</f>
        <v>0.249275</v>
      </c>
    </row>
    <row r="439" customFormat="false" ht="15" hidden="false" customHeight="false" outlineLevel="0" collapsed="false">
      <c r="A439" s="0" t="s">
        <v>193</v>
      </c>
      <c r="B439" s="0" t="s">
        <v>175</v>
      </c>
      <c r="C439" s="0" t="n">
        <v>6</v>
      </c>
      <c r="D439" s="5" t="n">
        <f aca="false">Supuestos!$B$11</f>
        <v>0.05</v>
      </c>
      <c r="E439" s="5" t="n">
        <f aca="false">IF(C439&lt;Familias!F19,0,INDEX(Supuestos!$B$13:$B$19,MIN(C439-Familias!F19+1,7)))</f>
        <v>0.8</v>
      </c>
      <c r="F439" s="4" t="n">
        <f aca="false">Familias!E19*D439*E439</f>
        <v>23.6</v>
      </c>
      <c r="G439" s="4" t="n">
        <f aca="false">F439*Supuestos!$B$2</f>
        <v>0.472</v>
      </c>
      <c r="H439" s="4" t="n">
        <f aca="false">G439*Supuestos!$B$3</f>
        <v>0.3068</v>
      </c>
    </row>
    <row r="440" customFormat="false" ht="15" hidden="false" customHeight="false" outlineLevel="0" collapsed="false">
      <c r="A440" s="0" t="s">
        <v>193</v>
      </c>
      <c r="B440" s="0" t="s">
        <v>175</v>
      </c>
      <c r="C440" s="0" t="n">
        <v>7</v>
      </c>
      <c r="D440" s="5" t="n">
        <f aca="false">Supuestos!$B$11</f>
        <v>0.05</v>
      </c>
      <c r="E440" s="5" t="n">
        <f aca="false">IF(C440&lt;Familias!F19,0,INDEX(Supuestos!$B$13:$B$19,MIN(C440-Familias!F19+1,7)))</f>
        <v>1</v>
      </c>
      <c r="F440" s="4" t="n">
        <f aca="false">Familias!E19*D440*E440</f>
        <v>29.5</v>
      </c>
      <c r="G440" s="4" t="n">
        <f aca="false">F440*Supuestos!$B$2</f>
        <v>0.59</v>
      </c>
      <c r="H440" s="4" t="n">
        <f aca="false">G440*Supuestos!$B$3</f>
        <v>0.3835</v>
      </c>
    </row>
    <row r="441" customFormat="false" ht="15" hidden="false" customHeight="false" outlineLevel="0" collapsed="false">
      <c r="A441" s="0" t="s">
        <v>193</v>
      </c>
      <c r="B441" s="0" t="s">
        <v>175</v>
      </c>
      <c r="C441" s="0" t="n">
        <v>8</v>
      </c>
      <c r="D441" s="5" t="n">
        <f aca="false">Supuestos!$B$11</f>
        <v>0.05</v>
      </c>
      <c r="E441" s="5" t="n">
        <f aca="false">IF(C441&lt;Familias!F19,0,INDEX(Supuestos!$B$13:$B$19,MIN(C441-Familias!F19+1,7)))</f>
        <v>1</v>
      </c>
      <c r="F441" s="4" t="n">
        <f aca="false">Familias!E19*D441*E441</f>
        <v>29.5</v>
      </c>
      <c r="G441" s="4" t="n">
        <f aca="false">F441*Supuestos!$B$2</f>
        <v>0.59</v>
      </c>
      <c r="H441" s="4" t="n">
        <f aca="false">G441*Supuestos!$B$3</f>
        <v>0.3835</v>
      </c>
    </row>
    <row r="442" customFormat="false" ht="15" hidden="false" customHeight="false" outlineLevel="0" collapsed="false">
      <c r="A442" s="0" t="s">
        <v>193</v>
      </c>
      <c r="B442" s="0" t="s">
        <v>175</v>
      </c>
      <c r="C442" s="0" t="n">
        <v>9</v>
      </c>
      <c r="D442" s="5" t="n">
        <f aca="false">Supuestos!$B$11</f>
        <v>0.05</v>
      </c>
      <c r="E442" s="5" t="n">
        <f aca="false">IF(C442&lt;Familias!F19,0,INDEX(Supuestos!$B$13:$B$19,MIN(C442-Familias!F19+1,7)))</f>
        <v>1</v>
      </c>
      <c r="F442" s="4" t="n">
        <f aca="false">Familias!E19*D442*E442</f>
        <v>29.5</v>
      </c>
      <c r="G442" s="4" t="n">
        <f aca="false">F442*Supuestos!$B$2</f>
        <v>0.59</v>
      </c>
      <c r="H442" s="4" t="n">
        <f aca="false">G442*Supuestos!$B$3</f>
        <v>0.3835</v>
      </c>
    </row>
    <row r="443" customFormat="false" ht="15" hidden="false" customHeight="false" outlineLevel="0" collapsed="false">
      <c r="A443" s="0" t="s">
        <v>193</v>
      </c>
      <c r="B443" s="0" t="s">
        <v>175</v>
      </c>
      <c r="C443" s="0" t="n">
        <v>10</v>
      </c>
      <c r="D443" s="5" t="n">
        <f aca="false">Supuestos!$B$11</f>
        <v>0.05</v>
      </c>
      <c r="E443" s="5" t="n">
        <f aca="false">IF(C443&lt;Familias!F19,0,INDEX(Supuestos!$B$13:$B$19,MIN(C443-Familias!F19+1,7)))</f>
        <v>1</v>
      </c>
      <c r="F443" s="4" t="n">
        <f aca="false">Familias!E19*D443*E443</f>
        <v>29.5</v>
      </c>
      <c r="G443" s="4" t="n">
        <f aca="false">F443*Supuestos!$B$2</f>
        <v>0.59</v>
      </c>
      <c r="H443" s="4" t="n">
        <f aca="false">G443*Supuestos!$B$3</f>
        <v>0.3835</v>
      </c>
    </row>
    <row r="444" customFormat="false" ht="15" hidden="false" customHeight="false" outlineLevel="0" collapsed="false">
      <c r="A444" s="0" t="s">
        <v>193</v>
      </c>
      <c r="B444" s="0" t="s">
        <v>175</v>
      </c>
      <c r="C444" s="0" t="n">
        <v>11</v>
      </c>
      <c r="D444" s="5" t="n">
        <f aca="false">Supuestos!$B$11</f>
        <v>0.05</v>
      </c>
      <c r="E444" s="5" t="n">
        <f aca="false">IF(C444&lt;Familias!F19,0,INDEX(Supuestos!$B$13:$B$19,MIN(C444-Familias!F19+1,7)))</f>
        <v>1</v>
      </c>
      <c r="F444" s="4" t="n">
        <f aca="false">Familias!E19*D444*E444</f>
        <v>29.5</v>
      </c>
      <c r="G444" s="4" t="n">
        <f aca="false">F444*Supuestos!$B$2</f>
        <v>0.59</v>
      </c>
      <c r="H444" s="4" t="n">
        <f aca="false">G444*Supuestos!$B$3</f>
        <v>0.3835</v>
      </c>
    </row>
    <row r="445" customFormat="false" ht="15" hidden="false" customHeight="false" outlineLevel="0" collapsed="false">
      <c r="A445" s="0" t="s">
        <v>193</v>
      </c>
      <c r="B445" s="0" t="s">
        <v>175</v>
      </c>
      <c r="C445" s="0" t="n">
        <v>12</v>
      </c>
      <c r="D445" s="5" t="n">
        <f aca="false">Supuestos!$B$11</f>
        <v>0.05</v>
      </c>
      <c r="E445" s="5" t="n">
        <f aca="false">IF(C445&lt;Familias!F19,0,INDEX(Supuestos!$B$13:$B$19,MIN(C445-Familias!F19+1,7)))</f>
        <v>1</v>
      </c>
      <c r="F445" s="4" t="n">
        <f aca="false">Familias!E19*D445*E445</f>
        <v>29.5</v>
      </c>
      <c r="G445" s="4" t="n">
        <f aca="false">F445*Supuestos!$B$2</f>
        <v>0.59</v>
      </c>
      <c r="H445" s="4" t="n">
        <f aca="false">G445*Supuestos!$B$3</f>
        <v>0.3835</v>
      </c>
    </row>
    <row r="446" customFormat="false" ht="15" hidden="false" customHeight="false" outlineLevel="0" collapsed="false">
      <c r="A446" s="0" t="s">
        <v>193</v>
      </c>
      <c r="B446" s="0" t="s">
        <v>179</v>
      </c>
      <c r="C446" s="0" t="n">
        <v>1</v>
      </c>
      <c r="D446" s="5" t="n">
        <f aca="false">Supuestos!$B$11</f>
        <v>0.05</v>
      </c>
      <c r="E446" s="5" t="n">
        <f aca="false">IF(C446&lt;Familias!F20,0,INDEX(Supuestos!$B$13:$B$19,MIN(C446-Familias!F20+1,7)))</f>
        <v>0</v>
      </c>
      <c r="F446" s="4" t="n">
        <f aca="false">Familias!E20*D446*E446</f>
        <v>0</v>
      </c>
      <c r="G446" s="4" t="n">
        <f aca="false">F446*Supuestos!$B$2</f>
        <v>0</v>
      </c>
      <c r="H446" s="4" t="n">
        <f aca="false">G446*Supuestos!$B$3</f>
        <v>0</v>
      </c>
    </row>
    <row r="447" customFormat="false" ht="15" hidden="false" customHeight="false" outlineLevel="0" collapsed="false">
      <c r="A447" s="0" t="s">
        <v>193</v>
      </c>
      <c r="B447" s="0" t="s">
        <v>179</v>
      </c>
      <c r="C447" s="0" t="n">
        <v>2</v>
      </c>
      <c r="D447" s="5" t="n">
        <f aca="false">Supuestos!$B$11</f>
        <v>0.05</v>
      </c>
      <c r="E447" s="5" t="n">
        <f aca="false">IF(C447&lt;Familias!F20,0,INDEX(Supuestos!$B$13:$B$19,MIN(C447-Familias!F20+1,7)))</f>
        <v>0</v>
      </c>
      <c r="F447" s="4" t="n">
        <f aca="false">Familias!E20*D447*E447</f>
        <v>0</v>
      </c>
      <c r="G447" s="4" t="n">
        <f aca="false">F447*Supuestos!$B$2</f>
        <v>0</v>
      </c>
      <c r="H447" s="4" t="n">
        <f aca="false">G447*Supuestos!$B$3</f>
        <v>0</v>
      </c>
    </row>
    <row r="448" customFormat="false" ht="15" hidden="false" customHeight="false" outlineLevel="0" collapsed="false">
      <c r="A448" s="0" t="s">
        <v>193</v>
      </c>
      <c r="B448" s="0" t="s">
        <v>179</v>
      </c>
      <c r="C448" s="0" t="n">
        <v>3</v>
      </c>
      <c r="D448" s="5" t="n">
        <f aca="false">Supuestos!$B$11</f>
        <v>0.05</v>
      </c>
      <c r="E448" s="5" t="n">
        <f aca="false">IF(C448&lt;Familias!F20,0,INDEX(Supuestos!$B$13:$B$19,MIN(C448-Familias!F20+1,7)))</f>
        <v>0.1</v>
      </c>
      <c r="F448" s="4" t="n">
        <f aca="false">Familias!E20*D448*E448</f>
        <v>2.95</v>
      </c>
      <c r="G448" s="4" t="n">
        <f aca="false">F448*Supuestos!$B$2</f>
        <v>0.059</v>
      </c>
      <c r="H448" s="4" t="n">
        <f aca="false">G448*Supuestos!$B$3</f>
        <v>0.03835</v>
      </c>
    </row>
    <row r="449" customFormat="false" ht="15" hidden="false" customHeight="false" outlineLevel="0" collapsed="false">
      <c r="A449" s="0" t="s">
        <v>193</v>
      </c>
      <c r="B449" s="0" t="s">
        <v>179</v>
      </c>
      <c r="C449" s="0" t="n">
        <v>4</v>
      </c>
      <c r="D449" s="5" t="n">
        <f aca="false">Supuestos!$B$11</f>
        <v>0.05</v>
      </c>
      <c r="E449" s="5" t="n">
        <f aca="false">IF(C449&lt;Familias!F20,0,INDEX(Supuestos!$B$13:$B$19,MIN(C449-Familias!F20+1,7)))</f>
        <v>0.2</v>
      </c>
      <c r="F449" s="4" t="n">
        <f aca="false">Familias!E20*D449*E449</f>
        <v>5.9</v>
      </c>
      <c r="G449" s="4" t="n">
        <f aca="false">F449*Supuestos!$B$2</f>
        <v>0.118</v>
      </c>
      <c r="H449" s="4" t="n">
        <f aca="false">G449*Supuestos!$B$3</f>
        <v>0.0767</v>
      </c>
    </row>
    <row r="450" customFormat="false" ht="15" hidden="false" customHeight="false" outlineLevel="0" collapsed="false">
      <c r="A450" s="0" t="s">
        <v>193</v>
      </c>
      <c r="B450" s="0" t="s">
        <v>179</v>
      </c>
      <c r="C450" s="0" t="n">
        <v>5</v>
      </c>
      <c r="D450" s="5" t="n">
        <f aca="false">Supuestos!$B$11</f>
        <v>0.05</v>
      </c>
      <c r="E450" s="5" t="n">
        <f aca="false">IF(C450&lt;Familias!F20,0,INDEX(Supuestos!$B$13:$B$19,MIN(C450-Familias!F20+1,7)))</f>
        <v>0.35</v>
      </c>
      <c r="F450" s="4" t="n">
        <f aca="false">Familias!E20*D450*E450</f>
        <v>10.325</v>
      </c>
      <c r="G450" s="4" t="n">
        <f aca="false">F450*Supuestos!$B$2</f>
        <v>0.2065</v>
      </c>
      <c r="H450" s="4" t="n">
        <f aca="false">G450*Supuestos!$B$3</f>
        <v>0.134225</v>
      </c>
    </row>
    <row r="451" customFormat="false" ht="15" hidden="false" customHeight="false" outlineLevel="0" collapsed="false">
      <c r="A451" s="0" t="s">
        <v>193</v>
      </c>
      <c r="B451" s="0" t="s">
        <v>179</v>
      </c>
      <c r="C451" s="0" t="n">
        <v>6</v>
      </c>
      <c r="D451" s="5" t="n">
        <f aca="false">Supuestos!$B$11</f>
        <v>0.05</v>
      </c>
      <c r="E451" s="5" t="n">
        <f aca="false">IF(C451&lt;Familias!F20,0,INDEX(Supuestos!$B$13:$B$19,MIN(C451-Familias!F20+1,7)))</f>
        <v>0.5</v>
      </c>
      <c r="F451" s="4" t="n">
        <f aca="false">Familias!E20*D451*E451</f>
        <v>14.75</v>
      </c>
      <c r="G451" s="4" t="n">
        <f aca="false">F451*Supuestos!$B$2</f>
        <v>0.295</v>
      </c>
      <c r="H451" s="4" t="n">
        <f aca="false">G451*Supuestos!$B$3</f>
        <v>0.19175</v>
      </c>
    </row>
    <row r="452" customFormat="false" ht="15" hidden="false" customHeight="false" outlineLevel="0" collapsed="false">
      <c r="A452" s="0" t="s">
        <v>193</v>
      </c>
      <c r="B452" s="0" t="s">
        <v>179</v>
      </c>
      <c r="C452" s="0" t="n">
        <v>7</v>
      </c>
      <c r="D452" s="5" t="n">
        <f aca="false">Supuestos!$B$11</f>
        <v>0.05</v>
      </c>
      <c r="E452" s="5" t="n">
        <f aca="false">IF(C452&lt;Familias!F20,0,INDEX(Supuestos!$B$13:$B$19,MIN(C452-Familias!F20+1,7)))</f>
        <v>0.65</v>
      </c>
      <c r="F452" s="4" t="n">
        <f aca="false">Familias!E20*D452*E452</f>
        <v>19.175</v>
      </c>
      <c r="G452" s="4" t="n">
        <f aca="false">F452*Supuestos!$B$2</f>
        <v>0.3835</v>
      </c>
      <c r="H452" s="4" t="n">
        <f aca="false">G452*Supuestos!$B$3</f>
        <v>0.249275</v>
      </c>
    </row>
    <row r="453" customFormat="false" ht="15" hidden="false" customHeight="false" outlineLevel="0" collapsed="false">
      <c r="A453" s="0" t="s">
        <v>193</v>
      </c>
      <c r="B453" s="0" t="s">
        <v>179</v>
      </c>
      <c r="C453" s="0" t="n">
        <v>8</v>
      </c>
      <c r="D453" s="5" t="n">
        <f aca="false">Supuestos!$B$11</f>
        <v>0.05</v>
      </c>
      <c r="E453" s="5" t="n">
        <f aca="false">IF(C453&lt;Familias!F20,0,INDEX(Supuestos!$B$13:$B$19,MIN(C453-Familias!F20+1,7)))</f>
        <v>0.8</v>
      </c>
      <c r="F453" s="4" t="n">
        <f aca="false">Familias!E20*D453*E453</f>
        <v>23.6</v>
      </c>
      <c r="G453" s="4" t="n">
        <f aca="false">F453*Supuestos!$B$2</f>
        <v>0.472</v>
      </c>
      <c r="H453" s="4" t="n">
        <f aca="false">G453*Supuestos!$B$3</f>
        <v>0.3068</v>
      </c>
    </row>
    <row r="454" customFormat="false" ht="15" hidden="false" customHeight="false" outlineLevel="0" collapsed="false">
      <c r="A454" s="0" t="s">
        <v>193</v>
      </c>
      <c r="B454" s="0" t="s">
        <v>179</v>
      </c>
      <c r="C454" s="0" t="n">
        <v>9</v>
      </c>
      <c r="D454" s="5" t="n">
        <f aca="false">Supuestos!$B$11</f>
        <v>0.05</v>
      </c>
      <c r="E454" s="5" t="n">
        <f aca="false">IF(C454&lt;Familias!F20,0,INDEX(Supuestos!$B$13:$B$19,MIN(C454-Familias!F20+1,7)))</f>
        <v>1</v>
      </c>
      <c r="F454" s="4" t="n">
        <f aca="false">Familias!E20*D454*E454</f>
        <v>29.5</v>
      </c>
      <c r="G454" s="4" t="n">
        <f aca="false">F454*Supuestos!$B$2</f>
        <v>0.59</v>
      </c>
      <c r="H454" s="4" t="n">
        <f aca="false">G454*Supuestos!$B$3</f>
        <v>0.3835</v>
      </c>
    </row>
    <row r="455" customFormat="false" ht="15" hidden="false" customHeight="false" outlineLevel="0" collapsed="false">
      <c r="A455" s="0" t="s">
        <v>193</v>
      </c>
      <c r="B455" s="0" t="s">
        <v>179</v>
      </c>
      <c r="C455" s="0" t="n">
        <v>10</v>
      </c>
      <c r="D455" s="5" t="n">
        <f aca="false">Supuestos!$B$11</f>
        <v>0.05</v>
      </c>
      <c r="E455" s="5" t="n">
        <f aca="false">IF(C455&lt;Familias!F20,0,INDEX(Supuestos!$B$13:$B$19,MIN(C455-Familias!F20+1,7)))</f>
        <v>1</v>
      </c>
      <c r="F455" s="4" t="n">
        <f aca="false">Familias!E20*D455*E455</f>
        <v>29.5</v>
      </c>
      <c r="G455" s="4" t="n">
        <f aca="false">F455*Supuestos!$B$2</f>
        <v>0.59</v>
      </c>
      <c r="H455" s="4" t="n">
        <f aca="false">G455*Supuestos!$B$3</f>
        <v>0.3835</v>
      </c>
    </row>
    <row r="456" customFormat="false" ht="15" hidden="false" customHeight="false" outlineLevel="0" collapsed="false">
      <c r="A456" s="0" t="s">
        <v>193</v>
      </c>
      <c r="B456" s="0" t="s">
        <v>179</v>
      </c>
      <c r="C456" s="0" t="n">
        <v>11</v>
      </c>
      <c r="D456" s="5" t="n">
        <f aca="false">Supuestos!$B$11</f>
        <v>0.05</v>
      </c>
      <c r="E456" s="5" t="n">
        <f aca="false">IF(C456&lt;Familias!F20,0,INDEX(Supuestos!$B$13:$B$19,MIN(C456-Familias!F20+1,7)))</f>
        <v>1</v>
      </c>
      <c r="F456" s="4" t="n">
        <f aca="false">Familias!E20*D456*E456</f>
        <v>29.5</v>
      </c>
      <c r="G456" s="4" t="n">
        <f aca="false">F456*Supuestos!$B$2</f>
        <v>0.59</v>
      </c>
      <c r="H456" s="4" t="n">
        <f aca="false">G456*Supuestos!$B$3</f>
        <v>0.3835</v>
      </c>
    </row>
    <row r="457" customFormat="false" ht="15" hidden="false" customHeight="false" outlineLevel="0" collapsed="false">
      <c r="A457" s="0" t="s">
        <v>193</v>
      </c>
      <c r="B457" s="0" t="s">
        <v>179</v>
      </c>
      <c r="C457" s="0" t="n">
        <v>12</v>
      </c>
      <c r="D457" s="5" t="n">
        <f aca="false">Supuestos!$B$11</f>
        <v>0.05</v>
      </c>
      <c r="E457" s="5" t="n">
        <f aca="false">IF(C457&lt;Familias!F20,0,INDEX(Supuestos!$B$13:$B$19,MIN(C457-Familias!F20+1,7)))</f>
        <v>1</v>
      </c>
      <c r="F457" s="4" t="n">
        <f aca="false">Familias!E20*D457*E457</f>
        <v>29.5</v>
      </c>
      <c r="G457" s="4" t="n">
        <f aca="false">F457*Supuestos!$B$2</f>
        <v>0.59</v>
      </c>
      <c r="H457" s="4" t="n">
        <f aca="false">G457*Supuestos!$B$3</f>
        <v>0.3835</v>
      </c>
    </row>
    <row r="458" customFormat="false" ht="15" hidden="false" customHeight="false" outlineLevel="0" collapsed="false">
      <c r="A458" s="0" t="s">
        <v>194</v>
      </c>
      <c r="B458" s="0" t="s">
        <v>83</v>
      </c>
      <c r="C458" s="0" t="n">
        <v>1</v>
      </c>
      <c r="D458" s="5" t="n">
        <f aca="false">Supuestos!$B$12</f>
        <v>0.1</v>
      </c>
      <c r="E458" s="5" t="n">
        <f aca="false">IF(C458&lt;Familias!F2,0,INDEX(Supuestos!$B$13:$B$19,MIN(C458-Familias!F2+1,7)))</f>
        <v>0.1</v>
      </c>
      <c r="F458" s="4" t="n">
        <f aca="false">Familias!E2*D458*E458</f>
        <v>29</v>
      </c>
      <c r="G458" s="4" t="n">
        <f aca="false">F458*Supuestos!$B$2</f>
        <v>0.58</v>
      </c>
      <c r="H458" s="4" t="n">
        <f aca="false">G458*Supuestos!$B$3</f>
        <v>0.377</v>
      </c>
    </row>
    <row r="459" customFormat="false" ht="15" hidden="false" customHeight="false" outlineLevel="0" collapsed="false">
      <c r="A459" s="0" t="s">
        <v>194</v>
      </c>
      <c r="B459" s="0" t="s">
        <v>83</v>
      </c>
      <c r="C459" s="0" t="n">
        <v>2</v>
      </c>
      <c r="D459" s="5" t="n">
        <f aca="false">Supuestos!$B$12</f>
        <v>0.1</v>
      </c>
      <c r="E459" s="5" t="n">
        <f aca="false">IF(C459&lt;Familias!F2,0,INDEX(Supuestos!$B$13:$B$19,MIN(C459-Familias!F2+1,7)))</f>
        <v>0.2</v>
      </c>
      <c r="F459" s="4" t="n">
        <f aca="false">Familias!E2*D459*E459</f>
        <v>58</v>
      </c>
      <c r="G459" s="4" t="n">
        <f aca="false">F459*Supuestos!$B$2</f>
        <v>1.16</v>
      </c>
      <c r="H459" s="4" t="n">
        <f aca="false">G459*Supuestos!$B$3</f>
        <v>0.754</v>
      </c>
    </row>
    <row r="460" customFormat="false" ht="15" hidden="false" customHeight="false" outlineLevel="0" collapsed="false">
      <c r="A460" s="0" t="s">
        <v>194</v>
      </c>
      <c r="B460" s="0" t="s">
        <v>83</v>
      </c>
      <c r="C460" s="0" t="n">
        <v>3</v>
      </c>
      <c r="D460" s="5" t="n">
        <f aca="false">Supuestos!$B$12</f>
        <v>0.1</v>
      </c>
      <c r="E460" s="5" t="n">
        <f aca="false">IF(C460&lt;Familias!F2,0,INDEX(Supuestos!$B$13:$B$19,MIN(C460-Familias!F2+1,7)))</f>
        <v>0.35</v>
      </c>
      <c r="F460" s="4" t="n">
        <f aca="false">Familias!E2*D460*E460</f>
        <v>101.5</v>
      </c>
      <c r="G460" s="4" t="n">
        <f aca="false">F460*Supuestos!$B$2</f>
        <v>2.03</v>
      </c>
      <c r="H460" s="4" t="n">
        <f aca="false">G460*Supuestos!$B$3</f>
        <v>1.3195</v>
      </c>
    </row>
    <row r="461" customFormat="false" ht="15" hidden="false" customHeight="false" outlineLevel="0" collapsed="false">
      <c r="A461" s="0" t="s">
        <v>194</v>
      </c>
      <c r="B461" s="0" t="s">
        <v>83</v>
      </c>
      <c r="C461" s="0" t="n">
        <v>4</v>
      </c>
      <c r="D461" s="5" t="n">
        <f aca="false">Supuestos!$B$12</f>
        <v>0.1</v>
      </c>
      <c r="E461" s="5" t="n">
        <f aca="false">IF(C461&lt;Familias!F2,0,INDEX(Supuestos!$B$13:$B$19,MIN(C461-Familias!F2+1,7)))</f>
        <v>0.5</v>
      </c>
      <c r="F461" s="4" t="n">
        <f aca="false">Familias!E2*D461*E461</f>
        <v>145</v>
      </c>
      <c r="G461" s="4" t="n">
        <f aca="false">F461*Supuestos!$B$2</f>
        <v>2.9</v>
      </c>
      <c r="H461" s="4" t="n">
        <f aca="false">G461*Supuestos!$B$3</f>
        <v>1.885</v>
      </c>
    </row>
    <row r="462" customFormat="false" ht="15" hidden="false" customHeight="false" outlineLevel="0" collapsed="false">
      <c r="A462" s="0" t="s">
        <v>194</v>
      </c>
      <c r="B462" s="0" t="s">
        <v>83</v>
      </c>
      <c r="C462" s="0" t="n">
        <v>5</v>
      </c>
      <c r="D462" s="5" t="n">
        <f aca="false">Supuestos!$B$12</f>
        <v>0.1</v>
      </c>
      <c r="E462" s="5" t="n">
        <f aca="false">IF(C462&lt;Familias!F2,0,INDEX(Supuestos!$B$13:$B$19,MIN(C462-Familias!F2+1,7)))</f>
        <v>0.65</v>
      </c>
      <c r="F462" s="4" t="n">
        <f aca="false">Familias!E2*D462*E462</f>
        <v>188.5</v>
      </c>
      <c r="G462" s="4" t="n">
        <f aca="false">F462*Supuestos!$B$2</f>
        <v>3.77</v>
      </c>
      <c r="H462" s="4" t="n">
        <f aca="false">G462*Supuestos!$B$3</f>
        <v>2.4505</v>
      </c>
    </row>
    <row r="463" customFormat="false" ht="15" hidden="false" customHeight="false" outlineLevel="0" collapsed="false">
      <c r="A463" s="0" t="s">
        <v>194</v>
      </c>
      <c r="B463" s="0" t="s">
        <v>83</v>
      </c>
      <c r="C463" s="0" t="n">
        <v>6</v>
      </c>
      <c r="D463" s="5" t="n">
        <f aca="false">Supuestos!$B$12</f>
        <v>0.1</v>
      </c>
      <c r="E463" s="5" t="n">
        <f aca="false">IF(C463&lt;Familias!F2,0,INDEX(Supuestos!$B$13:$B$19,MIN(C463-Familias!F2+1,7)))</f>
        <v>0.8</v>
      </c>
      <c r="F463" s="4" t="n">
        <f aca="false">Familias!E2*D463*E463</f>
        <v>232</v>
      </c>
      <c r="G463" s="4" t="n">
        <f aca="false">F463*Supuestos!$B$2</f>
        <v>4.64</v>
      </c>
      <c r="H463" s="4" t="n">
        <f aca="false">G463*Supuestos!$B$3</f>
        <v>3.016</v>
      </c>
    </row>
    <row r="464" customFormat="false" ht="15" hidden="false" customHeight="false" outlineLevel="0" collapsed="false">
      <c r="A464" s="0" t="s">
        <v>194</v>
      </c>
      <c r="B464" s="0" t="s">
        <v>83</v>
      </c>
      <c r="C464" s="0" t="n">
        <v>7</v>
      </c>
      <c r="D464" s="5" t="n">
        <f aca="false">Supuestos!$B$12</f>
        <v>0.1</v>
      </c>
      <c r="E464" s="5" t="n">
        <f aca="false">IF(C464&lt;Familias!F2,0,INDEX(Supuestos!$B$13:$B$19,MIN(C464-Familias!F2+1,7)))</f>
        <v>1</v>
      </c>
      <c r="F464" s="4" t="n">
        <f aca="false">Familias!E2*D464*E464</f>
        <v>290</v>
      </c>
      <c r="G464" s="4" t="n">
        <f aca="false">F464*Supuestos!$B$2</f>
        <v>5.8</v>
      </c>
      <c r="H464" s="4" t="n">
        <f aca="false">G464*Supuestos!$B$3</f>
        <v>3.77</v>
      </c>
    </row>
    <row r="465" customFormat="false" ht="15" hidden="false" customHeight="false" outlineLevel="0" collapsed="false">
      <c r="A465" s="0" t="s">
        <v>194</v>
      </c>
      <c r="B465" s="0" t="s">
        <v>83</v>
      </c>
      <c r="C465" s="0" t="n">
        <v>8</v>
      </c>
      <c r="D465" s="5" t="n">
        <f aca="false">Supuestos!$B$12</f>
        <v>0.1</v>
      </c>
      <c r="E465" s="5" t="n">
        <f aca="false">IF(C465&lt;Familias!F2,0,INDEX(Supuestos!$B$13:$B$19,MIN(C465-Familias!F2+1,7)))</f>
        <v>1</v>
      </c>
      <c r="F465" s="4" t="n">
        <f aca="false">Familias!E2*D465*E465</f>
        <v>290</v>
      </c>
      <c r="G465" s="4" t="n">
        <f aca="false">F465*Supuestos!$B$2</f>
        <v>5.8</v>
      </c>
      <c r="H465" s="4" t="n">
        <f aca="false">G465*Supuestos!$B$3</f>
        <v>3.77</v>
      </c>
    </row>
    <row r="466" customFormat="false" ht="15" hidden="false" customHeight="false" outlineLevel="0" collapsed="false">
      <c r="A466" s="0" t="s">
        <v>194</v>
      </c>
      <c r="B466" s="0" t="s">
        <v>83</v>
      </c>
      <c r="C466" s="0" t="n">
        <v>9</v>
      </c>
      <c r="D466" s="5" t="n">
        <f aca="false">Supuestos!$B$12</f>
        <v>0.1</v>
      </c>
      <c r="E466" s="5" t="n">
        <f aca="false">IF(C466&lt;Familias!F2,0,INDEX(Supuestos!$B$13:$B$19,MIN(C466-Familias!F2+1,7)))</f>
        <v>1</v>
      </c>
      <c r="F466" s="4" t="n">
        <f aca="false">Familias!E2*D466*E466</f>
        <v>290</v>
      </c>
      <c r="G466" s="4" t="n">
        <f aca="false">F466*Supuestos!$B$2</f>
        <v>5.8</v>
      </c>
      <c r="H466" s="4" t="n">
        <f aca="false">G466*Supuestos!$B$3</f>
        <v>3.77</v>
      </c>
    </row>
    <row r="467" customFormat="false" ht="15" hidden="false" customHeight="false" outlineLevel="0" collapsed="false">
      <c r="A467" s="0" t="s">
        <v>194</v>
      </c>
      <c r="B467" s="0" t="s">
        <v>83</v>
      </c>
      <c r="C467" s="0" t="n">
        <v>10</v>
      </c>
      <c r="D467" s="5" t="n">
        <f aca="false">Supuestos!$B$12</f>
        <v>0.1</v>
      </c>
      <c r="E467" s="5" t="n">
        <f aca="false">IF(C467&lt;Familias!F2,0,INDEX(Supuestos!$B$13:$B$19,MIN(C467-Familias!F2+1,7)))</f>
        <v>1</v>
      </c>
      <c r="F467" s="4" t="n">
        <f aca="false">Familias!E2*D467*E467</f>
        <v>290</v>
      </c>
      <c r="G467" s="4" t="n">
        <f aca="false">F467*Supuestos!$B$2</f>
        <v>5.8</v>
      </c>
      <c r="H467" s="4" t="n">
        <f aca="false">G467*Supuestos!$B$3</f>
        <v>3.77</v>
      </c>
    </row>
    <row r="468" customFormat="false" ht="15" hidden="false" customHeight="false" outlineLevel="0" collapsed="false">
      <c r="A468" s="0" t="s">
        <v>194</v>
      </c>
      <c r="B468" s="0" t="s">
        <v>83</v>
      </c>
      <c r="C468" s="0" t="n">
        <v>11</v>
      </c>
      <c r="D468" s="5" t="n">
        <f aca="false">Supuestos!$B$12</f>
        <v>0.1</v>
      </c>
      <c r="E468" s="5" t="n">
        <f aca="false">IF(C468&lt;Familias!F2,0,INDEX(Supuestos!$B$13:$B$19,MIN(C468-Familias!F2+1,7)))</f>
        <v>1</v>
      </c>
      <c r="F468" s="4" t="n">
        <f aca="false">Familias!E2*D468*E468</f>
        <v>290</v>
      </c>
      <c r="G468" s="4" t="n">
        <f aca="false">F468*Supuestos!$B$2</f>
        <v>5.8</v>
      </c>
      <c r="H468" s="4" t="n">
        <f aca="false">G468*Supuestos!$B$3</f>
        <v>3.77</v>
      </c>
    </row>
    <row r="469" customFormat="false" ht="15" hidden="false" customHeight="false" outlineLevel="0" collapsed="false">
      <c r="A469" s="0" t="s">
        <v>194</v>
      </c>
      <c r="B469" s="0" t="s">
        <v>83</v>
      </c>
      <c r="C469" s="0" t="n">
        <v>12</v>
      </c>
      <c r="D469" s="5" t="n">
        <f aca="false">Supuestos!$B$12</f>
        <v>0.1</v>
      </c>
      <c r="E469" s="5" t="n">
        <f aca="false">IF(C469&lt;Familias!F2,0,INDEX(Supuestos!$B$13:$B$19,MIN(C469-Familias!F2+1,7)))</f>
        <v>1</v>
      </c>
      <c r="F469" s="4" t="n">
        <f aca="false">Familias!E2*D469*E469</f>
        <v>290</v>
      </c>
      <c r="G469" s="4" t="n">
        <f aca="false">F469*Supuestos!$B$2</f>
        <v>5.8</v>
      </c>
      <c r="H469" s="4" t="n">
        <f aca="false">G469*Supuestos!$B$3</f>
        <v>3.77</v>
      </c>
    </row>
    <row r="470" customFormat="false" ht="15" hidden="false" customHeight="false" outlineLevel="0" collapsed="false">
      <c r="A470" s="0" t="s">
        <v>194</v>
      </c>
      <c r="B470" s="0" t="s">
        <v>90</v>
      </c>
      <c r="C470" s="0" t="n">
        <v>1</v>
      </c>
      <c r="D470" s="5" t="n">
        <f aca="false">Supuestos!$B$12</f>
        <v>0.1</v>
      </c>
      <c r="E470" s="5" t="n">
        <f aca="false">IF(C470&lt;Familias!F3,0,INDEX(Supuestos!$B$13:$B$19,MIN(C470-Familias!F3+1,7)))</f>
        <v>0</v>
      </c>
      <c r="F470" s="4" t="n">
        <f aca="false">Familias!E3*D470*E470</f>
        <v>0</v>
      </c>
      <c r="G470" s="4" t="n">
        <f aca="false">F470*Supuestos!$B$2</f>
        <v>0</v>
      </c>
      <c r="H470" s="4" t="n">
        <f aca="false">G470*Supuestos!$B$3</f>
        <v>0</v>
      </c>
    </row>
    <row r="471" customFormat="false" ht="15" hidden="false" customHeight="false" outlineLevel="0" collapsed="false">
      <c r="A471" s="0" t="s">
        <v>194</v>
      </c>
      <c r="B471" s="0" t="s">
        <v>90</v>
      </c>
      <c r="C471" s="0" t="n">
        <v>2</v>
      </c>
      <c r="D471" s="5" t="n">
        <f aca="false">Supuestos!$B$12</f>
        <v>0.1</v>
      </c>
      <c r="E471" s="5" t="n">
        <f aca="false">IF(C471&lt;Familias!F3,0,INDEX(Supuestos!$B$13:$B$19,MIN(C471-Familias!F3+1,7)))</f>
        <v>0.1</v>
      </c>
      <c r="F471" s="4" t="n">
        <f aca="false">Familias!E3*D471*E471</f>
        <v>2.1</v>
      </c>
      <c r="G471" s="4" t="n">
        <f aca="false">F471*Supuestos!$B$2</f>
        <v>0.042</v>
      </c>
      <c r="H471" s="4" t="n">
        <f aca="false">G471*Supuestos!$B$3</f>
        <v>0.0273</v>
      </c>
    </row>
    <row r="472" customFormat="false" ht="15" hidden="false" customHeight="false" outlineLevel="0" collapsed="false">
      <c r="A472" s="0" t="s">
        <v>194</v>
      </c>
      <c r="B472" s="0" t="s">
        <v>90</v>
      </c>
      <c r="C472" s="0" t="n">
        <v>3</v>
      </c>
      <c r="D472" s="5" t="n">
        <f aca="false">Supuestos!$B$12</f>
        <v>0.1</v>
      </c>
      <c r="E472" s="5" t="n">
        <f aca="false">IF(C472&lt;Familias!F3,0,INDEX(Supuestos!$B$13:$B$19,MIN(C472-Familias!F3+1,7)))</f>
        <v>0.2</v>
      </c>
      <c r="F472" s="4" t="n">
        <f aca="false">Familias!E3*D472*E472</f>
        <v>4.2</v>
      </c>
      <c r="G472" s="4" t="n">
        <f aca="false">F472*Supuestos!$B$2</f>
        <v>0.084</v>
      </c>
      <c r="H472" s="4" t="n">
        <f aca="false">G472*Supuestos!$B$3</f>
        <v>0.0546</v>
      </c>
    </row>
    <row r="473" customFormat="false" ht="15" hidden="false" customHeight="false" outlineLevel="0" collapsed="false">
      <c r="A473" s="0" t="s">
        <v>194</v>
      </c>
      <c r="B473" s="0" t="s">
        <v>90</v>
      </c>
      <c r="C473" s="0" t="n">
        <v>4</v>
      </c>
      <c r="D473" s="5" t="n">
        <f aca="false">Supuestos!$B$12</f>
        <v>0.1</v>
      </c>
      <c r="E473" s="5" t="n">
        <f aca="false">IF(C473&lt;Familias!F3,0,INDEX(Supuestos!$B$13:$B$19,MIN(C473-Familias!F3+1,7)))</f>
        <v>0.35</v>
      </c>
      <c r="F473" s="4" t="n">
        <f aca="false">Familias!E3*D473*E473</f>
        <v>7.35</v>
      </c>
      <c r="G473" s="4" t="n">
        <f aca="false">F473*Supuestos!$B$2</f>
        <v>0.147</v>
      </c>
      <c r="H473" s="4" t="n">
        <f aca="false">G473*Supuestos!$B$3</f>
        <v>0.09555</v>
      </c>
    </row>
    <row r="474" customFormat="false" ht="15" hidden="false" customHeight="false" outlineLevel="0" collapsed="false">
      <c r="A474" s="0" t="s">
        <v>194</v>
      </c>
      <c r="B474" s="0" t="s">
        <v>90</v>
      </c>
      <c r="C474" s="0" t="n">
        <v>5</v>
      </c>
      <c r="D474" s="5" t="n">
        <f aca="false">Supuestos!$B$12</f>
        <v>0.1</v>
      </c>
      <c r="E474" s="5" t="n">
        <f aca="false">IF(C474&lt;Familias!F3,0,INDEX(Supuestos!$B$13:$B$19,MIN(C474-Familias!F3+1,7)))</f>
        <v>0.5</v>
      </c>
      <c r="F474" s="4" t="n">
        <f aca="false">Familias!E3*D474*E474</f>
        <v>10.5</v>
      </c>
      <c r="G474" s="4" t="n">
        <f aca="false">F474*Supuestos!$B$2</f>
        <v>0.21</v>
      </c>
      <c r="H474" s="4" t="n">
        <f aca="false">G474*Supuestos!$B$3</f>
        <v>0.1365</v>
      </c>
    </row>
    <row r="475" customFormat="false" ht="15" hidden="false" customHeight="false" outlineLevel="0" collapsed="false">
      <c r="A475" s="0" t="s">
        <v>194</v>
      </c>
      <c r="B475" s="0" t="s">
        <v>90</v>
      </c>
      <c r="C475" s="0" t="n">
        <v>6</v>
      </c>
      <c r="D475" s="5" t="n">
        <f aca="false">Supuestos!$B$12</f>
        <v>0.1</v>
      </c>
      <c r="E475" s="5" t="n">
        <f aca="false">IF(C475&lt;Familias!F3,0,INDEX(Supuestos!$B$13:$B$19,MIN(C475-Familias!F3+1,7)))</f>
        <v>0.65</v>
      </c>
      <c r="F475" s="4" t="n">
        <f aca="false">Familias!E3*D475*E475</f>
        <v>13.65</v>
      </c>
      <c r="G475" s="4" t="n">
        <f aca="false">F475*Supuestos!$B$2</f>
        <v>0.273</v>
      </c>
      <c r="H475" s="4" t="n">
        <f aca="false">G475*Supuestos!$B$3</f>
        <v>0.17745</v>
      </c>
    </row>
    <row r="476" customFormat="false" ht="15" hidden="false" customHeight="false" outlineLevel="0" collapsed="false">
      <c r="A476" s="0" t="s">
        <v>194</v>
      </c>
      <c r="B476" s="0" t="s">
        <v>90</v>
      </c>
      <c r="C476" s="0" t="n">
        <v>7</v>
      </c>
      <c r="D476" s="5" t="n">
        <f aca="false">Supuestos!$B$12</f>
        <v>0.1</v>
      </c>
      <c r="E476" s="5" t="n">
        <f aca="false">IF(C476&lt;Familias!F3,0,INDEX(Supuestos!$B$13:$B$19,MIN(C476-Familias!F3+1,7)))</f>
        <v>0.8</v>
      </c>
      <c r="F476" s="4" t="n">
        <f aca="false">Familias!E3*D476*E476</f>
        <v>16.8</v>
      </c>
      <c r="G476" s="4" t="n">
        <f aca="false">F476*Supuestos!$B$2</f>
        <v>0.336</v>
      </c>
      <c r="H476" s="4" t="n">
        <f aca="false">G476*Supuestos!$B$3</f>
        <v>0.2184</v>
      </c>
    </row>
    <row r="477" customFormat="false" ht="15" hidden="false" customHeight="false" outlineLevel="0" collapsed="false">
      <c r="A477" s="0" t="s">
        <v>194</v>
      </c>
      <c r="B477" s="0" t="s">
        <v>90</v>
      </c>
      <c r="C477" s="0" t="n">
        <v>8</v>
      </c>
      <c r="D477" s="5" t="n">
        <f aca="false">Supuestos!$B$12</f>
        <v>0.1</v>
      </c>
      <c r="E477" s="5" t="n">
        <f aca="false">IF(C477&lt;Familias!F3,0,INDEX(Supuestos!$B$13:$B$19,MIN(C477-Familias!F3+1,7)))</f>
        <v>1</v>
      </c>
      <c r="F477" s="4" t="n">
        <f aca="false">Familias!E3*D477*E477</f>
        <v>21</v>
      </c>
      <c r="G477" s="4" t="n">
        <f aca="false">F477*Supuestos!$B$2</f>
        <v>0.42</v>
      </c>
      <c r="H477" s="4" t="n">
        <f aca="false">G477*Supuestos!$B$3</f>
        <v>0.273</v>
      </c>
    </row>
    <row r="478" customFormat="false" ht="15" hidden="false" customHeight="false" outlineLevel="0" collapsed="false">
      <c r="A478" s="0" t="s">
        <v>194</v>
      </c>
      <c r="B478" s="0" t="s">
        <v>90</v>
      </c>
      <c r="C478" s="0" t="n">
        <v>9</v>
      </c>
      <c r="D478" s="5" t="n">
        <f aca="false">Supuestos!$B$12</f>
        <v>0.1</v>
      </c>
      <c r="E478" s="5" t="n">
        <f aca="false">IF(C478&lt;Familias!F3,0,INDEX(Supuestos!$B$13:$B$19,MIN(C478-Familias!F3+1,7)))</f>
        <v>1</v>
      </c>
      <c r="F478" s="4" t="n">
        <f aca="false">Familias!E3*D478*E478</f>
        <v>21</v>
      </c>
      <c r="G478" s="4" t="n">
        <f aca="false">F478*Supuestos!$B$2</f>
        <v>0.42</v>
      </c>
      <c r="H478" s="4" t="n">
        <f aca="false">G478*Supuestos!$B$3</f>
        <v>0.273</v>
      </c>
    </row>
    <row r="479" customFormat="false" ht="15" hidden="false" customHeight="false" outlineLevel="0" collapsed="false">
      <c r="A479" s="0" t="s">
        <v>194</v>
      </c>
      <c r="B479" s="0" t="s">
        <v>90</v>
      </c>
      <c r="C479" s="0" t="n">
        <v>10</v>
      </c>
      <c r="D479" s="5" t="n">
        <f aca="false">Supuestos!$B$12</f>
        <v>0.1</v>
      </c>
      <c r="E479" s="5" t="n">
        <f aca="false">IF(C479&lt;Familias!F3,0,INDEX(Supuestos!$B$13:$B$19,MIN(C479-Familias!F3+1,7)))</f>
        <v>1</v>
      </c>
      <c r="F479" s="4" t="n">
        <f aca="false">Familias!E3*D479*E479</f>
        <v>21</v>
      </c>
      <c r="G479" s="4" t="n">
        <f aca="false">F479*Supuestos!$B$2</f>
        <v>0.42</v>
      </c>
      <c r="H479" s="4" t="n">
        <f aca="false">G479*Supuestos!$B$3</f>
        <v>0.273</v>
      </c>
    </row>
    <row r="480" customFormat="false" ht="15" hidden="false" customHeight="false" outlineLevel="0" collapsed="false">
      <c r="A480" s="0" t="s">
        <v>194</v>
      </c>
      <c r="B480" s="0" t="s">
        <v>90</v>
      </c>
      <c r="C480" s="0" t="n">
        <v>11</v>
      </c>
      <c r="D480" s="5" t="n">
        <f aca="false">Supuestos!$B$12</f>
        <v>0.1</v>
      </c>
      <c r="E480" s="5" t="n">
        <f aca="false">IF(C480&lt;Familias!F3,0,INDEX(Supuestos!$B$13:$B$19,MIN(C480-Familias!F3+1,7)))</f>
        <v>1</v>
      </c>
      <c r="F480" s="4" t="n">
        <f aca="false">Familias!E3*D480*E480</f>
        <v>21</v>
      </c>
      <c r="G480" s="4" t="n">
        <f aca="false">F480*Supuestos!$B$2</f>
        <v>0.42</v>
      </c>
      <c r="H480" s="4" t="n">
        <f aca="false">G480*Supuestos!$B$3</f>
        <v>0.273</v>
      </c>
    </row>
    <row r="481" customFormat="false" ht="15" hidden="false" customHeight="false" outlineLevel="0" collapsed="false">
      <c r="A481" s="0" t="s">
        <v>194</v>
      </c>
      <c r="B481" s="0" t="s">
        <v>90</v>
      </c>
      <c r="C481" s="0" t="n">
        <v>12</v>
      </c>
      <c r="D481" s="5" t="n">
        <f aca="false">Supuestos!$B$12</f>
        <v>0.1</v>
      </c>
      <c r="E481" s="5" t="n">
        <f aca="false">IF(C481&lt;Familias!F3,0,INDEX(Supuestos!$B$13:$B$19,MIN(C481-Familias!F3+1,7)))</f>
        <v>1</v>
      </c>
      <c r="F481" s="4" t="n">
        <f aca="false">Familias!E3*D481*E481</f>
        <v>21</v>
      </c>
      <c r="G481" s="4" t="n">
        <f aca="false">F481*Supuestos!$B$2</f>
        <v>0.42</v>
      </c>
      <c r="H481" s="4" t="n">
        <f aca="false">G481*Supuestos!$B$3</f>
        <v>0.273</v>
      </c>
    </row>
    <row r="482" customFormat="false" ht="15" hidden="false" customHeight="false" outlineLevel="0" collapsed="false">
      <c r="A482" s="0" t="s">
        <v>194</v>
      </c>
      <c r="B482" s="0" t="s">
        <v>96</v>
      </c>
      <c r="C482" s="0" t="n">
        <v>1</v>
      </c>
      <c r="D482" s="5" t="n">
        <f aca="false">Supuestos!$B$12</f>
        <v>0.1</v>
      </c>
      <c r="E482" s="5" t="n">
        <f aca="false">IF(C482&lt;Familias!F4,0,INDEX(Supuestos!$B$13:$B$19,MIN(C482-Familias!F4+1,7)))</f>
        <v>0</v>
      </c>
      <c r="F482" s="4" t="n">
        <f aca="false">Familias!E4*D482*E482</f>
        <v>0</v>
      </c>
      <c r="G482" s="4" t="n">
        <f aca="false">F482*Supuestos!$B$2</f>
        <v>0</v>
      </c>
      <c r="H482" s="4" t="n">
        <f aca="false">G482*Supuestos!$B$3</f>
        <v>0</v>
      </c>
    </row>
    <row r="483" customFormat="false" ht="15" hidden="false" customHeight="false" outlineLevel="0" collapsed="false">
      <c r="A483" s="0" t="s">
        <v>194</v>
      </c>
      <c r="B483" s="0" t="s">
        <v>96</v>
      </c>
      <c r="C483" s="0" t="n">
        <v>2</v>
      </c>
      <c r="D483" s="5" t="n">
        <f aca="false">Supuestos!$B$12</f>
        <v>0.1</v>
      </c>
      <c r="E483" s="5" t="n">
        <f aca="false">IF(C483&lt;Familias!F4,0,INDEX(Supuestos!$B$13:$B$19,MIN(C483-Familias!F4+1,7)))</f>
        <v>0</v>
      </c>
      <c r="F483" s="4" t="n">
        <f aca="false">Familias!E4*D483*E483</f>
        <v>0</v>
      </c>
      <c r="G483" s="4" t="n">
        <f aca="false">F483*Supuestos!$B$2</f>
        <v>0</v>
      </c>
      <c r="H483" s="4" t="n">
        <f aca="false">G483*Supuestos!$B$3</f>
        <v>0</v>
      </c>
    </row>
    <row r="484" customFormat="false" ht="15" hidden="false" customHeight="false" outlineLevel="0" collapsed="false">
      <c r="A484" s="0" t="s">
        <v>194</v>
      </c>
      <c r="B484" s="0" t="s">
        <v>96</v>
      </c>
      <c r="C484" s="0" t="n">
        <v>3</v>
      </c>
      <c r="D484" s="5" t="n">
        <f aca="false">Supuestos!$B$12</f>
        <v>0.1</v>
      </c>
      <c r="E484" s="5" t="n">
        <f aca="false">IF(C484&lt;Familias!F4,0,INDEX(Supuestos!$B$13:$B$19,MIN(C484-Familias!F4+1,7)))</f>
        <v>0.1</v>
      </c>
      <c r="F484" s="4" t="n">
        <f aca="false">Familias!E4*D484*E484</f>
        <v>3.2</v>
      </c>
      <c r="G484" s="4" t="n">
        <f aca="false">F484*Supuestos!$B$2</f>
        <v>0.064</v>
      </c>
      <c r="H484" s="4" t="n">
        <f aca="false">G484*Supuestos!$B$3</f>
        <v>0.0416</v>
      </c>
    </row>
    <row r="485" customFormat="false" ht="15" hidden="false" customHeight="false" outlineLevel="0" collapsed="false">
      <c r="A485" s="0" t="s">
        <v>194</v>
      </c>
      <c r="B485" s="0" t="s">
        <v>96</v>
      </c>
      <c r="C485" s="0" t="n">
        <v>4</v>
      </c>
      <c r="D485" s="5" t="n">
        <f aca="false">Supuestos!$B$12</f>
        <v>0.1</v>
      </c>
      <c r="E485" s="5" t="n">
        <f aca="false">IF(C485&lt;Familias!F4,0,INDEX(Supuestos!$B$13:$B$19,MIN(C485-Familias!F4+1,7)))</f>
        <v>0.2</v>
      </c>
      <c r="F485" s="4" t="n">
        <f aca="false">Familias!E4*D485*E485</f>
        <v>6.4</v>
      </c>
      <c r="G485" s="4" t="n">
        <f aca="false">F485*Supuestos!$B$2</f>
        <v>0.128</v>
      </c>
      <c r="H485" s="4" t="n">
        <f aca="false">G485*Supuestos!$B$3</f>
        <v>0.0832</v>
      </c>
    </row>
    <row r="486" customFormat="false" ht="15" hidden="false" customHeight="false" outlineLevel="0" collapsed="false">
      <c r="A486" s="0" t="s">
        <v>194</v>
      </c>
      <c r="B486" s="0" t="s">
        <v>96</v>
      </c>
      <c r="C486" s="0" t="n">
        <v>5</v>
      </c>
      <c r="D486" s="5" t="n">
        <f aca="false">Supuestos!$B$12</f>
        <v>0.1</v>
      </c>
      <c r="E486" s="5" t="n">
        <f aca="false">IF(C486&lt;Familias!F4,0,INDEX(Supuestos!$B$13:$B$19,MIN(C486-Familias!F4+1,7)))</f>
        <v>0.35</v>
      </c>
      <c r="F486" s="4" t="n">
        <f aca="false">Familias!E4*D486*E486</f>
        <v>11.2</v>
      </c>
      <c r="G486" s="4" t="n">
        <f aca="false">F486*Supuestos!$B$2</f>
        <v>0.224</v>
      </c>
      <c r="H486" s="4" t="n">
        <f aca="false">G486*Supuestos!$B$3</f>
        <v>0.1456</v>
      </c>
    </row>
    <row r="487" customFormat="false" ht="15" hidden="false" customHeight="false" outlineLevel="0" collapsed="false">
      <c r="A487" s="0" t="s">
        <v>194</v>
      </c>
      <c r="B487" s="0" t="s">
        <v>96</v>
      </c>
      <c r="C487" s="0" t="n">
        <v>6</v>
      </c>
      <c r="D487" s="5" t="n">
        <f aca="false">Supuestos!$B$12</f>
        <v>0.1</v>
      </c>
      <c r="E487" s="5" t="n">
        <f aca="false">IF(C487&lt;Familias!F4,0,INDEX(Supuestos!$B$13:$B$19,MIN(C487-Familias!F4+1,7)))</f>
        <v>0.5</v>
      </c>
      <c r="F487" s="4" t="n">
        <f aca="false">Familias!E4*D487*E487</f>
        <v>16</v>
      </c>
      <c r="G487" s="4" t="n">
        <f aca="false">F487*Supuestos!$B$2</f>
        <v>0.32</v>
      </c>
      <c r="H487" s="4" t="n">
        <f aca="false">G487*Supuestos!$B$3</f>
        <v>0.208</v>
      </c>
    </row>
    <row r="488" customFormat="false" ht="15" hidden="false" customHeight="false" outlineLevel="0" collapsed="false">
      <c r="A488" s="0" t="s">
        <v>194</v>
      </c>
      <c r="B488" s="0" t="s">
        <v>96</v>
      </c>
      <c r="C488" s="0" t="n">
        <v>7</v>
      </c>
      <c r="D488" s="5" t="n">
        <f aca="false">Supuestos!$B$12</f>
        <v>0.1</v>
      </c>
      <c r="E488" s="5" t="n">
        <f aca="false">IF(C488&lt;Familias!F4,0,INDEX(Supuestos!$B$13:$B$19,MIN(C488-Familias!F4+1,7)))</f>
        <v>0.65</v>
      </c>
      <c r="F488" s="4" t="n">
        <f aca="false">Familias!E4*D488*E488</f>
        <v>20.8</v>
      </c>
      <c r="G488" s="4" t="n">
        <f aca="false">F488*Supuestos!$B$2</f>
        <v>0.416</v>
      </c>
      <c r="H488" s="4" t="n">
        <f aca="false">G488*Supuestos!$B$3</f>
        <v>0.2704</v>
      </c>
    </row>
    <row r="489" customFormat="false" ht="15" hidden="false" customHeight="false" outlineLevel="0" collapsed="false">
      <c r="A489" s="0" t="s">
        <v>194</v>
      </c>
      <c r="B489" s="0" t="s">
        <v>96</v>
      </c>
      <c r="C489" s="0" t="n">
        <v>8</v>
      </c>
      <c r="D489" s="5" t="n">
        <f aca="false">Supuestos!$B$12</f>
        <v>0.1</v>
      </c>
      <c r="E489" s="5" t="n">
        <f aca="false">IF(C489&lt;Familias!F4,0,INDEX(Supuestos!$B$13:$B$19,MIN(C489-Familias!F4+1,7)))</f>
        <v>0.8</v>
      </c>
      <c r="F489" s="4" t="n">
        <f aca="false">Familias!E4*D489*E489</f>
        <v>25.6</v>
      </c>
      <c r="G489" s="4" t="n">
        <f aca="false">F489*Supuestos!$B$2</f>
        <v>0.512</v>
      </c>
      <c r="H489" s="4" t="n">
        <f aca="false">G489*Supuestos!$B$3</f>
        <v>0.3328</v>
      </c>
    </row>
    <row r="490" customFormat="false" ht="15" hidden="false" customHeight="false" outlineLevel="0" collapsed="false">
      <c r="A490" s="0" t="s">
        <v>194</v>
      </c>
      <c r="B490" s="0" t="s">
        <v>96</v>
      </c>
      <c r="C490" s="0" t="n">
        <v>9</v>
      </c>
      <c r="D490" s="5" t="n">
        <f aca="false">Supuestos!$B$12</f>
        <v>0.1</v>
      </c>
      <c r="E490" s="5" t="n">
        <f aca="false">IF(C490&lt;Familias!F4,0,INDEX(Supuestos!$B$13:$B$19,MIN(C490-Familias!F4+1,7)))</f>
        <v>1</v>
      </c>
      <c r="F490" s="4" t="n">
        <f aca="false">Familias!E4*D490*E490</f>
        <v>32</v>
      </c>
      <c r="G490" s="4" t="n">
        <f aca="false">F490*Supuestos!$B$2</f>
        <v>0.64</v>
      </c>
      <c r="H490" s="4" t="n">
        <f aca="false">G490*Supuestos!$B$3</f>
        <v>0.416</v>
      </c>
    </row>
    <row r="491" customFormat="false" ht="15" hidden="false" customHeight="false" outlineLevel="0" collapsed="false">
      <c r="A491" s="0" t="s">
        <v>194</v>
      </c>
      <c r="B491" s="0" t="s">
        <v>96</v>
      </c>
      <c r="C491" s="0" t="n">
        <v>10</v>
      </c>
      <c r="D491" s="5" t="n">
        <f aca="false">Supuestos!$B$12</f>
        <v>0.1</v>
      </c>
      <c r="E491" s="5" t="n">
        <f aca="false">IF(C491&lt;Familias!F4,0,INDEX(Supuestos!$B$13:$B$19,MIN(C491-Familias!F4+1,7)))</f>
        <v>1</v>
      </c>
      <c r="F491" s="4" t="n">
        <f aca="false">Familias!E4*D491*E491</f>
        <v>32</v>
      </c>
      <c r="G491" s="4" t="n">
        <f aca="false">F491*Supuestos!$B$2</f>
        <v>0.64</v>
      </c>
      <c r="H491" s="4" t="n">
        <f aca="false">G491*Supuestos!$B$3</f>
        <v>0.416</v>
      </c>
    </row>
    <row r="492" customFormat="false" ht="15" hidden="false" customHeight="false" outlineLevel="0" collapsed="false">
      <c r="A492" s="0" t="s">
        <v>194</v>
      </c>
      <c r="B492" s="0" t="s">
        <v>96</v>
      </c>
      <c r="C492" s="0" t="n">
        <v>11</v>
      </c>
      <c r="D492" s="5" t="n">
        <f aca="false">Supuestos!$B$12</f>
        <v>0.1</v>
      </c>
      <c r="E492" s="5" t="n">
        <f aca="false">IF(C492&lt;Familias!F4,0,INDEX(Supuestos!$B$13:$B$19,MIN(C492-Familias!F4+1,7)))</f>
        <v>1</v>
      </c>
      <c r="F492" s="4" t="n">
        <f aca="false">Familias!E4*D492*E492</f>
        <v>32</v>
      </c>
      <c r="G492" s="4" t="n">
        <f aca="false">F492*Supuestos!$B$2</f>
        <v>0.64</v>
      </c>
      <c r="H492" s="4" t="n">
        <f aca="false">G492*Supuestos!$B$3</f>
        <v>0.416</v>
      </c>
    </row>
    <row r="493" customFormat="false" ht="15" hidden="false" customHeight="false" outlineLevel="0" collapsed="false">
      <c r="A493" s="0" t="s">
        <v>194</v>
      </c>
      <c r="B493" s="0" t="s">
        <v>96</v>
      </c>
      <c r="C493" s="0" t="n">
        <v>12</v>
      </c>
      <c r="D493" s="5" t="n">
        <f aca="false">Supuestos!$B$12</f>
        <v>0.1</v>
      </c>
      <c r="E493" s="5" t="n">
        <f aca="false">IF(C493&lt;Familias!F4,0,INDEX(Supuestos!$B$13:$B$19,MIN(C493-Familias!F4+1,7)))</f>
        <v>1</v>
      </c>
      <c r="F493" s="4" t="n">
        <f aca="false">Familias!E4*D493*E493</f>
        <v>32</v>
      </c>
      <c r="G493" s="4" t="n">
        <f aca="false">F493*Supuestos!$B$2</f>
        <v>0.64</v>
      </c>
      <c r="H493" s="4" t="n">
        <f aca="false">G493*Supuestos!$B$3</f>
        <v>0.416</v>
      </c>
    </row>
    <row r="494" customFormat="false" ht="15" hidden="false" customHeight="false" outlineLevel="0" collapsed="false">
      <c r="A494" s="0" t="s">
        <v>194</v>
      </c>
      <c r="B494" s="0" t="s">
        <v>101</v>
      </c>
      <c r="C494" s="0" t="n">
        <v>1</v>
      </c>
      <c r="D494" s="5" t="n">
        <f aca="false">Supuestos!$B$12</f>
        <v>0.1</v>
      </c>
      <c r="E494" s="5" t="n">
        <f aca="false">IF(C494&lt;Familias!F5,0,INDEX(Supuestos!$B$13:$B$19,MIN(C494-Familias!F5+1,7)))</f>
        <v>0.1</v>
      </c>
      <c r="F494" s="4" t="n">
        <f aca="false">Familias!E5*D494*E494</f>
        <v>2.1</v>
      </c>
      <c r="G494" s="4" t="n">
        <f aca="false">F494*Supuestos!$B$2</f>
        <v>0.042</v>
      </c>
      <c r="H494" s="4" t="n">
        <f aca="false">G494*Supuestos!$B$3</f>
        <v>0.0273</v>
      </c>
    </row>
    <row r="495" customFormat="false" ht="15" hidden="false" customHeight="false" outlineLevel="0" collapsed="false">
      <c r="A495" s="0" t="s">
        <v>194</v>
      </c>
      <c r="B495" s="0" t="s">
        <v>101</v>
      </c>
      <c r="C495" s="0" t="n">
        <v>2</v>
      </c>
      <c r="D495" s="5" t="n">
        <f aca="false">Supuestos!$B$12</f>
        <v>0.1</v>
      </c>
      <c r="E495" s="5" t="n">
        <f aca="false">IF(C495&lt;Familias!F5,0,INDEX(Supuestos!$B$13:$B$19,MIN(C495-Familias!F5+1,7)))</f>
        <v>0.2</v>
      </c>
      <c r="F495" s="4" t="n">
        <f aca="false">Familias!E5*D495*E495</f>
        <v>4.2</v>
      </c>
      <c r="G495" s="4" t="n">
        <f aca="false">F495*Supuestos!$B$2</f>
        <v>0.084</v>
      </c>
      <c r="H495" s="4" t="n">
        <f aca="false">G495*Supuestos!$B$3</f>
        <v>0.0546</v>
      </c>
    </row>
    <row r="496" customFormat="false" ht="15" hidden="false" customHeight="false" outlineLevel="0" collapsed="false">
      <c r="A496" s="0" t="s">
        <v>194</v>
      </c>
      <c r="B496" s="0" t="s">
        <v>101</v>
      </c>
      <c r="C496" s="0" t="n">
        <v>3</v>
      </c>
      <c r="D496" s="5" t="n">
        <f aca="false">Supuestos!$B$12</f>
        <v>0.1</v>
      </c>
      <c r="E496" s="5" t="n">
        <f aca="false">IF(C496&lt;Familias!F5,0,INDEX(Supuestos!$B$13:$B$19,MIN(C496-Familias!F5+1,7)))</f>
        <v>0.35</v>
      </c>
      <c r="F496" s="4" t="n">
        <f aca="false">Familias!E5*D496*E496</f>
        <v>7.35</v>
      </c>
      <c r="G496" s="4" t="n">
        <f aca="false">F496*Supuestos!$B$2</f>
        <v>0.147</v>
      </c>
      <c r="H496" s="4" t="n">
        <f aca="false">G496*Supuestos!$B$3</f>
        <v>0.09555</v>
      </c>
    </row>
    <row r="497" customFormat="false" ht="15" hidden="false" customHeight="false" outlineLevel="0" collapsed="false">
      <c r="A497" s="0" t="s">
        <v>194</v>
      </c>
      <c r="B497" s="0" t="s">
        <v>101</v>
      </c>
      <c r="C497" s="0" t="n">
        <v>4</v>
      </c>
      <c r="D497" s="5" t="n">
        <f aca="false">Supuestos!$B$12</f>
        <v>0.1</v>
      </c>
      <c r="E497" s="5" t="n">
        <f aca="false">IF(C497&lt;Familias!F5,0,INDEX(Supuestos!$B$13:$B$19,MIN(C497-Familias!F5+1,7)))</f>
        <v>0.5</v>
      </c>
      <c r="F497" s="4" t="n">
        <f aca="false">Familias!E5*D497*E497</f>
        <v>10.5</v>
      </c>
      <c r="G497" s="4" t="n">
        <f aca="false">F497*Supuestos!$B$2</f>
        <v>0.21</v>
      </c>
      <c r="H497" s="4" t="n">
        <f aca="false">G497*Supuestos!$B$3</f>
        <v>0.1365</v>
      </c>
    </row>
    <row r="498" customFormat="false" ht="15" hidden="false" customHeight="false" outlineLevel="0" collapsed="false">
      <c r="A498" s="0" t="s">
        <v>194</v>
      </c>
      <c r="B498" s="0" t="s">
        <v>101</v>
      </c>
      <c r="C498" s="0" t="n">
        <v>5</v>
      </c>
      <c r="D498" s="5" t="n">
        <f aca="false">Supuestos!$B$12</f>
        <v>0.1</v>
      </c>
      <c r="E498" s="5" t="n">
        <f aca="false">IF(C498&lt;Familias!F5,0,INDEX(Supuestos!$B$13:$B$19,MIN(C498-Familias!F5+1,7)))</f>
        <v>0.65</v>
      </c>
      <c r="F498" s="4" t="n">
        <f aca="false">Familias!E5*D498*E498</f>
        <v>13.65</v>
      </c>
      <c r="G498" s="4" t="n">
        <f aca="false">F498*Supuestos!$B$2</f>
        <v>0.273</v>
      </c>
      <c r="H498" s="4" t="n">
        <f aca="false">G498*Supuestos!$B$3</f>
        <v>0.17745</v>
      </c>
    </row>
    <row r="499" customFormat="false" ht="15" hidden="false" customHeight="false" outlineLevel="0" collapsed="false">
      <c r="A499" s="0" t="s">
        <v>194</v>
      </c>
      <c r="B499" s="0" t="s">
        <v>101</v>
      </c>
      <c r="C499" s="0" t="n">
        <v>6</v>
      </c>
      <c r="D499" s="5" t="n">
        <f aca="false">Supuestos!$B$12</f>
        <v>0.1</v>
      </c>
      <c r="E499" s="5" t="n">
        <f aca="false">IF(C499&lt;Familias!F5,0,INDEX(Supuestos!$B$13:$B$19,MIN(C499-Familias!F5+1,7)))</f>
        <v>0.8</v>
      </c>
      <c r="F499" s="4" t="n">
        <f aca="false">Familias!E5*D499*E499</f>
        <v>16.8</v>
      </c>
      <c r="G499" s="4" t="n">
        <f aca="false">F499*Supuestos!$B$2</f>
        <v>0.336</v>
      </c>
      <c r="H499" s="4" t="n">
        <f aca="false">G499*Supuestos!$B$3</f>
        <v>0.2184</v>
      </c>
    </row>
    <row r="500" customFormat="false" ht="15" hidden="false" customHeight="false" outlineLevel="0" collapsed="false">
      <c r="A500" s="0" t="s">
        <v>194</v>
      </c>
      <c r="B500" s="0" t="s">
        <v>101</v>
      </c>
      <c r="C500" s="0" t="n">
        <v>7</v>
      </c>
      <c r="D500" s="5" t="n">
        <f aca="false">Supuestos!$B$12</f>
        <v>0.1</v>
      </c>
      <c r="E500" s="5" t="n">
        <f aca="false">IF(C500&lt;Familias!F5,0,INDEX(Supuestos!$B$13:$B$19,MIN(C500-Familias!F5+1,7)))</f>
        <v>1</v>
      </c>
      <c r="F500" s="4" t="n">
        <f aca="false">Familias!E5*D500*E500</f>
        <v>21</v>
      </c>
      <c r="G500" s="4" t="n">
        <f aca="false">F500*Supuestos!$B$2</f>
        <v>0.42</v>
      </c>
      <c r="H500" s="4" t="n">
        <f aca="false">G500*Supuestos!$B$3</f>
        <v>0.273</v>
      </c>
    </row>
    <row r="501" customFormat="false" ht="15" hidden="false" customHeight="false" outlineLevel="0" collapsed="false">
      <c r="A501" s="0" t="s">
        <v>194</v>
      </c>
      <c r="B501" s="0" t="s">
        <v>101</v>
      </c>
      <c r="C501" s="0" t="n">
        <v>8</v>
      </c>
      <c r="D501" s="5" t="n">
        <f aca="false">Supuestos!$B$12</f>
        <v>0.1</v>
      </c>
      <c r="E501" s="5" t="n">
        <f aca="false">IF(C501&lt;Familias!F5,0,INDEX(Supuestos!$B$13:$B$19,MIN(C501-Familias!F5+1,7)))</f>
        <v>1</v>
      </c>
      <c r="F501" s="4" t="n">
        <f aca="false">Familias!E5*D501*E501</f>
        <v>21</v>
      </c>
      <c r="G501" s="4" t="n">
        <f aca="false">F501*Supuestos!$B$2</f>
        <v>0.42</v>
      </c>
      <c r="H501" s="4" t="n">
        <f aca="false">G501*Supuestos!$B$3</f>
        <v>0.273</v>
      </c>
    </row>
    <row r="502" customFormat="false" ht="15" hidden="false" customHeight="false" outlineLevel="0" collapsed="false">
      <c r="A502" s="0" t="s">
        <v>194</v>
      </c>
      <c r="B502" s="0" t="s">
        <v>101</v>
      </c>
      <c r="C502" s="0" t="n">
        <v>9</v>
      </c>
      <c r="D502" s="5" t="n">
        <f aca="false">Supuestos!$B$12</f>
        <v>0.1</v>
      </c>
      <c r="E502" s="5" t="n">
        <f aca="false">IF(C502&lt;Familias!F5,0,INDEX(Supuestos!$B$13:$B$19,MIN(C502-Familias!F5+1,7)))</f>
        <v>1</v>
      </c>
      <c r="F502" s="4" t="n">
        <f aca="false">Familias!E5*D502*E502</f>
        <v>21</v>
      </c>
      <c r="G502" s="4" t="n">
        <f aca="false">F502*Supuestos!$B$2</f>
        <v>0.42</v>
      </c>
      <c r="H502" s="4" t="n">
        <f aca="false">G502*Supuestos!$B$3</f>
        <v>0.273</v>
      </c>
    </row>
    <row r="503" customFormat="false" ht="15" hidden="false" customHeight="false" outlineLevel="0" collapsed="false">
      <c r="A503" s="0" t="s">
        <v>194</v>
      </c>
      <c r="B503" s="0" t="s">
        <v>101</v>
      </c>
      <c r="C503" s="0" t="n">
        <v>10</v>
      </c>
      <c r="D503" s="5" t="n">
        <f aca="false">Supuestos!$B$12</f>
        <v>0.1</v>
      </c>
      <c r="E503" s="5" t="n">
        <f aca="false">IF(C503&lt;Familias!F5,0,INDEX(Supuestos!$B$13:$B$19,MIN(C503-Familias!F5+1,7)))</f>
        <v>1</v>
      </c>
      <c r="F503" s="4" t="n">
        <f aca="false">Familias!E5*D503*E503</f>
        <v>21</v>
      </c>
      <c r="G503" s="4" t="n">
        <f aca="false">F503*Supuestos!$B$2</f>
        <v>0.42</v>
      </c>
      <c r="H503" s="4" t="n">
        <f aca="false">G503*Supuestos!$B$3</f>
        <v>0.273</v>
      </c>
    </row>
    <row r="504" customFormat="false" ht="15" hidden="false" customHeight="false" outlineLevel="0" collapsed="false">
      <c r="A504" s="0" t="s">
        <v>194</v>
      </c>
      <c r="B504" s="0" t="s">
        <v>101</v>
      </c>
      <c r="C504" s="0" t="n">
        <v>11</v>
      </c>
      <c r="D504" s="5" t="n">
        <f aca="false">Supuestos!$B$12</f>
        <v>0.1</v>
      </c>
      <c r="E504" s="5" t="n">
        <f aca="false">IF(C504&lt;Familias!F5,0,INDEX(Supuestos!$B$13:$B$19,MIN(C504-Familias!F5+1,7)))</f>
        <v>1</v>
      </c>
      <c r="F504" s="4" t="n">
        <f aca="false">Familias!E5*D504*E504</f>
        <v>21</v>
      </c>
      <c r="G504" s="4" t="n">
        <f aca="false">F504*Supuestos!$B$2</f>
        <v>0.42</v>
      </c>
      <c r="H504" s="4" t="n">
        <f aca="false">G504*Supuestos!$B$3</f>
        <v>0.273</v>
      </c>
    </row>
    <row r="505" customFormat="false" ht="15" hidden="false" customHeight="false" outlineLevel="0" collapsed="false">
      <c r="A505" s="0" t="s">
        <v>194</v>
      </c>
      <c r="B505" s="0" t="s">
        <v>101</v>
      </c>
      <c r="C505" s="0" t="n">
        <v>12</v>
      </c>
      <c r="D505" s="5" t="n">
        <f aca="false">Supuestos!$B$12</f>
        <v>0.1</v>
      </c>
      <c r="E505" s="5" t="n">
        <f aca="false">IF(C505&lt;Familias!F5,0,INDEX(Supuestos!$B$13:$B$19,MIN(C505-Familias!F5+1,7)))</f>
        <v>1</v>
      </c>
      <c r="F505" s="4" t="n">
        <f aca="false">Familias!E5*D505*E505</f>
        <v>21</v>
      </c>
      <c r="G505" s="4" t="n">
        <f aca="false">F505*Supuestos!$B$2</f>
        <v>0.42</v>
      </c>
      <c r="H505" s="4" t="n">
        <f aca="false">G505*Supuestos!$B$3</f>
        <v>0.273</v>
      </c>
    </row>
    <row r="506" customFormat="false" ht="15" hidden="false" customHeight="false" outlineLevel="0" collapsed="false">
      <c r="A506" s="0" t="s">
        <v>194</v>
      </c>
      <c r="B506" s="0" t="s">
        <v>106</v>
      </c>
      <c r="C506" s="0" t="n">
        <v>1</v>
      </c>
      <c r="D506" s="5" t="n">
        <f aca="false">Supuestos!$B$12</f>
        <v>0.1</v>
      </c>
      <c r="E506" s="5" t="n">
        <f aca="false">IF(C506&lt;Familias!F6,0,INDEX(Supuestos!$B$13:$B$19,MIN(C506-Familias!F6+1,7)))</f>
        <v>0.1</v>
      </c>
      <c r="F506" s="4" t="n">
        <f aca="false">Familias!E6*D506*E506</f>
        <v>0.5</v>
      </c>
      <c r="G506" s="4" t="n">
        <f aca="false">F506*Supuestos!$B$2</f>
        <v>0.01</v>
      </c>
      <c r="H506" s="4" t="n">
        <f aca="false">G506*Supuestos!$B$3</f>
        <v>0.0065</v>
      </c>
    </row>
    <row r="507" customFormat="false" ht="15" hidden="false" customHeight="false" outlineLevel="0" collapsed="false">
      <c r="A507" s="0" t="s">
        <v>194</v>
      </c>
      <c r="B507" s="0" t="s">
        <v>106</v>
      </c>
      <c r="C507" s="0" t="n">
        <v>2</v>
      </c>
      <c r="D507" s="5" t="n">
        <f aca="false">Supuestos!$B$12</f>
        <v>0.1</v>
      </c>
      <c r="E507" s="5" t="n">
        <f aca="false">IF(C507&lt;Familias!F6,0,INDEX(Supuestos!$B$13:$B$19,MIN(C507-Familias!F6+1,7)))</f>
        <v>0.2</v>
      </c>
      <c r="F507" s="4" t="n">
        <f aca="false">Familias!E6*D507*E507</f>
        <v>1</v>
      </c>
      <c r="G507" s="4" t="n">
        <f aca="false">F507*Supuestos!$B$2</f>
        <v>0.02</v>
      </c>
      <c r="H507" s="4" t="n">
        <f aca="false">G507*Supuestos!$B$3</f>
        <v>0.013</v>
      </c>
    </row>
    <row r="508" customFormat="false" ht="15" hidden="false" customHeight="false" outlineLevel="0" collapsed="false">
      <c r="A508" s="0" t="s">
        <v>194</v>
      </c>
      <c r="B508" s="0" t="s">
        <v>106</v>
      </c>
      <c r="C508" s="0" t="n">
        <v>3</v>
      </c>
      <c r="D508" s="5" t="n">
        <f aca="false">Supuestos!$B$12</f>
        <v>0.1</v>
      </c>
      <c r="E508" s="5" t="n">
        <f aca="false">IF(C508&lt;Familias!F6,0,INDEX(Supuestos!$B$13:$B$19,MIN(C508-Familias!F6+1,7)))</f>
        <v>0.35</v>
      </c>
      <c r="F508" s="4" t="n">
        <f aca="false">Familias!E6*D508*E508</f>
        <v>1.75</v>
      </c>
      <c r="G508" s="4" t="n">
        <f aca="false">F508*Supuestos!$B$2</f>
        <v>0.035</v>
      </c>
      <c r="H508" s="4" t="n">
        <f aca="false">G508*Supuestos!$B$3</f>
        <v>0.02275</v>
      </c>
    </row>
    <row r="509" customFormat="false" ht="15" hidden="false" customHeight="false" outlineLevel="0" collapsed="false">
      <c r="A509" s="0" t="s">
        <v>194</v>
      </c>
      <c r="B509" s="0" t="s">
        <v>106</v>
      </c>
      <c r="C509" s="0" t="n">
        <v>4</v>
      </c>
      <c r="D509" s="5" t="n">
        <f aca="false">Supuestos!$B$12</f>
        <v>0.1</v>
      </c>
      <c r="E509" s="5" t="n">
        <f aca="false">IF(C509&lt;Familias!F6,0,INDEX(Supuestos!$B$13:$B$19,MIN(C509-Familias!F6+1,7)))</f>
        <v>0.5</v>
      </c>
      <c r="F509" s="4" t="n">
        <f aca="false">Familias!E6*D509*E509</f>
        <v>2.5</v>
      </c>
      <c r="G509" s="4" t="n">
        <f aca="false">F509*Supuestos!$B$2</f>
        <v>0.05</v>
      </c>
      <c r="H509" s="4" t="n">
        <f aca="false">G509*Supuestos!$B$3</f>
        <v>0.0325</v>
      </c>
    </row>
    <row r="510" customFormat="false" ht="15" hidden="false" customHeight="false" outlineLevel="0" collapsed="false">
      <c r="A510" s="0" t="s">
        <v>194</v>
      </c>
      <c r="B510" s="0" t="s">
        <v>106</v>
      </c>
      <c r="C510" s="0" t="n">
        <v>5</v>
      </c>
      <c r="D510" s="5" t="n">
        <f aca="false">Supuestos!$B$12</f>
        <v>0.1</v>
      </c>
      <c r="E510" s="5" t="n">
        <f aca="false">IF(C510&lt;Familias!F6,0,INDEX(Supuestos!$B$13:$B$19,MIN(C510-Familias!F6+1,7)))</f>
        <v>0.65</v>
      </c>
      <c r="F510" s="4" t="n">
        <f aca="false">Familias!E6*D510*E510</f>
        <v>3.25</v>
      </c>
      <c r="G510" s="4" t="n">
        <f aca="false">F510*Supuestos!$B$2</f>
        <v>0.065</v>
      </c>
      <c r="H510" s="4" t="n">
        <f aca="false">G510*Supuestos!$B$3</f>
        <v>0.04225</v>
      </c>
    </row>
    <row r="511" customFormat="false" ht="15" hidden="false" customHeight="false" outlineLevel="0" collapsed="false">
      <c r="A511" s="0" t="s">
        <v>194</v>
      </c>
      <c r="B511" s="0" t="s">
        <v>106</v>
      </c>
      <c r="C511" s="0" t="n">
        <v>6</v>
      </c>
      <c r="D511" s="5" t="n">
        <f aca="false">Supuestos!$B$12</f>
        <v>0.1</v>
      </c>
      <c r="E511" s="5" t="n">
        <f aca="false">IF(C511&lt;Familias!F6,0,INDEX(Supuestos!$B$13:$B$19,MIN(C511-Familias!F6+1,7)))</f>
        <v>0.8</v>
      </c>
      <c r="F511" s="4" t="n">
        <f aca="false">Familias!E6*D511*E511</f>
        <v>4</v>
      </c>
      <c r="G511" s="4" t="n">
        <f aca="false">F511*Supuestos!$B$2</f>
        <v>0.08</v>
      </c>
      <c r="H511" s="4" t="n">
        <f aca="false">G511*Supuestos!$B$3</f>
        <v>0.052</v>
      </c>
    </row>
    <row r="512" customFormat="false" ht="15" hidden="false" customHeight="false" outlineLevel="0" collapsed="false">
      <c r="A512" s="0" t="s">
        <v>194</v>
      </c>
      <c r="B512" s="0" t="s">
        <v>106</v>
      </c>
      <c r="C512" s="0" t="n">
        <v>7</v>
      </c>
      <c r="D512" s="5" t="n">
        <f aca="false">Supuestos!$B$12</f>
        <v>0.1</v>
      </c>
      <c r="E512" s="5" t="n">
        <f aca="false">IF(C512&lt;Familias!F6,0,INDEX(Supuestos!$B$13:$B$19,MIN(C512-Familias!F6+1,7)))</f>
        <v>1</v>
      </c>
      <c r="F512" s="4" t="n">
        <f aca="false">Familias!E6*D512*E512</f>
        <v>5</v>
      </c>
      <c r="G512" s="4" t="n">
        <f aca="false">F512*Supuestos!$B$2</f>
        <v>0.1</v>
      </c>
      <c r="H512" s="4" t="n">
        <f aca="false">G512*Supuestos!$B$3</f>
        <v>0.065</v>
      </c>
    </row>
    <row r="513" customFormat="false" ht="15" hidden="false" customHeight="false" outlineLevel="0" collapsed="false">
      <c r="A513" s="0" t="s">
        <v>194</v>
      </c>
      <c r="B513" s="0" t="s">
        <v>106</v>
      </c>
      <c r="C513" s="0" t="n">
        <v>8</v>
      </c>
      <c r="D513" s="5" t="n">
        <f aca="false">Supuestos!$B$12</f>
        <v>0.1</v>
      </c>
      <c r="E513" s="5" t="n">
        <f aca="false">IF(C513&lt;Familias!F6,0,INDEX(Supuestos!$B$13:$B$19,MIN(C513-Familias!F6+1,7)))</f>
        <v>1</v>
      </c>
      <c r="F513" s="4" t="n">
        <f aca="false">Familias!E6*D513*E513</f>
        <v>5</v>
      </c>
      <c r="G513" s="4" t="n">
        <f aca="false">F513*Supuestos!$B$2</f>
        <v>0.1</v>
      </c>
      <c r="H513" s="4" t="n">
        <f aca="false">G513*Supuestos!$B$3</f>
        <v>0.065</v>
      </c>
    </row>
    <row r="514" customFormat="false" ht="15" hidden="false" customHeight="false" outlineLevel="0" collapsed="false">
      <c r="A514" s="0" t="s">
        <v>194</v>
      </c>
      <c r="B514" s="0" t="s">
        <v>106</v>
      </c>
      <c r="C514" s="0" t="n">
        <v>9</v>
      </c>
      <c r="D514" s="5" t="n">
        <f aca="false">Supuestos!$B$12</f>
        <v>0.1</v>
      </c>
      <c r="E514" s="5" t="n">
        <f aca="false">IF(C514&lt;Familias!F6,0,INDEX(Supuestos!$B$13:$B$19,MIN(C514-Familias!F6+1,7)))</f>
        <v>1</v>
      </c>
      <c r="F514" s="4" t="n">
        <f aca="false">Familias!E6*D514*E514</f>
        <v>5</v>
      </c>
      <c r="G514" s="4" t="n">
        <f aca="false">F514*Supuestos!$B$2</f>
        <v>0.1</v>
      </c>
      <c r="H514" s="4" t="n">
        <f aca="false">G514*Supuestos!$B$3</f>
        <v>0.065</v>
      </c>
    </row>
    <row r="515" customFormat="false" ht="15" hidden="false" customHeight="false" outlineLevel="0" collapsed="false">
      <c r="A515" s="0" t="s">
        <v>194</v>
      </c>
      <c r="B515" s="0" t="s">
        <v>106</v>
      </c>
      <c r="C515" s="0" t="n">
        <v>10</v>
      </c>
      <c r="D515" s="5" t="n">
        <f aca="false">Supuestos!$B$12</f>
        <v>0.1</v>
      </c>
      <c r="E515" s="5" t="n">
        <f aca="false">IF(C515&lt;Familias!F6,0,INDEX(Supuestos!$B$13:$B$19,MIN(C515-Familias!F6+1,7)))</f>
        <v>1</v>
      </c>
      <c r="F515" s="4" t="n">
        <f aca="false">Familias!E6*D515*E515</f>
        <v>5</v>
      </c>
      <c r="G515" s="4" t="n">
        <f aca="false">F515*Supuestos!$B$2</f>
        <v>0.1</v>
      </c>
      <c r="H515" s="4" t="n">
        <f aca="false">G515*Supuestos!$B$3</f>
        <v>0.065</v>
      </c>
    </row>
    <row r="516" customFormat="false" ht="15" hidden="false" customHeight="false" outlineLevel="0" collapsed="false">
      <c r="A516" s="0" t="s">
        <v>194</v>
      </c>
      <c r="B516" s="0" t="s">
        <v>106</v>
      </c>
      <c r="C516" s="0" t="n">
        <v>11</v>
      </c>
      <c r="D516" s="5" t="n">
        <f aca="false">Supuestos!$B$12</f>
        <v>0.1</v>
      </c>
      <c r="E516" s="5" t="n">
        <f aca="false">IF(C516&lt;Familias!F6,0,INDEX(Supuestos!$B$13:$B$19,MIN(C516-Familias!F6+1,7)))</f>
        <v>1</v>
      </c>
      <c r="F516" s="4" t="n">
        <f aca="false">Familias!E6*D516*E516</f>
        <v>5</v>
      </c>
      <c r="G516" s="4" t="n">
        <f aca="false">F516*Supuestos!$B$2</f>
        <v>0.1</v>
      </c>
      <c r="H516" s="4" t="n">
        <f aca="false">G516*Supuestos!$B$3</f>
        <v>0.065</v>
      </c>
    </row>
    <row r="517" customFormat="false" ht="15" hidden="false" customHeight="false" outlineLevel="0" collapsed="false">
      <c r="A517" s="0" t="s">
        <v>194</v>
      </c>
      <c r="B517" s="0" t="s">
        <v>106</v>
      </c>
      <c r="C517" s="0" t="n">
        <v>12</v>
      </c>
      <c r="D517" s="5" t="n">
        <f aca="false">Supuestos!$B$12</f>
        <v>0.1</v>
      </c>
      <c r="E517" s="5" t="n">
        <f aca="false">IF(C517&lt;Familias!F6,0,INDEX(Supuestos!$B$13:$B$19,MIN(C517-Familias!F6+1,7)))</f>
        <v>1</v>
      </c>
      <c r="F517" s="4" t="n">
        <f aca="false">Familias!E6*D517*E517</f>
        <v>5</v>
      </c>
      <c r="G517" s="4" t="n">
        <f aca="false">F517*Supuestos!$B$2</f>
        <v>0.1</v>
      </c>
      <c r="H517" s="4" t="n">
        <f aca="false">G517*Supuestos!$B$3</f>
        <v>0.065</v>
      </c>
    </row>
    <row r="518" customFormat="false" ht="15" hidden="false" customHeight="false" outlineLevel="0" collapsed="false">
      <c r="A518" s="0" t="s">
        <v>194</v>
      </c>
      <c r="B518" s="0" t="s">
        <v>110</v>
      </c>
      <c r="C518" s="0" t="n">
        <v>1</v>
      </c>
      <c r="D518" s="5" t="n">
        <f aca="false">Supuestos!$B$12</f>
        <v>0.1</v>
      </c>
      <c r="E518" s="5" t="n">
        <f aca="false">IF(C518&lt;Familias!F7,0,INDEX(Supuestos!$B$13:$B$19,MIN(C518-Familias!F7+1,7)))</f>
        <v>0.1</v>
      </c>
      <c r="F518" s="4" t="n">
        <f aca="false">Familias!E7*D518*E518</f>
        <v>0.5</v>
      </c>
      <c r="G518" s="4" t="n">
        <f aca="false">F518*Supuestos!$B$2</f>
        <v>0.01</v>
      </c>
      <c r="H518" s="4" t="n">
        <f aca="false">G518*Supuestos!$B$3</f>
        <v>0.0065</v>
      </c>
    </row>
    <row r="519" customFormat="false" ht="15" hidden="false" customHeight="false" outlineLevel="0" collapsed="false">
      <c r="A519" s="0" t="s">
        <v>194</v>
      </c>
      <c r="B519" s="0" t="s">
        <v>110</v>
      </c>
      <c r="C519" s="0" t="n">
        <v>2</v>
      </c>
      <c r="D519" s="5" t="n">
        <f aca="false">Supuestos!$B$12</f>
        <v>0.1</v>
      </c>
      <c r="E519" s="5" t="n">
        <f aca="false">IF(C519&lt;Familias!F7,0,INDEX(Supuestos!$B$13:$B$19,MIN(C519-Familias!F7+1,7)))</f>
        <v>0.2</v>
      </c>
      <c r="F519" s="4" t="n">
        <f aca="false">Familias!E7*D519*E519</f>
        <v>1</v>
      </c>
      <c r="G519" s="4" t="n">
        <f aca="false">F519*Supuestos!$B$2</f>
        <v>0.02</v>
      </c>
      <c r="H519" s="4" t="n">
        <f aca="false">G519*Supuestos!$B$3</f>
        <v>0.013</v>
      </c>
    </row>
    <row r="520" customFormat="false" ht="15" hidden="false" customHeight="false" outlineLevel="0" collapsed="false">
      <c r="A520" s="0" t="s">
        <v>194</v>
      </c>
      <c r="B520" s="0" t="s">
        <v>110</v>
      </c>
      <c r="C520" s="0" t="n">
        <v>3</v>
      </c>
      <c r="D520" s="5" t="n">
        <f aca="false">Supuestos!$B$12</f>
        <v>0.1</v>
      </c>
      <c r="E520" s="5" t="n">
        <f aca="false">IF(C520&lt;Familias!F7,0,INDEX(Supuestos!$B$13:$B$19,MIN(C520-Familias!F7+1,7)))</f>
        <v>0.35</v>
      </c>
      <c r="F520" s="4" t="n">
        <f aca="false">Familias!E7*D520*E520</f>
        <v>1.75</v>
      </c>
      <c r="G520" s="4" t="n">
        <f aca="false">F520*Supuestos!$B$2</f>
        <v>0.035</v>
      </c>
      <c r="H520" s="4" t="n">
        <f aca="false">G520*Supuestos!$B$3</f>
        <v>0.02275</v>
      </c>
    </row>
    <row r="521" customFormat="false" ht="15" hidden="false" customHeight="false" outlineLevel="0" collapsed="false">
      <c r="A521" s="0" t="s">
        <v>194</v>
      </c>
      <c r="B521" s="0" t="s">
        <v>110</v>
      </c>
      <c r="C521" s="0" t="n">
        <v>4</v>
      </c>
      <c r="D521" s="5" t="n">
        <f aca="false">Supuestos!$B$12</f>
        <v>0.1</v>
      </c>
      <c r="E521" s="5" t="n">
        <f aca="false">IF(C521&lt;Familias!F7,0,INDEX(Supuestos!$B$13:$B$19,MIN(C521-Familias!F7+1,7)))</f>
        <v>0.5</v>
      </c>
      <c r="F521" s="4" t="n">
        <f aca="false">Familias!E7*D521*E521</f>
        <v>2.5</v>
      </c>
      <c r="G521" s="4" t="n">
        <f aca="false">F521*Supuestos!$B$2</f>
        <v>0.05</v>
      </c>
      <c r="H521" s="4" t="n">
        <f aca="false">G521*Supuestos!$B$3</f>
        <v>0.0325</v>
      </c>
    </row>
    <row r="522" customFormat="false" ht="15" hidden="false" customHeight="false" outlineLevel="0" collapsed="false">
      <c r="A522" s="0" t="s">
        <v>194</v>
      </c>
      <c r="B522" s="0" t="s">
        <v>110</v>
      </c>
      <c r="C522" s="0" t="n">
        <v>5</v>
      </c>
      <c r="D522" s="5" t="n">
        <f aca="false">Supuestos!$B$12</f>
        <v>0.1</v>
      </c>
      <c r="E522" s="5" t="n">
        <f aca="false">IF(C522&lt;Familias!F7,0,INDEX(Supuestos!$B$13:$B$19,MIN(C522-Familias!F7+1,7)))</f>
        <v>0.65</v>
      </c>
      <c r="F522" s="4" t="n">
        <f aca="false">Familias!E7*D522*E522</f>
        <v>3.25</v>
      </c>
      <c r="G522" s="4" t="n">
        <f aca="false">F522*Supuestos!$B$2</f>
        <v>0.065</v>
      </c>
      <c r="H522" s="4" t="n">
        <f aca="false">G522*Supuestos!$B$3</f>
        <v>0.04225</v>
      </c>
    </row>
    <row r="523" customFormat="false" ht="15" hidden="false" customHeight="false" outlineLevel="0" collapsed="false">
      <c r="A523" s="0" t="s">
        <v>194</v>
      </c>
      <c r="B523" s="0" t="s">
        <v>110</v>
      </c>
      <c r="C523" s="0" t="n">
        <v>6</v>
      </c>
      <c r="D523" s="5" t="n">
        <f aca="false">Supuestos!$B$12</f>
        <v>0.1</v>
      </c>
      <c r="E523" s="5" t="n">
        <f aca="false">IF(C523&lt;Familias!F7,0,INDEX(Supuestos!$B$13:$B$19,MIN(C523-Familias!F7+1,7)))</f>
        <v>0.8</v>
      </c>
      <c r="F523" s="4" t="n">
        <f aca="false">Familias!E7*D523*E523</f>
        <v>4</v>
      </c>
      <c r="G523" s="4" t="n">
        <f aca="false">F523*Supuestos!$B$2</f>
        <v>0.08</v>
      </c>
      <c r="H523" s="4" t="n">
        <f aca="false">G523*Supuestos!$B$3</f>
        <v>0.052</v>
      </c>
    </row>
    <row r="524" customFormat="false" ht="15" hidden="false" customHeight="false" outlineLevel="0" collapsed="false">
      <c r="A524" s="0" t="s">
        <v>194</v>
      </c>
      <c r="B524" s="0" t="s">
        <v>110</v>
      </c>
      <c r="C524" s="0" t="n">
        <v>7</v>
      </c>
      <c r="D524" s="5" t="n">
        <f aca="false">Supuestos!$B$12</f>
        <v>0.1</v>
      </c>
      <c r="E524" s="5" t="n">
        <f aca="false">IF(C524&lt;Familias!F7,0,INDEX(Supuestos!$B$13:$B$19,MIN(C524-Familias!F7+1,7)))</f>
        <v>1</v>
      </c>
      <c r="F524" s="4" t="n">
        <f aca="false">Familias!E7*D524*E524</f>
        <v>5</v>
      </c>
      <c r="G524" s="4" t="n">
        <f aca="false">F524*Supuestos!$B$2</f>
        <v>0.1</v>
      </c>
      <c r="H524" s="4" t="n">
        <f aca="false">G524*Supuestos!$B$3</f>
        <v>0.065</v>
      </c>
    </row>
    <row r="525" customFormat="false" ht="15" hidden="false" customHeight="false" outlineLevel="0" collapsed="false">
      <c r="A525" s="0" t="s">
        <v>194</v>
      </c>
      <c r="B525" s="0" t="s">
        <v>110</v>
      </c>
      <c r="C525" s="0" t="n">
        <v>8</v>
      </c>
      <c r="D525" s="5" t="n">
        <f aca="false">Supuestos!$B$12</f>
        <v>0.1</v>
      </c>
      <c r="E525" s="5" t="n">
        <f aca="false">IF(C525&lt;Familias!F7,0,INDEX(Supuestos!$B$13:$B$19,MIN(C525-Familias!F7+1,7)))</f>
        <v>1</v>
      </c>
      <c r="F525" s="4" t="n">
        <f aca="false">Familias!E7*D525*E525</f>
        <v>5</v>
      </c>
      <c r="G525" s="4" t="n">
        <f aca="false">F525*Supuestos!$B$2</f>
        <v>0.1</v>
      </c>
      <c r="H525" s="4" t="n">
        <f aca="false">G525*Supuestos!$B$3</f>
        <v>0.065</v>
      </c>
    </row>
    <row r="526" customFormat="false" ht="15" hidden="false" customHeight="false" outlineLevel="0" collapsed="false">
      <c r="A526" s="0" t="s">
        <v>194</v>
      </c>
      <c r="B526" s="0" t="s">
        <v>110</v>
      </c>
      <c r="C526" s="0" t="n">
        <v>9</v>
      </c>
      <c r="D526" s="5" t="n">
        <f aca="false">Supuestos!$B$12</f>
        <v>0.1</v>
      </c>
      <c r="E526" s="5" t="n">
        <f aca="false">IF(C526&lt;Familias!F7,0,INDEX(Supuestos!$B$13:$B$19,MIN(C526-Familias!F7+1,7)))</f>
        <v>1</v>
      </c>
      <c r="F526" s="4" t="n">
        <f aca="false">Familias!E7*D526*E526</f>
        <v>5</v>
      </c>
      <c r="G526" s="4" t="n">
        <f aca="false">F526*Supuestos!$B$2</f>
        <v>0.1</v>
      </c>
      <c r="H526" s="4" t="n">
        <f aca="false">G526*Supuestos!$B$3</f>
        <v>0.065</v>
      </c>
    </row>
    <row r="527" customFormat="false" ht="15" hidden="false" customHeight="false" outlineLevel="0" collapsed="false">
      <c r="A527" s="0" t="s">
        <v>194</v>
      </c>
      <c r="B527" s="0" t="s">
        <v>110</v>
      </c>
      <c r="C527" s="0" t="n">
        <v>10</v>
      </c>
      <c r="D527" s="5" t="n">
        <f aca="false">Supuestos!$B$12</f>
        <v>0.1</v>
      </c>
      <c r="E527" s="5" t="n">
        <f aca="false">IF(C527&lt;Familias!F7,0,INDEX(Supuestos!$B$13:$B$19,MIN(C527-Familias!F7+1,7)))</f>
        <v>1</v>
      </c>
      <c r="F527" s="4" t="n">
        <f aca="false">Familias!E7*D527*E527</f>
        <v>5</v>
      </c>
      <c r="G527" s="4" t="n">
        <f aca="false">F527*Supuestos!$B$2</f>
        <v>0.1</v>
      </c>
      <c r="H527" s="4" t="n">
        <f aca="false">G527*Supuestos!$B$3</f>
        <v>0.065</v>
      </c>
    </row>
    <row r="528" customFormat="false" ht="15" hidden="false" customHeight="false" outlineLevel="0" collapsed="false">
      <c r="A528" s="0" t="s">
        <v>194</v>
      </c>
      <c r="B528" s="0" t="s">
        <v>110</v>
      </c>
      <c r="C528" s="0" t="n">
        <v>11</v>
      </c>
      <c r="D528" s="5" t="n">
        <f aca="false">Supuestos!$B$12</f>
        <v>0.1</v>
      </c>
      <c r="E528" s="5" t="n">
        <f aca="false">IF(C528&lt;Familias!F7,0,INDEX(Supuestos!$B$13:$B$19,MIN(C528-Familias!F7+1,7)))</f>
        <v>1</v>
      </c>
      <c r="F528" s="4" t="n">
        <f aca="false">Familias!E7*D528*E528</f>
        <v>5</v>
      </c>
      <c r="G528" s="4" t="n">
        <f aca="false">F528*Supuestos!$B$2</f>
        <v>0.1</v>
      </c>
      <c r="H528" s="4" t="n">
        <f aca="false">G528*Supuestos!$B$3</f>
        <v>0.065</v>
      </c>
    </row>
    <row r="529" customFormat="false" ht="15" hidden="false" customHeight="false" outlineLevel="0" collapsed="false">
      <c r="A529" s="0" t="s">
        <v>194</v>
      </c>
      <c r="B529" s="0" t="s">
        <v>110</v>
      </c>
      <c r="C529" s="0" t="n">
        <v>12</v>
      </c>
      <c r="D529" s="5" t="n">
        <f aca="false">Supuestos!$B$12</f>
        <v>0.1</v>
      </c>
      <c r="E529" s="5" t="n">
        <f aca="false">IF(C529&lt;Familias!F7,0,INDEX(Supuestos!$B$13:$B$19,MIN(C529-Familias!F7+1,7)))</f>
        <v>1</v>
      </c>
      <c r="F529" s="4" t="n">
        <f aca="false">Familias!E7*D529*E529</f>
        <v>5</v>
      </c>
      <c r="G529" s="4" t="n">
        <f aca="false">F529*Supuestos!$B$2</f>
        <v>0.1</v>
      </c>
      <c r="H529" s="4" t="n">
        <f aca="false">G529*Supuestos!$B$3</f>
        <v>0.065</v>
      </c>
    </row>
    <row r="530" customFormat="false" ht="15" hidden="false" customHeight="false" outlineLevel="0" collapsed="false">
      <c r="A530" s="0" t="s">
        <v>194</v>
      </c>
      <c r="B530" s="0" t="s">
        <v>115</v>
      </c>
      <c r="C530" s="0" t="n">
        <v>1</v>
      </c>
      <c r="D530" s="5" t="n">
        <f aca="false">Supuestos!$B$12</f>
        <v>0.1</v>
      </c>
      <c r="E530" s="5" t="n">
        <f aca="false">IF(C530&lt;Familias!F8,0,INDEX(Supuestos!$B$13:$B$19,MIN(C530-Familias!F8+1,7)))</f>
        <v>0</v>
      </c>
      <c r="F530" s="4" t="n">
        <f aca="false">Familias!E8*D530*E530</f>
        <v>0</v>
      </c>
      <c r="G530" s="4" t="n">
        <f aca="false">F530*Supuestos!$B$2</f>
        <v>0</v>
      </c>
      <c r="H530" s="4" t="n">
        <f aca="false">G530*Supuestos!$B$3</f>
        <v>0</v>
      </c>
    </row>
    <row r="531" customFormat="false" ht="15" hidden="false" customHeight="false" outlineLevel="0" collapsed="false">
      <c r="A531" s="0" t="s">
        <v>194</v>
      </c>
      <c r="B531" s="0" t="s">
        <v>115</v>
      </c>
      <c r="C531" s="0" t="n">
        <v>2</v>
      </c>
      <c r="D531" s="5" t="n">
        <f aca="false">Supuestos!$B$12</f>
        <v>0.1</v>
      </c>
      <c r="E531" s="5" t="n">
        <f aca="false">IF(C531&lt;Familias!F8,0,INDEX(Supuestos!$B$13:$B$19,MIN(C531-Familias!F8+1,7)))</f>
        <v>0.1</v>
      </c>
      <c r="F531" s="4" t="n">
        <f aca="false">Familias!E8*D531*E531</f>
        <v>16</v>
      </c>
      <c r="G531" s="4" t="n">
        <f aca="false">F531*Supuestos!$B$2</f>
        <v>0.32</v>
      </c>
      <c r="H531" s="4" t="n">
        <f aca="false">G531*Supuestos!$B$3</f>
        <v>0.208</v>
      </c>
    </row>
    <row r="532" customFormat="false" ht="15" hidden="false" customHeight="false" outlineLevel="0" collapsed="false">
      <c r="A532" s="0" t="s">
        <v>194</v>
      </c>
      <c r="B532" s="0" t="s">
        <v>115</v>
      </c>
      <c r="C532" s="0" t="n">
        <v>3</v>
      </c>
      <c r="D532" s="5" t="n">
        <f aca="false">Supuestos!$B$12</f>
        <v>0.1</v>
      </c>
      <c r="E532" s="5" t="n">
        <f aca="false">IF(C532&lt;Familias!F8,0,INDEX(Supuestos!$B$13:$B$19,MIN(C532-Familias!F8+1,7)))</f>
        <v>0.2</v>
      </c>
      <c r="F532" s="4" t="n">
        <f aca="false">Familias!E8*D532*E532</f>
        <v>32</v>
      </c>
      <c r="G532" s="4" t="n">
        <f aca="false">F532*Supuestos!$B$2</f>
        <v>0.64</v>
      </c>
      <c r="H532" s="4" t="n">
        <f aca="false">G532*Supuestos!$B$3</f>
        <v>0.416</v>
      </c>
    </row>
    <row r="533" customFormat="false" ht="15" hidden="false" customHeight="false" outlineLevel="0" collapsed="false">
      <c r="A533" s="0" t="s">
        <v>194</v>
      </c>
      <c r="B533" s="0" t="s">
        <v>115</v>
      </c>
      <c r="C533" s="0" t="n">
        <v>4</v>
      </c>
      <c r="D533" s="5" t="n">
        <f aca="false">Supuestos!$B$12</f>
        <v>0.1</v>
      </c>
      <c r="E533" s="5" t="n">
        <f aca="false">IF(C533&lt;Familias!F8,0,INDEX(Supuestos!$B$13:$B$19,MIN(C533-Familias!F8+1,7)))</f>
        <v>0.35</v>
      </c>
      <c r="F533" s="4" t="n">
        <f aca="false">Familias!E8*D533*E533</f>
        <v>56</v>
      </c>
      <c r="G533" s="4" t="n">
        <f aca="false">F533*Supuestos!$B$2</f>
        <v>1.12</v>
      </c>
      <c r="H533" s="4" t="n">
        <f aca="false">G533*Supuestos!$B$3</f>
        <v>0.728</v>
      </c>
    </row>
    <row r="534" customFormat="false" ht="15" hidden="false" customHeight="false" outlineLevel="0" collapsed="false">
      <c r="A534" s="0" t="s">
        <v>194</v>
      </c>
      <c r="B534" s="0" t="s">
        <v>115</v>
      </c>
      <c r="C534" s="0" t="n">
        <v>5</v>
      </c>
      <c r="D534" s="5" t="n">
        <f aca="false">Supuestos!$B$12</f>
        <v>0.1</v>
      </c>
      <c r="E534" s="5" t="n">
        <f aca="false">IF(C534&lt;Familias!F8,0,INDEX(Supuestos!$B$13:$B$19,MIN(C534-Familias!F8+1,7)))</f>
        <v>0.5</v>
      </c>
      <c r="F534" s="4" t="n">
        <f aca="false">Familias!E8*D534*E534</f>
        <v>80</v>
      </c>
      <c r="G534" s="4" t="n">
        <f aca="false">F534*Supuestos!$B$2</f>
        <v>1.6</v>
      </c>
      <c r="H534" s="4" t="n">
        <f aca="false">G534*Supuestos!$B$3</f>
        <v>1.04</v>
      </c>
    </row>
    <row r="535" customFormat="false" ht="15" hidden="false" customHeight="false" outlineLevel="0" collapsed="false">
      <c r="A535" s="0" t="s">
        <v>194</v>
      </c>
      <c r="B535" s="0" t="s">
        <v>115</v>
      </c>
      <c r="C535" s="0" t="n">
        <v>6</v>
      </c>
      <c r="D535" s="5" t="n">
        <f aca="false">Supuestos!$B$12</f>
        <v>0.1</v>
      </c>
      <c r="E535" s="5" t="n">
        <f aca="false">IF(C535&lt;Familias!F8,0,INDEX(Supuestos!$B$13:$B$19,MIN(C535-Familias!F8+1,7)))</f>
        <v>0.65</v>
      </c>
      <c r="F535" s="4" t="n">
        <f aca="false">Familias!E8*D535*E535</f>
        <v>104</v>
      </c>
      <c r="G535" s="4" t="n">
        <f aca="false">F535*Supuestos!$B$2</f>
        <v>2.08</v>
      </c>
      <c r="H535" s="4" t="n">
        <f aca="false">G535*Supuestos!$B$3</f>
        <v>1.352</v>
      </c>
    </row>
    <row r="536" customFormat="false" ht="15" hidden="false" customHeight="false" outlineLevel="0" collapsed="false">
      <c r="A536" s="0" t="s">
        <v>194</v>
      </c>
      <c r="B536" s="0" t="s">
        <v>115</v>
      </c>
      <c r="C536" s="0" t="n">
        <v>7</v>
      </c>
      <c r="D536" s="5" t="n">
        <f aca="false">Supuestos!$B$12</f>
        <v>0.1</v>
      </c>
      <c r="E536" s="5" t="n">
        <f aca="false">IF(C536&lt;Familias!F8,0,INDEX(Supuestos!$B$13:$B$19,MIN(C536-Familias!F8+1,7)))</f>
        <v>0.8</v>
      </c>
      <c r="F536" s="4" t="n">
        <f aca="false">Familias!E8*D536*E536</f>
        <v>128</v>
      </c>
      <c r="G536" s="4" t="n">
        <f aca="false">F536*Supuestos!$B$2</f>
        <v>2.56</v>
      </c>
      <c r="H536" s="4" t="n">
        <f aca="false">G536*Supuestos!$B$3</f>
        <v>1.664</v>
      </c>
    </row>
    <row r="537" customFormat="false" ht="15" hidden="false" customHeight="false" outlineLevel="0" collapsed="false">
      <c r="A537" s="0" t="s">
        <v>194</v>
      </c>
      <c r="B537" s="0" t="s">
        <v>115</v>
      </c>
      <c r="C537" s="0" t="n">
        <v>8</v>
      </c>
      <c r="D537" s="5" t="n">
        <f aca="false">Supuestos!$B$12</f>
        <v>0.1</v>
      </c>
      <c r="E537" s="5" t="n">
        <f aca="false">IF(C537&lt;Familias!F8,0,INDEX(Supuestos!$B$13:$B$19,MIN(C537-Familias!F8+1,7)))</f>
        <v>1</v>
      </c>
      <c r="F537" s="4" t="n">
        <f aca="false">Familias!E8*D537*E537</f>
        <v>160</v>
      </c>
      <c r="G537" s="4" t="n">
        <f aca="false">F537*Supuestos!$B$2</f>
        <v>3.2</v>
      </c>
      <c r="H537" s="4" t="n">
        <f aca="false">G537*Supuestos!$B$3</f>
        <v>2.08</v>
      </c>
    </row>
    <row r="538" customFormat="false" ht="15" hidden="false" customHeight="false" outlineLevel="0" collapsed="false">
      <c r="A538" s="0" t="s">
        <v>194</v>
      </c>
      <c r="B538" s="0" t="s">
        <v>115</v>
      </c>
      <c r="C538" s="0" t="n">
        <v>9</v>
      </c>
      <c r="D538" s="5" t="n">
        <f aca="false">Supuestos!$B$12</f>
        <v>0.1</v>
      </c>
      <c r="E538" s="5" t="n">
        <f aca="false">IF(C538&lt;Familias!F8,0,INDEX(Supuestos!$B$13:$B$19,MIN(C538-Familias!F8+1,7)))</f>
        <v>1</v>
      </c>
      <c r="F538" s="4" t="n">
        <f aca="false">Familias!E8*D538*E538</f>
        <v>160</v>
      </c>
      <c r="G538" s="4" t="n">
        <f aca="false">F538*Supuestos!$B$2</f>
        <v>3.2</v>
      </c>
      <c r="H538" s="4" t="n">
        <f aca="false">G538*Supuestos!$B$3</f>
        <v>2.08</v>
      </c>
    </row>
    <row r="539" customFormat="false" ht="15" hidden="false" customHeight="false" outlineLevel="0" collapsed="false">
      <c r="A539" s="0" t="s">
        <v>194</v>
      </c>
      <c r="B539" s="0" t="s">
        <v>115</v>
      </c>
      <c r="C539" s="0" t="n">
        <v>10</v>
      </c>
      <c r="D539" s="5" t="n">
        <f aca="false">Supuestos!$B$12</f>
        <v>0.1</v>
      </c>
      <c r="E539" s="5" t="n">
        <f aca="false">IF(C539&lt;Familias!F8,0,INDEX(Supuestos!$B$13:$B$19,MIN(C539-Familias!F8+1,7)))</f>
        <v>1</v>
      </c>
      <c r="F539" s="4" t="n">
        <f aca="false">Familias!E8*D539*E539</f>
        <v>160</v>
      </c>
      <c r="G539" s="4" t="n">
        <f aca="false">F539*Supuestos!$B$2</f>
        <v>3.2</v>
      </c>
      <c r="H539" s="4" t="n">
        <f aca="false">G539*Supuestos!$B$3</f>
        <v>2.08</v>
      </c>
    </row>
    <row r="540" customFormat="false" ht="15" hidden="false" customHeight="false" outlineLevel="0" collapsed="false">
      <c r="A540" s="0" t="s">
        <v>194</v>
      </c>
      <c r="B540" s="0" t="s">
        <v>115</v>
      </c>
      <c r="C540" s="0" t="n">
        <v>11</v>
      </c>
      <c r="D540" s="5" t="n">
        <f aca="false">Supuestos!$B$12</f>
        <v>0.1</v>
      </c>
      <c r="E540" s="5" t="n">
        <f aca="false">IF(C540&lt;Familias!F8,0,INDEX(Supuestos!$B$13:$B$19,MIN(C540-Familias!F8+1,7)))</f>
        <v>1</v>
      </c>
      <c r="F540" s="4" t="n">
        <f aca="false">Familias!E8*D540*E540</f>
        <v>160</v>
      </c>
      <c r="G540" s="4" t="n">
        <f aca="false">F540*Supuestos!$B$2</f>
        <v>3.2</v>
      </c>
      <c r="H540" s="4" t="n">
        <f aca="false">G540*Supuestos!$B$3</f>
        <v>2.08</v>
      </c>
    </row>
    <row r="541" customFormat="false" ht="15" hidden="false" customHeight="false" outlineLevel="0" collapsed="false">
      <c r="A541" s="0" t="s">
        <v>194</v>
      </c>
      <c r="B541" s="0" t="s">
        <v>115</v>
      </c>
      <c r="C541" s="0" t="n">
        <v>12</v>
      </c>
      <c r="D541" s="5" t="n">
        <f aca="false">Supuestos!$B$12</f>
        <v>0.1</v>
      </c>
      <c r="E541" s="5" t="n">
        <f aca="false">IF(C541&lt;Familias!F8,0,INDEX(Supuestos!$B$13:$B$19,MIN(C541-Familias!F8+1,7)))</f>
        <v>1</v>
      </c>
      <c r="F541" s="4" t="n">
        <f aca="false">Familias!E8*D541*E541</f>
        <v>160</v>
      </c>
      <c r="G541" s="4" t="n">
        <f aca="false">F541*Supuestos!$B$2</f>
        <v>3.2</v>
      </c>
      <c r="H541" s="4" t="n">
        <f aca="false">G541*Supuestos!$B$3</f>
        <v>2.08</v>
      </c>
    </row>
    <row r="542" customFormat="false" ht="15" hidden="false" customHeight="false" outlineLevel="0" collapsed="false">
      <c r="A542" s="0" t="s">
        <v>194</v>
      </c>
      <c r="B542" s="0" t="s">
        <v>121</v>
      </c>
      <c r="C542" s="0" t="n">
        <v>1</v>
      </c>
      <c r="D542" s="5" t="n">
        <f aca="false">Supuestos!$B$12</f>
        <v>0.1</v>
      </c>
      <c r="E542" s="5" t="n">
        <f aca="false">IF(C542&lt;Familias!F9,0,INDEX(Supuestos!$B$13:$B$19,MIN(C542-Familias!F9+1,7)))</f>
        <v>0.1</v>
      </c>
      <c r="F542" s="4" t="n">
        <f aca="false">Familias!E9*D542*E542</f>
        <v>13</v>
      </c>
      <c r="G542" s="4" t="n">
        <f aca="false">F542*Supuestos!$B$2</f>
        <v>0.26</v>
      </c>
      <c r="H542" s="4" t="n">
        <f aca="false">G542*Supuestos!$B$3</f>
        <v>0.169</v>
      </c>
    </row>
    <row r="543" customFormat="false" ht="15" hidden="false" customHeight="false" outlineLevel="0" collapsed="false">
      <c r="A543" s="0" t="s">
        <v>194</v>
      </c>
      <c r="B543" s="0" t="s">
        <v>121</v>
      </c>
      <c r="C543" s="0" t="n">
        <v>2</v>
      </c>
      <c r="D543" s="5" t="n">
        <f aca="false">Supuestos!$B$12</f>
        <v>0.1</v>
      </c>
      <c r="E543" s="5" t="n">
        <f aca="false">IF(C543&lt;Familias!F9,0,INDEX(Supuestos!$B$13:$B$19,MIN(C543-Familias!F9+1,7)))</f>
        <v>0.2</v>
      </c>
      <c r="F543" s="4" t="n">
        <f aca="false">Familias!E9*D543*E543</f>
        <v>26</v>
      </c>
      <c r="G543" s="4" t="n">
        <f aca="false">F543*Supuestos!$B$2</f>
        <v>0.52</v>
      </c>
      <c r="H543" s="4" t="n">
        <f aca="false">G543*Supuestos!$B$3</f>
        <v>0.338</v>
      </c>
    </row>
    <row r="544" customFormat="false" ht="15" hidden="false" customHeight="false" outlineLevel="0" collapsed="false">
      <c r="A544" s="0" t="s">
        <v>194</v>
      </c>
      <c r="B544" s="0" t="s">
        <v>121</v>
      </c>
      <c r="C544" s="0" t="n">
        <v>3</v>
      </c>
      <c r="D544" s="5" t="n">
        <f aca="false">Supuestos!$B$12</f>
        <v>0.1</v>
      </c>
      <c r="E544" s="5" t="n">
        <f aca="false">IF(C544&lt;Familias!F9,0,INDEX(Supuestos!$B$13:$B$19,MIN(C544-Familias!F9+1,7)))</f>
        <v>0.35</v>
      </c>
      <c r="F544" s="4" t="n">
        <f aca="false">Familias!E9*D544*E544</f>
        <v>45.5</v>
      </c>
      <c r="G544" s="4" t="n">
        <f aca="false">F544*Supuestos!$B$2</f>
        <v>0.91</v>
      </c>
      <c r="H544" s="4" t="n">
        <f aca="false">G544*Supuestos!$B$3</f>
        <v>0.5915</v>
      </c>
    </row>
    <row r="545" customFormat="false" ht="15" hidden="false" customHeight="false" outlineLevel="0" collapsed="false">
      <c r="A545" s="0" t="s">
        <v>194</v>
      </c>
      <c r="B545" s="0" t="s">
        <v>121</v>
      </c>
      <c r="C545" s="0" t="n">
        <v>4</v>
      </c>
      <c r="D545" s="5" t="n">
        <f aca="false">Supuestos!$B$12</f>
        <v>0.1</v>
      </c>
      <c r="E545" s="5" t="n">
        <f aca="false">IF(C545&lt;Familias!F9,0,INDEX(Supuestos!$B$13:$B$19,MIN(C545-Familias!F9+1,7)))</f>
        <v>0.5</v>
      </c>
      <c r="F545" s="4" t="n">
        <f aca="false">Familias!E9*D545*E545</f>
        <v>65</v>
      </c>
      <c r="G545" s="4" t="n">
        <f aca="false">F545*Supuestos!$B$2</f>
        <v>1.3</v>
      </c>
      <c r="H545" s="4" t="n">
        <f aca="false">G545*Supuestos!$B$3</f>
        <v>0.845</v>
      </c>
    </row>
    <row r="546" customFormat="false" ht="15" hidden="false" customHeight="false" outlineLevel="0" collapsed="false">
      <c r="A546" s="0" t="s">
        <v>194</v>
      </c>
      <c r="B546" s="0" t="s">
        <v>121</v>
      </c>
      <c r="C546" s="0" t="n">
        <v>5</v>
      </c>
      <c r="D546" s="5" t="n">
        <f aca="false">Supuestos!$B$12</f>
        <v>0.1</v>
      </c>
      <c r="E546" s="5" t="n">
        <f aca="false">IF(C546&lt;Familias!F9,0,INDEX(Supuestos!$B$13:$B$19,MIN(C546-Familias!F9+1,7)))</f>
        <v>0.65</v>
      </c>
      <c r="F546" s="4" t="n">
        <f aca="false">Familias!E9*D546*E546</f>
        <v>84.5</v>
      </c>
      <c r="G546" s="4" t="n">
        <f aca="false">F546*Supuestos!$B$2</f>
        <v>1.69</v>
      </c>
      <c r="H546" s="4" t="n">
        <f aca="false">G546*Supuestos!$B$3</f>
        <v>1.0985</v>
      </c>
    </row>
    <row r="547" customFormat="false" ht="15" hidden="false" customHeight="false" outlineLevel="0" collapsed="false">
      <c r="A547" s="0" t="s">
        <v>194</v>
      </c>
      <c r="B547" s="0" t="s">
        <v>121</v>
      </c>
      <c r="C547" s="0" t="n">
        <v>6</v>
      </c>
      <c r="D547" s="5" t="n">
        <f aca="false">Supuestos!$B$12</f>
        <v>0.1</v>
      </c>
      <c r="E547" s="5" t="n">
        <f aca="false">IF(C547&lt;Familias!F9,0,INDEX(Supuestos!$B$13:$B$19,MIN(C547-Familias!F9+1,7)))</f>
        <v>0.8</v>
      </c>
      <c r="F547" s="4" t="n">
        <f aca="false">Familias!E9*D547*E547</f>
        <v>104</v>
      </c>
      <c r="G547" s="4" t="n">
        <f aca="false">F547*Supuestos!$B$2</f>
        <v>2.08</v>
      </c>
      <c r="H547" s="4" t="n">
        <f aca="false">G547*Supuestos!$B$3</f>
        <v>1.352</v>
      </c>
    </row>
    <row r="548" customFormat="false" ht="15" hidden="false" customHeight="false" outlineLevel="0" collapsed="false">
      <c r="A548" s="0" t="s">
        <v>194</v>
      </c>
      <c r="B548" s="0" t="s">
        <v>121</v>
      </c>
      <c r="C548" s="0" t="n">
        <v>7</v>
      </c>
      <c r="D548" s="5" t="n">
        <f aca="false">Supuestos!$B$12</f>
        <v>0.1</v>
      </c>
      <c r="E548" s="5" t="n">
        <f aca="false">IF(C548&lt;Familias!F9,0,INDEX(Supuestos!$B$13:$B$19,MIN(C548-Familias!F9+1,7)))</f>
        <v>1</v>
      </c>
      <c r="F548" s="4" t="n">
        <f aca="false">Familias!E9*D548*E548</f>
        <v>130</v>
      </c>
      <c r="G548" s="4" t="n">
        <f aca="false">F548*Supuestos!$B$2</f>
        <v>2.6</v>
      </c>
      <c r="H548" s="4" t="n">
        <f aca="false">G548*Supuestos!$B$3</f>
        <v>1.69</v>
      </c>
    </row>
    <row r="549" customFormat="false" ht="15" hidden="false" customHeight="false" outlineLevel="0" collapsed="false">
      <c r="A549" s="0" t="s">
        <v>194</v>
      </c>
      <c r="B549" s="0" t="s">
        <v>121</v>
      </c>
      <c r="C549" s="0" t="n">
        <v>8</v>
      </c>
      <c r="D549" s="5" t="n">
        <f aca="false">Supuestos!$B$12</f>
        <v>0.1</v>
      </c>
      <c r="E549" s="5" t="n">
        <f aca="false">IF(C549&lt;Familias!F9,0,INDEX(Supuestos!$B$13:$B$19,MIN(C549-Familias!F9+1,7)))</f>
        <v>1</v>
      </c>
      <c r="F549" s="4" t="n">
        <f aca="false">Familias!E9*D549*E549</f>
        <v>130</v>
      </c>
      <c r="G549" s="4" t="n">
        <f aca="false">F549*Supuestos!$B$2</f>
        <v>2.6</v>
      </c>
      <c r="H549" s="4" t="n">
        <f aca="false">G549*Supuestos!$B$3</f>
        <v>1.69</v>
      </c>
    </row>
    <row r="550" customFormat="false" ht="15" hidden="false" customHeight="false" outlineLevel="0" collapsed="false">
      <c r="A550" s="0" t="s">
        <v>194</v>
      </c>
      <c r="B550" s="0" t="s">
        <v>121</v>
      </c>
      <c r="C550" s="0" t="n">
        <v>9</v>
      </c>
      <c r="D550" s="5" t="n">
        <f aca="false">Supuestos!$B$12</f>
        <v>0.1</v>
      </c>
      <c r="E550" s="5" t="n">
        <f aca="false">IF(C550&lt;Familias!F9,0,INDEX(Supuestos!$B$13:$B$19,MIN(C550-Familias!F9+1,7)))</f>
        <v>1</v>
      </c>
      <c r="F550" s="4" t="n">
        <f aca="false">Familias!E9*D550*E550</f>
        <v>130</v>
      </c>
      <c r="G550" s="4" t="n">
        <f aca="false">F550*Supuestos!$B$2</f>
        <v>2.6</v>
      </c>
      <c r="H550" s="4" t="n">
        <f aca="false">G550*Supuestos!$B$3</f>
        <v>1.69</v>
      </c>
    </row>
    <row r="551" customFormat="false" ht="15" hidden="false" customHeight="false" outlineLevel="0" collapsed="false">
      <c r="A551" s="0" t="s">
        <v>194</v>
      </c>
      <c r="B551" s="0" t="s">
        <v>121</v>
      </c>
      <c r="C551" s="0" t="n">
        <v>10</v>
      </c>
      <c r="D551" s="5" t="n">
        <f aca="false">Supuestos!$B$12</f>
        <v>0.1</v>
      </c>
      <c r="E551" s="5" t="n">
        <f aca="false">IF(C551&lt;Familias!F9,0,INDEX(Supuestos!$B$13:$B$19,MIN(C551-Familias!F9+1,7)))</f>
        <v>1</v>
      </c>
      <c r="F551" s="4" t="n">
        <f aca="false">Familias!E9*D551*E551</f>
        <v>130</v>
      </c>
      <c r="G551" s="4" t="n">
        <f aca="false">F551*Supuestos!$B$2</f>
        <v>2.6</v>
      </c>
      <c r="H551" s="4" t="n">
        <f aca="false">G551*Supuestos!$B$3</f>
        <v>1.69</v>
      </c>
    </row>
    <row r="552" customFormat="false" ht="15" hidden="false" customHeight="false" outlineLevel="0" collapsed="false">
      <c r="A552" s="0" t="s">
        <v>194</v>
      </c>
      <c r="B552" s="0" t="s">
        <v>121</v>
      </c>
      <c r="C552" s="0" t="n">
        <v>11</v>
      </c>
      <c r="D552" s="5" t="n">
        <f aca="false">Supuestos!$B$12</f>
        <v>0.1</v>
      </c>
      <c r="E552" s="5" t="n">
        <f aca="false">IF(C552&lt;Familias!F9,0,INDEX(Supuestos!$B$13:$B$19,MIN(C552-Familias!F9+1,7)))</f>
        <v>1</v>
      </c>
      <c r="F552" s="4" t="n">
        <f aca="false">Familias!E9*D552*E552</f>
        <v>130</v>
      </c>
      <c r="G552" s="4" t="n">
        <f aca="false">F552*Supuestos!$B$2</f>
        <v>2.6</v>
      </c>
      <c r="H552" s="4" t="n">
        <f aca="false">G552*Supuestos!$B$3</f>
        <v>1.69</v>
      </c>
    </row>
    <row r="553" customFormat="false" ht="15" hidden="false" customHeight="false" outlineLevel="0" collapsed="false">
      <c r="A553" s="0" t="s">
        <v>194</v>
      </c>
      <c r="B553" s="0" t="s">
        <v>121</v>
      </c>
      <c r="C553" s="0" t="n">
        <v>12</v>
      </c>
      <c r="D553" s="5" t="n">
        <f aca="false">Supuestos!$B$12</f>
        <v>0.1</v>
      </c>
      <c r="E553" s="5" t="n">
        <f aca="false">IF(C553&lt;Familias!F9,0,INDEX(Supuestos!$B$13:$B$19,MIN(C553-Familias!F9+1,7)))</f>
        <v>1</v>
      </c>
      <c r="F553" s="4" t="n">
        <f aca="false">Familias!E9*D553*E553</f>
        <v>130</v>
      </c>
      <c r="G553" s="4" t="n">
        <f aca="false">F553*Supuestos!$B$2</f>
        <v>2.6</v>
      </c>
      <c r="H553" s="4" t="n">
        <f aca="false">G553*Supuestos!$B$3</f>
        <v>1.69</v>
      </c>
    </row>
    <row r="554" customFormat="false" ht="15" hidden="false" customHeight="false" outlineLevel="0" collapsed="false">
      <c r="A554" s="0" t="s">
        <v>194</v>
      </c>
      <c r="B554" s="0" t="s">
        <v>127</v>
      </c>
      <c r="C554" s="0" t="n">
        <v>1</v>
      </c>
      <c r="D554" s="5" t="n">
        <f aca="false">Supuestos!$B$12</f>
        <v>0.1</v>
      </c>
      <c r="E554" s="5" t="n">
        <f aca="false">IF(C554&lt;Familias!F10,0,INDEX(Supuestos!$B$13:$B$19,MIN(C554-Familias!F10+1,7)))</f>
        <v>0</v>
      </c>
      <c r="F554" s="4" t="n">
        <f aca="false">Familias!E10*D554*E554</f>
        <v>0</v>
      </c>
      <c r="G554" s="4" t="n">
        <f aca="false">F554*Supuestos!$B$2</f>
        <v>0</v>
      </c>
      <c r="H554" s="4" t="n">
        <f aca="false">G554*Supuestos!$B$3</f>
        <v>0</v>
      </c>
    </row>
    <row r="555" customFormat="false" ht="15" hidden="false" customHeight="false" outlineLevel="0" collapsed="false">
      <c r="A555" s="0" t="s">
        <v>194</v>
      </c>
      <c r="B555" s="0" t="s">
        <v>127</v>
      </c>
      <c r="C555" s="0" t="n">
        <v>2</v>
      </c>
      <c r="D555" s="5" t="n">
        <f aca="false">Supuestos!$B$12</f>
        <v>0.1</v>
      </c>
      <c r="E555" s="5" t="n">
        <f aca="false">IF(C555&lt;Familias!F10,0,INDEX(Supuestos!$B$13:$B$19,MIN(C555-Familias!F10+1,7)))</f>
        <v>0</v>
      </c>
      <c r="F555" s="4" t="n">
        <f aca="false">Familias!E10*D555*E555</f>
        <v>0</v>
      </c>
      <c r="G555" s="4" t="n">
        <f aca="false">F555*Supuestos!$B$2</f>
        <v>0</v>
      </c>
      <c r="H555" s="4" t="n">
        <f aca="false">G555*Supuestos!$B$3</f>
        <v>0</v>
      </c>
    </row>
    <row r="556" customFormat="false" ht="15" hidden="false" customHeight="false" outlineLevel="0" collapsed="false">
      <c r="A556" s="0" t="s">
        <v>194</v>
      </c>
      <c r="B556" s="0" t="s">
        <v>127</v>
      </c>
      <c r="C556" s="0" t="n">
        <v>3</v>
      </c>
      <c r="D556" s="5" t="n">
        <f aca="false">Supuestos!$B$12</f>
        <v>0.1</v>
      </c>
      <c r="E556" s="5" t="n">
        <f aca="false">IF(C556&lt;Familias!F10,0,INDEX(Supuestos!$B$13:$B$19,MIN(C556-Familias!F10+1,7)))</f>
        <v>0.1</v>
      </c>
      <c r="F556" s="4" t="n">
        <f aca="false">Familias!E10*D556*E556</f>
        <v>3.9</v>
      </c>
      <c r="G556" s="4" t="n">
        <f aca="false">F556*Supuestos!$B$2</f>
        <v>0.078</v>
      </c>
      <c r="H556" s="4" t="n">
        <f aca="false">G556*Supuestos!$B$3</f>
        <v>0.0507</v>
      </c>
    </row>
    <row r="557" customFormat="false" ht="15" hidden="false" customHeight="false" outlineLevel="0" collapsed="false">
      <c r="A557" s="0" t="s">
        <v>194</v>
      </c>
      <c r="B557" s="0" t="s">
        <v>127</v>
      </c>
      <c r="C557" s="0" t="n">
        <v>4</v>
      </c>
      <c r="D557" s="5" t="n">
        <f aca="false">Supuestos!$B$12</f>
        <v>0.1</v>
      </c>
      <c r="E557" s="5" t="n">
        <f aca="false">IF(C557&lt;Familias!F10,0,INDEX(Supuestos!$B$13:$B$19,MIN(C557-Familias!F10+1,7)))</f>
        <v>0.2</v>
      </c>
      <c r="F557" s="4" t="n">
        <f aca="false">Familias!E10*D557*E557</f>
        <v>7.8</v>
      </c>
      <c r="G557" s="4" t="n">
        <f aca="false">F557*Supuestos!$B$2</f>
        <v>0.156</v>
      </c>
      <c r="H557" s="4" t="n">
        <f aca="false">G557*Supuestos!$B$3</f>
        <v>0.1014</v>
      </c>
    </row>
    <row r="558" customFormat="false" ht="15" hidden="false" customHeight="false" outlineLevel="0" collapsed="false">
      <c r="A558" s="0" t="s">
        <v>194</v>
      </c>
      <c r="B558" s="0" t="s">
        <v>127</v>
      </c>
      <c r="C558" s="0" t="n">
        <v>5</v>
      </c>
      <c r="D558" s="5" t="n">
        <f aca="false">Supuestos!$B$12</f>
        <v>0.1</v>
      </c>
      <c r="E558" s="5" t="n">
        <f aca="false">IF(C558&lt;Familias!F10,0,INDEX(Supuestos!$B$13:$B$19,MIN(C558-Familias!F10+1,7)))</f>
        <v>0.35</v>
      </c>
      <c r="F558" s="4" t="n">
        <f aca="false">Familias!E10*D558*E558</f>
        <v>13.65</v>
      </c>
      <c r="G558" s="4" t="n">
        <f aca="false">F558*Supuestos!$B$2</f>
        <v>0.273</v>
      </c>
      <c r="H558" s="4" t="n">
        <f aca="false">G558*Supuestos!$B$3</f>
        <v>0.17745</v>
      </c>
    </row>
    <row r="559" customFormat="false" ht="15" hidden="false" customHeight="false" outlineLevel="0" collapsed="false">
      <c r="A559" s="0" t="s">
        <v>194</v>
      </c>
      <c r="B559" s="0" t="s">
        <v>127</v>
      </c>
      <c r="C559" s="0" t="n">
        <v>6</v>
      </c>
      <c r="D559" s="5" t="n">
        <f aca="false">Supuestos!$B$12</f>
        <v>0.1</v>
      </c>
      <c r="E559" s="5" t="n">
        <f aca="false">IF(C559&lt;Familias!F10,0,INDEX(Supuestos!$B$13:$B$19,MIN(C559-Familias!F10+1,7)))</f>
        <v>0.5</v>
      </c>
      <c r="F559" s="4" t="n">
        <f aca="false">Familias!E10*D559*E559</f>
        <v>19.5</v>
      </c>
      <c r="G559" s="4" t="n">
        <f aca="false">F559*Supuestos!$B$2</f>
        <v>0.39</v>
      </c>
      <c r="H559" s="4" t="n">
        <f aca="false">G559*Supuestos!$B$3</f>
        <v>0.2535</v>
      </c>
    </row>
    <row r="560" customFormat="false" ht="15" hidden="false" customHeight="false" outlineLevel="0" collapsed="false">
      <c r="A560" s="0" t="s">
        <v>194</v>
      </c>
      <c r="B560" s="0" t="s">
        <v>127</v>
      </c>
      <c r="C560" s="0" t="n">
        <v>7</v>
      </c>
      <c r="D560" s="5" t="n">
        <f aca="false">Supuestos!$B$12</f>
        <v>0.1</v>
      </c>
      <c r="E560" s="5" t="n">
        <f aca="false">IF(C560&lt;Familias!F10,0,INDEX(Supuestos!$B$13:$B$19,MIN(C560-Familias!F10+1,7)))</f>
        <v>0.65</v>
      </c>
      <c r="F560" s="4" t="n">
        <f aca="false">Familias!E10*D560*E560</f>
        <v>25.35</v>
      </c>
      <c r="G560" s="4" t="n">
        <f aca="false">F560*Supuestos!$B$2</f>
        <v>0.507</v>
      </c>
      <c r="H560" s="4" t="n">
        <f aca="false">G560*Supuestos!$B$3</f>
        <v>0.32955</v>
      </c>
    </row>
    <row r="561" customFormat="false" ht="15" hidden="false" customHeight="false" outlineLevel="0" collapsed="false">
      <c r="A561" s="0" t="s">
        <v>194</v>
      </c>
      <c r="B561" s="0" t="s">
        <v>127</v>
      </c>
      <c r="C561" s="0" t="n">
        <v>8</v>
      </c>
      <c r="D561" s="5" t="n">
        <f aca="false">Supuestos!$B$12</f>
        <v>0.1</v>
      </c>
      <c r="E561" s="5" t="n">
        <f aca="false">IF(C561&lt;Familias!F10,0,INDEX(Supuestos!$B$13:$B$19,MIN(C561-Familias!F10+1,7)))</f>
        <v>0.8</v>
      </c>
      <c r="F561" s="4" t="n">
        <f aca="false">Familias!E10*D561*E561</f>
        <v>31.2</v>
      </c>
      <c r="G561" s="4" t="n">
        <f aca="false">F561*Supuestos!$B$2</f>
        <v>0.624</v>
      </c>
      <c r="H561" s="4" t="n">
        <f aca="false">G561*Supuestos!$B$3</f>
        <v>0.4056</v>
      </c>
    </row>
    <row r="562" customFormat="false" ht="15" hidden="false" customHeight="false" outlineLevel="0" collapsed="false">
      <c r="A562" s="0" t="s">
        <v>194</v>
      </c>
      <c r="B562" s="0" t="s">
        <v>127</v>
      </c>
      <c r="C562" s="0" t="n">
        <v>9</v>
      </c>
      <c r="D562" s="5" t="n">
        <f aca="false">Supuestos!$B$12</f>
        <v>0.1</v>
      </c>
      <c r="E562" s="5" t="n">
        <f aca="false">IF(C562&lt;Familias!F10,0,INDEX(Supuestos!$B$13:$B$19,MIN(C562-Familias!F10+1,7)))</f>
        <v>1</v>
      </c>
      <c r="F562" s="4" t="n">
        <f aca="false">Familias!E10*D562*E562</f>
        <v>39</v>
      </c>
      <c r="G562" s="4" t="n">
        <f aca="false">F562*Supuestos!$B$2</f>
        <v>0.78</v>
      </c>
      <c r="H562" s="4" t="n">
        <f aca="false">G562*Supuestos!$B$3</f>
        <v>0.507</v>
      </c>
    </row>
    <row r="563" customFormat="false" ht="15" hidden="false" customHeight="false" outlineLevel="0" collapsed="false">
      <c r="A563" s="0" t="s">
        <v>194</v>
      </c>
      <c r="B563" s="0" t="s">
        <v>127</v>
      </c>
      <c r="C563" s="0" t="n">
        <v>10</v>
      </c>
      <c r="D563" s="5" t="n">
        <f aca="false">Supuestos!$B$12</f>
        <v>0.1</v>
      </c>
      <c r="E563" s="5" t="n">
        <f aca="false">IF(C563&lt;Familias!F10,0,INDEX(Supuestos!$B$13:$B$19,MIN(C563-Familias!F10+1,7)))</f>
        <v>1</v>
      </c>
      <c r="F563" s="4" t="n">
        <f aca="false">Familias!E10*D563*E563</f>
        <v>39</v>
      </c>
      <c r="G563" s="4" t="n">
        <f aca="false">F563*Supuestos!$B$2</f>
        <v>0.78</v>
      </c>
      <c r="H563" s="4" t="n">
        <f aca="false">G563*Supuestos!$B$3</f>
        <v>0.507</v>
      </c>
    </row>
    <row r="564" customFormat="false" ht="15" hidden="false" customHeight="false" outlineLevel="0" collapsed="false">
      <c r="A564" s="0" t="s">
        <v>194</v>
      </c>
      <c r="B564" s="0" t="s">
        <v>127</v>
      </c>
      <c r="C564" s="0" t="n">
        <v>11</v>
      </c>
      <c r="D564" s="5" t="n">
        <f aca="false">Supuestos!$B$12</f>
        <v>0.1</v>
      </c>
      <c r="E564" s="5" t="n">
        <f aca="false">IF(C564&lt;Familias!F10,0,INDEX(Supuestos!$B$13:$B$19,MIN(C564-Familias!F10+1,7)))</f>
        <v>1</v>
      </c>
      <c r="F564" s="4" t="n">
        <f aca="false">Familias!E10*D564*E564</f>
        <v>39</v>
      </c>
      <c r="G564" s="4" t="n">
        <f aca="false">F564*Supuestos!$B$2</f>
        <v>0.78</v>
      </c>
      <c r="H564" s="4" t="n">
        <f aca="false">G564*Supuestos!$B$3</f>
        <v>0.507</v>
      </c>
    </row>
    <row r="565" customFormat="false" ht="15" hidden="false" customHeight="false" outlineLevel="0" collapsed="false">
      <c r="A565" s="0" t="s">
        <v>194</v>
      </c>
      <c r="B565" s="0" t="s">
        <v>127</v>
      </c>
      <c r="C565" s="0" t="n">
        <v>12</v>
      </c>
      <c r="D565" s="5" t="n">
        <f aca="false">Supuestos!$B$12</f>
        <v>0.1</v>
      </c>
      <c r="E565" s="5" t="n">
        <f aca="false">IF(C565&lt;Familias!F10,0,INDEX(Supuestos!$B$13:$B$19,MIN(C565-Familias!F10+1,7)))</f>
        <v>1</v>
      </c>
      <c r="F565" s="4" t="n">
        <f aca="false">Familias!E10*D565*E565</f>
        <v>39</v>
      </c>
      <c r="G565" s="4" t="n">
        <f aca="false">F565*Supuestos!$B$2</f>
        <v>0.78</v>
      </c>
      <c r="H565" s="4" t="n">
        <f aca="false">G565*Supuestos!$B$3</f>
        <v>0.507</v>
      </c>
    </row>
    <row r="566" customFormat="false" ht="15" hidden="false" customHeight="false" outlineLevel="0" collapsed="false">
      <c r="A566" s="0" t="s">
        <v>194</v>
      </c>
      <c r="B566" s="0" t="s">
        <v>132</v>
      </c>
      <c r="C566" s="0" t="n">
        <v>1</v>
      </c>
      <c r="D566" s="5" t="n">
        <f aca="false">Supuestos!$B$12</f>
        <v>0.1</v>
      </c>
      <c r="E566" s="5" t="n">
        <f aca="false">IF(C566&lt;Familias!F11,0,INDEX(Supuestos!$B$13:$B$19,MIN(C566-Familias!F11+1,7)))</f>
        <v>0</v>
      </c>
      <c r="F566" s="4" t="n">
        <f aca="false">Familias!E11*D566*E566</f>
        <v>0</v>
      </c>
      <c r="G566" s="4" t="n">
        <f aca="false">F566*Supuestos!$B$2</f>
        <v>0</v>
      </c>
      <c r="H566" s="4" t="n">
        <f aca="false">G566*Supuestos!$B$3</f>
        <v>0</v>
      </c>
    </row>
    <row r="567" customFormat="false" ht="15" hidden="false" customHeight="false" outlineLevel="0" collapsed="false">
      <c r="A567" s="0" t="s">
        <v>194</v>
      </c>
      <c r="B567" s="0" t="s">
        <v>132</v>
      </c>
      <c r="C567" s="0" t="n">
        <v>2</v>
      </c>
      <c r="D567" s="5" t="n">
        <f aca="false">Supuestos!$B$12</f>
        <v>0.1</v>
      </c>
      <c r="E567" s="5" t="n">
        <f aca="false">IF(C567&lt;Familias!F11,0,INDEX(Supuestos!$B$13:$B$19,MIN(C567-Familias!F11+1,7)))</f>
        <v>0</v>
      </c>
      <c r="F567" s="4" t="n">
        <f aca="false">Familias!E11*D567*E567</f>
        <v>0</v>
      </c>
      <c r="G567" s="4" t="n">
        <f aca="false">F567*Supuestos!$B$2</f>
        <v>0</v>
      </c>
      <c r="H567" s="4" t="n">
        <f aca="false">G567*Supuestos!$B$3</f>
        <v>0</v>
      </c>
    </row>
    <row r="568" customFormat="false" ht="15" hidden="false" customHeight="false" outlineLevel="0" collapsed="false">
      <c r="A568" s="0" t="s">
        <v>194</v>
      </c>
      <c r="B568" s="0" t="s">
        <v>132</v>
      </c>
      <c r="C568" s="0" t="n">
        <v>3</v>
      </c>
      <c r="D568" s="5" t="n">
        <f aca="false">Supuestos!$B$12</f>
        <v>0.1</v>
      </c>
      <c r="E568" s="5" t="n">
        <f aca="false">IF(C568&lt;Familias!F11,0,INDEX(Supuestos!$B$13:$B$19,MIN(C568-Familias!F11+1,7)))</f>
        <v>0.1</v>
      </c>
      <c r="F568" s="4" t="n">
        <f aca="false">Familias!E11*D568*E568</f>
        <v>0.4</v>
      </c>
      <c r="G568" s="4" t="n">
        <f aca="false">F568*Supuestos!$B$2</f>
        <v>0.008</v>
      </c>
      <c r="H568" s="4" t="n">
        <f aca="false">G568*Supuestos!$B$3</f>
        <v>0.0052</v>
      </c>
    </row>
    <row r="569" customFormat="false" ht="15" hidden="false" customHeight="false" outlineLevel="0" collapsed="false">
      <c r="A569" s="0" t="s">
        <v>194</v>
      </c>
      <c r="B569" s="0" t="s">
        <v>132</v>
      </c>
      <c r="C569" s="0" t="n">
        <v>4</v>
      </c>
      <c r="D569" s="5" t="n">
        <f aca="false">Supuestos!$B$12</f>
        <v>0.1</v>
      </c>
      <c r="E569" s="5" t="n">
        <f aca="false">IF(C569&lt;Familias!F11,0,INDEX(Supuestos!$B$13:$B$19,MIN(C569-Familias!F11+1,7)))</f>
        <v>0.2</v>
      </c>
      <c r="F569" s="4" t="n">
        <f aca="false">Familias!E11*D569*E569</f>
        <v>0.8</v>
      </c>
      <c r="G569" s="4" t="n">
        <f aca="false">F569*Supuestos!$B$2</f>
        <v>0.016</v>
      </c>
      <c r="H569" s="4" t="n">
        <f aca="false">G569*Supuestos!$B$3</f>
        <v>0.0104</v>
      </c>
    </row>
    <row r="570" customFormat="false" ht="15" hidden="false" customHeight="false" outlineLevel="0" collapsed="false">
      <c r="A570" s="0" t="s">
        <v>194</v>
      </c>
      <c r="B570" s="0" t="s">
        <v>132</v>
      </c>
      <c r="C570" s="0" t="n">
        <v>5</v>
      </c>
      <c r="D570" s="5" t="n">
        <f aca="false">Supuestos!$B$12</f>
        <v>0.1</v>
      </c>
      <c r="E570" s="5" t="n">
        <f aca="false">IF(C570&lt;Familias!F11,0,INDEX(Supuestos!$B$13:$B$19,MIN(C570-Familias!F11+1,7)))</f>
        <v>0.35</v>
      </c>
      <c r="F570" s="4" t="n">
        <f aca="false">Familias!E11*D570*E570</f>
        <v>1.4</v>
      </c>
      <c r="G570" s="4" t="n">
        <f aca="false">F570*Supuestos!$B$2</f>
        <v>0.028</v>
      </c>
      <c r="H570" s="4" t="n">
        <f aca="false">G570*Supuestos!$B$3</f>
        <v>0.0182</v>
      </c>
    </row>
    <row r="571" customFormat="false" ht="15" hidden="false" customHeight="false" outlineLevel="0" collapsed="false">
      <c r="A571" s="0" t="s">
        <v>194</v>
      </c>
      <c r="B571" s="0" t="s">
        <v>132</v>
      </c>
      <c r="C571" s="0" t="n">
        <v>6</v>
      </c>
      <c r="D571" s="5" t="n">
        <f aca="false">Supuestos!$B$12</f>
        <v>0.1</v>
      </c>
      <c r="E571" s="5" t="n">
        <f aca="false">IF(C571&lt;Familias!F11,0,INDEX(Supuestos!$B$13:$B$19,MIN(C571-Familias!F11+1,7)))</f>
        <v>0.5</v>
      </c>
      <c r="F571" s="4" t="n">
        <f aca="false">Familias!E11*D571*E571</f>
        <v>2</v>
      </c>
      <c r="G571" s="4" t="n">
        <f aca="false">F571*Supuestos!$B$2</f>
        <v>0.04</v>
      </c>
      <c r="H571" s="4" t="n">
        <f aca="false">G571*Supuestos!$B$3</f>
        <v>0.026</v>
      </c>
    </row>
    <row r="572" customFormat="false" ht="15" hidden="false" customHeight="false" outlineLevel="0" collapsed="false">
      <c r="A572" s="0" t="s">
        <v>194</v>
      </c>
      <c r="B572" s="0" t="s">
        <v>132</v>
      </c>
      <c r="C572" s="0" t="n">
        <v>7</v>
      </c>
      <c r="D572" s="5" t="n">
        <f aca="false">Supuestos!$B$12</f>
        <v>0.1</v>
      </c>
      <c r="E572" s="5" t="n">
        <f aca="false">IF(C572&lt;Familias!F11,0,INDEX(Supuestos!$B$13:$B$19,MIN(C572-Familias!F11+1,7)))</f>
        <v>0.65</v>
      </c>
      <c r="F572" s="4" t="n">
        <f aca="false">Familias!E11*D572*E572</f>
        <v>2.6</v>
      </c>
      <c r="G572" s="4" t="n">
        <f aca="false">F572*Supuestos!$B$2</f>
        <v>0.052</v>
      </c>
      <c r="H572" s="4" t="n">
        <f aca="false">G572*Supuestos!$B$3</f>
        <v>0.0338</v>
      </c>
    </row>
    <row r="573" customFormat="false" ht="15" hidden="false" customHeight="false" outlineLevel="0" collapsed="false">
      <c r="A573" s="0" t="s">
        <v>194</v>
      </c>
      <c r="B573" s="0" t="s">
        <v>132</v>
      </c>
      <c r="C573" s="0" t="n">
        <v>8</v>
      </c>
      <c r="D573" s="5" t="n">
        <f aca="false">Supuestos!$B$12</f>
        <v>0.1</v>
      </c>
      <c r="E573" s="5" t="n">
        <f aca="false">IF(C573&lt;Familias!F11,0,INDEX(Supuestos!$B$13:$B$19,MIN(C573-Familias!F11+1,7)))</f>
        <v>0.8</v>
      </c>
      <c r="F573" s="4" t="n">
        <f aca="false">Familias!E11*D573*E573</f>
        <v>3.2</v>
      </c>
      <c r="G573" s="4" t="n">
        <f aca="false">F573*Supuestos!$B$2</f>
        <v>0.064</v>
      </c>
      <c r="H573" s="4" t="n">
        <f aca="false">G573*Supuestos!$B$3</f>
        <v>0.0416</v>
      </c>
    </row>
    <row r="574" customFormat="false" ht="15" hidden="false" customHeight="false" outlineLevel="0" collapsed="false">
      <c r="A574" s="0" t="s">
        <v>194</v>
      </c>
      <c r="B574" s="0" t="s">
        <v>132</v>
      </c>
      <c r="C574" s="0" t="n">
        <v>9</v>
      </c>
      <c r="D574" s="5" t="n">
        <f aca="false">Supuestos!$B$12</f>
        <v>0.1</v>
      </c>
      <c r="E574" s="5" t="n">
        <f aca="false">IF(C574&lt;Familias!F11,0,INDEX(Supuestos!$B$13:$B$19,MIN(C574-Familias!F11+1,7)))</f>
        <v>1</v>
      </c>
      <c r="F574" s="4" t="n">
        <f aca="false">Familias!E11*D574*E574</f>
        <v>4</v>
      </c>
      <c r="G574" s="4" t="n">
        <f aca="false">F574*Supuestos!$B$2</f>
        <v>0.08</v>
      </c>
      <c r="H574" s="4" t="n">
        <f aca="false">G574*Supuestos!$B$3</f>
        <v>0.052</v>
      </c>
    </row>
    <row r="575" customFormat="false" ht="15" hidden="false" customHeight="false" outlineLevel="0" collapsed="false">
      <c r="A575" s="0" t="s">
        <v>194</v>
      </c>
      <c r="B575" s="0" t="s">
        <v>132</v>
      </c>
      <c r="C575" s="0" t="n">
        <v>10</v>
      </c>
      <c r="D575" s="5" t="n">
        <f aca="false">Supuestos!$B$12</f>
        <v>0.1</v>
      </c>
      <c r="E575" s="5" t="n">
        <f aca="false">IF(C575&lt;Familias!F11,0,INDEX(Supuestos!$B$13:$B$19,MIN(C575-Familias!F11+1,7)))</f>
        <v>1</v>
      </c>
      <c r="F575" s="4" t="n">
        <f aca="false">Familias!E11*D575*E575</f>
        <v>4</v>
      </c>
      <c r="G575" s="4" t="n">
        <f aca="false">F575*Supuestos!$B$2</f>
        <v>0.08</v>
      </c>
      <c r="H575" s="4" t="n">
        <f aca="false">G575*Supuestos!$B$3</f>
        <v>0.052</v>
      </c>
    </row>
    <row r="576" customFormat="false" ht="15" hidden="false" customHeight="false" outlineLevel="0" collapsed="false">
      <c r="A576" s="0" t="s">
        <v>194</v>
      </c>
      <c r="B576" s="0" t="s">
        <v>132</v>
      </c>
      <c r="C576" s="0" t="n">
        <v>11</v>
      </c>
      <c r="D576" s="5" t="n">
        <f aca="false">Supuestos!$B$12</f>
        <v>0.1</v>
      </c>
      <c r="E576" s="5" t="n">
        <f aca="false">IF(C576&lt;Familias!F11,0,INDEX(Supuestos!$B$13:$B$19,MIN(C576-Familias!F11+1,7)))</f>
        <v>1</v>
      </c>
      <c r="F576" s="4" t="n">
        <f aca="false">Familias!E11*D576*E576</f>
        <v>4</v>
      </c>
      <c r="G576" s="4" t="n">
        <f aca="false">F576*Supuestos!$B$2</f>
        <v>0.08</v>
      </c>
      <c r="H576" s="4" t="n">
        <f aca="false">G576*Supuestos!$B$3</f>
        <v>0.052</v>
      </c>
    </row>
    <row r="577" customFormat="false" ht="15" hidden="false" customHeight="false" outlineLevel="0" collapsed="false">
      <c r="A577" s="0" t="s">
        <v>194</v>
      </c>
      <c r="B577" s="0" t="s">
        <v>132</v>
      </c>
      <c r="C577" s="0" t="n">
        <v>12</v>
      </c>
      <c r="D577" s="5" t="n">
        <f aca="false">Supuestos!$B$12</f>
        <v>0.1</v>
      </c>
      <c r="E577" s="5" t="n">
        <f aca="false">IF(C577&lt;Familias!F11,0,INDEX(Supuestos!$B$13:$B$19,MIN(C577-Familias!F11+1,7)))</f>
        <v>1</v>
      </c>
      <c r="F577" s="4" t="n">
        <f aca="false">Familias!E11*D577*E577</f>
        <v>4</v>
      </c>
      <c r="G577" s="4" t="n">
        <f aca="false">F577*Supuestos!$B$2</f>
        <v>0.08</v>
      </c>
      <c r="H577" s="4" t="n">
        <f aca="false">G577*Supuestos!$B$3</f>
        <v>0.052</v>
      </c>
    </row>
    <row r="578" customFormat="false" ht="15" hidden="false" customHeight="false" outlineLevel="0" collapsed="false">
      <c r="A578" s="0" t="s">
        <v>194</v>
      </c>
      <c r="B578" s="0" t="s">
        <v>136</v>
      </c>
      <c r="C578" s="0" t="n">
        <v>1</v>
      </c>
      <c r="D578" s="5" t="n">
        <f aca="false">Supuestos!$B$12</f>
        <v>0.1</v>
      </c>
      <c r="E578" s="5" t="n">
        <f aca="false">IF(C578&lt;Familias!F12,0,INDEX(Supuestos!$B$13:$B$19,MIN(C578-Familias!F12+1,7)))</f>
        <v>0</v>
      </c>
      <c r="F578" s="4" t="n">
        <f aca="false">Familias!E12*D578*E578</f>
        <v>0</v>
      </c>
      <c r="G578" s="4" t="n">
        <f aca="false">F578*Supuestos!$B$2</f>
        <v>0</v>
      </c>
      <c r="H578" s="4" t="n">
        <f aca="false">G578*Supuestos!$B$3</f>
        <v>0</v>
      </c>
    </row>
    <row r="579" customFormat="false" ht="15" hidden="false" customHeight="false" outlineLevel="0" collapsed="false">
      <c r="A579" s="0" t="s">
        <v>194</v>
      </c>
      <c r="B579" s="0" t="s">
        <v>136</v>
      </c>
      <c r="C579" s="0" t="n">
        <v>2</v>
      </c>
      <c r="D579" s="5" t="n">
        <f aca="false">Supuestos!$B$12</f>
        <v>0.1</v>
      </c>
      <c r="E579" s="5" t="n">
        <f aca="false">IF(C579&lt;Familias!F12,0,INDEX(Supuestos!$B$13:$B$19,MIN(C579-Familias!F12+1,7)))</f>
        <v>0</v>
      </c>
      <c r="F579" s="4" t="n">
        <f aca="false">Familias!E12*D579*E579</f>
        <v>0</v>
      </c>
      <c r="G579" s="4" t="n">
        <f aca="false">F579*Supuestos!$B$2</f>
        <v>0</v>
      </c>
      <c r="H579" s="4" t="n">
        <f aca="false">G579*Supuestos!$B$3</f>
        <v>0</v>
      </c>
    </row>
    <row r="580" customFormat="false" ht="15" hidden="false" customHeight="false" outlineLevel="0" collapsed="false">
      <c r="A580" s="0" t="s">
        <v>194</v>
      </c>
      <c r="B580" s="0" t="s">
        <v>136</v>
      </c>
      <c r="C580" s="0" t="n">
        <v>3</v>
      </c>
      <c r="D580" s="5" t="n">
        <f aca="false">Supuestos!$B$12</f>
        <v>0.1</v>
      </c>
      <c r="E580" s="5" t="n">
        <f aca="false">IF(C580&lt;Familias!F12,0,INDEX(Supuestos!$B$13:$B$19,MIN(C580-Familias!F12+1,7)))</f>
        <v>0</v>
      </c>
      <c r="F580" s="4" t="n">
        <f aca="false">Familias!E12*D580*E580</f>
        <v>0</v>
      </c>
      <c r="G580" s="4" t="n">
        <f aca="false">F580*Supuestos!$B$2</f>
        <v>0</v>
      </c>
      <c r="H580" s="4" t="n">
        <f aca="false">G580*Supuestos!$B$3</f>
        <v>0</v>
      </c>
    </row>
    <row r="581" customFormat="false" ht="15" hidden="false" customHeight="false" outlineLevel="0" collapsed="false">
      <c r="A581" s="0" t="s">
        <v>194</v>
      </c>
      <c r="B581" s="0" t="s">
        <v>136</v>
      </c>
      <c r="C581" s="0" t="n">
        <v>4</v>
      </c>
      <c r="D581" s="5" t="n">
        <f aca="false">Supuestos!$B$12</f>
        <v>0.1</v>
      </c>
      <c r="E581" s="5" t="n">
        <f aca="false">IF(C581&lt;Familias!F12,0,INDEX(Supuestos!$B$13:$B$19,MIN(C581-Familias!F12+1,7)))</f>
        <v>0</v>
      </c>
      <c r="F581" s="4" t="n">
        <f aca="false">Familias!E12*D581*E581</f>
        <v>0</v>
      </c>
      <c r="G581" s="4" t="n">
        <f aca="false">F581*Supuestos!$B$2</f>
        <v>0</v>
      </c>
      <c r="H581" s="4" t="n">
        <f aca="false">G581*Supuestos!$B$3</f>
        <v>0</v>
      </c>
    </row>
    <row r="582" customFormat="false" ht="15" hidden="false" customHeight="false" outlineLevel="0" collapsed="false">
      <c r="A582" s="0" t="s">
        <v>194</v>
      </c>
      <c r="B582" s="0" t="s">
        <v>136</v>
      </c>
      <c r="C582" s="0" t="n">
        <v>5</v>
      </c>
      <c r="D582" s="5" t="n">
        <f aca="false">Supuestos!$B$12</f>
        <v>0.1</v>
      </c>
      <c r="E582" s="5" t="n">
        <f aca="false">IF(C582&lt;Familias!F12,0,INDEX(Supuestos!$B$13:$B$19,MIN(C582-Familias!F12+1,7)))</f>
        <v>0</v>
      </c>
      <c r="F582" s="4" t="n">
        <f aca="false">Familias!E12*D582*E582</f>
        <v>0</v>
      </c>
      <c r="G582" s="4" t="n">
        <f aca="false">F582*Supuestos!$B$2</f>
        <v>0</v>
      </c>
      <c r="H582" s="4" t="n">
        <f aca="false">G582*Supuestos!$B$3</f>
        <v>0</v>
      </c>
    </row>
    <row r="583" customFormat="false" ht="15" hidden="false" customHeight="false" outlineLevel="0" collapsed="false">
      <c r="A583" s="0" t="s">
        <v>194</v>
      </c>
      <c r="B583" s="0" t="s">
        <v>136</v>
      </c>
      <c r="C583" s="0" t="n">
        <v>6</v>
      </c>
      <c r="D583" s="5" t="n">
        <f aca="false">Supuestos!$B$12</f>
        <v>0.1</v>
      </c>
      <c r="E583" s="5" t="n">
        <f aca="false">IF(C583&lt;Familias!F12,0,INDEX(Supuestos!$B$13:$B$19,MIN(C583-Familias!F12+1,7)))</f>
        <v>0</v>
      </c>
      <c r="F583" s="4" t="n">
        <f aca="false">Familias!E12*D583*E583</f>
        <v>0</v>
      </c>
      <c r="G583" s="4" t="n">
        <f aca="false">F583*Supuestos!$B$2</f>
        <v>0</v>
      </c>
      <c r="H583" s="4" t="n">
        <f aca="false">G583*Supuestos!$B$3</f>
        <v>0</v>
      </c>
    </row>
    <row r="584" customFormat="false" ht="15" hidden="false" customHeight="false" outlineLevel="0" collapsed="false">
      <c r="A584" s="0" t="s">
        <v>194</v>
      </c>
      <c r="B584" s="0" t="s">
        <v>136</v>
      </c>
      <c r="C584" s="0" t="n">
        <v>7</v>
      </c>
      <c r="D584" s="5" t="n">
        <f aca="false">Supuestos!$B$12</f>
        <v>0.1</v>
      </c>
      <c r="E584" s="5" t="n">
        <f aca="false">IF(C584&lt;Familias!F12,0,INDEX(Supuestos!$B$13:$B$19,MIN(C584-Familias!F12+1,7)))</f>
        <v>0.1</v>
      </c>
      <c r="F584" s="4" t="n">
        <f aca="false">Familias!E12*D584*E584</f>
        <v>66</v>
      </c>
      <c r="G584" s="4" t="n">
        <f aca="false">F584*Supuestos!$B$2</f>
        <v>1.32</v>
      </c>
      <c r="H584" s="4" t="n">
        <f aca="false">G584*Supuestos!$B$3</f>
        <v>0.858</v>
      </c>
    </row>
    <row r="585" customFormat="false" ht="15" hidden="false" customHeight="false" outlineLevel="0" collapsed="false">
      <c r="A585" s="0" t="s">
        <v>194</v>
      </c>
      <c r="B585" s="0" t="s">
        <v>136</v>
      </c>
      <c r="C585" s="0" t="n">
        <v>8</v>
      </c>
      <c r="D585" s="5" t="n">
        <f aca="false">Supuestos!$B$12</f>
        <v>0.1</v>
      </c>
      <c r="E585" s="5" t="n">
        <f aca="false">IF(C585&lt;Familias!F12,0,INDEX(Supuestos!$B$13:$B$19,MIN(C585-Familias!F12+1,7)))</f>
        <v>0.2</v>
      </c>
      <c r="F585" s="4" t="n">
        <f aca="false">Familias!E12*D585*E585</f>
        <v>132</v>
      </c>
      <c r="G585" s="4" t="n">
        <f aca="false">F585*Supuestos!$B$2</f>
        <v>2.64</v>
      </c>
      <c r="H585" s="4" t="n">
        <f aca="false">G585*Supuestos!$B$3</f>
        <v>1.716</v>
      </c>
    </row>
    <row r="586" customFormat="false" ht="15" hidden="false" customHeight="false" outlineLevel="0" collapsed="false">
      <c r="A586" s="0" t="s">
        <v>194</v>
      </c>
      <c r="B586" s="0" t="s">
        <v>136</v>
      </c>
      <c r="C586" s="0" t="n">
        <v>9</v>
      </c>
      <c r="D586" s="5" t="n">
        <f aca="false">Supuestos!$B$12</f>
        <v>0.1</v>
      </c>
      <c r="E586" s="5" t="n">
        <f aca="false">IF(C586&lt;Familias!F12,0,INDEX(Supuestos!$B$13:$B$19,MIN(C586-Familias!F12+1,7)))</f>
        <v>0.35</v>
      </c>
      <c r="F586" s="4" t="n">
        <f aca="false">Familias!E12*D586*E586</f>
        <v>231</v>
      </c>
      <c r="G586" s="4" t="n">
        <f aca="false">F586*Supuestos!$B$2</f>
        <v>4.62</v>
      </c>
      <c r="H586" s="4" t="n">
        <f aca="false">G586*Supuestos!$B$3</f>
        <v>3.003</v>
      </c>
    </row>
    <row r="587" customFormat="false" ht="15" hidden="false" customHeight="false" outlineLevel="0" collapsed="false">
      <c r="A587" s="0" t="s">
        <v>194</v>
      </c>
      <c r="B587" s="0" t="s">
        <v>136</v>
      </c>
      <c r="C587" s="0" t="n">
        <v>10</v>
      </c>
      <c r="D587" s="5" t="n">
        <f aca="false">Supuestos!$B$12</f>
        <v>0.1</v>
      </c>
      <c r="E587" s="5" t="n">
        <f aca="false">IF(C587&lt;Familias!F12,0,INDEX(Supuestos!$B$13:$B$19,MIN(C587-Familias!F12+1,7)))</f>
        <v>0.5</v>
      </c>
      <c r="F587" s="4" t="n">
        <f aca="false">Familias!E12*D587*E587</f>
        <v>330</v>
      </c>
      <c r="G587" s="4" t="n">
        <f aca="false">F587*Supuestos!$B$2</f>
        <v>6.6</v>
      </c>
      <c r="H587" s="4" t="n">
        <f aca="false">G587*Supuestos!$B$3</f>
        <v>4.29</v>
      </c>
    </row>
    <row r="588" customFormat="false" ht="15" hidden="false" customHeight="false" outlineLevel="0" collapsed="false">
      <c r="A588" s="0" t="s">
        <v>194</v>
      </c>
      <c r="B588" s="0" t="s">
        <v>136</v>
      </c>
      <c r="C588" s="0" t="n">
        <v>11</v>
      </c>
      <c r="D588" s="5" t="n">
        <f aca="false">Supuestos!$B$12</f>
        <v>0.1</v>
      </c>
      <c r="E588" s="5" t="n">
        <f aca="false">IF(C588&lt;Familias!F12,0,INDEX(Supuestos!$B$13:$B$19,MIN(C588-Familias!F12+1,7)))</f>
        <v>0.65</v>
      </c>
      <c r="F588" s="4" t="n">
        <f aca="false">Familias!E12*D588*E588</f>
        <v>429</v>
      </c>
      <c r="G588" s="4" t="n">
        <f aca="false">F588*Supuestos!$B$2</f>
        <v>8.58</v>
      </c>
      <c r="H588" s="4" t="n">
        <f aca="false">G588*Supuestos!$B$3</f>
        <v>5.577</v>
      </c>
    </row>
    <row r="589" customFormat="false" ht="15" hidden="false" customHeight="false" outlineLevel="0" collapsed="false">
      <c r="A589" s="0" t="s">
        <v>194</v>
      </c>
      <c r="B589" s="0" t="s">
        <v>136</v>
      </c>
      <c r="C589" s="0" t="n">
        <v>12</v>
      </c>
      <c r="D589" s="5" t="n">
        <f aca="false">Supuestos!$B$12</f>
        <v>0.1</v>
      </c>
      <c r="E589" s="5" t="n">
        <f aca="false">IF(C589&lt;Familias!F12,0,INDEX(Supuestos!$B$13:$B$19,MIN(C589-Familias!F12+1,7)))</f>
        <v>0.8</v>
      </c>
      <c r="F589" s="4" t="n">
        <f aca="false">Familias!E12*D589*E589</f>
        <v>528</v>
      </c>
      <c r="G589" s="4" t="n">
        <f aca="false">F589*Supuestos!$B$2</f>
        <v>10.56</v>
      </c>
      <c r="H589" s="4" t="n">
        <f aca="false">G589*Supuestos!$B$3</f>
        <v>6.864</v>
      </c>
    </row>
    <row r="590" customFormat="false" ht="15" hidden="false" customHeight="false" outlineLevel="0" collapsed="false">
      <c r="A590" s="0" t="s">
        <v>194</v>
      </c>
      <c r="B590" s="0" t="s">
        <v>143</v>
      </c>
      <c r="C590" s="0" t="n">
        <v>1</v>
      </c>
      <c r="D590" s="5" t="n">
        <f aca="false">Supuestos!$B$12</f>
        <v>0.1</v>
      </c>
      <c r="E590" s="5" t="n">
        <f aca="false">IF(C590&lt;Familias!F13,0,INDEX(Supuestos!$B$13:$B$19,MIN(C590-Familias!F13+1,7)))</f>
        <v>0</v>
      </c>
      <c r="F590" s="4" t="n">
        <f aca="false">Familias!E13*D590*E590</f>
        <v>0</v>
      </c>
      <c r="G590" s="4" t="n">
        <f aca="false">F590*Supuestos!$B$2</f>
        <v>0</v>
      </c>
      <c r="H590" s="4" t="n">
        <f aca="false">G590*Supuestos!$B$3</f>
        <v>0</v>
      </c>
    </row>
    <row r="591" customFormat="false" ht="15" hidden="false" customHeight="false" outlineLevel="0" collapsed="false">
      <c r="A591" s="0" t="s">
        <v>194</v>
      </c>
      <c r="B591" s="0" t="s">
        <v>143</v>
      </c>
      <c r="C591" s="0" t="n">
        <v>2</v>
      </c>
      <c r="D591" s="5" t="n">
        <f aca="false">Supuestos!$B$12</f>
        <v>0.1</v>
      </c>
      <c r="E591" s="5" t="n">
        <f aca="false">IF(C591&lt;Familias!F13,0,INDEX(Supuestos!$B$13:$B$19,MIN(C591-Familias!F13+1,7)))</f>
        <v>0</v>
      </c>
      <c r="F591" s="4" t="n">
        <f aca="false">Familias!E13*D591*E591</f>
        <v>0</v>
      </c>
      <c r="G591" s="4" t="n">
        <f aca="false">F591*Supuestos!$B$2</f>
        <v>0</v>
      </c>
      <c r="H591" s="4" t="n">
        <f aca="false">G591*Supuestos!$B$3</f>
        <v>0</v>
      </c>
    </row>
    <row r="592" customFormat="false" ht="15" hidden="false" customHeight="false" outlineLevel="0" collapsed="false">
      <c r="A592" s="0" t="s">
        <v>194</v>
      </c>
      <c r="B592" s="0" t="s">
        <v>143</v>
      </c>
      <c r="C592" s="0" t="n">
        <v>3</v>
      </c>
      <c r="D592" s="5" t="n">
        <f aca="false">Supuestos!$B$12</f>
        <v>0.1</v>
      </c>
      <c r="E592" s="5" t="n">
        <f aca="false">IF(C592&lt;Familias!F13,0,INDEX(Supuestos!$B$13:$B$19,MIN(C592-Familias!F13+1,7)))</f>
        <v>0</v>
      </c>
      <c r="F592" s="4" t="n">
        <f aca="false">Familias!E13*D592*E592</f>
        <v>0</v>
      </c>
      <c r="G592" s="4" t="n">
        <f aca="false">F592*Supuestos!$B$2</f>
        <v>0</v>
      </c>
      <c r="H592" s="4" t="n">
        <f aca="false">G592*Supuestos!$B$3</f>
        <v>0</v>
      </c>
    </row>
    <row r="593" customFormat="false" ht="15" hidden="false" customHeight="false" outlineLevel="0" collapsed="false">
      <c r="A593" s="0" t="s">
        <v>194</v>
      </c>
      <c r="B593" s="0" t="s">
        <v>143</v>
      </c>
      <c r="C593" s="0" t="n">
        <v>4</v>
      </c>
      <c r="D593" s="5" t="n">
        <f aca="false">Supuestos!$B$12</f>
        <v>0.1</v>
      </c>
      <c r="E593" s="5" t="n">
        <f aca="false">IF(C593&lt;Familias!F13,0,INDEX(Supuestos!$B$13:$B$19,MIN(C593-Familias!F13+1,7)))</f>
        <v>0</v>
      </c>
      <c r="F593" s="4" t="n">
        <f aca="false">Familias!E13*D593*E593</f>
        <v>0</v>
      </c>
      <c r="G593" s="4" t="n">
        <f aca="false">F593*Supuestos!$B$2</f>
        <v>0</v>
      </c>
      <c r="H593" s="4" t="n">
        <f aca="false">G593*Supuestos!$B$3</f>
        <v>0</v>
      </c>
    </row>
    <row r="594" customFormat="false" ht="15" hidden="false" customHeight="false" outlineLevel="0" collapsed="false">
      <c r="A594" s="0" t="s">
        <v>194</v>
      </c>
      <c r="B594" s="0" t="s">
        <v>143</v>
      </c>
      <c r="C594" s="0" t="n">
        <v>5</v>
      </c>
      <c r="D594" s="5" t="n">
        <f aca="false">Supuestos!$B$12</f>
        <v>0.1</v>
      </c>
      <c r="E594" s="5" t="n">
        <f aca="false">IF(C594&lt;Familias!F13,0,INDEX(Supuestos!$B$13:$B$19,MIN(C594-Familias!F13+1,7)))</f>
        <v>0.1</v>
      </c>
      <c r="F594" s="4" t="n">
        <f aca="false">Familias!E13*D594*E594</f>
        <v>19</v>
      </c>
      <c r="G594" s="4" t="n">
        <f aca="false">F594*Supuestos!$B$2</f>
        <v>0.38</v>
      </c>
      <c r="H594" s="4" t="n">
        <f aca="false">G594*Supuestos!$B$3</f>
        <v>0.247</v>
      </c>
    </row>
    <row r="595" customFormat="false" ht="15" hidden="false" customHeight="false" outlineLevel="0" collapsed="false">
      <c r="A595" s="0" t="s">
        <v>194</v>
      </c>
      <c r="B595" s="0" t="s">
        <v>143</v>
      </c>
      <c r="C595" s="0" t="n">
        <v>6</v>
      </c>
      <c r="D595" s="5" t="n">
        <f aca="false">Supuestos!$B$12</f>
        <v>0.1</v>
      </c>
      <c r="E595" s="5" t="n">
        <f aca="false">IF(C595&lt;Familias!F13,0,INDEX(Supuestos!$B$13:$B$19,MIN(C595-Familias!F13+1,7)))</f>
        <v>0.2</v>
      </c>
      <c r="F595" s="4" t="n">
        <f aca="false">Familias!E13*D595*E595</f>
        <v>38</v>
      </c>
      <c r="G595" s="4" t="n">
        <f aca="false">F595*Supuestos!$B$2</f>
        <v>0.76</v>
      </c>
      <c r="H595" s="4" t="n">
        <f aca="false">G595*Supuestos!$B$3</f>
        <v>0.494</v>
      </c>
    </row>
    <row r="596" customFormat="false" ht="15" hidden="false" customHeight="false" outlineLevel="0" collapsed="false">
      <c r="A596" s="0" t="s">
        <v>194</v>
      </c>
      <c r="B596" s="0" t="s">
        <v>143</v>
      </c>
      <c r="C596" s="0" t="n">
        <v>7</v>
      </c>
      <c r="D596" s="5" t="n">
        <f aca="false">Supuestos!$B$12</f>
        <v>0.1</v>
      </c>
      <c r="E596" s="5" t="n">
        <f aca="false">IF(C596&lt;Familias!F13,0,INDEX(Supuestos!$B$13:$B$19,MIN(C596-Familias!F13+1,7)))</f>
        <v>0.35</v>
      </c>
      <c r="F596" s="4" t="n">
        <f aca="false">Familias!E13*D596*E596</f>
        <v>66.5</v>
      </c>
      <c r="G596" s="4" t="n">
        <f aca="false">F596*Supuestos!$B$2</f>
        <v>1.33</v>
      </c>
      <c r="H596" s="4" t="n">
        <f aca="false">G596*Supuestos!$B$3</f>
        <v>0.8645</v>
      </c>
    </row>
    <row r="597" customFormat="false" ht="15" hidden="false" customHeight="false" outlineLevel="0" collapsed="false">
      <c r="A597" s="0" t="s">
        <v>194</v>
      </c>
      <c r="B597" s="0" t="s">
        <v>143</v>
      </c>
      <c r="C597" s="0" t="n">
        <v>8</v>
      </c>
      <c r="D597" s="5" t="n">
        <f aca="false">Supuestos!$B$12</f>
        <v>0.1</v>
      </c>
      <c r="E597" s="5" t="n">
        <f aca="false">IF(C597&lt;Familias!F13,0,INDEX(Supuestos!$B$13:$B$19,MIN(C597-Familias!F13+1,7)))</f>
        <v>0.5</v>
      </c>
      <c r="F597" s="4" t="n">
        <f aca="false">Familias!E13*D597*E597</f>
        <v>95</v>
      </c>
      <c r="G597" s="4" t="n">
        <f aca="false">F597*Supuestos!$B$2</f>
        <v>1.9</v>
      </c>
      <c r="H597" s="4" t="n">
        <f aca="false">G597*Supuestos!$B$3</f>
        <v>1.235</v>
      </c>
    </row>
    <row r="598" customFormat="false" ht="15" hidden="false" customHeight="false" outlineLevel="0" collapsed="false">
      <c r="A598" s="0" t="s">
        <v>194</v>
      </c>
      <c r="B598" s="0" t="s">
        <v>143</v>
      </c>
      <c r="C598" s="0" t="n">
        <v>9</v>
      </c>
      <c r="D598" s="5" t="n">
        <f aca="false">Supuestos!$B$12</f>
        <v>0.1</v>
      </c>
      <c r="E598" s="5" t="n">
        <f aca="false">IF(C598&lt;Familias!F13,0,INDEX(Supuestos!$B$13:$B$19,MIN(C598-Familias!F13+1,7)))</f>
        <v>0.65</v>
      </c>
      <c r="F598" s="4" t="n">
        <f aca="false">Familias!E13*D598*E598</f>
        <v>123.5</v>
      </c>
      <c r="G598" s="4" t="n">
        <f aca="false">F598*Supuestos!$B$2</f>
        <v>2.47</v>
      </c>
      <c r="H598" s="4" t="n">
        <f aca="false">G598*Supuestos!$B$3</f>
        <v>1.6055</v>
      </c>
    </row>
    <row r="599" customFormat="false" ht="15" hidden="false" customHeight="false" outlineLevel="0" collapsed="false">
      <c r="A599" s="0" t="s">
        <v>194</v>
      </c>
      <c r="B599" s="0" t="s">
        <v>143</v>
      </c>
      <c r="C599" s="0" t="n">
        <v>10</v>
      </c>
      <c r="D599" s="5" t="n">
        <f aca="false">Supuestos!$B$12</f>
        <v>0.1</v>
      </c>
      <c r="E599" s="5" t="n">
        <f aca="false">IF(C599&lt;Familias!F13,0,INDEX(Supuestos!$B$13:$B$19,MIN(C599-Familias!F13+1,7)))</f>
        <v>0.8</v>
      </c>
      <c r="F599" s="4" t="n">
        <f aca="false">Familias!E13*D599*E599</f>
        <v>152</v>
      </c>
      <c r="G599" s="4" t="n">
        <f aca="false">F599*Supuestos!$B$2</f>
        <v>3.04</v>
      </c>
      <c r="H599" s="4" t="n">
        <f aca="false">G599*Supuestos!$B$3</f>
        <v>1.976</v>
      </c>
    </row>
    <row r="600" customFormat="false" ht="15" hidden="false" customHeight="false" outlineLevel="0" collapsed="false">
      <c r="A600" s="0" t="s">
        <v>194</v>
      </c>
      <c r="B600" s="0" t="s">
        <v>143</v>
      </c>
      <c r="C600" s="0" t="n">
        <v>11</v>
      </c>
      <c r="D600" s="5" t="n">
        <f aca="false">Supuestos!$B$12</f>
        <v>0.1</v>
      </c>
      <c r="E600" s="5" t="n">
        <f aca="false">IF(C600&lt;Familias!F13,0,INDEX(Supuestos!$B$13:$B$19,MIN(C600-Familias!F13+1,7)))</f>
        <v>1</v>
      </c>
      <c r="F600" s="4" t="n">
        <f aca="false">Familias!E13*D600*E600</f>
        <v>190</v>
      </c>
      <c r="G600" s="4" t="n">
        <f aca="false">F600*Supuestos!$B$2</f>
        <v>3.8</v>
      </c>
      <c r="H600" s="4" t="n">
        <f aca="false">G600*Supuestos!$B$3</f>
        <v>2.47</v>
      </c>
    </row>
    <row r="601" customFormat="false" ht="15" hidden="false" customHeight="false" outlineLevel="0" collapsed="false">
      <c r="A601" s="0" t="s">
        <v>194</v>
      </c>
      <c r="B601" s="0" t="s">
        <v>143</v>
      </c>
      <c r="C601" s="0" t="n">
        <v>12</v>
      </c>
      <c r="D601" s="5" t="n">
        <f aca="false">Supuestos!$B$12</f>
        <v>0.1</v>
      </c>
      <c r="E601" s="5" t="n">
        <f aca="false">IF(C601&lt;Familias!F13,0,INDEX(Supuestos!$B$13:$B$19,MIN(C601-Familias!F13+1,7)))</f>
        <v>1</v>
      </c>
      <c r="F601" s="4" t="n">
        <f aca="false">Familias!E13*D601*E601</f>
        <v>190</v>
      </c>
      <c r="G601" s="4" t="n">
        <f aca="false">F601*Supuestos!$B$2</f>
        <v>3.8</v>
      </c>
      <c r="H601" s="4" t="n">
        <f aca="false">G601*Supuestos!$B$3</f>
        <v>2.47</v>
      </c>
    </row>
    <row r="602" customFormat="false" ht="15" hidden="false" customHeight="false" outlineLevel="0" collapsed="false">
      <c r="A602" s="0" t="s">
        <v>194</v>
      </c>
      <c r="B602" s="0" t="s">
        <v>148</v>
      </c>
      <c r="C602" s="0" t="n">
        <v>1</v>
      </c>
      <c r="D602" s="5" t="n">
        <f aca="false">Supuestos!$B$12</f>
        <v>0.1</v>
      </c>
      <c r="E602" s="5" t="n">
        <f aca="false">IF(C602&lt;Familias!F14,0,INDEX(Supuestos!$B$13:$B$19,MIN(C602-Familias!F14+1,7)))</f>
        <v>0</v>
      </c>
      <c r="F602" s="4" t="n">
        <f aca="false">Familias!E14*D602*E602</f>
        <v>0</v>
      </c>
      <c r="G602" s="4" t="n">
        <f aca="false">F602*Supuestos!$B$2</f>
        <v>0</v>
      </c>
      <c r="H602" s="4" t="n">
        <f aca="false">G602*Supuestos!$B$3</f>
        <v>0</v>
      </c>
    </row>
    <row r="603" customFormat="false" ht="15" hidden="false" customHeight="false" outlineLevel="0" collapsed="false">
      <c r="A603" s="0" t="s">
        <v>194</v>
      </c>
      <c r="B603" s="0" t="s">
        <v>148</v>
      </c>
      <c r="C603" s="0" t="n">
        <v>2</v>
      </c>
      <c r="D603" s="5" t="n">
        <f aca="false">Supuestos!$B$12</f>
        <v>0.1</v>
      </c>
      <c r="E603" s="5" t="n">
        <f aca="false">IF(C603&lt;Familias!F14,0,INDEX(Supuestos!$B$13:$B$19,MIN(C603-Familias!F14+1,7)))</f>
        <v>0</v>
      </c>
      <c r="F603" s="4" t="n">
        <f aca="false">Familias!E14*D603*E603</f>
        <v>0</v>
      </c>
      <c r="G603" s="4" t="n">
        <f aca="false">F603*Supuestos!$B$2</f>
        <v>0</v>
      </c>
      <c r="H603" s="4" t="n">
        <f aca="false">G603*Supuestos!$B$3</f>
        <v>0</v>
      </c>
    </row>
    <row r="604" customFormat="false" ht="15" hidden="false" customHeight="false" outlineLevel="0" collapsed="false">
      <c r="A604" s="0" t="s">
        <v>194</v>
      </c>
      <c r="B604" s="0" t="s">
        <v>148</v>
      </c>
      <c r="C604" s="0" t="n">
        <v>3</v>
      </c>
      <c r="D604" s="5" t="n">
        <f aca="false">Supuestos!$B$12</f>
        <v>0.1</v>
      </c>
      <c r="E604" s="5" t="n">
        <f aca="false">IF(C604&lt;Familias!F14,0,INDEX(Supuestos!$B$13:$B$19,MIN(C604-Familias!F14+1,7)))</f>
        <v>0</v>
      </c>
      <c r="F604" s="4" t="n">
        <f aca="false">Familias!E14*D604*E604</f>
        <v>0</v>
      </c>
      <c r="G604" s="4" t="n">
        <f aca="false">F604*Supuestos!$B$2</f>
        <v>0</v>
      </c>
      <c r="H604" s="4" t="n">
        <f aca="false">G604*Supuestos!$B$3</f>
        <v>0</v>
      </c>
    </row>
    <row r="605" customFormat="false" ht="15" hidden="false" customHeight="false" outlineLevel="0" collapsed="false">
      <c r="A605" s="0" t="s">
        <v>194</v>
      </c>
      <c r="B605" s="0" t="s">
        <v>148</v>
      </c>
      <c r="C605" s="0" t="n">
        <v>4</v>
      </c>
      <c r="D605" s="5" t="n">
        <f aca="false">Supuestos!$B$12</f>
        <v>0.1</v>
      </c>
      <c r="E605" s="5" t="n">
        <f aca="false">IF(C605&lt;Familias!F14,0,INDEX(Supuestos!$B$13:$B$19,MIN(C605-Familias!F14+1,7)))</f>
        <v>0</v>
      </c>
      <c r="F605" s="4" t="n">
        <f aca="false">Familias!E14*D605*E605</f>
        <v>0</v>
      </c>
      <c r="G605" s="4" t="n">
        <f aca="false">F605*Supuestos!$B$2</f>
        <v>0</v>
      </c>
      <c r="H605" s="4" t="n">
        <f aca="false">G605*Supuestos!$B$3</f>
        <v>0</v>
      </c>
    </row>
    <row r="606" customFormat="false" ht="15" hidden="false" customHeight="false" outlineLevel="0" collapsed="false">
      <c r="A606" s="0" t="s">
        <v>194</v>
      </c>
      <c r="B606" s="0" t="s">
        <v>148</v>
      </c>
      <c r="C606" s="0" t="n">
        <v>5</v>
      </c>
      <c r="D606" s="5" t="n">
        <f aca="false">Supuestos!$B$12</f>
        <v>0.1</v>
      </c>
      <c r="E606" s="5" t="n">
        <f aca="false">IF(C606&lt;Familias!F14,0,INDEX(Supuestos!$B$13:$B$19,MIN(C606-Familias!F14+1,7)))</f>
        <v>0</v>
      </c>
      <c r="F606" s="4" t="n">
        <f aca="false">Familias!E14*D606*E606</f>
        <v>0</v>
      </c>
      <c r="G606" s="4" t="n">
        <f aca="false">F606*Supuestos!$B$2</f>
        <v>0</v>
      </c>
      <c r="H606" s="4" t="n">
        <f aca="false">G606*Supuestos!$B$3</f>
        <v>0</v>
      </c>
    </row>
    <row r="607" customFormat="false" ht="15" hidden="false" customHeight="false" outlineLevel="0" collapsed="false">
      <c r="A607" s="0" t="s">
        <v>194</v>
      </c>
      <c r="B607" s="0" t="s">
        <v>148</v>
      </c>
      <c r="C607" s="0" t="n">
        <v>6</v>
      </c>
      <c r="D607" s="5" t="n">
        <f aca="false">Supuestos!$B$12</f>
        <v>0.1</v>
      </c>
      <c r="E607" s="5" t="n">
        <f aca="false">IF(C607&lt;Familias!F14,0,INDEX(Supuestos!$B$13:$B$19,MIN(C607-Familias!F14+1,7)))</f>
        <v>0.1</v>
      </c>
      <c r="F607" s="4" t="n">
        <f aca="false">Familias!E14*D607*E607</f>
        <v>13</v>
      </c>
      <c r="G607" s="4" t="n">
        <f aca="false">F607*Supuestos!$B$2</f>
        <v>0.26</v>
      </c>
      <c r="H607" s="4" t="n">
        <f aca="false">G607*Supuestos!$B$3</f>
        <v>0.169</v>
      </c>
    </row>
    <row r="608" customFormat="false" ht="15" hidden="false" customHeight="false" outlineLevel="0" collapsed="false">
      <c r="A608" s="0" t="s">
        <v>194</v>
      </c>
      <c r="B608" s="0" t="s">
        <v>148</v>
      </c>
      <c r="C608" s="0" t="n">
        <v>7</v>
      </c>
      <c r="D608" s="5" t="n">
        <f aca="false">Supuestos!$B$12</f>
        <v>0.1</v>
      </c>
      <c r="E608" s="5" t="n">
        <f aca="false">IF(C608&lt;Familias!F14,0,INDEX(Supuestos!$B$13:$B$19,MIN(C608-Familias!F14+1,7)))</f>
        <v>0.2</v>
      </c>
      <c r="F608" s="4" t="n">
        <f aca="false">Familias!E14*D608*E608</f>
        <v>26</v>
      </c>
      <c r="G608" s="4" t="n">
        <f aca="false">F608*Supuestos!$B$2</f>
        <v>0.52</v>
      </c>
      <c r="H608" s="4" t="n">
        <f aca="false">G608*Supuestos!$B$3</f>
        <v>0.338</v>
      </c>
    </row>
    <row r="609" customFormat="false" ht="15" hidden="false" customHeight="false" outlineLevel="0" collapsed="false">
      <c r="A609" s="0" t="s">
        <v>194</v>
      </c>
      <c r="B609" s="0" t="s">
        <v>148</v>
      </c>
      <c r="C609" s="0" t="n">
        <v>8</v>
      </c>
      <c r="D609" s="5" t="n">
        <f aca="false">Supuestos!$B$12</f>
        <v>0.1</v>
      </c>
      <c r="E609" s="5" t="n">
        <f aca="false">IF(C609&lt;Familias!F14,0,INDEX(Supuestos!$B$13:$B$19,MIN(C609-Familias!F14+1,7)))</f>
        <v>0.35</v>
      </c>
      <c r="F609" s="4" t="n">
        <f aca="false">Familias!E14*D609*E609</f>
        <v>45.5</v>
      </c>
      <c r="G609" s="4" t="n">
        <f aca="false">F609*Supuestos!$B$2</f>
        <v>0.91</v>
      </c>
      <c r="H609" s="4" t="n">
        <f aca="false">G609*Supuestos!$B$3</f>
        <v>0.5915</v>
      </c>
    </row>
    <row r="610" customFormat="false" ht="15" hidden="false" customHeight="false" outlineLevel="0" collapsed="false">
      <c r="A610" s="0" t="s">
        <v>194</v>
      </c>
      <c r="B610" s="0" t="s">
        <v>148</v>
      </c>
      <c r="C610" s="0" t="n">
        <v>9</v>
      </c>
      <c r="D610" s="5" t="n">
        <f aca="false">Supuestos!$B$12</f>
        <v>0.1</v>
      </c>
      <c r="E610" s="5" t="n">
        <f aca="false">IF(C610&lt;Familias!F14,0,INDEX(Supuestos!$B$13:$B$19,MIN(C610-Familias!F14+1,7)))</f>
        <v>0.5</v>
      </c>
      <c r="F610" s="4" t="n">
        <f aca="false">Familias!E14*D610*E610</f>
        <v>65</v>
      </c>
      <c r="G610" s="4" t="n">
        <f aca="false">F610*Supuestos!$B$2</f>
        <v>1.3</v>
      </c>
      <c r="H610" s="4" t="n">
        <f aca="false">G610*Supuestos!$B$3</f>
        <v>0.845</v>
      </c>
    </row>
    <row r="611" customFormat="false" ht="15" hidden="false" customHeight="false" outlineLevel="0" collapsed="false">
      <c r="A611" s="0" t="s">
        <v>194</v>
      </c>
      <c r="B611" s="0" t="s">
        <v>148</v>
      </c>
      <c r="C611" s="0" t="n">
        <v>10</v>
      </c>
      <c r="D611" s="5" t="n">
        <f aca="false">Supuestos!$B$12</f>
        <v>0.1</v>
      </c>
      <c r="E611" s="5" t="n">
        <f aca="false">IF(C611&lt;Familias!F14,0,INDEX(Supuestos!$B$13:$B$19,MIN(C611-Familias!F14+1,7)))</f>
        <v>0.65</v>
      </c>
      <c r="F611" s="4" t="n">
        <f aca="false">Familias!E14*D611*E611</f>
        <v>84.5</v>
      </c>
      <c r="G611" s="4" t="n">
        <f aca="false">F611*Supuestos!$B$2</f>
        <v>1.69</v>
      </c>
      <c r="H611" s="4" t="n">
        <f aca="false">G611*Supuestos!$B$3</f>
        <v>1.0985</v>
      </c>
    </row>
    <row r="612" customFormat="false" ht="15" hidden="false" customHeight="false" outlineLevel="0" collapsed="false">
      <c r="A612" s="0" t="s">
        <v>194</v>
      </c>
      <c r="B612" s="0" t="s">
        <v>148</v>
      </c>
      <c r="C612" s="0" t="n">
        <v>11</v>
      </c>
      <c r="D612" s="5" t="n">
        <f aca="false">Supuestos!$B$12</f>
        <v>0.1</v>
      </c>
      <c r="E612" s="5" t="n">
        <f aca="false">IF(C612&lt;Familias!F14,0,INDEX(Supuestos!$B$13:$B$19,MIN(C612-Familias!F14+1,7)))</f>
        <v>0.8</v>
      </c>
      <c r="F612" s="4" t="n">
        <f aca="false">Familias!E14*D612*E612</f>
        <v>104</v>
      </c>
      <c r="G612" s="4" t="n">
        <f aca="false">F612*Supuestos!$B$2</f>
        <v>2.08</v>
      </c>
      <c r="H612" s="4" t="n">
        <f aca="false">G612*Supuestos!$B$3</f>
        <v>1.352</v>
      </c>
    </row>
    <row r="613" customFormat="false" ht="15" hidden="false" customHeight="false" outlineLevel="0" collapsed="false">
      <c r="A613" s="0" t="s">
        <v>194</v>
      </c>
      <c r="B613" s="0" t="s">
        <v>148</v>
      </c>
      <c r="C613" s="0" t="n">
        <v>12</v>
      </c>
      <c r="D613" s="5" t="n">
        <f aca="false">Supuestos!$B$12</f>
        <v>0.1</v>
      </c>
      <c r="E613" s="5" t="n">
        <f aca="false">IF(C613&lt;Familias!F14,0,INDEX(Supuestos!$B$13:$B$19,MIN(C613-Familias!F14+1,7)))</f>
        <v>1</v>
      </c>
      <c r="F613" s="4" t="n">
        <f aca="false">Familias!E14*D613*E613</f>
        <v>130</v>
      </c>
      <c r="G613" s="4" t="n">
        <f aca="false">F613*Supuestos!$B$2</f>
        <v>2.6</v>
      </c>
      <c r="H613" s="4" t="n">
        <f aca="false">G613*Supuestos!$B$3</f>
        <v>1.69</v>
      </c>
    </row>
    <row r="614" customFormat="false" ht="15" hidden="false" customHeight="false" outlineLevel="0" collapsed="false">
      <c r="A614" s="0" t="s">
        <v>194</v>
      </c>
      <c r="B614" s="0" t="s">
        <v>154</v>
      </c>
      <c r="C614" s="0" t="n">
        <v>1</v>
      </c>
      <c r="D614" s="5" t="n">
        <f aca="false">Supuestos!$B$12</f>
        <v>0.1</v>
      </c>
      <c r="E614" s="5" t="n">
        <f aca="false">IF(C614&lt;Familias!F15,0,INDEX(Supuestos!$B$13:$B$19,MIN(C614-Familias!F15+1,7)))</f>
        <v>0</v>
      </c>
      <c r="F614" s="4" t="n">
        <f aca="false">Familias!E15*D614*E614</f>
        <v>0</v>
      </c>
      <c r="G614" s="4" t="n">
        <f aca="false">F614*Supuestos!$B$2</f>
        <v>0</v>
      </c>
      <c r="H614" s="4" t="n">
        <f aca="false">G614*Supuestos!$B$3</f>
        <v>0</v>
      </c>
    </row>
    <row r="615" customFormat="false" ht="15" hidden="false" customHeight="false" outlineLevel="0" collapsed="false">
      <c r="A615" s="0" t="s">
        <v>194</v>
      </c>
      <c r="B615" s="0" t="s">
        <v>154</v>
      </c>
      <c r="C615" s="0" t="n">
        <v>2</v>
      </c>
      <c r="D615" s="5" t="n">
        <f aca="false">Supuestos!$B$12</f>
        <v>0.1</v>
      </c>
      <c r="E615" s="5" t="n">
        <f aca="false">IF(C615&lt;Familias!F15,0,INDEX(Supuestos!$B$13:$B$19,MIN(C615-Familias!F15+1,7)))</f>
        <v>0</v>
      </c>
      <c r="F615" s="4" t="n">
        <f aca="false">Familias!E15*D615*E615</f>
        <v>0</v>
      </c>
      <c r="G615" s="4" t="n">
        <f aca="false">F615*Supuestos!$B$2</f>
        <v>0</v>
      </c>
      <c r="H615" s="4" t="n">
        <f aca="false">G615*Supuestos!$B$3</f>
        <v>0</v>
      </c>
    </row>
    <row r="616" customFormat="false" ht="15" hidden="false" customHeight="false" outlineLevel="0" collapsed="false">
      <c r="A616" s="0" t="s">
        <v>194</v>
      </c>
      <c r="B616" s="0" t="s">
        <v>154</v>
      </c>
      <c r="C616" s="0" t="n">
        <v>3</v>
      </c>
      <c r="D616" s="5" t="n">
        <f aca="false">Supuestos!$B$12</f>
        <v>0.1</v>
      </c>
      <c r="E616" s="5" t="n">
        <f aca="false">IF(C616&lt;Familias!F15,0,INDEX(Supuestos!$B$13:$B$19,MIN(C616-Familias!F15+1,7)))</f>
        <v>0</v>
      </c>
      <c r="F616" s="4" t="n">
        <f aca="false">Familias!E15*D616*E616</f>
        <v>0</v>
      </c>
      <c r="G616" s="4" t="n">
        <f aca="false">F616*Supuestos!$B$2</f>
        <v>0</v>
      </c>
      <c r="H616" s="4" t="n">
        <f aca="false">G616*Supuestos!$B$3</f>
        <v>0</v>
      </c>
    </row>
    <row r="617" customFormat="false" ht="15" hidden="false" customHeight="false" outlineLevel="0" collapsed="false">
      <c r="A617" s="0" t="s">
        <v>194</v>
      </c>
      <c r="B617" s="0" t="s">
        <v>154</v>
      </c>
      <c r="C617" s="0" t="n">
        <v>4</v>
      </c>
      <c r="D617" s="5" t="n">
        <f aca="false">Supuestos!$B$12</f>
        <v>0.1</v>
      </c>
      <c r="E617" s="5" t="n">
        <f aca="false">IF(C617&lt;Familias!F15,0,INDEX(Supuestos!$B$13:$B$19,MIN(C617-Familias!F15+1,7)))</f>
        <v>0</v>
      </c>
      <c r="F617" s="4" t="n">
        <f aca="false">Familias!E15*D617*E617</f>
        <v>0</v>
      </c>
      <c r="G617" s="4" t="n">
        <f aca="false">F617*Supuestos!$B$2</f>
        <v>0</v>
      </c>
      <c r="H617" s="4" t="n">
        <f aca="false">G617*Supuestos!$B$3</f>
        <v>0</v>
      </c>
    </row>
    <row r="618" customFormat="false" ht="15" hidden="false" customHeight="false" outlineLevel="0" collapsed="false">
      <c r="A618" s="0" t="s">
        <v>194</v>
      </c>
      <c r="B618" s="0" t="s">
        <v>154</v>
      </c>
      <c r="C618" s="0" t="n">
        <v>5</v>
      </c>
      <c r="D618" s="5" t="n">
        <f aca="false">Supuestos!$B$12</f>
        <v>0.1</v>
      </c>
      <c r="E618" s="5" t="n">
        <f aca="false">IF(C618&lt;Familias!F15,0,INDEX(Supuestos!$B$13:$B$19,MIN(C618-Familias!F15+1,7)))</f>
        <v>0</v>
      </c>
      <c r="F618" s="4" t="n">
        <f aca="false">Familias!E15*D618*E618</f>
        <v>0</v>
      </c>
      <c r="G618" s="4" t="n">
        <f aca="false">F618*Supuestos!$B$2</f>
        <v>0</v>
      </c>
      <c r="H618" s="4" t="n">
        <f aca="false">G618*Supuestos!$B$3</f>
        <v>0</v>
      </c>
    </row>
    <row r="619" customFormat="false" ht="15" hidden="false" customHeight="false" outlineLevel="0" collapsed="false">
      <c r="A619" s="0" t="s">
        <v>194</v>
      </c>
      <c r="B619" s="0" t="s">
        <v>154</v>
      </c>
      <c r="C619" s="0" t="n">
        <v>6</v>
      </c>
      <c r="D619" s="5" t="n">
        <f aca="false">Supuestos!$B$12</f>
        <v>0.1</v>
      </c>
      <c r="E619" s="5" t="n">
        <f aca="false">IF(C619&lt;Familias!F15,0,INDEX(Supuestos!$B$13:$B$19,MIN(C619-Familias!F15+1,7)))</f>
        <v>0.1</v>
      </c>
      <c r="F619" s="4" t="n">
        <f aca="false">Familias!E15*D619*E619</f>
        <v>19</v>
      </c>
      <c r="G619" s="4" t="n">
        <f aca="false">F619*Supuestos!$B$2</f>
        <v>0.38</v>
      </c>
      <c r="H619" s="4" t="n">
        <f aca="false">G619*Supuestos!$B$3</f>
        <v>0.247</v>
      </c>
    </row>
    <row r="620" customFormat="false" ht="15" hidden="false" customHeight="false" outlineLevel="0" collapsed="false">
      <c r="A620" s="0" t="s">
        <v>194</v>
      </c>
      <c r="B620" s="0" t="s">
        <v>154</v>
      </c>
      <c r="C620" s="0" t="n">
        <v>7</v>
      </c>
      <c r="D620" s="5" t="n">
        <f aca="false">Supuestos!$B$12</f>
        <v>0.1</v>
      </c>
      <c r="E620" s="5" t="n">
        <f aca="false">IF(C620&lt;Familias!F15,0,INDEX(Supuestos!$B$13:$B$19,MIN(C620-Familias!F15+1,7)))</f>
        <v>0.2</v>
      </c>
      <c r="F620" s="4" t="n">
        <f aca="false">Familias!E15*D620*E620</f>
        <v>38</v>
      </c>
      <c r="G620" s="4" t="n">
        <f aca="false">F620*Supuestos!$B$2</f>
        <v>0.76</v>
      </c>
      <c r="H620" s="4" t="n">
        <f aca="false">G620*Supuestos!$B$3</f>
        <v>0.494</v>
      </c>
    </row>
    <row r="621" customFormat="false" ht="15" hidden="false" customHeight="false" outlineLevel="0" collapsed="false">
      <c r="A621" s="0" t="s">
        <v>194</v>
      </c>
      <c r="B621" s="0" t="s">
        <v>154</v>
      </c>
      <c r="C621" s="0" t="n">
        <v>8</v>
      </c>
      <c r="D621" s="5" t="n">
        <f aca="false">Supuestos!$B$12</f>
        <v>0.1</v>
      </c>
      <c r="E621" s="5" t="n">
        <f aca="false">IF(C621&lt;Familias!F15,0,INDEX(Supuestos!$B$13:$B$19,MIN(C621-Familias!F15+1,7)))</f>
        <v>0.35</v>
      </c>
      <c r="F621" s="4" t="n">
        <f aca="false">Familias!E15*D621*E621</f>
        <v>66.5</v>
      </c>
      <c r="G621" s="4" t="n">
        <f aca="false">F621*Supuestos!$B$2</f>
        <v>1.33</v>
      </c>
      <c r="H621" s="4" t="n">
        <f aca="false">G621*Supuestos!$B$3</f>
        <v>0.8645</v>
      </c>
    </row>
    <row r="622" customFormat="false" ht="15" hidden="false" customHeight="false" outlineLevel="0" collapsed="false">
      <c r="A622" s="0" t="s">
        <v>194</v>
      </c>
      <c r="B622" s="0" t="s">
        <v>154</v>
      </c>
      <c r="C622" s="0" t="n">
        <v>9</v>
      </c>
      <c r="D622" s="5" t="n">
        <f aca="false">Supuestos!$B$12</f>
        <v>0.1</v>
      </c>
      <c r="E622" s="5" t="n">
        <f aca="false">IF(C622&lt;Familias!F15,0,INDEX(Supuestos!$B$13:$B$19,MIN(C622-Familias!F15+1,7)))</f>
        <v>0.5</v>
      </c>
      <c r="F622" s="4" t="n">
        <f aca="false">Familias!E15*D622*E622</f>
        <v>95</v>
      </c>
      <c r="G622" s="4" t="n">
        <f aca="false">F622*Supuestos!$B$2</f>
        <v>1.9</v>
      </c>
      <c r="H622" s="4" t="n">
        <f aca="false">G622*Supuestos!$B$3</f>
        <v>1.235</v>
      </c>
    </row>
    <row r="623" customFormat="false" ht="15" hidden="false" customHeight="false" outlineLevel="0" collapsed="false">
      <c r="A623" s="0" t="s">
        <v>194</v>
      </c>
      <c r="B623" s="0" t="s">
        <v>154</v>
      </c>
      <c r="C623" s="0" t="n">
        <v>10</v>
      </c>
      <c r="D623" s="5" t="n">
        <f aca="false">Supuestos!$B$12</f>
        <v>0.1</v>
      </c>
      <c r="E623" s="5" t="n">
        <f aca="false">IF(C623&lt;Familias!F15,0,INDEX(Supuestos!$B$13:$B$19,MIN(C623-Familias!F15+1,7)))</f>
        <v>0.65</v>
      </c>
      <c r="F623" s="4" t="n">
        <f aca="false">Familias!E15*D623*E623</f>
        <v>123.5</v>
      </c>
      <c r="G623" s="4" t="n">
        <f aca="false">F623*Supuestos!$B$2</f>
        <v>2.47</v>
      </c>
      <c r="H623" s="4" t="n">
        <f aca="false">G623*Supuestos!$B$3</f>
        <v>1.6055</v>
      </c>
    </row>
    <row r="624" customFormat="false" ht="15" hidden="false" customHeight="false" outlineLevel="0" collapsed="false">
      <c r="A624" s="0" t="s">
        <v>194</v>
      </c>
      <c r="B624" s="0" t="s">
        <v>154</v>
      </c>
      <c r="C624" s="0" t="n">
        <v>11</v>
      </c>
      <c r="D624" s="5" t="n">
        <f aca="false">Supuestos!$B$12</f>
        <v>0.1</v>
      </c>
      <c r="E624" s="5" t="n">
        <f aca="false">IF(C624&lt;Familias!F15,0,INDEX(Supuestos!$B$13:$B$19,MIN(C624-Familias!F15+1,7)))</f>
        <v>0.8</v>
      </c>
      <c r="F624" s="4" t="n">
        <f aca="false">Familias!E15*D624*E624</f>
        <v>152</v>
      </c>
      <c r="G624" s="4" t="n">
        <f aca="false">F624*Supuestos!$B$2</f>
        <v>3.04</v>
      </c>
      <c r="H624" s="4" t="n">
        <f aca="false">G624*Supuestos!$B$3</f>
        <v>1.976</v>
      </c>
    </row>
    <row r="625" customFormat="false" ht="15" hidden="false" customHeight="false" outlineLevel="0" collapsed="false">
      <c r="A625" s="0" t="s">
        <v>194</v>
      </c>
      <c r="B625" s="0" t="s">
        <v>154</v>
      </c>
      <c r="C625" s="0" t="n">
        <v>12</v>
      </c>
      <c r="D625" s="5" t="n">
        <f aca="false">Supuestos!$B$12</f>
        <v>0.1</v>
      </c>
      <c r="E625" s="5" t="n">
        <f aca="false">IF(C625&lt;Familias!F15,0,INDEX(Supuestos!$B$13:$B$19,MIN(C625-Familias!F15+1,7)))</f>
        <v>1</v>
      </c>
      <c r="F625" s="4" t="n">
        <f aca="false">Familias!E15*D625*E625</f>
        <v>190</v>
      </c>
      <c r="G625" s="4" t="n">
        <f aca="false">F625*Supuestos!$B$2</f>
        <v>3.8</v>
      </c>
      <c r="H625" s="4" t="n">
        <f aca="false">G625*Supuestos!$B$3</f>
        <v>2.47</v>
      </c>
    </row>
    <row r="626" customFormat="false" ht="15" hidden="false" customHeight="false" outlineLevel="0" collapsed="false">
      <c r="A626" s="0" t="s">
        <v>194</v>
      </c>
      <c r="B626" s="0" t="s">
        <v>158</v>
      </c>
      <c r="C626" s="0" t="n">
        <v>1</v>
      </c>
      <c r="D626" s="5" t="n">
        <f aca="false">Supuestos!$B$12</f>
        <v>0.1</v>
      </c>
      <c r="E626" s="5" t="n">
        <f aca="false">IF(C626&lt;Familias!F16,0,INDEX(Supuestos!$B$13:$B$19,MIN(C626-Familias!F16+1,7)))</f>
        <v>0</v>
      </c>
      <c r="F626" s="4" t="n">
        <f aca="false">Familias!E16*D626*E626</f>
        <v>0</v>
      </c>
      <c r="G626" s="4" t="n">
        <f aca="false">F626*Supuestos!$B$2</f>
        <v>0</v>
      </c>
      <c r="H626" s="4" t="n">
        <f aca="false">G626*Supuestos!$B$3</f>
        <v>0</v>
      </c>
    </row>
    <row r="627" customFormat="false" ht="15" hidden="false" customHeight="false" outlineLevel="0" collapsed="false">
      <c r="A627" s="0" t="s">
        <v>194</v>
      </c>
      <c r="B627" s="0" t="s">
        <v>158</v>
      </c>
      <c r="C627" s="0" t="n">
        <v>2</v>
      </c>
      <c r="D627" s="5" t="n">
        <f aca="false">Supuestos!$B$12</f>
        <v>0.1</v>
      </c>
      <c r="E627" s="5" t="n">
        <f aca="false">IF(C627&lt;Familias!F16,0,INDEX(Supuestos!$B$13:$B$19,MIN(C627-Familias!F16+1,7)))</f>
        <v>0</v>
      </c>
      <c r="F627" s="4" t="n">
        <f aca="false">Familias!E16*D627*E627</f>
        <v>0</v>
      </c>
      <c r="G627" s="4" t="n">
        <f aca="false">F627*Supuestos!$B$2</f>
        <v>0</v>
      </c>
      <c r="H627" s="4" t="n">
        <f aca="false">G627*Supuestos!$B$3</f>
        <v>0</v>
      </c>
    </row>
    <row r="628" customFormat="false" ht="15" hidden="false" customHeight="false" outlineLevel="0" collapsed="false">
      <c r="A628" s="0" t="s">
        <v>194</v>
      </c>
      <c r="B628" s="0" t="s">
        <v>158</v>
      </c>
      <c r="C628" s="0" t="n">
        <v>3</v>
      </c>
      <c r="D628" s="5" t="n">
        <f aca="false">Supuestos!$B$12</f>
        <v>0.1</v>
      </c>
      <c r="E628" s="5" t="n">
        <f aca="false">IF(C628&lt;Familias!F16,0,INDEX(Supuestos!$B$13:$B$19,MIN(C628-Familias!F16+1,7)))</f>
        <v>0</v>
      </c>
      <c r="F628" s="4" t="n">
        <f aca="false">Familias!E16*D628*E628</f>
        <v>0</v>
      </c>
      <c r="G628" s="4" t="n">
        <f aca="false">F628*Supuestos!$B$2</f>
        <v>0</v>
      </c>
      <c r="H628" s="4" t="n">
        <f aca="false">G628*Supuestos!$B$3</f>
        <v>0</v>
      </c>
    </row>
    <row r="629" customFormat="false" ht="15" hidden="false" customHeight="false" outlineLevel="0" collapsed="false">
      <c r="A629" s="0" t="s">
        <v>194</v>
      </c>
      <c r="B629" s="0" t="s">
        <v>158</v>
      </c>
      <c r="C629" s="0" t="n">
        <v>4</v>
      </c>
      <c r="D629" s="5" t="n">
        <f aca="false">Supuestos!$B$12</f>
        <v>0.1</v>
      </c>
      <c r="E629" s="5" t="n">
        <f aca="false">IF(C629&lt;Familias!F16,0,INDEX(Supuestos!$B$13:$B$19,MIN(C629-Familias!F16+1,7)))</f>
        <v>0</v>
      </c>
      <c r="F629" s="4" t="n">
        <f aca="false">Familias!E16*D629*E629</f>
        <v>0</v>
      </c>
      <c r="G629" s="4" t="n">
        <f aca="false">F629*Supuestos!$B$2</f>
        <v>0</v>
      </c>
      <c r="H629" s="4" t="n">
        <f aca="false">G629*Supuestos!$B$3</f>
        <v>0</v>
      </c>
    </row>
    <row r="630" customFormat="false" ht="15" hidden="false" customHeight="false" outlineLevel="0" collapsed="false">
      <c r="A630" s="0" t="s">
        <v>194</v>
      </c>
      <c r="B630" s="0" t="s">
        <v>158</v>
      </c>
      <c r="C630" s="0" t="n">
        <v>5</v>
      </c>
      <c r="D630" s="5" t="n">
        <f aca="false">Supuestos!$B$12</f>
        <v>0.1</v>
      </c>
      <c r="E630" s="5" t="n">
        <f aca="false">IF(C630&lt;Familias!F16,0,INDEX(Supuestos!$B$13:$B$19,MIN(C630-Familias!F16+1,7)))</f>
        <v>0</v>
      </c>
      <c r="F630" s="4" t="n">
        <f aca="false">Familias!E16*D630*E630</f>
        <v>0</v>
      </c>
      <c r="G630" s="4" t="n">
        <f aca="false">F630*Supuestos!$B$2</f>
        <v>0</v>
      </c>
      <c r="H630" s="4" t="n">
        <f aca="false">G630*Supuestos!$B$3</f>
        <v>0</v>
      </c>
    </row>
    <row r="631" customFormat="false" ht="15" hidden="false" customHeight="false" outlineLevel="0" collapsed="false">
      <c r="A631" s="0" t="s">
        <v>194</v>
      </c>
      <c r="B631" s="0" t="s">
        <v>158</v>
      </c>
      <c r="C631" s="0" t="n">
        <v>6</v>
      </c>
      <c r="D631" s="5" t="n">
        <f aca="false">Supuestos!$B$12</f>
        <v>0.1</v>
      </c>
      <c r="E631" s="5" t="n">
        <f aca="false">IF(C631&lt;Familias!F16,0,INDEX(Supuestos!$B$13:$B$19,MIN(C631-Familias!F16+1,7)))</f>
        <v>0</v>
      </c>
      <c r="F631" s="4" t="n">
        <f aca="false">Familias!E16*D631*E631</f>
        <v>0</v>
      </c>
      <c r="G631" s="4" t="n">
        <f aca="false">F631*Supuestos!$B$2</f>
        <v>0</v>
      </c>
      <c r="H631" s="4" t="n">
        <f aca="false">G631*Supuestos!$B$3</f>
        <v>0</v>
      </c>
    </row>
    <row r="632" customFormat="false" ht="15" hidden="false" customHeight="false" outlineLevel="0" collapsed="false">
      <c r="A632" s="0" t="s">
        <v>194</v>
      </c>
      <c r="B632" s="0" t="s">
        <v>158</v>
      </c>
      <c r="C632" s="0" t="n">
        <v>7</v>
      </c>
      <c r="D632" s="5" t="n">
        <f aca="false">Supuestos!$B$12</f>
        <v>0.1</v>
      </c>
      <c r="E632" s="5" t="n">
        <f aca="false">IF(C632&lt;Familias!F16,0,INDEX(Supuestos!$B$13:$B$19,MIN(C632-Familias!F16+1,7)))</f>
        <v>0</v>
      </c>
      <c r="F632" s="4" t="n">
        <f aca="false">Familias!E16*D632*E632</f>
        <v>0</v>
      </c>
      <c r="G632" s="4" t="n">
        <f aca="false">F632*Supuestos!$B$2</f>
        <v>0</v>
      </c>
      <c r="H632" s="4" t="n">
        <f aca="false">G632*Supuestos!$B$3</f>
        <v>0</v>
      </c>
    </row>
    <row r="633" customFormat="false" ht="15" hidden="false" customHeight="false" outlineLevel="0" collapsed="false">
      <c r="A633" s="0" t="s">
        <v>194</v>
      </c>
      <c r="B633" s="0" t="s">
        <v>158</v>
      </c>
      <c r="C633" s="0" t="n">
        <v>8</v>
      </c>
      <c r="D633" s="5" t="n">
        <f aca="false">Supuestos!$B$12</f>
        <v>0.1</v>
      </c>
      <c r="E633" s="5" t="n">
        <f aca="false">IF(C633&lt;Familias!F16,0,INDEX(Supuestos!$B$13:$B$19,MIN(C633-Familias!F16+1,7)))</f>
        <v>0.1</v>
      </c>
      <c r="F633" s="4" t="n">
        <f aca="false">Familias!E16*D633*E633</f>
        <v>66</v>
      </c>
      <c r="G633" s="4" t="n">
        <f aca="false">F633*Supuestos!$B$2</f>
        <v>1.32</v>
      </c>
      <c r="H633" s="4" t="n">
        <f aca="false">G633*Supuestos!$B$3</f>
        <v>0.858</v>
      </c>
    </row>
    <row r="634" customFormat="false" ht="15" hidden="false" customHeight="false" outlineLevel="0" collapsed="false">
      <c r="A634" s="0" t="s">
        <v>194</v>
      </c>
      <c r="B634" s="0" t="s">
        <v>158</v>
      </c>
      <c r="C634" s="0" t="n">
        <v>9</v>
      </c>
      <c r="D634" s="5" t="n">
        <f aca="false">Supuestos!$B$12</f>
        <v>0.1</v>
      </c>
      <c r="E634" s="5" t="n">
        <f aca="false">IF(C634&lt;Familias!F16,0,INDEX(Supuestos!$B$13:$B$19,MIN(C634-Familias!F16+1,7)))</f>
        <v>0.2</v>
      </c>
      <c r="F634" s="4" t="n">
        <f aca="false">Familias!E16*D634*E634</f>
        <v>132</v>
      </c>
      <c r="G634" s="4" t="n">
        <f aca="false">F634*Supuestos!$B$2</f>
        <v>2.64</v>
      </c>
      <c r="H634" s="4" t="n">
        <f aca="false">G634*Supuestos!$B$3</f>
        <v>1.716</v>
      </c>
    </row>
    <row r="635" customFormat="false" ht="15" hidden="false" customHeight="false" outlineLevel="0" collapsed="false">
      <c r="A635" s="0" t="s">
        <v>194</v>
      </c>
      <c r="B635" s="0" t="s">
        <v>158</v>
      </c>
      <c r="C635" s="0" t="n">
        <v>10</v>
      </c>
      <c r="D635" s="5" t="n">
        <f aca="false">Supuestos!$B$12</f>
        <v>0.1</v>
      </c>
      <c r="E635" s="5" t="n">
        <f aca="false">IF(C635&lt;Familias!F16,0,INDEX(Supuestos!$B$13:$B$19,MIN(C635-Familias!F16+1,7)))</f>
        <v>0.35</v>
      </c>
      <c r="F635" s="4" t="n">
        <f aca="false">Familias!E16*D635*E635</f>
        <v>231</v>
      </c>
      <c r="G635" s="4" t="n">
        <f aca="false">F635*Supuestos!$B$2</f>
        <v>4.62</v>
      </c>
      <c r="H635" s="4" t="n">
        <f aca="false">G635*Supuestos!$B$3</f>
        <v>3.003</v>
      </c>
    </row>
    <row r="636" customFormat="false" ht="15" hidden="false" customHeight="false" outlineLevel="0" collapsed="false">
      <c r="A636" s="0" t="s">
        <v>194</v>
      </c>
      <c r="B636" s="0" t="s">
        <v>158</v>
      </c>
      <c r="C636" s="0" t="n">
        <v>11</v>
      </c>
      <c r="D636" s="5" t="n">
        <f aca="false">Supuestos!$B$12</f>
        <v>0.1</v>
      </c>
      <c r="E636" s="5" t="n">
        <f aca="false">IF(C636&lt;Familias!F16,0,INDEX(Supuestos!$B$13:$B$19,MIN(C636-Familias!F16+1,7)))</f>
        <v>0.5</v>
      </c>
      <c r="F636" s="4" t="n">
        <f aca="false">Familias!E16*D636*E636</f>
        <v>330</v>
      </c>
      <c r="G636" s="4" t="n">
        <f aca="false">F636*Supuestos!$B$2</f>
        <v>6.6</v>
      </c>
      <c r="H636" s="4" t="n">
        <f aca="false">G636*Supuestos!$B$3</f>
        <v>4.29</v>
      </c>
    </row>
    <row r="637" customFormat="false" ht="15" hidden="false" customHeight="false" outlineLevel="0" collapsed="false">
      <c r="A637" s="0" t="s">
        <v>194</v>
      </c>
      <c r="B637" s="0" t="s">
        <v>158</v>
      </c>
      <c r="C637" s="0" t="n">
        <v>12</v>
      </c>
      <c r="D637" s="5" t="n">
        <f aca="false">Supuestos!$B$12</f>
        <v>0.1</v>
      </c>
      <c r="E637" s="5" t="n">
        <f aca="false">IF(C637&lt;Familias!F16,0,INDEX(Supuestos!$B$13:$B$19,MIN(C637-Familias!F16+1,7)))</f>
        <v>0.65</v>
      </c>
      <c r="F637" s="4" t="n">
        <f aca="false">Familias!E16*D637*E637</f>
        <v>429</v>
      </c>
      <c r="G637" s="4" t="n">
        <f aca="false">F637*Supuestos!$B$2</f>
        <v>8.58</v>
      </c>
      <c r="H637" s="4" t="n">
        <f aca="false">G637*Supuestos!$B$3</f>
        <v>5.577</v>
      </c>
    </row>
    <row r="638" customFormat="false" ht="15" hidden="false" customHeight="false" outlineLevel="0" collapsed="false">
      <c r="A638" s="0" t="s">
        <v>194</v>
      </c>
      <c r="B638" s="0" t="s">
        <v>163</v>
      </c>
      <c r="C638" s="0" t="n">
        <v>1</v>
      </c>
      <c r="D638" s="5" t="n">
        <f aca="false">Supuestos!$B$12</f>
        <v>0.1</v>
      </c>
      <c r="E638" s="5" t="n">
        <f aca="false">IF(C638&lt;Familias!F17,0,INDEX(Supuestos!$B$13:$B$19,MIN(C638-Familias!F17+1,7)))</f>
        <v>0.1</v>
      </c>
      <c r="F638" s="4" t="n">
        <f aca="false">Familias!E17*D638*E638</f>
        <v>29</v>
      </c>
      <c r="G638" s="4" t="n">
        <f aca="false">F638*Supuestos!$B$2</f>
        <v>0.58</v>
      </c>
      <c r="H638" s="4" t="n">
        <f aca="false">G638*Supuestos!$B$3</f>
        <v>0.377</v>
      </c>
    </row>
    <row r="639" customFormat="false" ht="15" hidden="false" customHeight="false" outlineLevel="0" collapsed="false">
      <c r="A639" s="0" t="s">
        <v>194</v>
      </c>
      <c r="B639" s="0" t="s">
        <v>163</v>
      </c>
      <c r="C639" s="0" t="n">
        <v>2</v>
      </c>
      <c r="D639" s="5" t="n">
        <f aca="false">Supuestos!$B$12</f>
        <v>0.1</v>
      </c>
      <c r="E639" s="5" t="n">
        <f aca="false">IF(C639&lt;Familias!F17,0,INDEX(Supuestos!$B$13:$B$19,MIN(C639-Familias!F17+1,7)))</f>
        <v>0.2</v>
      </c>
      <c r="F639" s="4" t="n">
        <f aca="false">Familias!E17*D639*E639</f>
        <v>58</v>
      </c>
      <c r="G639" s="4" t="n">
        <f aca="false">F639*Supuestos!$B$2</f>
        <v>1.16</v>
      </c>
      <c r="H639" s="4" t="n">
        <f aca="false">G639*Supuestos!$B$3</f>
        <v>0.754</v>
      </c>
    </row>
    <row r="640" customFormat="false" ht="15" hidden="false" customHeight="false" outlineLevel="0" collapsed="false">
      <c r="A640" s="0" t="s">
        <v>194</v>
      </c>
      <c r="B640" s="0" t="s">
        <v>163</v>
      </c>
      <c r="C640" s="0" t="n">
        <v>3</v>
      </c>
      <c r="D640" s="5" t="n">
        <f aca="false">Supuestos!$B$12</f>
        <v>0.1</v>
      </c>
      <c r="E640" s="5" t="n">
        <f aca="false">IF(C640&lt;Familias!F17,0,INDEX(Supuestos!$B$13:$B$19,MIN(C640-Familias!F17+1,7)))</f>
        <v>0.35</v>
      </c>
      <c r="F640" s="4" t="n">
        <f aca="false">Familias!E17*D640*E640</f>
        <v>101.5</v>
      </c>
      <c r="G640" s="4" t="n">
        <f aca="false">F640*Supuestos!$B$2</f>
        <v>2.03</v>
      </c>
      <c r="H640" s="4" t="n">
        <f aca="false">G640*Supuestos!$B$3</f>
        <v>1.3195</v>
      </c>
    </row>
    <row r="641" customFormat="false" ht="15" hidden="false" customHeight="false" outlineLevel="0" collapsed="false">
      <c r="A641" s="0" t="s">
        <v>194</v>
      </c>
      <c r="B641" s="0" t="s">
        <v>163</v>
      </c>
      <c r="C641" s="0" t="n">
        <v>4</v>
      </c>
      <c r="D641" s="5" t="n">
        <f aca="false">Supuestos!$B$12</f>
        <v>0.1</v>
      </c>
      <c r="E641" s="5" t="n">
        <f aca="false">IF(C641&lt;Familias!F17,0,INDEX(Supuestos!$B$13:$B$19,MIN(C641-Familias!F17+1,7)))</f>
        <v>0.5</v>
      </c>
      <c r="F641" s="4" t="n">
        <f aca="false">Familias!E17*D641*E641</f>
        <v>145</v>
      </c>
      <c r="G641" s="4" t="n">
        <f aca="false">F641*Supuestos!$B$2</f>
        <v>2.9</v>
      </c>
      <c r="H641" s="4" t="n">
        <f aca="false">G641*Supuestos!$B$3</f>
        <v>1.885</v>
      </c>
    </row>
    <row r="642" customFormat="false" ht="15" hidden="false" customHeight="false" outlineLevel="0" collapsed="false">
      <c r="A642" s="0" t="s">
        <v>194</v>
      </c>
      <c r="B642" s="0" t="s">
        <v>163</v>
      </c>
      <c r="C642" s="0" t="n">
        <v>5</v>
      </c>
      <c r="D642" s="5" t="n">
        <f aca="false">Supuestos!$B$12</f>
        <v>0.1</v>
      </c>
      <c r="E642" s="5" t="n">
        <f aca="false">IF(C642&lt;Familias!F17,0,INDEX(Supuestos!$B$13:$B$19,MIN(C642-Familias!F17+1,7)))</f>
        <v>0.65</v>
      </c>
      <c r="F642" s="4" t="n">
        <f aca="false">Familias!E17*D642*E642</f>
        <v>188.5</v>
      </c>
      <c r="G642" s="4" t="n">
        <f aca="false">F642*Supuestos!$B$2</f>
        <v>3.77</v>
      </c>
      <c r="H642" s="4" t="n">
        <f aca="false">G642*Supuestos!$B$3</f>
        <v>2.4505</v>
      </c>
    </row>
    <row r="643" customFormat="false" ht="15" hidden="false" customHeight="false" outlineLevel="0" collapsed="false">
      <c r="A643" s="0" t="s">
        <v>194</v>
      </c>
      <c r="B643" s="0" t="s">
        <v>163</v>
      </c>
      <c r="C643" s="0" t="n">
        <v>6</v>
      </c>
      <c r="D643" s="5" t="n">
        <f aca="false">Supuestos!$B$12</f>
        <v>0.1</v>
      </c>
      <c r="E643" s="5" t="n">
        <f aca="false">IF(C643&lt;Familias!F17,0,INDEX(Supuestos!$B$13:$B$19,MIN(C643-Familias!F17+1,7)))</f>
        <v>0.8</v>
      </c>
      <c r="F643" s="4" t="n">
        <f aca="false">Familias!E17*D643*E643</f>
        <v>232</v>
      </c>
      <c r="G643" s="4" t="n">
        <f aca="false">F643*Supuestos!$B$2</f>
        <v>4.64</v>
      </c>
      <c r="H643" s="4" t="n">
        <f aca="false">G643*Supuestos!$B$3</f>
        <v>3.016</v>
      </c>
    </row>
    <row r="644" customFormat="false" ht="15" hidden="false" customHeight="false" outlineLevel="0" collapsed="false">
      <c r="A644" s="0" t="s">
        <v>194</v>
      </c>
      <c r="B644" s="0" t="s">
        <v>163</v>
      </c>
      <c r="C644" s="0" t="n">
        <v>7</v>
      </c>
      <c r="D644" s="5" t="n">
        <f aca="false">Supuestos!$B$12</f>
        <v>0.1</v>
      </c>
      <c r="E644" s="5" t="n">
        <f aca="false">IF(C644&lt;Familias!F17,0,INDEX(Supuestos!$B$13:$B$19,MIN(C644-Familias!F17+1,7)))</f>
        <v>1</v>
      </c>
      <c r="F644" s="4" t="n">
        <f aca="false">Familias!E17*D644*E644</f>
        <v>290</v>
      </c>
      <c r="G644" s="4" t="n">
        <f aca="false">F644*Supuestos!$B$2</f>
        <v>5.8</v>
      </c>
      <c r="H644" s="4" t="n">
        <f aca="false">G644*Supuestos!$B$3</f>
        <v>3.77</v>
      </c>
    </row>
    <row r="645" customFormat="false" ht="15" hidden="false" customHeight="false" outlineLevel="0" collapsed="false">
      <c r="A645" s="0" t="s">
        <v>194</v>
      </c>
      <c r="B645" s="0" t="s">
        <v>163</v>
      </c>
      <c r="C645" s="0" t="n">
        <v>8</v>
      </c>
      <c r="D645" s="5" t="n">
        <f aca="false">Supuestos!$B$12</f>
        <v>0.1</v>
      </c>
      <c r="E645" s="5" t="n">
        <f aca="false">IF(C645&lt;Familias!F17,0,INDEX(Supuestos!$B$13:$B$19,MIN(C645-Familias!F17+1,7)))</f>
        <v>1</v>
      </c>
      <c r="F645" s="4" t="n">
        <f aca="false">Familias!E17*D645*E645</f>
        <v>290</v>
      </c>
      <c r="G645" s="4" t="n">
        <f aca="false">F645*Supuestos!$B$2</f>
        <v>5.8</v>
      </c>
      <c r="H645" s="4" t="n">
        <f aca="false">G645*Supuestos!$B$3</f>
        <v>3.77</v>
      </c>
    </row>
    <row r="646" customFormat="false" ht="15" hidden="false" customHeight="false" outlineLevel="0" collapsed="false">
      <c r="A646" s="0" t="s">
        <v>194</v>
      </c>
      <c r="B646" s="0" t="s">
        <v>163</v>
      </c>
      <c r="C646" s="0" t="n">
        <v>9</v>
      </c>
      <c r="D646" s="5" t="n">
        <f aca="false">Supuestos!$B$12</f>
        <v>0.1</v>
      </c>
      <c r="E646" s="5" t="n">
        <f aca="false">IF(C646&lt;Familias!F17,0,INDEX(Supuestos!$B$13:$B$19,MIN(C646-Familias!F17+1,7)))</f>
        <v>1</v>
      </c>
      <c r="F646" s="4" t="n">
        <f aca="false">Familias!E17*D646*E646</f>
        <v>290</v>
      </c>
      <c r="G646" s="4" t="n">
        <f aca="false">F646*Supuestos!$B$2</f>
        <v>5.8</v>
      </c>
      <c r="H646" s="4" t="n">
        <f aca="false">G646*Supuestos!$B$3</f>
        <v>3.77</v>
      </c>
    </row>
    <row r="647" customFormat="false" ht="15" hidden="false" customHeight="false" outlineLevel="0" collapsed="false">
      <c r="A647" s="0" t="s">
        <v>194</v>
      </c>
      <c r="B647" s="0" t="s">
        <v>163</v>
      </c>
      <c r="C647" s="0" t="n">
        <v>10</v>
      </c>
      <c r="D647" s="5" t="n">
        <f aca="false">Supuestos!$B$12</f>
        <v>0.1</v>
      </c>
      <c r="E647" s="5" t="n">
        <f aca="false">IF(C647&lt;Familias!F17,0,INDEX(Supuestos!$B$13:$B$19,MIN(C647-Familias!F17+1,7)))</f>
        <v>1</v>
      </c>
      <c r="F647" s="4" t="n">
        <f aca="false">Familias!E17*D647*E647</f>
        <v>290</v>
      </c>
      <c r="G647" s="4" t="n">
        <f aca="false">F647*Supuestos!$B$2</f>
        <v>5.8</v>
      </c>
      <c r="H647" s="4" t="n">
        <f aca="false">G647*Supuestos!$B$3</f>
        <v>3.77</v>
      </c>
    </row>
    <row r="648" customFormat="false" ht="15" hidden="false" customHeight="false" outlineLevel="0" collapsed="false">
      <c r="A648" s="0" t="s">
        <v>194</v>
      </c>
      <c r="B648" s="0" t="s">
        <v>163</v>
      </c>
      <c r="C648" s="0" t="n">
        <v>11</v>
      </c>
      <c r="D648" s="5" t="n">
        <f aca="false">Supuestos!$B$12</f>
        <v>0.1</v>
      </c>
      <c r="E648" s="5" t="n">
        <f aca="false">IF(C648&lt;Familias!F17,0,INDEX(Supuestos!$B$13:$B$19,MIN(C648-Familias!F17+1,7)))</f>
        <v>1</v>
      </c>
      <c r="F648" s="4" t="n">
        <f aca="false">Familias!E17*D648*E648</f>
        <v>290</v>
      </c>
      <c r="G648" s="4" t="n">
        <f aca="false">F648*Supuestos!$B$2</f>
        <v>5.8</v>
      </c>
      <c r="H648" s="4" t="n">
        <f aca="false">G648*Supuestos!$B$3</f>
        <v>3.77</v>
      </c>
    </row>
    <row r="649" customFormat="false" ht="15" hidden="false" customHeight="false" outlineLevel="0" collapsed="false">
      <c r="A649" s="0" t="s">
        <v>194</v>
      </c>
      <c r="B649" s="0" t="s">
        <v>163</v>
      </c>
      <c r="C649" s="0" t="n">
        <v>12</v>
      </c>
      <c r="D649" s="5" t="n">
        <f aca="false">Supuestos!$B$12</f>
        <v>0.1</v>
      </c>
      <c r="E649" s="5" t="n">
        <f aca="false">IF(C649&lt;Familias!F17,0,INDEX(Supuestos!$B$13:$B$19,MIN(C649-Familias!F17+1,7)))</f>
        <v>1</v>
      </c>
      <c r="F649" s="4" t="n">
        <f aca="false">Familias!E17*D649*E649</f>
        <v>290</v>
      </c>
      <c r="G649" s="4" t="n">
        <f aca="false">F649*Supuestos!$B$2</f>
        <v>5.8</v>
      </c>
      <c r="H649" s="4" t="n">
        <f aca="false">G649*Supuestos!$B$3</f>
        <v>3.77</v>
      </c>
    </row>
    <row r="650" customFormat="false" ht="15" hidden="false" customHeight="false" outlineLevel="0" collapsed="false">
      <c r="A650" s="0" t="s">
        <v>194</v>
      </c>
      <c r="B650" s="0" t="s">
        <v>170</v>
      </c>
      <c r="C650" s="0" t="n">
        <v>1</v>
      </c>
      <c r="D650" s="5" t="n">
        <f aca="false">Supuestos!$B$12</f>
        <v>0.1</v>
      </c>
      <c r="E650" s="5" t="n">
        <f aca="false">IF(C650&lt;Familias!F18,0,INDEX(Supuestos!$B$13:$B$19,MIN(C650-Familias!F18+1,7)))</f>
        <v>0</v>
      </c>
      <c r="F650" s="4" t="n">
        <f aca="false">Familias!E18*D650*E650</f>
        <v>0</v>
      </c>
      <c r="G650" s="4" t="n">
        <f aca="false">F650*Supuestos!$B$2</f>
        <v>0</v>
      </c>
      <c r="H650" s="4" t="n">
        <f aca="false">G650*Supuestos!$B$3</f>
        <v>0</v>
      </c>
    </row>
    <row r="651" customFormat="false" ht="15" hidden="false" customHeight="false" outlineLevel="0" collapsed="false">
      <c r="A651" s="0" t="s">
        <v>194</v>
      </c>
      <c r="B651" s="0" t="s">
        <v>170</v>
      </c>
      <c r="C651" s="0" t="n">
        <v>2</v>
      </c>
      <c r="D651" s="5" t="n">
        <f aca="false">Supuestos!$B$12</f>
        <v>0.1</v>
      </c>
      <c r="E651" s="5" t="n">
        <f aca="false">IF(C651&lt;Familias!F18,0,INDEX(Supuestos!$B$13:$B$19,MIN(C651-Familias!F18+1,7)))</f>
        <v>0</v>
      </c>
      <c r="F651" s="4" t="n">
        <f aca="false">Familias!E18*D651*E651</f>
        <v>0</v>
      </c>
      <c r="G651" s="4" t="n">
        <f aca="false">F651*Supuestos!$B$2</f>
        <v>0</v>
      </c>
      <c r="H651" s="4" t="n">
        <f aca="false">G651*Supuestos!$B$3</f>
        <v>0</v>
      </c>
    </row>
    <row r="652" customFormat="false" ht="15" hidden="false" customHeight="false" outlineLevel="0" collapsed="false">
      <c r="A652" s="0" t="s">
        <v>194</v>
      </c>
      <c r="B652" s="0" t="s">
        <v>170</v>
      </c>
      <c r="C652" s="0" t="n">
        <v>3</v>
      </c>
      <c r="D652" s="5" t="n">
        <f aca="false">Supuestos!$B$12</f>
        <v>0.1</v>
      </c>
      <c r="E652" s="5" t="n">
        <f aca="false">IF(C652&lt;Familias!F18,0,INDEX(Supuestos!$B$13:$B$19,MIN(C652-Familias!F18+1,7)))</f>
        <v>0</v>
      </c>
      <c r="F652" s="4" t="n">
        <f aca="false">Familias!E18*D652*E652</f>
        <v>0</v>
      </c>
      <c r="G652" s="4" t="n">
        <f aca="false">F652*Supuestos!$B$2</f>
        <v>0</v>
      </c>
      <c r="H652" s="4" t="n">
        <f aca="false">G652*Supuestos!$B$3</f>
        <v>0</v>
      </c>
    </row>
    <row r="653" customFormat="false" ht="15" hidden="false" customHeight="false" outlineLevel="0" collapsed="false">
      <c r="A653" s="0" t="s">
        <v>194</v>
      </c>
      <c r="B653" s="0" t="s">
        <v>170</v>
      </c>
      <c r="C653" s="0" t="n">
        <v>4</v>
      </c>
      <c r="D653" s="5" t="n">
        <f aca="false">Supuestos!$B$12</f>
        <v>0.1</v>
      </c>
      <c r="E653" s="5" t="n">
        <f aca="false">IF(C653&lt;Familias!F18,0,INDEX(Supuestos!$B$13:$B$19,MIN(C653-Familias!F18+1,7)))</f>
        <v>0.1</v>
      </c>
      <c r="F653" s="4" t="n">
        <f aca="false">Familias!E18*D653*E653</f>
        <v>16</v>
      </c>
      <c r="G653" s="4" t="n">
        <f aca="false">F653*Supuestos!$B$2</f>
        <v>0.32</v>
      </c>
      <c r="H653" s="4" t="n">
        <f aca="false">G653*Supuestos!$B$3</f>
        <v>0.208</v>
      </c>
    </row>
    <row r="654" customFormat="false" ht="15" hidden="false" customHeight="false" outlineLevel="0" collapsed="false">
      <c r="A654" s="0" t="s">
        <v>194</v>
      </c>
      <c r="B654" s="0" t="s">
        <v>170</v>
      </c>
      <c r="C654" s="0" t="n">
        <v>5</v>
      </c>
      <c r="D654" s="5" t="n">
        <f aca="false">Supuestos!$B$12</f>
        <v>0.1</v>
      </c>
      <c r="E654" s="5" t="n">
        <f aca="false">IF(C654&lt;Familias!F18,0,INDEX(Supuestos!$B$13:$B$19,MIN(C654-Familias!F18+1,7)))</f>
        <v>0.2</v>
      </c>
      <c r="F654" s="4" t="n">
        <f aca="false">Familias!E18*D654*E654</f>
        <v>32</v>
      </c>
      <c r="G654" s="4" t="n">
        <f aca="false">F654*Supuestos!$B$2</f>
        <v>0.64</v>
      </c>
      <c r="H654" s="4" t="n">
        <f aca="false">G654*Supuestos!$B$3</f>
        <v>0.416</v>
      </c>
    </row>
    <row r="655" customFormat="false" ht="15" hidden="false" customHeight="false" outlineLevel="0" collapsed="false">
      <c r="A655" s="0" t="s">
        <v>194</v>
      </c>
      <c r="B655" s="0" t="s">
        <v>170</v>
      </c>
      <c r="C655" s="0" t="n">
        <v>6</v>
      </c>
      <c r="D655" s="5" t="n">
        <f aca="false">Supuestos!$B$12</f>
        <v>0.1</v>
      </c>
      <c r="E655" s="5" t="n">
        <f aca="false">IF(C655&lt;Familias!F18,0,INDEX(Supuestos!$B$13:$B$19,MIN(C655-Familias!F18+1,7)))</f>
        <v>0.35</v>
      </c>
      <c r="F655" s="4" t="n">
        <f aca="false">Familias!E18*D655*E655</f>
        <v>56</v>
      </c>
      <c r="G655" s="4" t="n">
        <f aca="false">F655*Supuestos!$B$2</f>
        <v>1.12</v>
      </c>
      <c r="H655" s="4" t="n">
        <f aca="false">G655*Supuestos!$B$3</f>
        <v>0.728</v>
      </c>
    </row>
    <row r="656" customFormat="false" ht="15" hidden="false" customHeight="false" outlineLevel="0" collapsed="false">
      <c r="A656" s="0" t="s">
        <v>194</v>
      </c>
      <c r="B656" s="0" t="s">
        <v>170</v>
      </c>
      <c r="C656" s="0" t="n">
        <v>7</v>
      </c>
      <c r="D656" s="5" t="n">
        <f aca="false">Supuestos!$B$12</f>
        <v>0.1</v>
      </c>
      <c r="E656" s="5" t="n">
        <f aca="false">IF(C656&lt;Familias!F18,0,INDEX(Supuestos!$B$13:$B$19,MIN(C656-Familias!F18+1,7)))</f>
        <v>0.5</v>
      </c>
      <c r="F656" s="4" t="n">
        <f aca="false">Familias!E18*D656*E656</f>
        <v>80</v>
      </c>
      <c r="G656" s="4" t="n">
        <f aca="false">F656*Supuestos!$B$2</f>
        <v>1.6</v>
      </c>
      <c r="H656" s="4" t="n">
        <f aca="false">G656*Supuestos!$B$3</f>
        <v>1.04</v>
      </c>
    </row>
    <row r="657" customFormat="false" ht="15" hidden="false" customHeight="false" outlineLevel="0" collapsed="false">
      <c r="A657" s="0" t="s">
        <v>194</v>
      </c>
      <c r="B657" s="0" t="s">
        <v>170</v>
      </c>
      <c r="C657" s="0" t="n">
        <v>8</v>
      </c>
      <c r="D657" s="5" t="n">
        <f aca="false">Supuestos!$B$12</f>
        <v>0.1</v>
      </c>
      <c r="E657" s="5" t="n">
        <f aca="false">IF(C657&lt;Familias!F18,0,INDEX(Supuestos!$B$13:$B$19,MIN(C657-Familias!F18+1,7)))</f>
        <v>0.65</v>
      </c>
      <c r="F657" s="4" t="n">
        <f aca="false">Familias!E18*D657*E657</f>
        <v>104</v>
      </c>
      <c r="G657" s="4" t="n">
        <f aca="false">F657*Supuestos!$B$2</f>
        <v>2.08</v>
      </c>
      <c r="H657" s="4" t="n">
        <f aca="false">G657*Supuestos!$B$3</f>
        <v>1.352</v>
      </c>
    </row>
    <row r="658" customFormat="false" ht="15" hidden="false" customHeight="false" outlineLevel="0" collapsed="false">
      <c r="A658" s="0" t="s">
        <v>194</v>
      </c>
      <c r="B658" s="0" t="s">
        <v>170</v>
      </c>
      <c r="C658" s="0" t="n">
        <v>9</v>
      </c>
      <c r="D658" s="5" t="n">
        <f aca="false">Supuestos!$B$12</f>
        <v>0.1</v>
      </c>
      <c r="E658" s="5" t="n">
        <f aca="false">IF(C658&lt;Familias!F18,0,INDEX(Supuestos!$B$13:$B$19,MIN(C658-Familias!F18+1,7)))</f>
        <v>0.8</v>
      </c>
      <c r="F658" s="4" t="n">
        <f aca="false">Familias!E18*D658*E658</f>
        <v>128</v>
      </c>
      <c r="G658" s="4" t="n">
        <f aca="false">F658*Supuestos!$B$2</f>
        <v>2.56</v>
      </c>
      <c r="H658" s="4" t="n">
        <f aca="false">G658*Supuestos!$B$3</f>
        <v>1.664</v>
      </c>
    </row>
    <row r="659" customFormat="false" ht="15" hidden="false" customHeight="false" outlineLevel="0" collapsed="false">
      <c r="A659" s="0" t="s">
        <v>194</v>
      </c>
      <c r="B659" s="0" t="s">
        <v>170</v>
      </c>
      <c r="C659" s="0" t="n">
        <v>10</v>
      </c>
      <c r="D659" s="5" t="n">
        <f aca="false">Supuestos!$B$12</f>
        <v>0.1</v>
      </c>
      <c r="E659" s="5" t="n">
        <f aca="false">IF(C659&lt;Familias!F18,0,INDEX(Supuestos!$B$13:$B$19,MIN(C659-Familias!F18+1,7)))</f>
        <v>1</v>
      </c>
      <c r="F659" s="4" t="n">
        <f aca="false">Familias!E18*D659*E659</f>
        <v>160</v>
      </c>
      <c r="G659" s="4" t="n">
        <f aca="false">F659*Supuestos!$B$2</f>
        <v>3.2</v>
      </c>
      <c r="H659" s="4" t="n">
        <f aca="false">G659*Supuestos!$B$3</f>
        <v>2.08</v>
      </c>
    </row>
    <row r="660" customFormat="false" ht="15" hidden="false" customHeight="false" outlineLevel="0" collapsed="false">
      <c r="A660" s="0" t="s">
        <v>194</v>
      </c>
      <c r="B660" s="0" t="s">
        <v>170</v>
      </c>
      <c r="C660" s="0" t="n">
        <v>11</v>
      </c>
      <c r="D660" s="5" t="n">
        <f aca="false">Supuestos!$B$12</f>
        <v>0.1</v>
      </c>
      <c r="E660" s="5" t="n">
        <f aca="false">IF(C660&lt;Familias!F18,0,INDEX(Supuestos!$B$13:$B$19,MIN(C660-Familias!F18+1,7)))</f>
        <v>1</v>
      </c>
      <c r="F660" s="4" t="n">
        <f aca="false">Familias!E18*D660*E660</f>
        <v>160</v>
      </c>
      <c r="G660" s="4" t="n">
        <f aca="false">F660*Supuestos!$B$2</f>
        <v>3.2</v>
      </c>
      <c r="H660" s="4" t="n">
        <f aca="false">G660*Supuestos!$B$3</f>
        <v>2.08</v>
      </c>
    </row>
    <row r="661" customFormat="false" ht="15" hidden="false" customHeight="false" outlineLevel="0" collapsed="false">
      <c r="A661" s="0" t="s">
        <v>194</v>
      </c>
      <c r="B661" s="0" t="s">
        <v>170</v>
      </c>
      <c r="C661" s="0" t="n">
        <v>12</v>
      </c>
      <c r="D661" s="5" t="n">
        <f aca="false">Supuestos!$B$12</f>
        <v>0.1</v>
      </c>
      <c r="E661" s="5" t="n">
        <f aca="false">IF(C661&lt;Familias!F18,0,INDEX(Supuestos!$B$13:$B$19,MIN(C661-Familias!F18+1,7)))</f>
        <v>1</v>
      </c>
      <c r="F661" s="4" t="n">
        <f aca="false">Familias!E18*D661*E661</f>
        <v>160</v>
      </c>
      <c r="G661" s="4" t="n">
        <f aca="false">F661*Supuestos!$B$2</f>
        <v>3.2</v>
      </c>
      <c r="H661" s="4" t="n">
        <f aca="false">G661*Supuestos!$B$3</f>
        <v>2.08</v>
      </c>
    </row>
    <row r="662" customFormat="false" ht="15" hidden="false" customHeight="false" outlineLevel="0" collapsed="false">
      <c r="A662" s="0" t="s">
        <v>194</v>
      </c>
      <c r="B662" s="0" t="s">
        <v>175</v>
      </c>
      <c r="C662" s="0" t="n">
        <v>1</v>
      </c>
      <c r="D662" s="5" t="n">
        <f aca="false">Supuestos!$B$12</f>
        <v>0.1</v>
      </c>
      <c r="E662" s="5" t="n">
        <f aca="false">IF(C662&lt;Familias!F19,0,INDEX(Supuestos!$B$13:$B$19,MIN(C662-Familias!F19+1,7)))</f>
        <v>0.1</v>
      </c>
      <c r="F662" s="4" t="n">
        <f aca="false">Familias!E19*D662*E662</f>
        <v>5.9</v>
      </c>
      <c r="G662" s="4" t="n">
        <f aca="false">F662*Supuestos!$B$2</f>
        <v>0.118</v>
      </c>
      <c r="H662" s="4" t="n">
        <f aca="false">G662*Supuestos!$B$3</f>
        <v>0.0767</v>
      </c>
    </row>
    <row r="663" customFormat="false" ht="15" hidden="false" customHeight="false" outlineLevel="0" collapsed="false">
      <c r="A663" s="0" t="s">
        <v>194</v>
      </c>
      <c r="B663" s="0" t="s">
        <v>175</v>
      </c>
      <c r="C663" s="0" t="n">
        <v>2</v>
      </c>
      <c r="D663" s="5" t="n">
        <f aca="false">Supuestos!$B$12</f>
        <v>0.1</v>
      </c>
      <c r="E663" s="5" t="n">
        <f aca="false">IF(C663&lt;Familias!F19,0,INDEX(Supuestos!$B$13:$B$19,MIN(C663-Familias!F19+1,7)))</f>
        <v>0.2</v>
      </c>
      <c r="F663" s="4" t="n">
        <f aca="false">Familias!E19*D663*E663</f>
        <v>11.8</v>
      </c>
      <c r="G663" s="4" t="n">
        <f aca="false">F663*Supuestos!$B$2</f>
        <v>0.236</v>
      </c>
      <c r="H663" s="4" t="n">
        <f aca="false">G663*Supuestos!$B$3</f>
        <v>0.1534</v>
      </c>
    </row>
    <row r="664" customFormat="false" ht="15" hidden="false" customHeight="false" outlineLevel="0" collapsed="false">
      <c r="A664" s="0" t="s">
        <v>194</v>
      </c>
      <c r="B664" s="0" t="s">
        <v>175</v>
      </c>
      <c r="C664" s="0" t="n">
        <v>3</v>
      </c>
      <c r="D664" s="5" t="n">
        <f aca="false">Supuestos!$B$12</f>
        <v>0.1</v>
      </c>
      <c r="E664" s="5" t="n">
        <f aca="false">IF(C664&lt;Familias!F19,0,INDEX(Supuestos!$B$13:$B$19,MIN(C664-Familias!F19+1,7)))</f>
        <v>0.35</v>
      </c>
      <c r="F664" s="4" t="n">
        <f aca="false">Familias!E19*D664*E664</f>
        <v>20.65</v>
      </c>
      <c r="G664" s="4" t="n">
        <f aca="false">F664*Supuestos!$B$2</f>
        <v>0.413</v>
      </c>
      <c r="H664" s="4" t="n">
        <f aca="false">G664*Supuestos!$B$3</f>
        <v>0.26845</v>
      </c>
    </row>
    <row r="665" customFormat="false" ht="15" hidden="false" customHeight="false" outlineLevel="0" collapsed="false">
      <c r="A665" s="0" t="s">
        <v>194</v>
      </c>
      <c r="B665" s="0" t="s">
        <v>175</v>
      </c>
      <c r="C665" s="0" t="n">
        <v>4</v>
      </c>
      <c r="D665" s="5" t="n">
        <f aca="false">Supuestos!$B$12</f>
        <v>0.1</v>
      </c>
      <c r="E665" s="5" t="n">
        <f aca="false">IF(C665&lt;Familias!F19,0,INDEX(Supuestos!$B$13:$B$19,MIN(C665-Familias!F19+1,7)))</f>
        <v>0.5</v>
      </c>
      <c r="F665" s="4" t="n">
        <f aca="false">Familias!E19*D665*E665</f>
        <v>29.5</v>
      </c>
      <c r="G665" s="4" t="n">
        <f aca="false">F665*Supuestos!$B$2</f>
        <v>0.59</v>
      </c>
      <c r="H665" s="4" t="n">
        <f aca="false">G665*Supuestos!$B$3</f>
        <v>0.3835</v>
      </c>
    </row>
    <row r="666" customFormat="false" ht="15" hidden="false" customHeight="false" outlineLevel="0" collapsed="false">
      <c r="A666" s="0" t="s">
        <v>194</v>
      </c>
      <c r="B666" s="0" t="s">
        <v>175</v>
      </c>
      <c r="C666" s="0" t="n">
        <v>5</v>
      </c>
      <c r="D666" s="5" t="n">
        <f aca="false">Supuestos!$B$12</f>
        <v>0.1</v>
      </c>
      <c r="E666" s="5" t="n">
        <f aca="false">IF(C666&lt;Familias!F19,0,INDEX(Supuestos!$B$13:$B$19,MIN(C666-Familias!F19+1,7)))</f>
        <v>0.65</v>
      </c>
      <c r="F666" s="4" t="n">
        <f aca="false">Familias!E19*D666*E666</f>
        <v>38.35</v>
      </c>
      <c r="G666" s="4" t="n">
        <f aca="false">F666*Supuestos!$B$2</f>
        <v>0.767</v>
      </c>
      <c r="H666" s="4" t="n">
        <f aca="false">G666*Supuestos!$B$3</f>
        <v>0.49855</v>
      </c>
    </row>
    <row r="667" customFormat="false" ht="15" hidden="false" customHeight="false" outlineLevel="0" collapsed="false">
      <c r="A667" s="0" t="s">
        <v>194</v>
      </c>
      <c r="B667" s="0" t="s">
        <v>175</v>
      </c>
      <c r="C667" s="0" t="n">
        <v>6</v>
      </c>
      <c r="D667" s="5" t="n">
        <f aca="false">Supuestos!$B$12</f>
        <v>0.1</v>
      </c>
      <c r="E667" s="5" t="n">
        <f aca="false">IF(C667&lt;Familias!F19,0,INDEX(Supuestos!$B$13:$B$19,MIN(C667-Familias!F19+1,7)))</f>
        <v>0.8</v>
      </c>
      <c r="F667" s="4" t="n">
        <f aca="false">Familias!E19*D667*E667</f>
        <v>47.2</v>
      </c>
      <c r="G667" s="4" t="n">
        <f aca="false">F667*Supuestos!$B$2</f>
        <v>0.944</v>
      </c>
      <c r="H667" s="4" t="n">
        <f aca="false">G667*Supuestos!$B$3</f>
        <v>0.6136</v>
      </c>
    </row>
    <row r="668" customFormat="false" ht="15" hidden="false" customHeight="false" outlineLevel="0" collapsed="false">
      <c r="A668" s="0" t="s">
        <v>194</v>
      </c>
      <c r="B668" s="0" t="s">
        <v>175</v>
      </c>
      <c r="C668" s="0" t="n">
        <v>7</v>
      </c>
      <c r="D668" s="5" t="n">
        <f aca="false">Supuestos!$B$12</f>
        <v>0.1</v>
      </c>
      <c r="E668" s="5" t="n">
        <f aca="false">IF(C668&lt;Familias!F19,0,INDEX(Supuestos!$B$13:$B$19,MIN(C668-Familias!F19+1,7)))</f>
        <v>1</v>
      </c>
      <c r="F668" s="4" t="n">
        <f aca="false">Familias!E19*D668*E668</f>
        <v>59</v>
      </c>
      <c r="G668" s="4" t="n">
        <f aca="false">F668*Supuestos!$B$2</f>
        <v>1.18</v>
      </c>
      <c r="H668" s="4" t="n">
        <f aca="false">G668*Supuestos!$B$3</f>
        <v>0.767</v>
      </c>
    </row>
    <row r="669" customFormat="false" ht="15" hidden="false" customHeight="false" outlineLevel="0" collapsed="false">
      <c r="A669" s="0" t="s">
        <v>194</v>
      </c>
      <c r="B669" s="0" t="s">
        <v>175</v>
      </c>
      <c r="C669" s="0" t="n">
        <v>8</v>
      </c>
      <c r="D669" s="5" t="n">
        <f aca="false">Supuestos!$B$12</f>
        <v>0.1</v>
      </c>
      <c r="E669" s="5" t="n">
        <f aca="false">IF(C669&lt;Familias!F19,0,INDEX(Supuestos!$B$13:$B$19,MIN(C669-Familias!F19+1,7)))</f>
        <v>1</v>
      </c>
      <c r="F669" s="4" t="n">
        <f aca="false">Familias!E19*D669*E669</f>
        <v>59</v>
      </c>
      <c r="G669" s="4" t="n">
        <f aca="false">F669*Supuestos!$B$2</f>
        <v>1.18</v>
      </c>
      <c r="H669" s="4" t="n">
        <f aca="false">G669*Supuestos!$B$3</f>
        <v>0.767</v>
      </c>
    </row>
    <row r="670" customFormat="false" ht="15" hidden="false" customHeight="false" outlineLevel="0" collapsed="false">
      <c r="A670" s="0" t="s">
        <v>194</v>
      </c>
      <c r="B670" s="0" t="s">
        <v>175</v>
      </c>
      <c r="C670" s="0" t="n">
        <v>9</v>
      </c>
      <c r="D670" s="5" t="n">
        <f aca="false">Supuestos!$B$12</f>
        <v>0.1</v>
      </c>
      <c r="E670" s="5" t="n">
        <f aca="false">IF(C670&lt;Familias!F19,0,INDEX(Supuestos!$B$13:$B$19,MIN(C670-Familias!F19+1,7)))</f>
        <v>1</v>
      </c>
      <c r="F670" s="4" t="n">
        <f aca="false">Familias!E19*D670*E670</f>
        <v>59</v>
      </c>
      <c r="G670" s="4" t="n">
        <f aca="false">F670*Supuestos!$B$2</f>
        <v>1.18</v>
      </c>
      <c r="H670" s="4" t="n">
        <f aca="false">G670*Supuestos!$B$3</f>
        <v>0.767</v>
      </c>
    </row>
    <row r="671" customFormat="false" ht="15" hidden="false" customHeight="false" outlineLevel="0" collapsed="false">
      <c r="A671" s="0" t="s">
        <v>194</v>
      </c>
      <c r="B671" s="0" t="s">
        <v>175</v>
      </c>
      <c r="C671" s="0" t="n">
        <v>10</v>
      </c>
      <c r="D671" s="5" t="n">
        <f aca="false">Supuestos!$B$12</f>
        <v>0.1</v>
      </c>
      <c r="E671" s="5" t="n">
        <f aca="false">IF(C671&lt;Familias!F19,0,INDEX(Supuestos!$B$13:$B$19,MIN(C671-Familias!F19+1,7)))</f>
        <v>1</v>
      </c>
      <c r="F671" s="4" t="n">
        <f aca="false">Familias!E19*D671*E671</f>
        <v>59</v>
      </c>
      <c r="G671" s="4" t="n">
        <f aca="false">F671*Supuestos!$B$2</f>
        <v>1.18</v>
      </c>
      <c r="H671" s="4" t="n">
        <f aca="false">G671*Supuestos!$B$3</f>
        <v>0.767</v>
      </c>
    </row>
    <row r="672" customFormat="false" ht="15" hidden="false" customHeight="false" outlineLevel="0" collapsed="false">
      <c r="A672" s="0" t="s">
        <v>194</v>
      </c>
      <c r="B672" s="0" t="s">
        <v>175</v>
      </c>
      <c r="C672" s="0" t="n">
        <v>11</v>
      </c>
      <c r="D672" s="5" t="n">
        <f aca="false">Supuestos!$B$12</f>
        <v>0.1</v>
      </c>
      <c r="E672" s="5" t="n">
        <f aca="false">IF(C672&lt;Familias!F19,0,INDEX(Supuestos!$B$13:$B$19,MIN(C672-Familias!F19+1,7)))</f>
        <v>1</v>
      </c>
      <c r="F672" s="4" t="n">
        <f aca="false">Familias!E19*D672*E672</f>
        <v>59</v>
      </c>
      <c r="G672" s="4" t="n">
        <f aca="false">F672*Supuestos!$B$2</f>
        <v>1.18</v>
      </c>
      <c r="H672" s="4" t="n">
        <f aca="false">G672*Supuestos!$B$3</f>
        <v>0.767</v>
      </c>
    </row>
    <row r="673" customFormat="false" ht="15" hidden="false" customHeight="false" outlineLevel="0" collapsed="false">
      <c r="A673" s="0" t="s">
        <v>194</v>
      </c>
      <c r="B673" s="0" t="s">
        <v>175</v>
      </c>
      <c r="C673" s="0" t="n">
        <v>12</v>
      </c>
      <c r="D673" s="5" t="n">
        <f aca="false">Supuestos!$B$12</f>
        <v>0.1</v>
      </c>
      <c r="E673" s="5" t="n">
        <f aca="false">IF(C673&lt;Familias!F19,0,INDEX(Supuestos!$B$13:$B$19,MIN(C673-Familias!F19+1,7)))</f>
        <v>1</v>
      </c>
      <c r="F673" s="4" t="n">
        <f aca="false">Familias!E19*D673*E673</f>
        <v>59</v>
      </c>
      <c r="G673" s="4" t="n">
        <f aca="false">F673*Supuestos!$B$2</f>
        <v>1.18</v>
      </c>
      <c r="H673" s="4" t="n">
        <f aca="false">G673*Supuestos!$B$3</f>
        <v>0.767</v>
      </c>
    </row>
    <row r="674" customFormat="false" ht="15" hidden="false" customHeight="false" outlineLevel="0" collapsed="false">
      <c r="A674" s="0" t="s">
        <v>194</v>
      </c>
      <c r="B674" s="0" t="s">
        <v>179</v>
      </c>
      <c r="C674" s="0" t="n">
        <v>1</v>
      </c>
      <c r="D674" s="5" t="n">
        <f aca="false">Supuestos!$B$12</f>
        <v>0.1</v>
      </c>
      <c r="E674" s="5" t="n">
        <f aca="false">IF(C674&lt;Familias!F20,0,INDEX(Supuestos!$B$13:$B$19,MIN(C674-Familias!F20+1,7)))</f>
        <v>0</v>
      </c>
      <c r="F674" s="4" t="n">
        <f aca="false">Familias!E20*D674*E674</f>
        <v>0</v>
      </c>
      <c r="G674" s="4" t="n">
        <f aca="false">F674*Supuestos!$B$2</f>
        <v>0</v>
      </c>
      <c r="H674" s="4" t="n">
        <f aca="false">G674*Supuestos!$B$3</f>
        <v>0</v>
      </c>
    </row>
    <row r="675" customFormat="false" ht="15" hidden="false" customHeight="false" outlineLevel="0" collapsed="false">
      <c r="A675" s="0" t="s">
        <v>194</v>
      </c>
      <c r="B675" s="0" t="s">
        <v>179</v>
      </c>
      <c r="C675" s="0" t="n">
        <v>2</v>
      </c>
      <c r="D675" s="5" t="n">
        <f aca="false">Supuestos!$B$12</f>
        <v>0.1</v>
      </c>
      <c r="E675" s="5" t="n">
        <f aca="false">IF(C675&lt;Familias!F20,0,INDEX(Supuestos!$B$13:$B$19,MIN(C675-Familias!F20+1,7)))</f>
        <v>0</v>
      </c>
      <c r="F675" s="4" t="n">
        <f aca="false">Familias!E20*D675*E675</f>
        <v>0</v>
      </c>
      <c r="G675" s="4" t="n">
        <f aca="false">F675*Supuestos!$B$2</f>
        <v>0</v>
      </c>
      <c r="H675" s="4" t="n">
        <f aca="false">G675*Supuestos!$B$3</f>
        <v>0</v>
      </c>
    </row>
    <row r="676" customFormat="false" ht="15" hidden="false" customHeight="false" outlineLevel="0" collapsed="false">
      <c r="A676" s="0" t="s">
        <v>194</v>
      </c>
      <c r="B676" s="0" t="s">
        <v>179</v>
      </c>
      <c r="C676" s="0" t="n">
        <v>3</v>
      </c>
      <c r="D676" s="5" t="n">
        <f aca="false">Supuestos!$B$12</f>
        <v>0.1</v>
      </c>
      <c r="E676" s="5" t="n">
        <f aca="false">IF(C676&lt;Familias!F20,0,INDEX(Supuestos!$B$13:$B$19,MIN(C676-Familias!F20+1,7)))</f>
        <v>0.1</v>
      </c>
      <c r="F676" s="4" t="n">
        <f aca="false">Familias!E20*D676*E676</f>
        <v>5.9</v>
      </c>
      <c r="G676" s="4" t="n">
        <f aca="false">F676*Supuestos!$B$2</f>
        <v>0.118</v>
      </c>
      <c r="H676" s="4" t="n">
        <f aca="false">G676*Supuestos!$B$3</f>
        <v>0.0767</v>
      </c>
    </row>
    <row r="677" customFormat="false" ht="15" hidden="false" customHeight="false" outlineLevel="0" collapsed="false">
      <c r="A677" s="0" t="s">
        <v>194</v>
      </c>
      <c r="B677" s="0" t="s">
        <v>179</v>
      </c>
      <c r="C677" s="0" t="n">
        <v>4</v>
      </c>
      <c r="D677" s="5" t="n">
        <f aca="false">Supuestos!$B$12</f>
        <v>0.1</v>
      </c>
      <c r="E677" s="5" t="n">
        <f aca="false">IF(C677&lt;Familias!F20,0,INDEX(Supuestos!$B$13:$B$19,MIN(C677-Familias!F20+1,7)))</f>
        <v>0.2</v>
      </c>
      <c r="F677" s="4" t="n">
        <f aca="false">Familias!E20*D677*E677</f>
        <v>11.8</v>
      </c>
      <c r="G677" s="4" t="n">
        <f aca="false">F677*Supuestos!$B$2</f>
        <v>0.236</v>
      </c>
      <c r="H677" s="4" t="n">
        <f aca="false">G677*Supuestos!$B$3</f>
        <v>0.1534</v>
      </c>
    </row>
    <row r="678" customFormat="false" ht="15" hidden="false" customHeight="false" outlineLevel="0" collapsed="false">
      <c r="A678" s="0" t="s">
        <v>194</v>
      </c>
      <c r="B678" s="0" t="s">
        <v>179</v>
      </c>
      <c r="C678" s="0" t="n">
        <v>5</v>
      </c>
      <c r="D678" s="5" t="n">
        <f aca="false">Supuestos!$B$12</f>
        <v>0.1</v>
      </c>
      <c r="E678" s="5" t="n">
        <f aca="false">IF(C678&lt;Familias!F20,0,INDEX(Supuestos!$B$13:$B$19,MIN(C678-Familias!F20+1,7)))</f>
        <v>0.35</v>
      </c>
      <c r="F678" s="4" t="n">
        <f aca="false">Familias!E20*D678*E678</f>
        <v>20.65</v>
      </c>
      <c r="G678" s="4" t="n">
        <f aca="false">F678*Supuestos!$B$2</f>
        <v>0.413</v>
      </c>
      <c r="H678" s="4" t="n">
        <f aca="false">G678*Supuestos!$B$3</f>
        <v>0.26845</v>
      </c>
    </row>
    <row r="679" customFormat="false" ht="15" hidden="false" customHeight="false" outlineLevel="0" collapsed="false">
      <c r="A679" s="0" t="s">
        <v>194</v>
      </c>
      <c r="B679" s="0" t="s">
        <v>179</v>
      </c>
      <c r="C679" s="0" t="n">
        <v>6</v>
      </c>
      <c r="D679" s="5" t="n">
        <f aca="false">Supuestos!$B$12</f>
        <v>0.1</v>
      </c>
      <c r="E679" s="5" t="n">
        <f aca="false">IF(C679&lt;Familias!F20,0,INDEX(Supuestos!$B$13:$B$19,MIN(C679-Familias!F20+1,7)))</f>
        <v>0.5</v>
      </c>
      <c r="F679" s="4" t="n">
        <f aca="false">Familias!E20*D679*E679</f>
        <v>29.5</v>
      </c>
      <c r="G679" s="4" t="n">
        <f aca="false">F679*Supuestos!$B$2</f>
        <v>0.59</v>
      </c>
      <c r="H679" s="4" t="n">
        <f aca="false">G679*Supuestos!$B$3</f>
        <v>0.3835</v>
      </c>
    </row>
    <row r="680" customFormat="false" ht="15" hidden="false" customHeight="false" outlineLevel="0" collapsed="false">
      <c r="A680" s="0" t="s">
        <v>194</v>
      </c>
      <c r="B680" s="0" t="s">
        <v>179</v>
      </c>
      <c r="C680" s="0" t="n">
        <v>7</v>
      </c>
      <c r="D680" s="5" t="n">
        <f aca="false">Supuestos!$B$12</f>
        <v>0.1</v>
      </c>
      <c r="E680" s="5" t="n">
        <f aca="false">IF(C680&lt;Familias!F20,0,INDEX(Supuestos!$B$13:$B$19,MIN(C680-Familias!F20+1,7)))</f>
        <v>0.65</v>
      </c>
      <c r="F680" s="4" t="n">
        <f aca="false">Familias!E20*D680*E680</f>
        <v>38.35</v>
      </c>
      <c r="G680" s="4" t="n">
        <f aca="false">F680*Supuestos!$B$2</f>
        <v>0.767</v>
      </c>
      <c r="H680" s="4" t="n">
        <f aca="false">G680*Supuestos!$B$3</f>
        <v>0.49855</v>
      </c>
    </row>
    <row r="681" customFormat="false" ht="15" hidden="false" customHeight="false" outlineLevel="0" collapsed="false">
      <c r="A681" s="0" t="s">
        <v>194</v>
      </c>
      <c r="B681" s="0" t="s">
        <v>179</v>
      </c>
      <c r="C681" s="0" t="n">
        <v>8</v>
      </c>
      <c r="D681" s="5" t="n">
        <f aca="false">Supuestos!$B$12</f>
        <v>0.1</v>
      </c>
      <c r="E681" s="5" t="n">
        <f aca="false">IF(C681&lt;Familias!F20,0,INDEX(Supuestos!$B$13:$B$19,MIN(C681-Familias!F20+1,7)))</f>
        <v>0.8</v>
      </c>
      <c r="F681" s="4" t="n">
        <f aca="false">Familias!E20*D681*E681</f>
        <v>47.2</v>
      </c>
      <c r="G681" s="4" t="n">
        <f aca="false">F681*Supuestos!$B$2</f>
        <v>0.944</v>
      </c>
      <c r="H681" s="4" t="n">
        <f aca="false">G681*Supuestos!$B$3</f>
        <v>0.6136</v>
      </c>
    </row>
    <row r="682" customFormat="false" ht="15" hidden="false" customHeight="false" outlineLevel="0" collapsed="false">
      <c r="A682" s="0" t="s">
        <v>194</v>
      </c>
      <c r="B682" s="0" t="s">
        <v>179</v>
      </c>
      <c r="C682" s="0" t="n">
        <v>9</v>
      </c>
      <c r="D682" s="5" t="n">
        <f aca="false">Supuestos!$B$12</f>
        <v>0.1</v>
      </c>
      <c r="E682" s="5" t="n">
        <f aca="false">IF(C682&lt;Familias!F20,0,INDEX(Supuestos!$B$13:$B$19,MIN(C682-Familias!F20+1,7)))</f>
        <v>1</v>
      </c>
      <c r="F682" s="4" t="n">
        <f aca="false">Familias!E20*D682*E682</f>
        <v>59</v>
      </c>
      <c r="G682" s="4" t="n">
        <f aca="false">F682*Supuestos!$B$2</f>
        <v>1.18</v>
      </c>
      <c r="H682" s="4" t="n">
        <f aca="false">G682*Supuestos!$B$3</f>
        <v>0.767</v>
      </c>
    </row>
    <row r="683" customFormat="false" ht="15" hidden="false" customHeight="false" outlineLevel="0" collapsed="false">
      <c r="A683" s="0" t="s">
        <v>194</v>
      </c>
      <c r="B683" s="0" t="s">
        <v>179</v>
      </c>
      <c r="C683" s="0" t="n">
        <v>10</v>
      </c>
      <c r="D683" s="5" t="n">
        <f aca="false">Supuestos!$B$12</f>
        <v>0.1</v>
      </c>
      <c r="E683" s="5" t="n">
        <f aca="false">IF(C683&lt;Familias!F20,0,INDEX(Supuestos!$B$13:$B$19,MIN(C683-Familias!F20+1,7)))</f>
        <v>1</v>
      </c>
      <c r="F683" s="4" t="n">
        <f aca="false">Familias!E20*D683*E683</f>
        <v>59</v>
      </c>
      <c r="G683" s="4" t="n">
        <f aca="false">F683*Supuestos!$B$2</f>
        <v>1.18</v>
      </c>
      <c r="H683" s="4" t="n">
        <f aca="false">G683*Supuestos!$B$3</f>
        <v>0.767</v>
      </c>
    </row>
    <row r="684" customFormat="false" ht="15" hidden="false" customHeight="false" outlineLevel="0" collapsed="false">
      <c r="A684" s="0" t="s">
        <v>194</v>
      </c>
      <c r="B684" s="0" t="s">
        <v>179</v>
      </c>
      <c r="C684" s="0" t="n">
        <v>11</v>
      </c>
      <c r="D684" s="5" t="n">
        <f aca="false">Supuestos!$B$12</f>
        <v>0.1</v>
      </c>
      <c r="E684" s="5" t="n">
        <f aca="false">IF(C684&lt;Familias!F20,0,INDEX(Supuestos!$B$13:$B$19,MIN(C684-Familias!F20+1,7)))</f>
        <v>1</v>
      </c>
      <c r="F684" s="4" t="n">
        <f aca="false">Familias!E20*D684*E684</f>
        <v>59</v>
      </c>
      <c r="G684" s="4" t="n">
        <f aca="false">F684*Supuestos!$B$2</f>
        <v>1.18</v>
      </c>
      <c r="H684" s="4" t="n">
        <f aca="false">G684*Supuestos!$B$3</f>
        <v>0.767</v>
      </c>
    </row>
    <row r="685" customFormat="false" ht="15" hidden="false" customHeight="false" outlineLevel="0" collapsed="false">
      <c r="A685" s="0" t="s">
        <v>194</v>
      </c>
      <c r="B685" s="0" t="s">
        <v>179</v>
      </c>
      <c r="C685" s="0" t="n">
        <v>12</v>
      </c>
      <c r="D685" s="5" t="n">
        <f aca="false">Supuestos!$B$12</f>
        <v>0.1</v>
      </c>
      <c r="E685" s="5" t="n">
        <f aca="false">IF(C685&lt;Familias!F20,0,INDEX(Supuestos!$B$13:$B$19,MIN(C685-Familias!F20+1,7)))</f>
        <v>1</v>
      </c>
      <c r="F685" s="4" t="n">
        <f aca="false">Familias!E20*D685*E685</f>
        <v>59</v>
      </c>
      <c r="G685" s="4" t="n">
        <f aca="false">F685*Supuestos!$B$2</f>
        <v>1.18</v>
      </c>
      <c r="H685" s="4" t="n">
        <f aca="false">G685*Supuestos!$B$3</f>
        <v>0.767</v>
      </c>
    </row>
  </sheetData>
  <autoFilter ref="A1:H685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.71"/>
    <col collapsed="false" customWidth="true" hidden="false" outlineLevel="0" max="2" min="2" style="0" width="25.71"/>
    <col collapsed="false" customWidth="true" hidden="false" outlineLevel="0" max="4" min="3" style="0" width="24.71"/>
    <col collapsed="false" customWidth="true" hidden="false" outlineLevel="0" max="5" min="5" style="0" width="95.71"/>
  </cols>
  <sheetData>
    <row r="1" customFormat="false" ht="36" hidden="false" customHeight="true" outlineLevel="0" collapsed="false">
      <c r="A1" s="1" t="s">
        <v>185</v>
      </c>
      <c r="B1" s="1" t="s">
        <v>195</v>
      </c>
      <c r="C1" s="1" t="s">
        <v>196</v>
      </c>
      <c r="D1" s="1" t="s">
        <v>197</v>
      </c>
      <c r="E1" s="1" t="s">
        <v>198</v>
      </c>
    </row>
    <row r="2" customFormat="false" ht="75" hidden="false" customHeight="true" outlineLevel="0" collapsed="false">
      <c r="A2" s="2" t="s">
        <v>192</v>
      </c>
      <c r="B2" s="4" t="n">
        <f aca="false">SUMIF('Trafico por mes'!$A$2:$A$685,A2,'Trafico por mes'!$F$2:$F$685)</f>
        <v>2993.2</v>
      </c>
      <c r="C2" s="4" t="n">
        <f aca="false">SUMIF('Trafico por mes'!$A$2:$A$685,A2,'Trafico por mes'!$G$2:$G$685)</f>
        <v>59.864</v>
      </c>
      <c r="D2" s="4" t="n">
        <f aca="false">SUMIF('Trafico por mes'!$A$2:$A$685,A2,'Trafico por mes'!$H$2:$H$685)</f>
        <v>38.9116</v>
      </c>
      <c r="E2" s="2" t="s">
        <v>199</v>
      </c>
    </row>
    <row r="3" customFormat="false" ht="75" hidden="false" customHeight="true" outlineLevel="0" collapsed="false">
      <c r="A3" s="2" t="s">
        <v>193</v>
      </c>
      <c r="B3" s="4" t="n">
        <f aca="false">SUMIF('Trafico por mes'!$A$2:$A$685,A3,'Trafico por mes'!$F$2:$F$685)</f>
        <v>7483</v>
      </c>
      <c r="C3" s="4" t="n">
        <f aca="false">SUMIF('Trafico por mes'!$A$2:$A$685,A3,'Trafico por mes'!$G$2:$G$685)</f>
        <v>149.66</v>
      </c>
      <c r="D3" s="4" t="n">
        <f aca="false">SUMIF('Trafico por mes'!$A$2:$A$685,A3,'Trafico por mes'!$H$2:$H$685)</f>
        <v>97.279</v>
      </c>
      <c r="E3" s="2" t="s">
        <v>199</v>
      </c>
    </row>
    <row r="4" customFormat="false" ht="75" hidden="false" customHeight="true" outlineLevel="0" collapsed="false">
      <c r="A4" s="2" t="s">
        <v>194</v>
      </c>
      <c r="B4" s="4" t="n">
        <f aca="false">SUMIF('Trafico por mes'!$A$2:$A$685,A4,'Trafico por mes'!$F$2:$F$685)</f>
        <v>14966</v>
      </c>
      <c r="C4" s="4" t="n">
        <f aca="false">SUMIF('Trafico por mes'!$A$2:$A$685,A4,'Trafico por mes'!$G$2:$G$685)</f>
        <v>299.32</v>
      </c>
      <c r="D4" s="4" t="n">
        <f aca="false">SUMIF('Trafico por mes'!$A$2:$A$685,A4,'Trafico por mes'!$H$2:$H$685)</f>
        <v>194.558</v>
      </c>
      <c r="E4" s="2" t="s">
        <v>199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.71"/>
    <col collapsed="false" customWidth="true" hidden="false" outlineLevel="0" max="2" min="2" style="0" width="22.71"/>
    <col collapsed="false" customWidth="true" hidden="false" outlineLevel="0" max="3" min="3" style="0" width="19.71"/>
    <col collapsed="false" customWidth="true" hidden="false" outlineLevel="0" max="4" min="4" style="0" width="28.71"/>
    <col collapsed="false" customWidth="true" hidden="false" outlineLevel="0" max="5" min="5" style="0" width="30.71"/>
    <col collapsed="false" customWidth="true" hidden="false" outlineLevel="0" max="6" min="6" style="0" width="80.71"/>
  </cols>
  <sheetData>
    <row r="1" customFormat="false" ht="36" hidden="false" customHeight="true" outlineLevel="0" collapsed="false">
      <c r="A1" s="1" t="s">
        <v>185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204</v>
      </c>
    </row>
    <row r="2" customFormat="false" ht="45" hidden="false" customHeight="true" outlineLevel="0" collapsed="false">
      <c r="A2" s="2" t="s">
        <v>205</v>
      </c>
      <c r="B2" s="2" t="s">
        <v>206</v>
      </c>
      <c r="C2" s="4" t="n">
        <v>32</v>
      </c>
      <c r="D2" s="4" t="n">
        <v>11.3833333333333</v>
      </c>
      <c r="E2" s="4" t="n">
        <f aca="false">C2*D2*Supuestos!$B$32</f>
        <v>364.266666666667</v>
      </c>
      <c r="F2" s="2" t="s">
        <v>207</v>
      </c>
    </row>
    <row r="3" customFormat="false" ht="45" hidden="false" customHeight="true" outlineLevel="0" collapsed="false">
      <c r="A3" s="2" t="s">
        <v>205</v>
      </c>
      <c r="B3" s="2" t="s">
        <v>208</v>
      </c>
      <c r="C3" s="4" t="n">
        <v>192</v>
      </c>
      <c r="D3" s="4" t="n">
        <v>8.05</v>
      </c>
      <c r="E3" s="4" t="n">
        <f aca="false">C3*D3*Supuestos!$B$32</f>
        <v>1545.6</v>
      </c>
      <c r="F3" s="2" t="s">
        <v>207</v>
      </c>
    </row>
    <row r="4" customFormat="false" ht="45" hidden="false" customHeight="true" outlineLevel="0" collapsed="false">
      <c r="A4" s="2" t="s">
        <v>205</v>
      </c>
      <c r="B4" s="2" t="s">
        <v>209</v>
      </c>
      <c r="C4" s="4" t="n">
        <v>72</v>
      </c>
      <c r="D4" s="4" t="n">
        <v>12.0777777777778</v>
      </c>
      <c r="E4" s="4" t="n">
        <f aca="false">C4*D4*Supuestos!$B$32</f>
        <v>869.6</v>
      </c>
      <c r="F4" s="2" t="s">
        <v>207</v>
      </c>
    </row>
    <row r="5" customFormat="false" ht="45" hidden="false" customHeight="true" outlineLevel="0" collapsed="false">
      <c r="A5" s="2" t="s">
        <v>205</v>
      </c>
      <c r="B5" s="2" t="s">
        <v>210</v>
      </c>
      <c r="C5" s="4" t="n">
        <v>152</v>
      </c>
      <c r="D5" s="4" t="n">
        <v>950</v>
      </c>
      <c r="E5" s="4" t="n">
        <f aca="false">Supuestos!$B$25*Supuestos!$B$24*12*(1+Supuestos!$B$7)</f>
        <v>4104</v>
      </c>
      <c r="F5" s="2" t="s">
        <v>211</v>
      </c>
    </row>
    <row r="6" customFormat="false" ht="45" hidden="false" customHeight="true" outlineLevel="0" collapsed="false">
      <c r="A6" s="2" t="s">
        <v>205</v>
      </c>
      <c r="B6" s="2" t="s">
        <v>212</v>
      </c>
      <c r="C6" s="4" t="n">
        <v>232</v>
      </c>
      <c r="D6" s="4" t="n">
        <v>12.0777777777778</v>
      </c>
      <c r="E6" s="4" t="n">
        <f aca="false">C6*D6*Supuestos!$B$32</f>
        <v>2802.04444444444</v>
      </c>
      <c r="F6" s="2" t="s">
        <v>207</v>
      </c>
    </row>
    <row r="7" customFormat="false" ht="45" hidden="false" customHeight="true" outlineLevel="0" collapsed="false">
      <c r="A7" s="2" t="s">
        <v>205</v>
      </c>
      <c r="B7" s="2" t="s">
        <v>213</v>
      </c>
      <c r="C7" s="4" t="n">
        <v>108</v>
      </c>
      <c r="D7" s="4" t="n">
        <v>10.8277777777778</v>
      </c>
      <c r="E7" s="4" t="n">
        <f aca="false">C7*D7*Supuestos!$B$32</f>
        <v>1169.4</v>
      </c>
      <c r="F7" s="2" t="s">
        <v>207</v>
      </c>
    </row>
    <row r="8" customFormat="false" ht="45" hidden="false" customHeight="true" outlineLevel="0" collapsed="false">
      <c r="A8" s="2" t="s">
        <v>205</v>
      </c>
      <c r="B8" s="2" t="s">
        <v>214</v>
      </c>
      <c r="C8" s="4" t="n">
        <v>204</v>
      </c>
      <c r="D8" s="4" t="n">
        <v>10.2722222222222</v>
      </c>
      <c r="E8" s="4" t="n">
        <f aca="false">C8*D8*Supuestos!$B$32</f>
        <v>2095.53333333333</v>
      </c>
      <c r="F8" s="2" t="s">
        <v>207</v>
      </c>
    </row>
    <row r="9" customFormat="false" ht="45" hidden="false" customHeight="true" outlineLevel="0" collapsed="false">
      <c r="A9" s="2" t="s">
        <v>205</v>
      </c>
      <c r="B9" s="2" t="s">
        <v>215</v>
      </c>
      <c r="C9" s="4" t="n">
        <v>512</v>
      </c>
      <c r="D9" s="4" t="n">
        <v>1500</v>
      </c>
      <c r="E9" s="4" t="n">
        <f aca="false">Supuestos!$B$29*Supuestos!$B$28*12*(1+Supuestos!$B$7)</f>
        <v>21600</v>
      </c>
      <c r="F9" s="2" t="s">
        <v>211</v>
      </c>
    </row>
    <row r="10" customFormat="false" ht="45" hidden="false" customHeight="true" outlineLevel="0" collapsed="false">
      <c r="A10" s="2" t="s">
        <v>205</v>
      </c>
      <c r="B10" s="2" t="s">
        <v>216</v>
      </c>
      <c r="C10" s="4" t="n">
        <v>32</v>
      </c>
      <c r="D10" s="4" t="n">
        <v>6.38333333333333</v>
      </c>
      <c r="E10" s="4" t="n">
        <f aca="false">C10*D10*Supuestos!$B$32</f>
        <v>204.266666666667</v>
      </c>
      <c r="F10" s="2" t="s">
        <v>207</v>
      </c>
    </row>
    <row r="11" customFormat="false" ht="45" hidden="false" customHeight="true" outlineLevel="0" collapsed="false">
      <c r="A11" s="2" t="s">
        <v>205</v>
      </c>
      <c r="B11" s="2" t="s">
        <v>217</v>
      </c>
      <c r="C11" s="4" t="n">
        <v>160</v>
      </c>
      <c r="D11" s="4" t="n">
        <v>9.16111111111111</v>
      </c>
      <c r="E11" s="4" t="n">
        <f aca="false">C11*D11*Supuestos!$B$32</f>
        <v>1465.77777777778</v>
      </c>
      <c r="F11" s="2" t="s">
        <v>207</v>
      </c>
    </row>
    <row r="12" customFormat="false" ht="45" hidden="false" customHeight="true" outlineLevel="0" collapsed="false">
      <c r="A12" s="2" t="s">
        <v>205</v>
      </c>
      <c r="B12" s="2" t="s">
        <v>218</v>
      </c>
      <c r="C12" s="4" t="n">
        <v>520</v>
      </c>
      <c r="D12" s="4" t="n">
        <v>600</v>
      </c>
      <c r="E12" s="4" t="n">
        <f aca="false">Supuestos!$B$21*Supuestos!$B$20*12*(1+Supuestos!$B$7)</f>
        <v>4320</v>
      </c>
      <c r="F12" s="2" t="s">
        <v>211</v>
      </c>
    </row>
    <row r="13" customFormat="false" ht="45" hidden="false" customHeight="true" outlineLevel="0" collapsed="false">
      <c r="A13" s="2" t="s">
        <v>219</v>
      </c>
      <c r="B13" s="2" t="s">
        <v>206</v>
      </c>
      <c r="C13" s="4" t="n">
        <v>32</v>
      </c>
      <c r="D13" s="4" t="n">
        <v>11.3833333333333</v>
      </c>
      <c r="E13" s="4" t="n">
        <f aca="false">C13*D13*Supuestos!$B$34</f>
        <v>455.333333333333</v>
      </c>
      <c r="F13" s="2" t="s">
        <v>207</v>
      </c>
    </row>
    <row r="14" customFormat="false" ht="45" hidden="false" customHeight="true" outlineLevel="0" collapsed="false">
      <c r="A14" s="2" t="s">
        <v>219</v>
      </c>
      <c r="B14" s="2" t="s">
        <v>208</v>
      </c>
      <c r="C14" s="4" t="n">
        <v>192</v>
      </c>
      <c r="D14" s="4" t="n">
        <v>8.05</v>
      </c>
      <c r="E14" s="4" t="n">
        <f aca="false">C14*D14*Supuestos!$B$34</f>
        <v>1932</v>
      </c>
      <c r="F14" s="2" t="s">
        <v>207</v>
      </c>
    </row>
    <row r="15" customFormat="false" ht="45" hidden="false" customHeight="true" outlineLevel="0" collapsed="false">
      <c r="A15" s="2" t="s">
        <v>219</v>
      </c>
      <c r="B15" s="2" t="s">
        <v>209</v>
      </c>
      <c r="C15" s="4" t="n">
        <v>72</v>
      </c>
      <c r="D15" s="4" t="n">
        <v>12.0777777777778</v>
      </c>
      <c r="E15" s="4" t="n">
        <f aca="false">C15*D15*Supuestos!$B$34</f>
        <v>1087</v>
      </c>
      <c r="F15" s="2" t="s">
        <v>207</v>
      </c>
    </row>
    <row r="16" customFormat="false" ht="45" hidden="false" customHeight="true" outlineLevel="0" collapsed="false">
      <c r="A16" s="2" t="s">
        <v>219</v>
      </c>
      <c r="B16" s="2" t="s">
        <v>210</v>
      </c>
      <c r="C16" s="4" t="n">
        <v>152</v>
      </c>
      <c r="D16" s="4" t="n">
        <v>1075</v>
      </c>
      <c r="E16" s="4" t="n">
        <f aca="false">Supuestos!$B$26*Supuestos!$B$24*12*(1+Supuestos!$B$7)</f>
        <v>4644</v>
      </c>
      <c r="F16" s="2" t="s">
        <v>211</v>
      </c>
    </row>
    <row r="17" customFormat="false" ht="45" hidden="false" customHeight="true" outlineLevel="0" collapsed="false">
      <c r="A17" s="2" t="s">
        <v>219</v>
      </c>
      <c r="B17" s="2" t="s">
        <v>212</v>
      </c>
      <c r="C17" s="4" t="n">
        <v>232</v>
      </c>
      <c r="D17" s="4" t="n">
        <v>12.0777777777778</v>
      </c>
      <c r="E17" s="4" t="n">
        <f aca="false">C17*D17*Supuestos!$B$34</f>
        <v>3502.55555555556</v>
      </c>
      <c r="F17" s="2" t="s">
        <v>207</v>
      </c>
    </row>
    <row r="18" customFormat="false" ht="45" hidden="false" customHeight="true" outlineLevel="0" collapsed="false">
      <c r="A18" s="2" t="s">
        <v>219</v>
      </c>
      <c r="B18" s="2" t="s">
        <v>213</v>
      </c>
      <c r="C18" s="4" t="n">
        <v>108</v>
      </c>
      <c r="D18" s="4" t="n">
        <v>10.8277777777778</v>
      </c>
      <c r="E18" s="4" t="n">
        <f aca="false">C18*D18*Supuestos!$B$34</f>
        <v>1461.75</v>
      </c>
      <c r="F18" s="2" t="s">
        <v>207</v>
      </c>
    </row>
    <row r="19" customFormat="false" ht="45" hidden="false" customHeight="true" outlineLevel="0" collapsed="false">
      <c r="A19" s="2" t="s">
        <v>219</v>
      </c>
      <c r="B19" s="2" t="s">
        <v>214</v>
      </c>
      <c r="C19" s="4" t="n">
        <v>204</v>
      </c>
      <c r="D19" s="4" t="n">
        <v>10.2722222222222</v>
      </c>
      <c r="E19" s="4" t="n">
        <f aca="false">C19*D19*Supuestos!$B$34</f>
        <v>2619.41666666667</v>
      </c>
      <c r="F19" s="2" t="s">
        <v>207</v>
      </c>
    </row>
    <row r="20" customFormat="false" ht="45" hidden="false" customHeight="true" outlineLevel="0" collapsed="false">
      <c r="A20" s="2" t="s">
        <v>219</v>
      </c>
      <c r="B20" s="2" t="s">
        <v>215</v>
      </c>
      <c r="C20" s="4" t="n">
        <v>512</v>
      </c>
      <c r="D20" s="4" t="n">
        <v>1500</v>
      </c>
      <c r="E20" s="4" t="n">
        <f aca="false">Supuestos!$B$30*Supuestos!$B$28*12*(1+Supuestos!$B$7)</f>
        <v>21600</v>
      </c>
      <c r="F20" s="2" t="s">
        <v>211</v>
      </c>
    </row>
    <row r="21" customFormat="false" ht="45" hidden="false" customHeight="true" outlineLevel="0" collapsed="false">
      <c r="A21" s="2" t="s">
        <v>219</v>
      </c>
      <c r="B21" s="2" t="s">
        <v>216</v>
      </c>
      <c r="C21" s="4" t="n">
        <v>32</v>
      </c>
      <c r="D21" s="4" t="n">
        <v>6.38333333333333</v>
      </c>
      <c r="E21" s="4" t="n">
        <f aca="false">C21*D21*Supuestos!$B$34</f>
        <v>255.333333333333</v>
      </c>
      <c r="F21" s="2" t="s">
        <v>207</v>
      </c>
    </row>
    <row r="22" customFormat="false" ht="45" hidden="false" customHeight="true" outlineLevel="0" collapsed="false">
      <c r="A22" s="2" t="s">
        <v>219</v>
      </c>
      <c r="B22" s="2" t="s">
        <v>217</v>
      </c>
      <c r="C22" s="4" t="n">
        <v>160</v>
      </c>
      <c r="D22" s="4" t="n">
        <v>9.16111111111111</v>
      </c>
      <c r="E22" s="4" t="n">
        <f aca="false">C22*D22*Supuestos!$B$34</f>
        <v>1832.22222222222</v>
      </c>
      <c r="F22" s="2" t="s">
        <v>207</v>
      </c>
    </row>
    <row r="23" customFormat="false" ht="45" hidden="false" customHeight="true" outlineLevel="0" collapsed="false">
      <c r="A23" s="2" t="s">
        <v>219</v>
      </c>
      <c r="B23" s="2" t="s">
        <v>218</v>
      </c>
      <c r="C23" s="4" t="n">
        <v>520</v>
      </c>
      <c r="D23" s="4" t="n">
        <v>750</v>
      </c>
      <c r="E23" s="4" t="n">
        <f aca="false">Supuestos!$B$22*Supuestos!$B$20*12*(1+Supuestos!$B$7)</f>
        <v>5400</v>
      </c>
      <c r="F23" s="2" t="s">
        <v>211</v>
      </c>
    </row>
    <row r="24" customFormat="false" ht="45" hidden="false" customHeight="true" outlineLevel="0" collapsed="false">
      <c r="A24" s="2" t="s">
        <v>220</v>
      </c>
      <c r="B24" s="2" t="s">
        <v>206</v>
      </c>
      <c r="C24" s="4" t="n">
        <v>32</v>
      </c>
      <c r="D24" s="4" t="n">
        <v>11.3833333333333</v>
      </c>
      <c r="E24" s="4" t="n">
        <f aca="false">C24*D24*Supuestos!$B$36</f>
        <v>546.4</v>
      </c>
      <c r="F24" s="2" t="s">
        <v>207</v>
      </c>
    </row>
    <row r="25" customFormat="false" ht="45" hidden="false" customHeight="true" outlineLevel="0" collapsed="false">
      <c r="A25" s="2" t="s">
        <v>220</v>
      </c>
      <c r="B25" s="2" t="s">
        <v>208</v>
      </c>
      <c r="C25" s="4" t="n">
        <v>192</v>
      </c>
      <c r="D25" s="4" t="n">
        <v>8.05</v>
      </c>
      <c r="E25" s="4" t="n">
        <f aca="false">C25*D25*Supuestos!$B$36</f>
        <v>2318.4</v>
      </c>
      <c r="F25" s="2" t="s">
        <v>207</v>
      </c>
    </row>
    <row r="26" customFormat="false" ht="45" hidden="false" customHeight="true" outlineLevel="0" collapsed="false">
      <c r="A26" s="2" t="s">
        <v>220</v>
      </c>
      <c r="B26" s="2" t="s">
        <v>209</v>
      </c>
      <c r="C26" s="4" t="n">
        <v>72</v>
      </c>
      <c r="D26" s="4" t="n">
        <v>12.0777777777778</v>
      </c>
      <c r="E26" s="4" t="n">
        <f aca="false">C26*D26*Supuestos!$B$36</f>
        <v>1304.4</v>
      </c>
      <c r="F26" s="2" t="s">
        <v>207</v>
      </c>
    </row>
    <row r="27" customFormat="false" ht="45" hidden="false" customHeight="true" outlineLevel="0" collapsed="false">
      <c r="A27" s="2" t="s">
        <v>220</v>
      </c>
      <c r="B27" s="2" t="s">
        <v>210</v>
      </c>
      <c r="C27" s="4" t="n">
        <v>152</v>
      </c>
      <c r="D27" s="4" t="n">
        <v>1200</v>
      </c>
      <c r="E27" s="4" t="n">
        <f aca="false">Supuestos!$B$27*Supuestos!$B$24*12*(1+Supuestos!$B$7)</f>
        <v>5184</v>
      </c>
      <c r="F27" s="2" t="s">
        <v>211</v>
      </c>
    </row>
    <row r="28" customFormat="false" ht="45" hidden="false" customHeight="true" outlineLevel="0" collapsed="false">
      <c r="A28" s="2" t="s">
        <v>220</v>
      </c>
      <c r="B28" s="2" t="s">
        <v>212</v>
      </c>
      <c r="C28" s="4" t="n">
        <v>232</v>
      </c>
      <c r="D28" s="4" t="n">
        <v>12.0777777777778</v>
      </c>
      <c r="E28" s="4" t="n">
        <f aca="false">C28*D28*Supuestos!$B$36</f>
        <v>4203.06666666667</v>
      </c>
      <c r="F28" s="2" t="s">
        <v>207</v>
      </c>
    </row>
    <row r="29" customFormat="false" ht="45" hidden="false" customHeight="true" outlineLevel="0" collapsed="false">
      <c r="A29" s="2" t="s">
        <v>220</v>
      </c>
      <c r="B29" s="2" t="s">
        <v>213</v>
      </c>
      <c r="C29" s="4" t="n">
        <v>108</v>
      </c>
      <c r="D29" s="4" t="n">
        <v>10.8277777777778</v>
      </c>
      <c r="E29" s="4" t="n">
        <f aca="false">C29*D29*Supuestos!$B$36</f>
        <v>1754.1</v>
      </c>
      <c r="F29" s="2" t="s">
        <v>207</v>
      </c>
    </row>
    <row r="30" customFormat="false" ht="45" hidden="false" customHeight="true" outlineLevel="0" collapsed="false">
      <c r="A30" s="2" t="s">
        <v>220</v>
      </c>
      <c r="B30" s="2" t="s">
        <v>214</v>
      </c>
      <c r="C30" s="4" t="n">
        <v>204</v>
      </c>
      <c r="D30" s="4" t="n">
        <v>10.2722222222222</v>
      </c>
      <c r="E30" s="4" t="n">
        <f aca="false">C30*D30*Supuestos!$B$36</f>
        <v>3143.3</v>
      </c>
      <c r="F30" s="2" t="s">
        <v>207</v>
      </c>
    </row>
    <row r="31" customFormat="false" ht="45" hidden="false" customHeight="true" outlineLevel="0" collapsed="false">
      <c r="A31" s="2" t="s">
        <v>220</v>
      </c>
      <c r="B31" s="2" t="s">
        <v>215</v>
      </c>
      <c r="C31" s="4" t="n">
        <v>512</v>
      </c>
      <c r="D31" s="4" t="n">
        <v>1500</v>
      </c>
      <c r="E31" s="4" t="n">
        <f aca="false">Supuestos!$B$31*Supuestos!$B$28*12*(1+Supuestos!$B$7)</f>
        <v>21600</v>
      </c>
      <c r="F31" s="2" t="s">
        <v>211</v>
      </c>
    </row>
    <row r="32" customFormat="false" ht="45" hidden="false" customHeight="true" outlineLevel="0" collapsed="false">
      <c r="A32" s="2" t="s">
        <v>220</v>
      </c>
      <c r="B32" s="2" t="s">
        <v>216</v>
      </c>
      <c r="C32" s="4" t="n">
        <v>32</v>
      </c>
      <c r="D32" s="4" t="n">
        <v>6.38333333333333</v>
      </c>
      <c r="E32" s="4" t="n">
        <f aca="false">C32*D32*Supuestos!$B$36</f>
        <v>306.4</v>
      </c>
      <c r="F32" s="2" t="s">
        <v>207</v>
      </c>
    </row>
    <row r="33" customFormat="false" ht="45" hidden="false" customHeight="true" outlineLevel="0" collapsed="false">
      <c r="A33" s="2" t="s">
        <v>220</v>
      </c>
      <c r="B33" s="2" t="s">
        <v>217</v>
      </c>
      <c r="C33" s="4" t="n">
        <v>160</v>
      </c>
      <c r="D33" s="4" t="n">
        <v>9.16111111111111</v>
      </c>
      <c r="E33" s="4" t="n">
        <f aca="false">C33*D33*Supuestos!$B$36</f>
        <v>2198.66666666667</v>
      </c>
      <c r="F33" s="2" t="s">
        <v>207</v>
      </c>
    </row>
    <row r="34" customFormat="false" ht="45" hidden="false" customHeight="true" outlineLevel="0" collapsed="false">
      <c r="A34" s="2" t="s">
        <v>220</v>
      </c>
      <c r="B34" s="2" t="s">
        <v>218</v>
      </c>
      <c r="C34" s="4" t="n">
        <v>520</v>
      </c>
      <c r="D34" s="4" t="n">
        <v>900</v>
      </c>
      <c r="E34" s="4" t="n">
        <f aca="false">Supuestos!$B$23*Supuestos!$B$20*12*(1+Supuestos!$B$7)</f>
        <v>6480</v>
      </c>
      <c r="F34" s="2" t="s">
        <v>211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.71"/>
    <col collapsed="false" customWidth="true" hidden="false" outlineLevel="0" max="3" min="2" style="0" width="23.71"/>
    <col collapsed="false" customWidth="true" hidden="false" outlineLevel="0" max="4" min="4" style="0" width="24.71"/>
    <col collapsed="false" customWidth="true" hidden="false" outlineLevel="0" max="6" min="5" style="0" width="23.71"/>
    <col collapsed="false" customWidth="true" hidden="false" outlineLevel="0" max="7" min="7" style="0" width="28.71"/>
    <col collapsed="false" customWidth="true" hidden="false" outlineLevel="0" max="8" min="8" style="0" width="23.71"/>
    <col collapsed="false" customWidth="true" hidden="false" outlineLevel="0" max="9" min="9" style="0" width="24.71"/>
  </cols>
  <sheetData>
    <row r="1" customFormat="false" ht="36" hidden="false" customHeight="true" outlineLevel="0" collapsed="false">
      <c r="A1" s="1" t="s">
        <v>185</v>
      </c>
      <c r="B1" s="1" t="s">
        <v>221</v>
      </c>
      <c r="C1" s="1" t="s">
        <v>222</v>
      </c>
      <c r="D1" s="1" t="s">
        <v>223</v>
      </c>
      <c r="E1" s="1" t="s">
        <v>224</v>
      </c>
      <c r="F1" s="1" t="s">
        <v>225</v>
      </c>
      <c r="G1" s="1" t="s">
        <v>226</v>
      </c>
      <c r="H1" s="1" t="s">
        <v>227</v>
      </c>
      <c r="I1" s="1" t="s">
        <v>228</v>
      </c>
    </row>
    <row r="2" customFormat="false" ht="15" hidden="false" customHeight="false" outlineLevel="0" collapsed="false">
      <c r="A2" s="0" t="s">
        <v>205</v>
      </c>
      <c r="B2" s="4" t="n">
        <f aca="false">SUMIF(Costeo!A2:A34,A2,Costeo!E2:E34)</f>
        <v>40540.4888888889</v>
      </c>
      <c r="C2" s="4" t="n">
        <f aca="false">B2*Supuestos!$B$6</f>
        <v>6081.07333333333</v>
      </c>
      <c r="D2" s="4" t="n">
        <f aca="false">Supuestos!$B$33*12</f>
        <v>2400</v>
      </c>
      <c r="E2" s="4" t="n">
        <f aca="false">SUM(B2:D2)</f>
        <v>49021.5622222222</v>
      </c>
      <c r="F2" s="4" t="n">
        <f aca="false">E2/12</f>
        <v>4085.13018518519</v>
      </c>
      <c r="G2" s="4" t="n">
        <f aca="false">F2/(1-Supuestos!$B$8)</f>
        <v>6808.55030864198</v>
      </c>
      <c r="H2" s="4" t="n">
        <f aca="false">Supuestos!$B$9</f>
        <v>8000</v>
      </c>
      <c r="I2" s="5" t="n">
        <f aca="false">(H2-F2)/H2</f>
        <v>0.489358726851852</v>
      </c>
    </row>
    <row r="3" customFormat="false" ht="15" hidden="false" customHeight="false" outlineLevel="0" collapsed="false">
      <c r="A3" s="0" t="s">
        <v>219</v>
      </c>
      <c r="B3" s="4" t="n">
        <f aca="false">SUMIF(Costeo!A2:A34,A3,Costeo!E2:E34)</f>
        <v>44789.6111111111</v>
      </c>
      <c r="C3" s="4" t="n">
        <f aca="false">B3*Supuestos!$B$6</f>
        <v>6718.44166666667</v>
      </c>
      <c r="D3" s="4" t="n">
        <f aca="false">Supuestos!$B$35*12</f>
        <v>3600</v>
      </c>
      <c r="E3" s="4" t="n">
        <f aca="false">SUM(B3:D3)</f>
        <v>55108.0527777778</v>
      </c>
      <c r="F3" s="4" t="n">
        <f aca="false">E3/12</f>
        <v>4592.33773148148</v>
      </c>
      <c r="G3" s="4" t="n">
        <f aca="false">F3/(1-Supuestos!$B$8)</f>
        <v>7653.8962191358</v>
      </c>
      <c r="H3" s="4" t="n">
        <f aca="false">Supuestos!$B$9</f>
        <v>8000</v>
      </c>
      <c r="I3" s="5" t="n">
        <f aca="false">(H3-F3)/H3</f>
        <v>0.425957783564815</v>
      </c>
    </row>
    <row r="4" customFormat="false" ht="15" hidden="false" customHeight="false" outlineLevel="0" collapsed="false">
      <c r="A4" s="0" t="s">
        <v>220</v>
      </c>
      <c r="B4" s="4" t="n">
        <f aca="false">SUMIF(Costeo!A2:A34,A4,Costeo!E2:E34)</f>
        <v>49038.7333333333</v>
      </c>
      <c r="C4" s="4" t="n">
        <f aca="false">B4*Supuestos!$B$6</f>
        <v>7355.81</v>
      </c>
      <c r="D4" s="4" t="n">
        <f aca="false">Supuestos!$B$37*12</f>
        <v>6000</v>
      </c>
      <c r="E4" s="4" t="n">
        <f aca="false">SUM(B4:D4)</f>
        <v>62394.5433333333</v>
      </c>
      <c r="F4" s="4" t="n">
        <f aca="false">E4/12</f>
        <v>5199.54527777778</v>
      </c>
      <c r="G4" s="4" t="n">
        <f aca="false">F4/(1-Supuestos!$B$8)</f>
        <v>8665.9087962963</v>
      </c>
      <c r="H4" s="4" t="n">
        <f aca="false">Supuestos!$B$9</f>
        <v>8000</v>
      </c>
      <c r="I4" s="5" t="n">
        <f aca="false">(H4-F4)/H4</f>
        <v>0.350056840277778</v>
      </c>
    </row>
    <row r="7" customFormat="false" ht="15" hidden="false" customHeight="true" outlineLevel="0" collapsed="false">
      <c r="A7" s="6" t="s">
        <v>229</v>
      </c>
      <c r="B7" s="6"/>
      <c r="C7" s="6"/>
      <c r="D7" s="6"/>
      <c r="E7" s="6"/>
      <c r="F7" s="6"/>
      <c r="G7" s="6"/>
      <c r="H7" s="6"/>
      <c r="I7" s="6"/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6"/>
      <c r="H8" s="6"/>
      <c r="I8" s="6"/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6"/>
      <c r="H9" s="6"/>
      <c r="I9" s="6"/>
    </row>
  </sheetData>
  <mergeCells count="1">
    <mergeCell ref="A7:I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27.71"/>
  </cols>
  <sheetData>
    <row r="1" customFormat="false" ht="36" hidden="false" customHeight="true" outlineLevel="0" collapsed="false">
      <c r="A1" s="1" t="s">
        <v>230</v>
      </c>
      <c r="B1" s="1" t="s">
        <v>231</v>
      </c>
      <c r="C1" s="1" t="s">
        <v>232</v>
      </c>
      <c r="D1" s="1" t="s">
        <v>233</v>
      </c>
      <c r="E1" s="1" t="s">
        <v>234</v>
      </c>
      <c r="F1" s="1" t="s">
        <v>235</v>
      </c>
    </row>
    <row r="2" customFormat="false" ht="45.75" hidden="false" customHeight="true" outlineLevel="0" collapsed="false">
      <c r="A2" s="2" t="s">
        <v>236</v>
      </c>
      <c r="B2" s="2" t="s">
        <v>237</v>
      </c>
      <c r="C2" s="2" t="s">
        <v>213</v>
      </c>
      <c r="D2" s="2" t="s">
        <v>238</v>
      </c>
      <c r="E2" s="4" t="n">
        <v>1</v>
      </c>
      <c r="F2" s="4" t="n">
        <v>6</v>
      </c>
    </row>
    <row r="3" customFormat="false" ht="45.75" hidden="false" customHeight="true" outlineLevel="0" collapsed="false">
      <c r="A3" s="2" t="s">
        <v>236</v>
      </c>
      <c r="B3" s="2" t="s">
        <v>237</v>
      </c>
      <c r="C3" s="2" t="s">
        <v>213</v>
      </c>
      <c r="D3" s="2" t="s">
        <v>238</v>
      </c>
      <c r="E3" s="4" t="n">
        <v>2</v>
      </c>
      <c r="F3" s="4" t="n">
        <v>6</v>
      </c>
    </row>
    <row r="4" customFormat="false" ht="45.75" hidden="false" customHeight="true" outlineLevel="0" collapsed="false">
      <c r="A4" s="2" t="s">
        <v>236</v>
      </c>
      <c r="B4" s="2" t="s">
        <v>237</v>
      </c>
      <c r="C4" s="2" t="s">
        <v>213</v>
      </c>
      <c r="D4" s="2" t="s">
        <v>238</v>
      </c>
      <c r="E4" s="4" t="n">
        <v>3</v>
      </c>
      <c r="F4" s="4" t="n">
        <v>6</v>
      </c>
    </row>
    <row r="5" customFormat="false" ht="45.75" hidden="false" customHeight="true" outlineLevel="0" collapsed="false">
      <c r="A5" s="2" t="s">
        <v>236</v>
      </c>
      <c r="B5" s="2" t="s">
        <v>237</v>
      </c>
      <c r="C5" s="2" t="s">
        <v>213</v>
      </c>
      <c r="D5" s="2" t="s">
        <v>238</v>
      </c>
      <c r="E5" s="4" t="n">
        <v>4</v>
      </c>
      <c r="F5" s="4" t="n">
        <v>6</v>
      </c>
    </row>
    <row r="6" customFormat="false" ht="45.75" hidden="false" customHeight="true" outlineLevel="0" collapsed="false">
      <c r="A6" s="2" t="s">
        <v>236</v>
      </c>
      <c r="B6" s="2" t="s">
        <v>237</v>
      </c>
      <c r="C6" s="2" t="s">
        <v>213</v>
      </c>
      <c r="D6" s="2" t="s">
        <v>238</v>
      </c>
      <c r="E6" s="4" t="n">
        <v>5</v>
      </c>
      <c r="F6" s="4" t="n">
        <v>6</v>
      </c>
    </row>
    <row r="7" customFormat="false" ht="45.75" hidden="false" customHeight="true" outlineLevel="0" collapsed="false">
      <c r="A7" s="2" t="s">
        <v>236</v>
      </c>
      <c r="B7" s="2" t="s">
        <v>237</v>
      </c>
      <c r="C7" s="2" t="s">
        <v>213</v>
      </c>
      <c r="D7" s="2" t="s">
        <v>238</v>
      </c>
      <c r="E7" s="4" t="n">
        <v>6</v>
      </c>
      <c r="F7" s="4" t="n">
        <v>6</v>
      </c>
    </row>
    <row r="8" customFormat="false" ht="45.75" hidden="false" customHeight="true" outlineLevel="0" collapsed="false">
      <c r="A8" s="2" t="s">
        <v>236</v>
      </c>
      <c r="B8" s="2" t="s">
        <v>237</v>
      </c>
      <c r="C8" s="2" t="s">
        <v>213</v>
      </c>
      <c r="D8" s="2" t="s">
        <v>238</v>
      </c>
      <c r="E8" s="4" t="n">
        <v>7</v>
      </c>
      <c r="F8" s="4" t="n">
        <v>6</v>
      </c>
    </row>
    <row r="9" customFormat="false" ht="45.75" hidden="false" customHeight="true" outlineLevel="0" collapsed="false">
      <c r="A9" s="2" t="s">
        <v>236</v>
      </c>
      <c r="B9" s="2" t="s">
        <v>237</v>
      </c>
      <c r="C9" s="2" t="s">
        <v>213</v>
      </c>
      <c r="D9" s="2" t="s">
        <v>238</v>
      </c>
      <c r="E9" s="4" t="n">
        <v>8</v>
      </c>
      <c r="F9" s="4" t="n">
        <v>6</v>
      </c>
    </row>
    <row r="10" customFormat="false" ht="45.75" hidden="false" customHeight="true" outlineLevel="0" collapsed="false">
      <c r="A10" s="2" t="s">
        <v>236</v>
      </c>
      <c r="B10" s="2" t="s">
        <v>237</v>
      </c>
      <c r="C10" s="2" t="s">
        <v>213</v>
      </c>
      <c r="D10" s="2" t="s">
        <v>238</v>
      </c>
      <c r="E10" s="4" t="n">
        <v>9</v>
      </c>
      <c r="F10" s="4" t="n">
        <v>6</v>
      </c>
    </row>
    <row r="11" customFormat="false" ht="45.75" hidden="false" customHeight="true" outlineLevel="0" collapsed="false">
      <c r="A11" s="2" t="s">
        <v>236</v>
      </c>
      <c r="B11" s="2" t="s">
        <v>237</v>
      </c>
      <c r="C11" s="2" t="s">
        <v>213</v>
      </c>
      <c r="D11" s="2" t="s">
        <v>238</v>
      </c>
      <c r="E11" s="4" t="n">
        <v>10</v>
      </c>
      <c r="F11" s="4" t="n">
        <v>6</v>
      </c>
    </row>
    <row r="12" customFormat="false" ht="45.75" hidden="false" customHeight="true" outlineLevel="0" collapsed="false">
      <c r="A12" s="2" t="s">
        <v>236</v>
      </c>
      <c r="B12" s="2" t="s">
        <v>237</v>
      </c>
      <c r="C12" s="2" t="s">
        <v>213</v>
      </c>
      <c r="D12" s="2" t="s">
        <v>238</v>
      </c>
      <c r="E12" s="4" t="n">
        <v>11</v>
      </c>
      <c r="F12" s="4" t="n">
        <v>6</v>
      </c>
    </row>
    <row r="13" customFormat="false" ht="45.75" hidden="false" customHeight="true" outlineLevel="0" collapsed="false">
      <c r="A13" s="2" t="s">
        <v>236</v>
      </c>
      <c r="B13" s="2" t="s">
        <v>237</v>
      </c>
      <c r="C13" s="2" t="s">
        <v>213</v>
      </c>
      <c r="D13" s="2" t="s">
        <v>238</v>
      </c>
      <c r="E13" s="4" t="n">
        <v>12</v>
      </c>
      <c r="F13" s="4" t="n">
        <v>6</v>
      </c>
    </row>
    <row r="14" customFormat="false" ht="45.75" hidden="false" customHeight="true" outlineLevel="0" collapsed="false">
      <c r="A14" s="2" t="s">
        <v>239</v>
      </c>
      <c r="B14" s="2" t="s">
        <v>240</v>
      </c>
      <c r="C14" s="2" t="s">
        <v>213</v>
      </c>
      <c r="D14" s="2" t="s">
        <v>238</v>
      </c>
      <c r="E14" s="4" t="n">
        <v>3</v>
      </c>
      <c r="F14" s="4" t="n">
        <v>8</v>
      </c>
    </row>
    <row r="15" customFormat="false" ht="45.75" hidden="false" customHeight="true" outlineLevel="0" collapsed="false">
      <c r="A15" s="2" t="s">
        <v>239</v>
      </c>
      <c r="B15" s="2" t="s">
        <v>240</v>
      </c>
      <c r="C15" s="2" t="s">
        <v>213</v>
      </c>
      <c r="D15" s="2" t="s">
        <v>238</v>
      </c>
      <c r="E15" s="4" t="n">
        <v>6</v>
      </c>
      <c r="F15" s="4" t="n">
        <v>8</v>
      </c>
    </row>
    <row r="16" customFormat="false" ht="45.75" hidden="false" customHeight="true" outlineLevel="0" collapsed="false">
      <c r="A16" s="2" t="s">
        <v>239</v>
      </c>
      <c r="B16" s="2" t="s">
        <v>240</v>
      </c>
      <c r="C16" s="2" t="s">
        <v>213</v>
      </c>
      <c r="D16" s="2" t="s">
        <v>238</v>
      </c>
      <c r="E16" s="4" t="n">
        <v>9</v>
      </c>
      <c r="F16" s="4" t="n">
        <v>8</v>
      </c>
    </row>
    <row r="17" customFormat="false" ht="45.75" hidden="false" customHeight="true" outlineLevel="0" collapsed="false">
      <c r="A17" s="2" t="s">
        <v>239</v>
      </c>
      <c r="B17" s="2" t="s">
        <v>240</v>
      </c>
      <c r="C17" s="2" t="s">
        <v>213</v>
      </c>
      <c r="D17" s="2" t="s">
        <v>238</v>
      </c>
      <c r="E17" s="4" t="n">
        <v>12</v>
      </c>
      <c r="F17" s="4" t="n">
        <v>8</v>
      </c>
    </row>
    <row r="18" customFormat="false" ht="45.75" hidden="false" customHeight="true" outlineLevel="0" collapsed="false">
      <c r="A18" s="2" t="s">
        <v>241</v>
      </c>
      <c r="B18" s="2" t="s">
        <v>242</v>
      </c>
      <c r="C18" s="2" t="s">
        <v>213</v>
      </c>
      <c r="D18" s="2" t="s">
        <v>238</v>
      </c>
      <c r="E18" s="4" t="n">
        <v>1</v>
      </c>
      <c r="F18" s="4" t="n">
        <v>4</v>
      </c>
    </row>
    <row r="19" customFormat="false" ht="45.75" hidden="false" customHeight="true" outlineLevel="0" collapsed="false">
      <c r="A19" s="2" t="s">
        <v>243</v>
      </c>
      <c r="B19" s="2" t="s">
        <v>244</v>
      </c>
      <c r="C19" s="2" t="s">
        <v>215</v>
      </c>
      <c r="D19" s="2"/>
      <c r="E19" s="4" t="n">
        <v>1</v>
      </c>
      <c r="F19" s="4" t="n">
        <v>32</v>
      </c>
    </row>
    <row r="20" customFormat="false" ht="45.75" hidden="false" customHeight="true" outlineLevel="0" collapsed="false">
      <c r="A20" s="2" t="s">
        <v>245</v>
      </c>
      <c r="B20" s="2" t="s">
        <v>246</v>
      </c>
      <c r="C20" s="2" t="s">
        <v>215</v>
      </c>
      <c r="D20" s="2"/>
      <c r="E20" s="4" t="n">
        <v>2</v>
      </c>
      <c r="F20" s="4" t="n">
        <v>8</v>
      </c>
    </row>
    <row r="21" customFormat="false" ht="45.75" hidden="false" customHeight="true" outlineLevel="0" collapsed="false">
      <c r="A21" s="2" t="s">
        <v>245</v>
      </c>
      <c r="B21" s="2" t="s">
        <v>246</v>
      </c>
      <c r="C21" s="2" t="s">
        <v>215</v>
      </c>
      <c r="D21" s="2"/>
      <c r="E21" s="4" t="n">
        <v>3</v>
      </c>
      <c r="F21" s="4" t="n">
        <v>8</v>
      </c>
    </row>
    <row r="22" customFormat="false" ht="45.75" hidden="false" customHeight="true" outlineLevel="0" collapsed="false">
      <c r="A22" s="2" t="s">
        <v>245</v>
      </c>
      <c r="B22" s="2" t="s">
        <v>246</v>
      </c>
      <c r="C22" s="2" t="s">
        <v>215</v>
      </c>
      <c r="D22" s="2"/>
      <c r="E22" s="4" t="n">
        <v>4</v>
      </c>
      <c r="F22" s="4" t="n">
        <v>8</v>
      </c>
    </row>
    <row r="23" customFormat="false" ht="45.75" hidden="false" customHeight="true" outlineLevel="0" collapsed="false">
      <c r="A23" s="2" t="s">
        <v>245</v>
      </c>
      <c r="B23" s="2" t="s">
        <v>246</v>
      </c>
      <c r="C23" s="2" t="s">
        <v>215</v>
      </c>
      <c r="D23" s="2"/>
      <c r="E23" s="4" t="n">
        <v>5</v>
      </c>
      <c r="F23" s="4" t="n">
        <v>8</v>
      </c>
    </row>
    <row r="24" customFormat="false" ht="45.75" hidden="false" customHeight="true" outlineLevel="0" collapsed="false">
      <c r="A24" s="2" t="s">
        <v>245</v>
      </c>
      <c r="B24" s="2" t="s">
        <v>246</v>
      </c>
      <c r="C24" s="2" t="s">
        <v>215</v>
      </c>
      <c r="D24" s="2"/>
      <c r="E24" s="4" t="n">
        <v>6</v>
      </c>
      <c r="F24" s="4" t="n">
        <v>8</v>
      </c>
    </row>
    <row r="25" customFormat="false" ht="45.75" hidden="false" customHeight="true" outlineLevel="0" collapsed="false">
      <c r="A25" s="2" t="s">
        <v>245</v>
      </c>
      <c r="B25" s="2" t="s">
        <v>246</v>
      </c>
      <c r="C25" s="2" t="s">
        <v>215</v>
      </c>
      <c r="D25" s="2"/>
      <c r="E25" s="4" t="n">
        <v>7</v>
      </c>
      <c r="F25" s="4" t="n">
        <v>8</v>
      </c>
    </row>
    <row r="26" customFormat="false" ht="45.75" hidden="false" customHeight="true" outlineLevel="0" collapsed="false">
      <c r="A26" s="2" t="s">
        <v>245</v>
      </c>
      <c r="B26" s="2" t="s">
        <v>246</v>
      </c>
      <c r="C26" s="2" t="s">
        <v>215</v>
      </c>
      <c r="D26" s="2"/>
      <c r="E26" s="4" t="n">
        <v>8</v>
      </c>
      <c r="F26" s="4" t="n">
        <v>8</v>
      </c>
    </row>
    <row r="27" customFormat="false" ht="45.75" hidden="false" customHeight="true" outlineLevel="0" collapsed="false">
      <c r="A27" s="2" t="s">
        <v>245</v>
      </c>
      <c r="B27" s="2" t="s">
        <v>246</v>
      </c>
      <c r="C27" s="2" t="s">
        <v>215</v>
      </c>
      <c r="D27" s="2"/>
      <c r="E27" s="4" t="n">
        <v>9</v>
      </c>
      <c r="F27" s="4" t="n">
        <v>8</v>
      </c>
    </row>
    <row r="28" customFormat="false" ht="45.75" hidden="false" customHeight="true" outlineLevel="0" collapsed="false">
      <c r="A28" s="2" t="s">
        <v>245</v>
      </c>
      <c r="B28" s="2" t="s">
        <v>246</v>
      </c>
      <c r="C28" s="2" t="s">
        <v>215</v>
      </c>
      <c r="D28" s="2"/>
      <c r="E28" s="4" t="n">
        <v>10</v>
      </c>
      <c r="F28" s="4" t="n">
        <v>8</v>
      </c>
    </row>
    <row r="29" customFormat="false" ht="45.75" hidden="false" customHeight="true" outlineLevel="0" collapsed="false">
      <c r="A29" s="2" t="s">
        <v>245</v>
      </c>
      <c r="B29" s="2" t="s">
        <v>246</v>
      </c>
      <c r="C29" s="2" t="s">
        <v>215</v>
      </c>
      <c r="D29" s="2"/>
      <c r="E29" s="4" t="n">
        <v>11</v>
      </c>
      <c r="F29" s="4" t="n">
        <v>8</v>
      </c>
    </row>
    <row r="30" customFormat="false" ht="45.75" hidden="false" customHeight="true" outlineLevel="0" collapsed="false">
      <c r="A30" s="2" t="s">
        <v>245</v>
      </c>
      <c r="B30" s="2" t="s">
        <v>246</v>
      </c>
      <c r="C30" s="2" t="s">
        <v>215</v>
      </c>
      <c r="D30" s="2"/>
      <c r="E30" s="4" t="n">
        <v>12</v>
      </c>
      <c r="F30" s="4" t="n">
        <v>8</v>
      </c>
    </row>
    <row r="31" customFormat="false" ht="45.75" hidden="false" customHeight="true" outlineLevel="0" collapsed="false">
      <c r="A31" s="2" t="s">
        <v>247</v>
      </c>
      <c r="B31" s="2" t="s">
        <v>248</v>
      </c>
      <c r="C31" s="2" t="s">
        <v>215</v>
      </c>
      <c r="D31" s="2"/>
      <c r="E31" s="4" t="n">
        <v>1</v>
      </c>
      <c r="F31" s="4" t="n">
        <v>8</v>
      </c>
    </row>
    <row r="32" customFormat="false" ht="45.75" hidden="false" customHeight="true" outlineLevel="0" collapsed="false">
      <c r="A32" s="2" t="s">
        <v>249</v>
      </c>
      <c r="B32" s="2" t="s">
        <v>250</v>
      </c>
      <c r="C32" s="2" t="s">
        <v>215</v>
      </c>
      <c r="D32" s="2"/>
      <c r="E32" s="4" t="n">
        <v>2</v>
      </c>
      <c r="F32" s="4" t="n">
        <v>4</v>
      </c>
    </row>
    <row r="33" customFormat="false" ht="45.75" hidden="false" customHeight="true" outlineLevel="0" collapsed="false">
      <c r="A33" s="2" t="s">
        <v>249</v>
      </c>
      <c r="B33" s="2" t="s">
        <v>250</v>
      </c>
      <c r="C33" s="2" t="s">
        <v>215</v>
      </c>
      <c r="D33" s="2"/>
      <c r="E33" s="4" t="n">
        <v>3</v>
      </c>
      <c r="F33" s="4" t="n">
        <v>4</v>
      </c>
    </row>
    <row r="34" customFormat="false" ht="45.75" hidden="false" customHeight="true" outlineLevel="0" collapsed="false">
      <c r="A34" s="2" t="s">
        <v>249</v>
      </c>
      <c r="B34" s="2" t="s">
        <v>250</v>
      </c>
      <c r="C34" s="2" t="s">
        <v>215</v>
      </c>
      <c r="D34" s="2"/>
      <c r="E34" s="4" t="n">
        <v>4</v>
      </c>
      <c r="F34" s="4" t="n">
        <v>4</v>
      </c>
    </row>
    <row r="35" customFormat="false" ht="45.75" hidden="false" customHeight="true" outlineLevel="0" collapsed="false">
      <c r="A35" s="2" t="s">
        <v>249</v>
      </c>
      <c r="B35" s="2" t="s">
        <v>250</v>
      </c>
      <c r="C35" s="2" t="s">
        <v>215</v>
      </c>
      <c r="D35" s="2"/>
      <c r="E35" s="4" t="n">
        <v>5</v>
      </c>
      <c r="F35" s="4" t="n">
        <v>4</v>
      </c>
    </row>
    <row r="36" customFormat="false" ht="45.75" hidden="false" customHeight="true" outlineLevel="0" collapsed="false">
      <c r="A36" s="2" t="s">
        <v>249</v>
      </c>
      <c r="B36" s="2" t="s">
        <v>250</v>
      </c>
      <c r="C36" s="2" t="s">
        <v>215</v>
      </c>
      <c r="D36" s="2"/>
      <c r="E36" s="4" t="n">
        <v>6</v>
      </c>
      <c r="F36" s="4" t="n">
        <v>4</v>
      </c>
    </row>
    <row r="37" customFormat="false" ht="45.75" hidden="false" customHeight="true" outlineLevel="0" collapsed="false">
      <c r="A37" s="2" t="s">
        <v>249</v>
      </c>
      <c r="B37" s="2" t="s">
        <v>250</v>
      </c>
      <c r="C37" s="2" t="s">
        <v>215</v>
      </c>
      <c r="D37" s="2"/>
      <c r="E37" s="4" t="n">
        <v>7</v>
      </c>
      <c r="F37" s="4" t="n">
        <v>4</v>
      </c>
    </row>
    <row r="38" customFormat="false" ht="45.75" hidden="false" customHeight="true" outlineLevel="0" collapsed="false">
      <c r="A38" s="2" t="s">
        <v>249</v>
      </c>
      <c r="B38" s="2" t="s">
        <v>250</v>
      </c>
      <c r="C38" s="2" t="s">
        <v>215</v>
      </c>
      <c r="D38" s="2"/>
      <c r="E38" s="4" t="n">
        <v>8</v>
      </c>
      <c r="F38" s="4" t="n">
        <v>4</v>
      </c>
    </row>
    <row r="39" customFormat="false" ht="45.75" hidden="false" customHeight="true" outlineLevel="0" collapsed="false">
      <c r="A39" s="2" t="s">
        <v>249</v>
      </c>
      <c r="B39" s="2" t="s">
        <v>250</v>
      </c>
      <c r="C39" s="2" t="s">
        <v>215</v>
      </c>
      <c r="D39" s="2"/>
      <c r="E39" s="4" t="n">
        <v>9</v>
      </c>
      <c r="F39" s="4" t="n">
        <v>4</v>
      </c>
    </row>
    <row r="40" customFormat="false" ht="45.75" hidden="false" customHeight="true" outlineLevel="0" collapsed="false">
      <c r="A40" s="2" t="s">
        <v>249</v>
      </c>
      <c r="B40" s="2" t="s">
        <v>250</v>
      </c>
      <c r="C40" s="2" t="s">
        <v>215</v>
      </c>
      <c r="D40" s="2"/>
      <c r="E40" s="4" t="n">
        <v>10</v>
      </c>
      <c r="F40" s="4" t="n">
        <v>4</v>
      </c>
    </row>
    <row r="41" customFormat="false" ht="45.75" hidden="false" customHeight="true" outlineLevel="0" collapsed="false">
      <c r="A41" s="2" t="s">
        <v>249</v>
      </c>
      <c r="B41" s="2" t="s">
        <v>250</v>
      </c>
      <c r="C41" s="2" t="s">
        <v>215</v>
      </c>
      <c r="D41" s="2"/>
      <c r="E41" s="4" t="n">
        <v>11</v>
      </c>
      <c r="F41" s="4" t="n">
        <v>4</v>
      </c>
    </row>
    <row r="42" customFormat="false" ht="45.75" hidden="false" customHeight="true" outlineLevel="0" collapsed="false">
      <c r="A42" s="2" t="s">
        <v>249</v>
      </c>
      <c r="B42" s="2" t="s">
        <v>250</v>
      </c>
      <c r="C42" s="2" t="s">
        <v>215</v>
      </c>
      <c r="D42" s="2"/>
      <c r="E42" s="4" t="n">
        <v>12</v>
      </c>
      <c r="F42" s="4" t="n">
        <v>4</v>
      </c>
    </row>
    <row r="43" customFormat="false" ht="45.75" hidden="false" customHeight="true" outlineLevel="0" collapsed="false">
      <c r="A43" s="2" t="s">
        <v>251</v>
      </c>
      <c r="B43" s="2" t="s">
        <v>252</v>
      </c>
      <c r="C43" s="2" t="s">
        <v>215</v>
      </c>
      <c r="D43" s="2"/>
      <c r="E43" s="4" t="n">
        <v>1</v>
      </c>
      <c r="F43" s="4" t="n">
        <v>24</v>
      </c>
    </row>
    <row r="44" customFormat="false" ht="45.75" hidden="false" customHeight="true" outlineLevel="0" collapsed="false">
      <c r="A44" s="2" t="s">
        <v>253</v>
      </c>
      <c r="B44" s="2" t="s">
        <v>254</v>
      </c>
      <c r="C44" s="2" t="s">
        <v>215</v>
      </c>
      <c r="D44" s="2"/>
      <c r="E44" s="4" t="n">
        <v>2</v>
      </c>
      <c r="F44" s="4" t="n">
        <v>6</v>
      </c>
    </row>
    <row r="45" customFormat="false" ht="45.75" hidden="false" customHeight="true" outlineLevel="0" collapsed="false">
      <c r="A45" s="2" t="s">
        <v>253</v>
      </c>
      <c r="B45" s="2" t="s">
        <v>254</v>
      </c>
      <c r="C45" s="2" t="s">
        <v>215</v>
      </c>
      <c r="D45" s="2"/>
      <c r="E45" s="4" t="n">
        <v>3</v>
      </c>
      <c r="F45" s="4" t="n">
        <v>6</v>
      </c>
    </row>
    <row r="46" customFormat="false" ht="45.75" hidden="false" customHeight="true" outlineLevel="0" collapsed="false">
      <c r="A46" s="2" t="s">
        <v>253</v>
      </c>
      <c r="B46" s="2" t="s">
        <v>254</v>
      </c>
      <c r="C46" s="2" t="s">
        <v>215</v>
      </c>
      <c r="D46" s="2"/>
      <c r="E46" s="4" t="n">
        <v>4</v>
      </c>
      <c r="F46" s="4" t="n">
        <v>6</v>
      </c>
    </row>
    <row r="47" customFormat="false" ht="45.75" hidden="false" customHeight="true" outlineLevel="0" collapsed="false">
      <c r="A47" s="2" t="s">
        <v>253</v>
      </c>
      <c r="B47" s="2" t="s">
        <v>254</v>
      </c>
      <c r="C47" s="2" t="s">
        <v>215</v>
      </c>
      <c r="D47" s="2"/>
      <c r="E47" s="4" t="n">
        <v>5</v>
      </c>
      <c r="F47" s="4" t="n">
        <v>6</v>
      </c>
    </row>
    <row r="48" customFormat="false" ht="45.75" hidden="false" customHeight="true" outlineLevel="0" collapsed="false">
      <c r="A48" s="2" t="s">
        <v>253</v>
      </c>
      <c r="B48" s="2" t="s">
        <v>254</v>
      </c>
      <c r="C48" s="2" t="s">
        <v>215</v>
      </c>
      <c r="D48" s="2"/>
      <c r="E48" s="4" t="n">
        <v>6</v>
      </c>
      <c r="F48" s="4" t="n">
        <v>6</v>
      </c>
    </row>
    <row r="49" customFormat="false" ht="45.75" hidden="false" customHeight="true" outlineLevel="0" collapsed="false">
      <c r="A49" s="2" t="s">
        <v>253</v>
      </c>
      <c r="B49" s="2" t="s">
        <v>254</v>
      </c>
      <c r="C49" s="2" t="s">
        <v>215</v>
      </c>
      <c r="D49" s="2"/>
      <c r="E49" s="4" t="n">
        <v>7</v>
      </c>
      <c r="F49" s="4" t="n">
        <v>6</v>
      </c>
    </row>
    <row r="50" customFormat="false" ht="45.75" hidden="false" customHeight="true" outlineLevel="0" collapsed="false">
      <c r="A50" s="2" t="s">
        <v>253</v>
      </c>
      <c r="B50" s="2" t="s">
        <v>254</v>
      </c>
      <c r="C50" s="2" t="s">
        <v>215</v>
      </c>
      <c r="D50" s="2"/>
      <c r="E50" s="4" t="n">
        <v>8</v>
      </c>
      <c r="F50" s="4" t="n">
        <v>6</v>
      </c>
    </row>
    <row r="51" customFormat="false" ht="45.75" hidden="false" customHeight="true" outlineLevel="0" collapsed="false">
      <c r="A51" s="2" t="s">
        <v>253</v>
      </c>
      <c r="B51" s="2" t="s">
        <v>254</v>
      </c>
      <c r="C51" s="2" t="s">
        <v>215</v>
      </c>
      <c r="D51" s="2"/>
      <c r="E51" s="4" t="n">
        <v>9</v>
      </c>
      <c r="F51" s="4" t="n">
        <v>6</v>
      </c>
    </row>
    <row r="52" customFormat="false" ht="45.75" hidden="false" customHeight="true" outlineLevel="0" collapsed="false">
      <c r="A52" s="2" t="s">
        <v>253</v>
      </c>
      <c r="B52" s="2" t="s">
        <v>254</v>
      </c>
      <c r="C52" s="2" t="s">
        <v>215</v>
      </c>
      <c r="D52" s="2"/>
      <c r="E52" s="4" t="n">
        <v>10</v>
      </c>
      <c r="F52" s="4" t="n">
        <v>6</v>
      </c>
    </row>
    <row r="53" customFormat="false" ht="45.75" hidden="false" customHeight="true" outlineLevel="0" collapsed="false">
      <c r="A53" s="2" t="s">
        <v>253</v>
      </c>
      <c r="B53" s="2" t="s">
        <v>254</v>
      </c>
      <c r="C53" s="2" t="s">
        <v>215</v>
      </c>
      <c r="D53" s="2"/>
      <c r="E53" s="4" t="n">
        <v>11</v>
      </c>
      <c r="F53" s="4" t="n">
        <v>6</v>
      </c>
    </row>
    <row r="54" customFormat="false" ht="45.75" hidden="false" customHeight="true" outlineLevel="0" collapsed="false">
      <c r="A54" s="2" t="s">
        <v>253</v>
      </c>
      <c r="B54" s="2" t="s">
        <v>254</v>
      </c>
      <c r="C54" s="2" t="s">
        <v>215</v>
      </c>
      <c r="D54" s="2"/>
      <c r="E54" s="4" t="n">
        <v>12</v>
      </c>
      <c r="F54" s="4" t="n">
        <v>6</v>
      </c>
    </row>
    <row r="55" customFormat="false" ht="45.75" hidden="false" customHeight="true" outlineLevel="0" collapsed="false">
      <c r="A55" s="2" t="s">
        <v>255</v>
      </c>
      <c r="B55" s="2" t="s">
        <v>256</v>
      </c>
      <c r="C55" s="2" t="s">
        <v>215</v>
      </c>
      <c r="D55" s="2"/>
      <c r="E55" s="4" t="n">
        <v>1</v>
      </c>
      <c r="F55" s="4" t="n">
        <v>24</v>
      </c>
    </row>
    <row r="56" customFormat="false" ht="45.75" hidden="false" customHeight="true" outlineLevel="0" collapsed="false">
      <c r="A56" s="2" t="s">
        <v>255</v>
      </c>
      <c r="B56" s="2" t="s">
        <v>256</v>
      </c>
      <c r="C56" s="2" t="s">
        <v>215</v>
      </c>
      <c r="D56" s="2"/>
      <c r="E56" s="4" t="n">
        <v>2</v>
      </c>
      <c r="F56" s="4" t="n">
        <v>24</v>
      </c>
    </row>
    <row r="57" customFormat="false" ht="45.75" hidden="false" customHeight="true" outlineLevel="0" collapsed="false">
      <c r="A57" s="2" t="s">
        <v>257</v>
      </c>
      <c r="B57" s="2" t="s">
        <v>258</v>
      </c>
      <c r="C57" s="2" t="s">
        <v>215</v>
      </c>
      <c r="D57" s="2"/>
      <c r="E57" s="4" t="n">
        <v>2</v>
      </c>
      <c r="F57" s="4" t="n">
        <v>6</v>
      </c>
    </row>
    <row r="58" customFormat="false" ht="45.75" hidden="false" customHeight="true" outlineLevel="0" collapsed="false">
      <c r="A58" s="2" t="s">
        <v>257</v>
      </c>
      <c r="B58" s="2" t="s">
        <v>258</v>
      </c>
      <c r="C58" s="2" t="s">
        <v>215</v>
      </c>
      <c r="D58" s="2"/>
      <c r="E58" s="4" t="n">
        <v>3</v>
      </c>
      <c r="F58" s="4" t="n">
        <v>6</v>
      </c>
    </row>
    <row r="59" customFormat="false" ht="45.75" hidden="false" customHeight="true" outlineLevel="0" collapsed="false">
      <c r="A59" s="2" t="s">
        <v>257</v>
      </c>
      <c r="B59" s="2" t="s">
        <v>258</v>
      </c>
      <c r="C59" s="2" t="s">
        <v>215</v>
      </c>
      <c r="D59" s="2"/>
      <c r="E59" s="4" t="n">
        <v>4</v>
      </c>
      <c r="F59" s="4" t="n">
        <v>6</v>
      </c>
    </row>
    <row r="60" customFormat="false" ht="45.75" hidden="false" customHeight="true" outlineLevel="0" collapsed="false">
      <c r="A60" s="2" t="s">
        <v>257</v>
      </c>
      <c r="B60" s="2" t="s">
        <v>258</v>
      </c>
      <c r="C60" s="2" t="s">
        <v>215</v>
      </c>
      <c r="D60" s="2"/>
      <c r="E60" s="4" t="n">
        <v>5</v>
      </c>
      <c r="F60" s="4" t="n">
        <v>6</v>
      </c>
    </row>
    <row r="61" customFormat="false" ht="45.75" hidden="false" customHeight="true" outlineLevel="0" collapsed="false">
      <c r="A61" s="2" t="s">
        <v>257</v>
      </c>
      <c r="B61" s="2" t="s">
        <v>258</v>
      </c>
      <c r="C61" s="2" t="s">
        <v>215</v>
      </c>
      <c r="D61" s="2"/>
      <c r="E61" s="4" t="n">
        <v>6</v>
      </c>
      <c r="F61" s="4" t="n">
        <v>6</v>
      </c>
    </row>
    <row r="62" customFormat="false" ht="45.75" hidden="false" customHeight="true" outlineLevel="0" collapsed="false">
      <c r="A62" s="2" t="s">
        <v>257</v>
      </c>
      <c r="B62" s="2" t="s">
        <v>258</v>
      </c>
      <c r="C62" s="2" t="s">
        <v>215</v>
      </c>
      <c r="D62" s="2"/>
      <c r="E62" s="4" t="n">
        <v>7</v>
      </c>
      <c r="F62" s="4" t="n">
        <v>6</v>
      </c>
    </row>
    <row r="63" customFormat="false" ht="45.75" hidden="false" customHeight="true" outlineLevel="0" collapsed="false">
      <c r="A63" s="2" t="s">
        <v>257</v>
      </c>
      <c r="B63" s="2" t="s">
        <v>258</v>
      </c>
      <c r="C63" s="2" t="s">
        <v>215</v>
      </c>
      <c r="D63" s="2"/>
      <c r="E63" s="4" t="n">
        <v>8</v>
      </c>
      <c r="F63" s="4" t="n">
        <v>6</v>
      </c>
    </row>
    <row r="64" customFormat="false" ht="45.75" hidden="false" customHeight="true" outlineLevel="0" collapsed="false">
      <c r="A64" s="2" t="s">
        <v>257</v>
      </c>
      <c r="B64" s="2" t="s">
        <v>258</v>
      </c>
      <c r="C64" s="2" t="s">
        <v>215</v>
      </c>
      <c r="D64" s="2"/>
      <c r="E64" s="4" t="n">
        <v>9</v>
      </c>
      <c r="F64" s="4" t="n">
        <v>6</v>
      </c>
    </row>
    <row r="65" customFormat="false" ht="45.75" hidden="false" customHeight="true" outlineLevel="0" collapsed="false">
      <c r="A65" s="2" t="s">
        <v>257</v>
      </c>
      <c r="B65" s="2" t="s">
        <v>258</v>
      </c>
      <c r="C65" s="2" t="s">
        <v>215</v>
      </c>
      <c r="D65" s="2"/>
      <c r="E65" s="4" t="n">
        <v>10</v>
      </c>
      <c r="F65" s="4" t="n">
        <v>6</v>
      </c>
    </row>
    <row r="66" customFormat="false" ht="45.75" hidden="false" customHeight="true" outlineLevel="0" collapsed="false">
      <c r="A66" s="2" t="s">
        <v>257</v>
      </c>
      <c r="B66" s="2" t="s">
        <v>258</v>
      </c>
      <c r="C66" s="2" t="s">
        <v>215</v>
      </c>
      <c r="D66" s="2"/>
      <c r="E66" s="4" t="n">
        <v>11</v>
      </c>
      <c r="F66" s="4" t="n">
        <v>6</v>
      </c>
    </row>
    <row r="67" customFormat="false" ht="45.75" hidden="false" customHeight="true" outlineLevel="0" collapsed="false">
      <c r="A67" s="2" t="s">
        <v>257</v>
      </c>
      <c r="B67" s="2" t="s">
        <v>258</v>
      </c>
      <c r="C67" s="2" t="s">
        <v>215</v>
      </c>
      <c r="D67" s="2"/>
      <c r="E67" s="4" t="n">
        <v>12</v>
      </c>
      <c r="F67" s="4" t="n">
        <v>6</v>
      </c>
    </row>
    <row r="68" customFormat="false" ht="45.75" hidden="false" customHeight="true" outlineLevel="0" collapsed="false">
      <c r="A68" s="2" t="s">
        <v>259</v>
      </c>
      <c r="B68" s="2" t="s">
        <v>260</v>
      </c>
      <c r="C68" s="2" t="s">
        <v>215</v>
      </c>
      <c r="D68" s="2"/>
      <c r="E68" s="4" t="n">
        <v>1</v>
      </c>
      <c r="F68" s="4" t="n">
        <v>4</v>
      </c>
    </row>
    <row r="69" customFormat="false" ht="45.75" hidden="false" customHeight="true" outlineLevel="0" collapsed="false">
      <c r="A69" s="2" t="s">
        <v>259</v>
      </c>
      <c r="B69" s="2" t="s">
        <v>260</v>
      </c>
      <c r="C69" s="2" t="s">
        <v>215</v>
      </c>
      <c r="D69" s="2"/>
      <c r="E69" s="4" t="n">
        <v>2</v>
      </c>
      <c r="F69" s="4" t="n">
        <v>4</v>
      </c>
    </row>
    <row r="70" customFormat="false" ht="45.75" hidden="false" customHeight="true" outlineLevel="0" collapsed="false">
      <c r="A70" s="2" t="s">
        <v>259</v>
      </c>
      <c r="B70" s="2" t="s">
        <v>260</v>
      </c>
      <c r="C70" s="2" t="s">
        <v>215</v>
      </c>
      <c r="D70" s="2"/>
      <c r="E70" s="4" t="n">
        <v>3</v>
      </c>
      <c r="F70" s="4" t="n">
        <v>4</v>
      </c>
    </row>
    <row r="71" customFormat="false" ht="45.75" hidden="false" customHeight="true" outlineLevel="0" collapsed="false">
      <c r="A71" s="2" t="s">
        <v>259</v>
      </c>
      <c r="B71" s="2" t="s">
        <v>260</v>
      </c>
      <c r="C71" s="2" t="s">
        <v>215</v>
      </c>
      <c r="D71" s="2"/>
      <c r="E71" s="4" t="n">
        <v>4</v>
      </c>
      <c r="F71" s="4" t="n">
        <v>4</v>
      </c>
    </row>
    <row r="72" customFormat="false" ht="45.75" hidden="false" customHeight="true" outlineLevel="0" collapsed="false">
      <c r="A72" s="2" t="s">
        <v>259</v>
      </c>
      <c r="B72" s="2" t="s">
        <v>260</v>
      </c>
      <c r="C72" s="2" t="s">
        <v>215</v>
      </c>
      <c r="D72" s="2"/>
      <c r="E72" s="4" t="n">
        <v>5</v>
      </c>
      <c r="F72" s="4" t="n">
        <v>4</v>
      </c>
    </row>
    <row r="73" customFormat="false" ht="45.75" hidden="false" customHeight="true" outlineLevel="0" collapsed="false">
      <c r="A73" s="2" t="s">
        <v>259</v>
      </c>
      <c r="B73" s="2" t="s">
        <v>260</v>
      </c>
      <c r="C73" s="2" t="s">
        <v>215</v>
      </c>
      <c r="D73" s="2"/>
      <c r="E73" s="4" t="n">
        <v>6</v>
      </c>
      <c r="F73" s="4" t="n">
        <v>4</v>
      </c>
    </row>
    <row r="74" customFormat="false" ht="45.75" hidden="false" customHeight="true" outlineLevel="0" collapsed="false">
      <c r="A74" s="2" t="s">
        <v>259</v>
      </c>
      <c r="B74" s="2" t="s">
        <v>260</v>
      </c>
      <c r="C74" s="2" t="s">
        <v>215</v>
      </c>
      <c r="D74" s="2"/>
      <c r="E74" s="4" t="n">
        <v>7</v>
      </c>
      <c r="F74" s="4" t="n">
        <v>4</v>
      </c>
    </row>
    <row r="75" customFormat="false" ht="45.75" hidden="false" customHeight="true" outlineLevel="0" collapsed="false">
      <c r="A75" s="2" t="s">
        <v>259</v>
      </c>
      <c r="B75" s="2" t="s">
        <v>260</v>
      </c>
      <c r="C75" s="2" t="s">
        <v>215</v>
      </c>
      <c r="D75" s="2"/>
      <c r="E75" s="4" t="n">
        <v>8</v>
      </c>
      <c r="F75" s="4" t="n">
        <v>4</v>
      </c>
    </row>
    <row r="76" customFormat="false" ht="45.75" hidden="false" customHeight="true" outlineLevel="0" collapsed="false">
      <c r="A76" s="2" t="s">
        <v>259</v>
      </c>
      <c r="B76" s="2" t="s">
        <v>260</v>
      </c>
      <c r="C76" s="2" t="s">
        <v>215</v>
      </c>
      <c r="D76" s="2"/>
      <c r="E76" s="4" t="n">
        <v>9</v>
      </c>
      <c r="F76" s="4" t="n">
        <v>4</v>
      </c>
    </row>
    <row r="77" customFormat="false" ht="45.75" hidden="false" customHeight="true" outlineLevel="0" collapsed="false">
      <c r="A77" s="2" t="s">
        <v>259</v>
      </c>
      <c r="B77" s="2" t="s">
        <v>260</v>
      </c>
      <c r="C77" s="2" t="s">
        <v>215</v>
      </c>
      <c r="D77" s="2"/>
      <c r="E77" s="4" t="n">
        <v>10</v>
      </c>
      <c r="F77" s="4" t="n">
        <v>4</v>
      </c>
    </row>
    <row r="78" customFormat="false" ht="45.75" hidden="false" customHeight="true" outlineLevel="0" collapsed="false">
      <c r="A78" s="2" t="s">
        <v>259</v>
      </c>
      <c r="B78" s="2" t="s">
        <v>260</v>
      </c>
      <c r="C78" s="2" t="s">
        <v>215</v>
      </c>
      <c r="D78" s="2"/>
      <c r="E78" s="4" t="n">
        <v>11</v>
      </c>
      <c r="F78" s="4" t="n">
        <v>4</v>
      </c>
    </row>
    <row r="79" customFormat="false" ht="45.75" hidden="false" customHeight="true" outlineLevel="0" collapsed="false">
      <c r="A79" s="2" t="s">
        <v>259</v>
      </c>
      <c r="B79" s="2" t="s">
        <v>260</v>
      </c>
      <c r="C79" s="2" t="s">
        <v>215</v>
      </c>
      <c r="D79" s="2"/>
      <c r="E79" s="4" t="n">
        <v>12</v>
      </c>
      <c r="F79" s="4" t="n">
        <v>4</v>
      </c>
    </row>
    <row r="80" customFormat="false" ht="45.75" hidden="false" customHeight="true" outlineLevel="0" collapsed="false">
      <c r="A80" s="2" t="s">
        <v>261</v>
      </c>
      <c r="B80" s="2" t="s">
        <v>262</v>
      </c>
      <c r="C80" s="2" t="s">
        <v>215</v>
      </c>
      <c r="D80" s="2"/>
      <c r="E80" s="4" t="n">
        <v>3</v>
      </c>
      <c r="F80" s="4" t="n">
        <v>12</v>
      </c>
    </row>
    <row r="81" customFormat="false" ht="45.75" hidden="false" customHeight="true" outlineLevel="0" collapsed="false">
      <c r="A81" s="2" t="s">
        <v>261</v>
      </c>
      <c r="B81" s="2" t="s">
        <v>262</v>
      </c>
      <c r="C81" s="2" t="s">
        <v>215</v>
      </c>
      <c r="D81" s="2"/>
      <c r="E81" s="4" t="n">
        <v>5</v>
      </c>
      <c r="F81" s="4" t="n">
        <v>12</v>
      </c>
    </row>
    <row r="82" customFormat="false" ht="45.75" hidden="false" customHeight="true" outlineLevel="0" collapsed="false">
      <c r="A82" s="2" t="s">
        <v>261</v>
      </c>
      <c r="B82" s="2" t="s">
        <v>262</v>
      </c>
      <c r="C82" s="2" t="s">
        <v>215</v>
      </c>
      <c r="D82" s="2"/>
      <c r="E82" s="4" t="n">
        <v>8</v>
      </c>
      <c r="F82" s="4" t="n">
        <v>12</v>
      </c>
    </row>
    <row r="83" customFormat="false" ht="45.75" hidden="false" customHeight="true" outlineLevel="0" collapsed="false">
      <c r="A83" s="2" t="s">
        <v>261</v>
      </c>
      <c r="B83" s="2" t="s">
        <v>262</v>
      </c>
      <c r="C83" s="2" t="s">
        <v>215</v>
      </c>
      <c r="D83" s="2"/>
      <c r="E83" s="4" t="n">
        <v>11</v>
      </c>
      <c r="F83" s="4" t="n">
        <v>12</v>
      </c>
    </row>
    <row r="84" customFormat="false" ht="45.75" hidden="false" customHeight="true" outlineLevel="0" collapsed="false">
      <c r="A84" s="2" t="s">
        <v>263</v>
      </c>
      <c r="B84" s="2" t="s">
        <v>264</v>
      </c>
      <c r="C84" s="2" t="s">
        <v>215</v>
      </c>
      <c r="D84" s="2"/>
      <c r="E84" s="4" t="n">
        <v>1</v>
      </c>
      <c r="F84" s="4" t="n">
        <v>8</v>
      </c>
    </row>
    <row r="85" customFormat="false" ht="45.75" hidden="false" customHeight="true" outlineLevel="0" collapsed="false">
      <c r="A85" s="2" t="s">
        <v>265</v>
      </c>
      <c r="B85" s="2" t="s">
        <v>266</v>
      </c>
      <c r="C85" s="2" t="s">
        <v>215</v>
      </c>
      <c r="D85" s="2"/>
      <c r="E85" s="4" t="n">
        <v>3</v>
      </c>
      <c r="F85" s="4" t="n">
        <v>10</v>
      </c>
    </row>
    <row r="86" customFormat="false" ht="45.75" hidden="false" customHeight="true" outlineLevel="0" collapsed="false">
      <c r="A86" s="2" t="s">
        <v>265</v>
      </c>
      <c r="B86" s="2" t="s">
        <v>266</v>
      </c>
      <c r="C86" s="2" t="s">
        <v>215</v>
      </c>
      <c r="D86" s="2"/>
      <c r="E86" s="4" t="n">
        <v>4</v>
      </c>
      <c r="F86" s="4" t="n">
        <v>10</v>
      </c>
    </row>
    <row r="87" customFormat="false" ht="45.75" hidden="false" customHeight="true" outlineLevel="0" collapsed="false">
      <c r="A87" s="2" t="s">
        <v>267</v>
      </c>
      <c r="B87" s="2" t="s">
        <v>268</v>
      </c>
      <c r="C87" s="2" t="s">
        <v>215</v>
      </c>
      <c r="D87" s="2"/>
      <c r="E87" s="4" t="n">
        <v>5</v>
      </c>
      <c r="F87" s="4" t="n">
        <v>6</v>
      </c>
    </row>
    <row r="88" customFormat="false" ht="45.75" hidden="false" customHeight="true" outlineLevel="0" collapsed="false">
      <c r="A88" s="2" t="s">
        <v>267</v>
      </c>
      <c r="B88" s="2" t="s">
        <v>268</v>
      </c>
      <c r="C88" s="2" t="s">
        <v>215</v>
      </c>
      <c r="D88" s="2"/>
      <c r="E88" s="4" t="n">
        <v>6</v>
      </c>
      <c r="F88" s="4" t="n">
        <v>6</v>
      </c>
    </row>
    <row r="89" customFormat="false" ht="45.75" hidden="false" customHeight="true" outlineLevel="0" collapsed="false">
      <c r="A89" s="2" t="s">
        <v>163</v>
      </c>
      <c r="B89" s="2" t="s">
        <v>269</v>
      </c>
      <c r="C89" s="2" t="s">
        <v>218</v>
      </c>
      <c r="D89" s="2"/>
      <c r="E89" s="4" t="n">
        <v>1</v>
      </c>
      <c r="F89" s="4" t="n">
        <v>24</v>
      </c>
    </row>
    <row r="90" customFormat="false" ht="45.75" hidden="false" customHeight="true" outlineLevel="0" collapsed="false">
      <c r="A90" s="2" t="s">
        <v>163</v>
      </c>
      <c r="B90" s="2" t="s">
        <v>269</v>
      </c>
      <c r="C90" s="2" t="s">
        <v>218</v>
      </c>
      <c r="D90" s="2"/>
      <c r="E90" s="4" t="n">
        <v>2</v>
      </c>
      <c r="F90" s="4" t="n">
        <v>24</v>
      </c>
    </row>
    <row r="91" customFormat="false" ht="45.75" hidden="false" customHeight="true" outlineLevel="0" collapsed="false">
      <c r="A91" s="2" t="s">
        <v>163</v>
      </c>
      <c r="B91" s="2" t="s">
        <v>269</v>
      </c>
      <c r="C91" s="2" t="s">
        <v>218</v>
      </c>
      <c r="D91" s="2"/>
      <c r="E91" s="4" t="n">
        <v>3</v>
      </c>
      <c r="F91" s="4" t="n">
        <v>24</v>
      </c>
    </row>
    <row r="92" customFormat="false" ht="45.75" hidden="false" customHeight="true" outlineLevel="0" collapsed="false">
      <c r="A92" s="2" t="s">
        <v>163</v>
      </c>
      <c r="B92" s="2" t="s">
        <v>269</v>
      </c>
      <c r="C92" s="2" t="s">
        <v>218</v>
      </c>
      <c r="D92" s="2"/>
      <c r="E92" s="4" t="n">
        <v>4</v>
      </c>
      <c r="F92" s="4" t="n">
        <v>24</v>
      </c>
    </row>
    <row r="93" customFormat="false" ht="45.75" hidden="false" customHeight="true" outlineLevel="0" collapsed="false">
      <c r="A93" s="2" t="s">
        <v>163</v>
      </c>
      <c r="B93" s="2" t="s">
        <v>269</v>
      </c>
      <c r="C93" s="2" t="s">
        <v>218</v>
      </c>
      <c r="D93" s="2"/>
      <c r="E93" s="4" t="n">
        <v>5</v>
      </c>
      <c r="F93" s="4" t="n">
        <v>24</v>
      </c>
    </row>
    <row r="94" customFormat="false" ht="45.75" hidden="false" customHeight="true" outlineLevel="0" collapsed="false">
      <c r="A94" s="2" t="s">
        <v>163</v>
      </c>
      <c r="B94" s="2" t="s">
        <v>269</v>
      </c>
      <c r="C94" s="2" t="s">
        <v>218</v>
      </c>
      <c r="D94" s="2"/>
      <c r="E94" s="4" t="n">
        <v>6</v>
      </c>
      <c r="F94" s="4" t="n">
        <v>24</v>
      </c>
    </row>
    <row r="95" customFormat="false" ht="45.75" hidden="false" customHeight="true" outlineLevel="0" collapsed="false">
      <c r="A95" s="2" t="s">
        <v>163</v>
      </c>
      <c r="B95" s="2" t="s">
        <v>269</v>
      </c>
      <c r="C95" s="2" t="s">
        <v>218</v>
      </c>
      <c r="D95" s="2"/>
      <c r="E95" s="4" t="n">
        <v>7</v>
      </c>
      <c r="F95" s="4" t="n">
        <v>24</v>
      </c>
    </row>
    <row r="96" customFormat="false" ht="45.75" hidden="false" customHeight="true" outlineLevel="0" collapsed="false">
      <c r="A96" s="2" t="s">
        <v>163</v>
      </c>
      <c r="B96" s="2" t="s">
        <v>269</v>
      </c>
      <c r="C96" s="2" t="s">
        <v>218</v>
      </c>
      <c r="D96" s="2"/>
      <c r="E96" s="4" t="n">
        <v>8</v>
      </c>
      <c r="F96" s="4" t="n">
        <v>24</v>
      </c>
    </row>
    <row r="97" customFormat="false" ht="45.75" hidden="false" customHeight="true" outlineLevel="0" collapsed="false">
      <c r="A97" s="2" t="s">
        <v>163</v>
      </c>
      <c r="B97" s="2" t="s">
        <v>269</v>
      </c>
      <c r="C97" s="2" t="s">
        <v>218</v>
      </c>
      <c r="D97" s="2"/>
      <c r="E97" s="4" t="n">
        <v>9</v>
      </c>
      <c r="F97" s="4" t="n">
        <v>24</v>
      </c>
    </row>
    <row r="98" customFormat="false" ht="45.75" hidden="false" customHeight="true" outlineLevel="0" collapsed="false">
      <c r="A98" s="2" t="s">
        <v>163</v>
      </c>
      <c r="B98" s="2" t="s">
        <v>269</v>
      </c>
      <c r="C98" s="2" t="s">
        <v>218</v>
      </c>
      <c r="D98" s="2"/>
      <c r="E98" s="4" t="n">
        <v>10</v>
      </c>
      <c r="F98" s="4" t="n">
        <v>24</v>
      </c>
    </row>
    <row r="99" customFormat="false" ht="45.75" hidden="false" customHeight="true" outlineLevel="0" collapsed="false">
      <c r="A99" s="2" t="s">
        <v>163</v>
      </c>
      <c r="B99" s="2" t="s">
        <v>269</v>
      </c>
      <c r="C99" s="2" t="s">
        <v>218</v>
      </c>
      <c r="D99" s="2"/>
      <c r="E99" s="4" t="n">
        <v>11</v>
      </c>
      <c r="F99" s="4" t="n">
        <v>24</v>
      </c>
    </row>
    <row r="100" customFormat="false" ht="45.75" hidden="false" customHeight="true" outlineLevel="0" collapsed="false">
      <c r="A100" s="2" t="s">
        <v>163</v>
      </c>
      <c r="B100" s="2" t="s">
        <v>269</v>
      </c>
      <c r="C100" s="2" t="s">
        <v>218</v>
      </c>
      <c r="D100" s="2"/>
      <c r="E100" s="4" t="n">
        <v>12</v>
      </c>
      <c r="F100" s="4" t="n">
        <v>24</v>
      </c>
    </row>
    <row r="101" customFormat="false" ht="45.75" hidden="false" customHeight="true" outlineLevel="0" collapsed="false">
      <c r="A101" s="2" t="s">
        <v>170</v>
      </c>
      <c r="B101" s="2" t="s">
        <v>270</v>
      </c>
      <c r="C101" s="2" t="s">
        <v>218</v>
      </c>
      <c r="D101" s="2"/>
      <c r="E101" s="4" t="n">
        <v>1</v>
      </c>
      <c r="F101" s="4" t="n">
        <v>6</v>
      </c>
    </row>
    <row r="102" customFormat="false" ht="45.75" hidden="false" customHeight="true" outlineLevel="0" collapsed="false">
      <c r="A102" s="2" t="s">
        <v>170</v>
      </c>
      <c r="B102" s="2" t="s">
        <v>270</v>
      </c>
      <c r="C102" s="2" t="s">
        <v>218</v>
      </c>
      <c r="D102" s="2"/>
      <c r="E102" s="4" t="n">
        <v>2</v>
      </c>
      <c r="F102" s="4" t="n">
        <v>6</v>
      </c>
    </row>
    <row r="103" customFormat="false" ht="45.75" hidden="false" customHeight="true" outlineLevel="0" collapsed="false">
      <c r="A103" s="2" t="s">
        <v>170</v>
      </c>
      <c r="B103" s="2" t="s">
        <v>270</v>
      </c>
      <c r="C103" s="2" t="s">
        <v>218</v>
      </c>
      <c r="D103" s="2"/>
      <c r="E103" s="4" t="n">
        <v>3</v>
      </c>
      <c r="F103" s="4" t="n">
        <v>6</v>
      </c>
    </row>
    <row r="104" customFormat="false" ht="45.75" hidden="false" customHeight="true" outlineLevel="0" collapsed="false">
      <c r="A104" s="2" t="s">
        <v>170</v>
      </c>
      <c r="B104" s="2" t="s">
        <v>270</v>
      </c>
      <c r="C104" s="2" t="s">
        <v>218</v>
      </c>
      <c r="D104" s="2"/>
      <c r="E104" s="4" t="n">
        <v>4</v>
      </c>
      <c r="F104" s="4" t="n">
        <v>6</v>
      </c>
    </row>
    <row r="105" customFormat="false" ht="45.75" hidden="false" customHeight="true" outlineLevel="0" collapsed="false">
      <c r="A105" s="2" t="s">
        <v>170</v>
      </c>
      <c r="B105" s="2" t="s">
        <v>270</v>
      </c>
      <c r="C105" s="2" t="s">
        <v>218</v>
      </c>
      <c r="D105" s="2"/>
      <c r="E105" s="4" t="n">
        <v>5</v>
      </c>
      <c r="F105" s="4" t="n">
        <v>6</v>
      </c>
    </row>
    <row r="106" customFormat="false" ht="45.75" hidden="false" customHeight="true" outlineLevel="0" collapsed="false">
      <c r="A106" s="2" t="s">
        <v>170</v>
      </c>
      <c r="B106" s="2" t="s">
        <v>270</v>
      </c>
      <c r="C106" s="2" t="s">
        <v>218</v>
      </c>
      <c r="D106" s="2"/>
      <c r="E106" s="4" t="n">
        <v>6</v>
      </c>
      <c r="F106" s="4" t="n">
        <v>6</v>
      </c>
    </row>
    <row r="107" customFormat="false" ht="45.75" hidden="false" customHeight="true" outlineLevel="0" collapsed="false">
      <c r="A107" s="2" t="s">
        <v>170</v>
      </c>
      <c r="B107" s="2" t="s">
        <v>270</v>
      </c>
      <c r="C107" s="2" t="s">
        <v>218</v>
      </c>
      <c r="D107" s="2"/>
      <c r="E107" s="4" t="n">
        <v>7</v>
      </c>
      <c r="F107" s="4" t="n">
        <v>6</v>
      </c>
    </row>
    <row r="108" customFormat="false" ht="45.75" hidden="false" customHeight="true" outlineLevel="0" collapsed="false">
      <c r="A108" s="2" t="s">
        <v>170</v>
      </c>
      <c r="B108" s="2" t="s">
        <v>270</v>
      </c>
      <c r="C108" s="2" t="s">
        <v>218</v>
      </c>
      <c r="D108" s="2"/>
      <c r="E108" s="4" t="n">
        <v>8</v>
      </c>
      <c r="F108" s="4" t="n">
        <v>6</v>
      </c>
    </row>
    <row r="109" customFormat="false" ht="45.75" hidden="false" customHeight="true" outlineLevel="0" collapsed="false">
      <c r="A109" s="2" t="s">
        <v>170</v>
      </c>
      <c r="B109" s="2" t="s">
        <v>270</v>
      </c>
      <c r="C109" s="2" t="s">
        <v>218</v>
      </c>
      <c r="D109" s="2"/>
      <c r="E109" s="4" t="n">
        <v>9</v>
      </c>
      <c r="F109" s="4" t="n">
        <v>6</v>
      </c>
    </row>
    <row r="110" customFormat="false" ht="45.75" hidden="false" customHeight="true" outlineLevel="0" collapsed="false">
      <c r="A110" s="2" t="s">
        <v>170</v>
      </c>
      <c r="B110" s="2" t="s">
        <v>270</v>
      </c>
      <c r="C110" s="2" t="s">
        <v>218</v>
      </c>
      <c r="D110" s="2"/>
      <c r="E110" s="4" t="n">
        <v>10</v>
      </c>
      <c r="F110" s="4" t="n">
        <v>6</v>
      </c>
    </row>
    <row r="111" customFormat="false" ht="45.75" hidden="false" customHeight="true" outlineLevel="0" collapsed="false">
      <c r="A111" s="2" t="s">
        <v>170</v>
      </c>
      <c r="B111" s="2" t="s">
        <v>270</v>
      </c>
      <c r="C111" s="2" t="s">
        <v>218</v>
      </c>
      <c r="D111" s="2"/>
      <c r="E111" s="4" t="n">
        <v>11</v>
      </c>
      <c r="F111" s="4" t="n">
        <v>6</v>
      </c>
    </row>
    <row r="112" customFormat="false" ht="45.75" hidden="false" customHeight="true" outlineLevel="0" collapsed="false">
      <c r="A112" s="2" t="s">
        <v>170</v>
      </c>
      <c r="B112" s="2" t="s">
        <v>270</v>
      </c>
      <c r="C112" s="2" t="s">
        <v>218</v>
      </c>
      <c r="D112" s="2"/>
      <c r="E112" s="4" t="n">
        <v>12</v>
      </c>
      <c r="F112" s="4" t="n">
        <v>6</v>
      </c>
    </row>
    <row r="113" customFormat="false" ht="45.75" hidden="false" customHeight="true" outlineLevel="0" collapsed="false">
      <c r="A113" s="2" t="s">
        <v>175</v>
      </c>
      <c r="B113" s="2" t="s">
        <v>271</v>
      </c>
      <c r="C113" s="2" t="s">
        <v>218</v>
      </c>
      <c r="D113" s="2"/>
      <c r="E113" s="4" t="n">
        <v>1</v>
      </c>
      <c r="F113" s="4" t="n">
        <v>3</v>
      </c>
    </row>
    <row r="114" customFormat="false" ht="45.75" hidden="false" customHeight="true" outlineLevel="0" collapsed="false">
      <c r="A114" s="2" t="s">
        <v>175</v>
      </c>
      <c r="B114" s="2" t="s">
        <v>271</v>
      </c>
      <c r="C114" s="2" t="s">
        <v>218</v>
      </c>
      <c r="D114" s="2"/>
      <c r="E114" s="4" t="n">
        <v>2</v>
      </c>
      <c r="F114" s="4" t="n">
        <v>3</v>
      </c>
    </row>
    <row r="115" customFormat="false" ht="45.75" hidden="false" customHeight="true" outlineLevel="0" collapsed="false">
      <c r="A115" s="2" t="s">
        <v>175</v>
      </c>
      <c r="B115" s="2" t="s">
        <v>271</v>
      </c>
      <c r="C115" s="2" t="s">
        <v>218</v>
      </c>
      <c r="D115" s="2"/>
      <c r="E115" s="4" t="n">
        <v>3</v>
      </c>
      <c r="F115" s="4" t="n">
        <v>3</v>
      </c>
    </row>
    <row r="116" customFormat="false" ht="45.75" hidden="false" customHeight="true" outlineLevel="0" collapsed="false">
      <c r="A116" s="2" t="s">
        <v>175</v>
      </c>
      <c r="B116" s="2" t="s">
        <v>271</v>
      </c>
      <c r="C116" s="2" t="s">
        <v>218</v>
      </c>
      <c r="D116" s="2"/>
      <c r="E116" s="4" t="n">
        <v>4</v>
      </c>
      <c r="F116" s="4" t="n">
        <v>3</v>
      </c>
    </row>
    <row r="117" customFormat="false" ht="45.75" hidden="false" customHeight="true" outlineLevel="0" collapsed="false">
      <c r="A117" s="2" t="s">
        <v>175</v>
      </c>
      <c r="B117" s="2" t="s">
        <v>271</v>
      </c>
      <c r="C117" s="2" t="s">
        <v>218</v>
      </c>
      <c r="D117" s="2"/>
      <c r="E117" s="4" t="n">
        <v>5</v>
      </c>
      <c r="F117" s="4" t="n">
        <v>3</v>
      </c>
    </row>
    <row r="118" customFormat="false" ht="45.75" hidden="false" customHeight="true" outlineLevel="0" collapsed="false">
      <c r="A118" s="2" t="s">
        <v>175</v>
      </c>
      <c r="B118" s="2" t="s">
        <v>271</v>
      </c>
      <c r="C118" s="2" t="s">
        <v>218</v>
      </c>
      <c r="D118" s="2"/>
      <c r="E118" s="4" t="n">
        <v>6</v>
      </c>
      <c r="F118" s="4" t="n">
        <v>3</v>
      </c>
    </row>
    <row r="119" customFormat="false" ht="45.75" hidden="false" customHeight="true" outlineLevel="0" collapsed="false">
      <c r="A119" s="2" t="s">
        <v>175</v>
      </c>
      <c r="B119" s="2" t="s">
        <v>271</v>
      </c>
      <c r="C119" s="2" t="s">
        <v>218</v>
      </c>
      <c r="D119" s="2"/>
      <c r="E119" s="4" t="n">
        <v>7</v>
      </c>
      <c r="F119" s="4" t="n">
        <v>3</v>
      </c>
    </row>
    <row r="120" customFormat="false" ht="45.75" hidden="false" customHeight="true" outlineLevel="0" collapsed="false">
      <c r="A120" s="2" t="s">
        <v>175</v>
      </c>
      <c r="B120" s="2" t="s">
        <v>271</v>
      </c>
      <c r="C120" s="2" t="s">
        <v>218</v>
      </c>
      <c r="D120" s="2"/>
      <c r="E120" s="4" t="n">
        <v>8</v>
      </c>
      <c r="F120" s="4" t="n">
        <v>3</v>
      </c>
    </row>
    <row r="121" customFormat="false" ht="45.75" hidden="false" customHeight="true" outlineLevel="0" collapsed="false">
      <c r="A121" s="2" t="s">
        <v>175</v>
      </c>
      <c r="B121" s="2" t="s">
        <v>271</v>
      </c>
      <c r="C121" s="2" t="s">
        <v>218</v>
      </c>
      <c r="D121" s="2"/>
      <c r="E121" s="4" t="n">
        <v>9</v>
      </c>
      <c r="F121" s="4" t="n">
        <v>3</v>
      </c>
    </row>
    <row r="122" customFormat="false" ht="45.75" hidden="false" customHeight="true" outlineLevel="0" collapsed="false">
      <c r="A122" s="2" t="s">
        <v>175</v>
      </c>
      <c r="B122" s="2" t="s">
        <v>271</v>
      </c>
      <c r="C122" s="2" t="s">
        <v>218</v>
      </c>
      <c r="D122" s="2"/>
      <c r="E122" s="4" t="n">
        <v>10</v>
      </c>
      <c r="F122" s="4" t="n">
        <v>3</v>
      </c>
    </row>
    <row r="123" customFormat="false" ht="45.75" hidden="false" customHeight="true" outlineLevel="0" collapsed="false">
      <c r="A123" s="2" t="s">
        <v>175</v>
      </c>
      <c r="B123" s="2" t="s">
        <v>271</v>
      </c>
      <c r="C123" s="2" t="s">
        <v>218</v>
      </c>
      <c r="D123" s="2"/>
      <c r="E123" s="4" t="n">
        <v>11</v>
      </c>
      <c r="F123" s="4" t="n">
        <v>3</v>
      </c>
    </row>
    <row r="124" customFormat="false" ht="45.75" hidden="false" customHeight="true" outlineLevel="0" collapsed="false">
      <c r="A124" s="2" t="s">
        <v>175</v>
      </c>
      <c r="B124" s="2" t="s">
        <v>271</v>
      </c>
      <c r="C124" s="2" t="s">
        <v>218</v>
      </c>
      <c r="D124" s="2"/>
      <c r="E124" s="4" t="n">
        <v>12</v>
      </c>
      <c r="F124" s="4" t="n">
        <v>3</v>
      </c>
    </row>
    <row r="125" customFormat="false" ht="45.75" hidden="false" customHeight="true" outlineLevel="0" collapsed="false">
      <c r="A125" s="2" t="s">
        <v>179</v>
      </c>
      <c r="B125" s="2" t="s">
        <v>272</v>
      </c>
      <c r="C125" s="2" t="s">
        <v>218</v>
      </c>
      <c r="D125" s="2"/>
      <c r="E125" s="4" t="n">
        <v>1</v>
      </c>
      <c r="F125" s="4" t="n">
        <v>5</v>
      </c>
    </row>
    <row r="126" customFormat="false" ht="45.75" hidden="false" customHeight="true" outlineLevel="0" collapsed="false">
      <c r="A126" s="2" t="s">
        <v>179</v>
      </c>
      <c r="B126" s="2" t="s">
        <v>272</v>
      </c>
      <c r="C126" s="2" t="s">
        <v>218</v>
      </c>
      <c r="D126" s="2"/>
      <c r="E126" s="4" t="n">
        <v>2</v>
      </c>
      <c r="F126" s="4" t="n">
        <v>5</v>
      </c>
    </row>
    <row r="127" customFormat="false" ht="45.75" hidden="false" customHeight="true" outlineLevel="0" collapsed="false">
      <c r="A127" s="2" t="s">
        <v>179</v>
      </c>
      <c r="B127" s="2" t="s">
        <v>272</v>
      </c>
      <c r="C127" s="2" t="s">
        <v>218</v>
      </c>
      <c r="D127" s="2"/>
      <c r="E127" s="4" t="n">
        <v>3</v>
      </c>
      <c r="F127" s="4" t="n">
        <v>5</v>
      </c>
    </row>
    <row r="128" customFormat="false" ht="45.75" hidden="false" customHeight="true" outlineLevel="0" collapsed="false">
      <c r="A128" s="2" t="s">
        <v>179</v>
      </c>
      <c r="B128" s="2" t="s">
        <v>272</v>
      </c>
      <c r="C128" s="2" t="s">
        <v>218</v>
      </c>
      <c r="D128" s="2"/>
      <c r="E128" s="4" t="n">
        <v>4</v>
      </c>
      <c r="F128" s="4" t="n">
        <v>5</v>
      </c>
    </row>
    <row r="129" customFormat="false" ht="45.75" hidden="false" customHeight="true" outlineLevel="0" collapsed="false">
      <c r="A129" s="2" t="s">
        <v>179</v>
      </c>
      <c r="B129" s="2" t="s">
        <v>272</v>
      </c>
      <c r="C129" s="2" t="s">
        <v>218</v>
      </c>
      <c r="D129" s="2"/>
      <c r="E129" s="4" t="n">
        <v>5</v>
      </c>
      <c r="F129" s="4" t="n">
        <v>5</v>
      </c>
    </row>
    <row r="130" customFormat="false" ht="45.75" hidden="false" customHeight="true" outlineLevel="0" collapsed="false">
      <c r="A130" s="2" t="s">
        <v>179</v>
      </c>
      <c r="B130" s="2" t="s">
        <v>272</v>
      </c>
      <c r="C130" s="2" t="s">
        <v>218</v>
      </c>
      <c r="D130" s="2"/>
      <c r="E130" s="4" t="n">
        <v>6</v>
      </c>
      <c r="F130" s="4" t="n">
        <v>5</v>
      </c>
    </row>
    <row r="131" customFormat="false" ht="45.75" hidden="false" customHeight="true" outlineLevel="0" collapsed="false">
      <c r="A131" s="2" t="s">
        <v>179</v>
      </c>
      <c r="B131" s="2" t="s">
        <v>272</v>
      </c>
      <c r="C131" s="2" t="s">
        <v>218</v>
      </c>
      <c r="D131" s="2"/>
      <c r="E131" s="4" t="n">
        <v>7</v>
      </c>
      <c r="F131" s="4" t="n">
        <v>5</v>
      </c>
    </row>
    <row r="132" customFormat="false" ht="45.75" hidden="false" customHeight="true" outlineLevel="0" collapsed="false">
      <c r="A132" s="2" t="s">
        <v>179</v>
      </c>
      <c r="B132" s="2" t="s">
        <v>272</v>
      </c>
      <c r="C132" s="2" t="s">
        <v>218</v>
      </c>
      <c r="D132" s="2"/>
      <c r="E132" s="4" t="n">
        <v>8</v>
      </c>
      <c r="F132" s="4" t="n">
        <v>5</v>
      </c>
    </row>
    <row r="133" customFormat="false" ht="45.75" hidden="false" customHeight="true" outlineLevel="0" collapsed="false">
      <c r="A133" s="2" t="s">
        <v>179</v>
      </c>
      <c r="B133" s="2" t="s">
        <v>272</v>
      </c>
      <c r="C133" s="2" t="s">
        <v>218</v>
      </c>
      <c r="D133" s="2"/>
      <c r="E133" s="4" t="n">
        <v>9</v>
      </c>
      <c r="F133" s="4" t="n">
        <v>5</v>
      </c>
    </row>
    <row r="134" customFormat="false" ht="45.75" hidden="false" customHeight="true" outlineLevel="0" collapsed="false">
      <c r="A134" s="2" t="s">
        <v>179</v>
      </c>
      <c r="B134" s="2" t="s">
        <v>272</v>
      </c>
      <c r="C134" s="2" t="s">
        <v>218</v>
      </c>
      <c r="D134" s="2"/>
      <c r="E134" s="4" t="n">
        <v>10</v>
      </c>
      <c r="F134" s="4" t="n">
        <v>5</v>
      </c>
    </row>
    <row r="135" customFormat="false" ht="45.75" hidden="false" customHeight="true" outlineLevel="0" collapsed="false">
      <c r="A135" s="2" t="s">
        <v>179</v>
      </c>
      <c r="B135" s="2" t="s">
        <v>272</v>
      </c>
      <c r="C135" s="2" t="s">
        <v>218</v>
      </c>
      <c r="D135" s="2"/>
      <c r="E135" s="4" t="n">
        <v>11</v>
      </c>
      <c r="F135" s="4" t="n">
        <v>5</v>
      </c>
    </row>
    <row r="136" customFormat="false" ht="45.75" hidden="false" customHeight="true" outlineLevel="0" collapsed="false">
      <c r="A136" s="2" t="s">
        <v>179</v>
      </c>
      <c r="B136" s="2" t="s">
        <v>272</v>
      </c>
      <c r="C136" s="2" t="s">
        <v>218</v>
      </c>
      <c r="D136" s="2"/>
      <c r="E136" s="4" t="n">
        <v>12</v>
      </c>
      <c r="F136" s="4" t="n">
        <v>5</v>
      </c>
    </row>
    <row r="137" customFormat="false" ht="45.75" hidden="false" customHeight="true" outlineLevel="0" collapsed="false">
      <c r="A137" s="2" t="s">
        <v>273</v>
      </c>
      <c r="B137" s="2" t="s">
        <v>274</v>
      </c>
      <c r="C137" s="2" t="s">
        <v>218</v>
      </c>
      <c r="D137" s="2"/>
      <c r="E137" s="4" t="n">
        <v>1</v>
      </c>
      <c r="F137" s="4" t="n">
        <v>4</v>
      </c>
    </row>
    <row r="138" customFormat="false" ht="45.75" hidden="false" customHeight="true" outlineLevel="0" collapsed="false">
      <c r="A138" s="2" t="s">
        <v>273</v>
      </c>
      <c r="B138" s="2" t="s">
        <v>274</v>
      </c>
      <c r="C138" s="2" t="s">
        <v>218</v>
      </c>
      <c r="D138" s="2"/>
      <c r="E138" s="4" t="n">
        <v>2</v>
      </c>
      <c r="F138" s="4" t="n">
        <v>4</v>
      </c>
    </row>
    <row r="139" customFormat="false" ht="45.75" hidden="false" customHeight="true" outlineLevel="0" collapsed="false">
      <c r="A139" s="2" t="s">
        <v>273</v>
      </c>
      <c r="B139" s="2" t="s">
        <v>274</v>
      </c>
      <c r="C139" s="2" t="s">
        <v>218</v>
      </c>
      <c r="D139" s="2"/>
      <c r="E139" s="4" t="n">
        <v>3</v>
      </c>
      <c r="F139" s="4" t="n">
        <v>4</v>
      </c>
    </row>
    <row r="140" customFormat="false" ht="45.75" hidden="false" customHeight="true" outlineLevel="0" collapsed="false">
      <c r="A140" s="2" t="s">
        <v>273</v>
      </c>
      <c r="B140" s="2" t="s">
        <v>274</v>
      </c>
      <c r="C140" s="2" t="s">
        <v>218</v>
      </c>
      <c r="D140" s="2"/>
      <c r="E140" s="4" t="n">
        <v>4</v>
      </c>
      <c r="F140" s="4" t="n">
        <v>4</v>
      </c>
    </row>
    <row r="141" customFormat="false" ht="45.75" hidden="false" customHeight="true" outlineLevel="0" collapsed="false">
      <c r="A141" s="2" t="s">
        <v>273</v>
      </c>
      <c r="B141" s="2" t="s">
        <v>274</v>
      </c>
      <c r="C141" s="2" t="s">
        <v>218</v>
      </c>
      <c r="D141" s="2"/>
      <c r="E141" s="4" t="n">
        <v>5</v>
      </c>
      <c r="F141" s="4" t="n">
        <v>4</v>
      </c>
    </row>
    <row r="142" customFormat="false" ht="45.75" hidden="false" customHeight="true" outlineLevel="0" collapsed="false">
      <c r="A142" s="2" t="s">
        <v>273</v>
      </c>
      <c r="B142" s="2" t="s">
        <v>274</v>
      </c>
      <c r="C142" s="2" t="s">
        <v>218</v>
      </c>
      <c r="D142" s="2"/>
      <c r="E142" s="4" t="n">
        <v>6</v>
      </c>
      <c r="F142" s="4" t="n">
        <v>4</v>
      </c>
    </row>
    <row r="143" customFormat="false" ht="45.75" hidden="false" customHeight="true" outlineLevel="0" collapsed="false">
      <c r="A143" s="2" t="s">
        <v>273</v>
      </c>
      <c r="B143" s="2" t="s">
        <v>274</v>
      </c>
      <c r="C143" s="2" t="s">
        <v>218</v>
      </c>
      <c r="D143" s="2"/>
      <c r="E143" s="4" t="n">
        <v>7</v>
      </c>
      <c r="F143" s="4" t="n">
        <v>4</v>
      </c>
    </row>
    <row r="144" customFormat="false" ht="45.75" hidden="false" customHeight="true" outlineLevel="0" collapsed="false">
      <c r="A144" s="2" t="s">
        <v>273</v>
      </c>
      <c r="B144" s="2" t="s">
        <v>274</v>
      </c>
      <c r="C144" s="2" t="s">
        <v>218</v>
      </c>
      <c r="D144" s="2"/>
      <c r="E144" s="4" t="n">
        <v>8</v>
      </c>
      <c r="F144" s="4" t="n">
        <v>4</v>
      </c>
    </row>
    <row r="145" customFormat="false" ht="45.75" hidden="false" customHeight="true" outlineLevel="0" collapsed="false">
      <c r="A145" s="2" t="s">
        <v>273</v>
      </c>
      <c r="B145" s="2" t="s">
        <v>274</v>
      </c>
      <c r="C145" s="2" t="s">
        <v>218</v>
      </c>
      <c r="D145" s="2"/>
      <c r="E145" s="4" t="n">
        <v>9</v>
      </c>
      <c r="F145" s="4" t="n">
        <v>4</v>
      </c>
    </row>
    <row r="146" customFormat="false" ht="45.75" hidden="false" customHeight="true" outlineLevel="0" collapsed="false">
      <c r="A146" s="2" t="s">
        <v>273</v>
      </c>
      <c r="B146" s="2" t="s">
        <v>274</v>
      </c>
      <c r="C146" s="2" t="s">
        <v>218</v>
      </c>
      <c r="D146" s="2"/>
      <c r="E146" s="4" t="n">
        <v>10</v>
      </c>
      <c r="F146" s="4" t="n">
        <v>4</v>
      </c>
    </row>
    <row r="147" customFormat="false" ht="45.75" hidden="false" customHeight="true" outlineLevel="0" collapsed="false">
      <c r="A147" s="2" t="s">
        <v>273</v>
      </c>
      <c r="B147" s="2" t="s">
        <v>274</v>
      </c>
      <c r="C147" s="2" t="s">
        <v>218</v>
      </c>
      <c r="D147" s="2"/>
      <c r="E147" s="4" t="n">
        <v>11</v>
      </c>
      <c r="F147" s="4" t="n">
        <v>4</v>
      </c>
    </row>
    <row r="148" customFormat="false" ht="45.75" hidden="false" customHeight="true" outlineLevel="0" collapsed="false">
      <c r="A148" s="2" t="s">
        <v>273</v>
      </c>
      <c r="B148" s="2" t="s">
        <v>274</v>
      </c>
      <c r="C148" s="2" t="s">
        <v>218</v>
      </c>
      <c r="D148" s="2"/>
      <c r="E148" s="4" t="n">
        <v>12</v>
      </c>
      <c r="F148" s="4" t="n">
        <v>4</v>
      </c>
    </row>
    <row r="149" customFormat="false" ht="45.75" hidden="false" customHeight="true" outlineLevel="0" collapsed="false">
      <c r="A149" s="2" t="s">
        <v>275</v>
      </c>
      <c r="B149" s="2" t="s">
        <v>276</v>
      </c>
      <c r="C149" s="2" t="s">
        <v>218</v>
      </c>
      <c r="D149" s="2"/>
      <c r="E149" s="4" t="n">
        <v>3</v>
      </c>
      <c r="F149" s="4" t="n">
        <v>4</v>
      </c>
    </row>
    <row r="150" customFormat="false" ht="45.75" hidden="false" customHeight="true" outlineLevel="0" collapsed="false">
      <c r="A150" s="2" t="s">
        <v>275</v>
      </c>
      <c r="B150" s="2" t="s">
        <v>276</v>
      </c>
      <c r="C150" s="2" t="s">
        <v>218</v>
      </c>
      <c r="D150" s="2"/>
      <c r="E150" s="4" t="n">
        <v>5</v>
      </c>
      <c r="F150" s="4" t="n">
        <v>4</v>
      </c>
    </row>
    <row r="151" customFormat="false" ht="45.75" hidden="false" customHeight="true" outlineLevel="0" collapsed="false">
      <c r="A151" s="2" t="s">
        <v>275</v>
      </c>
      <c r="B151" s="2" t="s">
        <v>276</v>
      </c>
      <c r="C151" s="2" t="s">
        <v>218</v>
      </c>
      <c r="D151" s="2"/>
      <c r="E151" s="4" t="n">
        <v>8</v>
      </c>
      <c r="F151" s="4" t="n">
        <v>4</v>
      </c>
    </row>
    <row r="152" customFormat="false" ht="45.75" hidden="false" customHeight="true" outlineLevel="0" collapsed="false">
      <c r="A152" s="2" t="s">
        <v>275</v>
      </c>
      <c r="B152" s="2" t="s">
        <v>276</v>
      </c>
      <c r="C152" s="2" t="s">
        <v>218</v>
      </c>
      <c r="D152" s="2"/>
      <c r="E152" s="4" t="n">
        <v>11</v>
      </c>
      <c r="F152" s="4" t="n">
        <v>4</v>
      </c>
    </row>
    <row r="153" customFormat="false" ht="45.75" hidden="false" customHeight="true" outlineLevel="0" collapsed="false">
      <c r="A153" s="2" t="s">
        <v>83</v>
      </c>
      <c r="B153" s="2" t="s">
        <v>277</v>
      </c>
      <c r="C153" s="2" t="s">
        <v>210</v>
      </c>
      <c r="D153" s="2"/>
      <c r="E153" s="4" t="n">
        <v>1</v>
      </c>
      <c r="F153" s="4" t="n">
        <v>20</v>
      </c>
    </row>
    <row r="154" customFormat="false" ht="45.75" hidden="false" customHeight="true" outlineLevel="0" collapsed="false">
      <c r="A154" s="2" t="s">
        <v>90</v>
      </c>
      <c r="B154" s="2" t="s">
        <v>278</v>
      </c>
      <c r="C154" s="2" t="s">
        <v>210</v>
      </c>
      <c r="D154" s="2"/>
      <c r="E154" s="4" t="n">
        <v>3</v>
      </c>
      <c r="F154" s="4" t="n">
        <v>10</v>
      </c>
    </row>
    <row r="155" customFormat="false" ht="45.75" hidden="false" customHeight="true" outlineLevel="0" collapsed="false">
      <c r="A155" s="2" t="s">
        <v>90</v>
      </c>
      <c r="B155" s="2" t="s">
        <v>278</v>
      </c>
      <c r="C155" s="2" t="s">
        <v>210</v>
      </c>
      <c r="D155" s="2"/>
      <c r="E155" s="4" t="n">
        <v>4</v>
      </c>
      <c r="F155" s="4" t="n">
        <v>10</v>
      </c>
    </row>
    <row r="156" customFormat="false" ht="45.75" hidden="false" customHeight="true" outlineLevel="0" collapsed="false">
      <c r="A156" s="2" t="s">
        <v>96</v>
      </c>
      <c r="B156" s="2" t="s">
        <v>279</v>
      </c>
      <c r="C156" s="2" t="s">
        <v>210</v>
      </c>
      <c r="D156" s="2"/>
      <c r="E156" s="4" t="n">
        <v>5</v>
      </c>
      <c r="F156" s="4" t="n">
        <v>8</v>
      </c>
    </row>
    <row r="157" customFormat="false" ht="45.75" hidden="false" customHeight="true" outlineLevel="0" collapsed="false">
      <c r="A157" s="2" t="s">
        <v>96</v>
      </c>
      <c r="B157" s="2" t="s">
        <v>279</v>
      </c>
      <c r="C157" s="2" t="s">
        <v>210</v>
      </c>
      <c r="D157" s="2"/>
      <c r="E157" s="4" t="n">
        <v>6</v>
      </c>
      <c r="F157" s="4" t="n">
        <v>8</v>
      </c>
    </row>
    <row r="158" customFormat="false" ht="45.75" hidden="false" customHeight="true" outlineLevel="0" collapsed="false">
      <c r="A158" s="2" t="s">
        <v>101</v>
      </c>
      <c r="B158" s="2" t="s">
        <v>280</v>
      </c>
      <c r="C158" s="2" t="s">
        <v>210</v>
      </c>
      <c r="D158" s="2"/>
      <c r="E158" s="4" t="n">
        <v>1</v>
      </c>
      <c r="F158" s="4" t="n">
        <v>8</v>
      </c>
    </row>
    <row r="159" customFormat="false" ht="45.75" hidden="false" customHeight="true" outlineLevel="0" collapsed="false">
      <c r="A159" s="2" t="s">
        <v>101</v>
      </c>
      <c r="B159" s="2" t="s">
        <v>280</v>
      </c>
      <c r="C159" s="2" t="s">
        <v>210</v>
      </c>
      <c r="D159" s="2"/>
      <c r="E159" s="4" t="n">
        <v>2</v>
      </c>
      <c r="F159" s="4" t="n">
        <v>8</v>
      </c>
    </row>
    <row r="160" customFormat="false" ht="45.75" hidden="false" customHeight="true" outlineLevel="0" collapsed="false">
      <c r="A160" s="2" t="s">
        <v>101</v>
      </c>
      <c r="B160" s="2" t="s">
        <v>280</v>
      </c>
      <c r="C160" s="2" t="s">
        <v>210</v>
      </c>
      <c r="D160" s="2"/>
      <c r="E160" s="4" t="n">
        <v>3</v>
      </c>
      <c r="F160" s="4" t="n">
        <v>8</v>
      </c>
    </row>
    <row r="161" customFormat="false" ht="45.75" hidden="false" customHeight="true" outlineLevel="0" collapsed="false">
      <c r="A161" s="2" t="s">
        <v>101</v>
      </c>
      <c r="B161" s="2" t="s">
        <v>280</v>
      </c>
      <c r="C161" s="2" t="s">
        <v>210</v>
      </c>
      <c r="D161" s="2"/>
      <c r="E161" s="4" t="n">
        <v>4</v>
      </c>
      <c r="F161" s="4" t="n">
        <v>8</v>
      </c>
    </row>
    <row r="162" customFormat="false" ht="45.75" hidden="false" customHeight="true" outlineLevel="0" collapsed="false">
      <c r="A162" s="2" t="s">
        <v>101</v>
      </c>
      <c r="B162" s="2" t="s">
        <v>280</v>
      </c>
      <c r="C162" s="2" t="s">
        <v>210</v>
      </c>
      <c r="D162" s="2"/>
      <c r="E162" s="4" t="n">
        <v>5</v>
      </c>
      <c r="F162" s="4" t="n">
        <v>8</v>
      </c>
    </row>
    <row r="163" customFormat="false" ht="45.75" hidden="false" customHeight="true" outlineLevel="0" collapsed="false">
      <c r="A163" s="2" t="s">
        <v>101</v>
      </c>
      <c r="B163" s="2" t="s">
        <v>280</v>
      </c>
      <c r="C163" s="2" t="s">
        <v>210</v>
      </c>
      <c r="D163" s="2"/>
      <c r="E163" s="4" t="n">
        <v>6</v>
      </c>
      <c r="F163" s="4" t="n">
        <v>8</v>
      </c>
    </row>
    <row r="164" customFormat="false" ht="45.75" hidden="false" customHeight="true" outlineLevel="0" collapsed="false">
      <c r="A164" s="2" t="s">
        <v>101</v>
      </c>
      <c r="B164" s="2" t="s">
        <v>280</v>
      </c>
      <c r="C164" s="2" t="s">
        <v>210</v>
      </c>
      <c r="D164" s="2"/>
      <c r="E164" s="4" t="n">
        <v>7</v>
      </c>
      <c r="F164" s="4" t="n">
        <v>8</v>
      </c>
    </row>
    <row r="165" customFormat="false" ht="45.75" hidden="false" customHeight="true" outlineLevel="0" collapsed="false">
      <c r="A165" s="2" t="s">
        <v>101</v>
      </c>
      <c r="B165" s="2" t="s">
        <v>280</v>
      </c>
      <c r="C165" s="2" t="s">
        <v>210</v>
      </c>
      <c r="D165" s="2"/>
      <c r="E165" s="4" t="n">
        <v>8</v>
      </c>
      <c r="F165" s="4" t="n">
        <v>8</v>
      </c>
    </row>
    <row r="166" customFormat="false" ht="45.75" hidden="false" customHeight="true" outlineLevel="0" collapsed="false">
      <c r="A166" s="2" t="s">
        <v>101</v>
      </c>
      <c r="B166" s="2" t="s">
        <v>280</v>
      </c>
      <c r="C166" s="2" t="s">
        <v>210</v>
      </c>
      <c r="D166" s="2"/>
      <c r="E166" s="4" t="n">
        <v>9</v>
      </c>
      <c r="F166" s="4" t="n">
        <v>8</v>
      </c>
    </row>
    <row r="167" customFormat="false" ht="45.75" hidden="false" customHeight="true" outlineLevel="0" collapsed="false">
      <c r="A167" s="2" t="s">
        <v>101</v>
      </c>
      <c r="B167" s="2" t="s">
        <v>280</v>
      </c>
      <c r="C167" s="2" t="s">
        <v>210</v>
      </c>
      <c r="D167" s="2"/>
      <c r="E167" s="4" t="n">
        <v>10</v>
      </c>
      <c r="F167" s="4" t="n">
        <v>8</v>
      </c>
    </row>
    <row r="168" customFormat="false" ht="45.75" hidden="false" customHeight="true" outlineLevel="0" collapsed="false">
      <c r="A168" s="2" t="s">
        <v>101</v>
      </c>
      <c r="B168" s="2" t="s">
        <v>280</v>
      </c>
      <c r="C168" s="2" t="s">
        <v>210</v>
      </c>
      <c r="D168" s="2"/>
      <c r="E168" s="4" t="n">
        <v>11</v>
      </c>
      <c r="F168" s="4" t="n">
        <v>8</v>
      </c>
    </row>
    <row r="169" customFormat="false" ht="45.75" hidden="false" customHeight="true" outlineLevel="0" collapsed="false">
      <c r="A169" s="2" t="s">
        <v>101</v>
      </c>
      <c r="B169" s="2" t="s">
        <v>280</v>
      </c>
      <c r="C169" s="2" t="s">
        <v>210</v>
      </c>
      <c r="D169" s="2"/>
      <c r="E169" s="4" t="n">
        <v>12</v>
      </c>
      <c r="F169" s="4" t="n">
        <v>8</v>
      </c>
    </row>
    <row r="170" customFormat="false" ht="45.75" hidden="false" customHeight="true" outlineLevel="0" collapsed="false">
      <c r="A170" s="2" t="s">
        <v>281</v>
      </c>
      <c r="B170" s="2" t="s">
        <v>282</v>
      </c>
      <c r="C170" s="2" t="s">
        <v>217</v>
      </c>
      <c r="D170" s="2" t="s">
        <v>283</v>
      </c>
      <c r="E170" s="4" t="n">
        <v>1</v>
      </c>
      <c r="F170" s="4" t="n">
        <v>40</v>
      </c>
    </row>
    <row r="171" customFormat="false" ht="45.75" hidden="false" customHeight="true" outlineLevel="0" collapsed="false">
      <c r="A171" s="2" t="s">
        <v>284</v>
      </c>
      <c r="B171" s="2" t="s">
        <v>285</v>
      </c>
      <c r="C171" s="2" t="s">
        <v>217</v>
      </c>
      <c r="D171" s="2" t="s">
        <v>283</v>
      </c>
      <c r="E171" s="4" t="n">
        <v>1</v>
      </c>
      <c r="F171" s="4" t="n">
        <v>2</v>
      </c>
    </row>
    <row r="172" customFormat="false" ht="45.75" hidden="false" customHeight="true" outlineLevel="0" collapsed="false">
      <c r="A172" s="2" t="s">
        <v>284</v>
      </c>
      <c r="B172" s="2" t="s">
        <v>285</v>
      </c>
      <c r="C172" s="2" t="s">
        <v>217</v>
      </c>
      <c r="D172" s="2" t="s">
        <v>283</v>
      </c>
      <c r="E172" s="4" t="n">
        <v>2</v>
      </c>
      <c r="F172" s="4" t="n">
        <v>2</v>
      </c>
    </row>
    <row r="173" customFormat="false" ht="45.75" hidden="false" customHeight="true" outlineLevel="0" collapsed="false">
      <c r="A173" s="2" t="s">
        <v>284</v>
      </c>
      <c r="B173" s="2" t="s">
        <v>285</v>
      </c>
      <c r="C173" s="2" t="s">
        <v>217</v>
      </c>
      <c r="D173" s="2" t="s">
        <v>283</v>
      </c>
      <c r="E173" s="4" t="n">
        <v>3</v>
      </c>
      <c r="F173" s="4" t="n">
        <v>2</v>
      </c>
    </row>
    <row r="174" customFormat="false" ht="45.75" hidden="false" customHeight="true" outlineLevel="0" collapsed="false">
      <c r="A174" s="2" t="s">
        <v>284</v>
      </c>
      <c r="B174" s="2" t="s">
        <v>285</v>
      </c>
      <c r="C174" s="2" t="s">
        <v>217</v>
      </c>
      <c r="D174" s="2" t="s">
        <v>283</v>
      </c>
      <c r="E174" s="4" t="n">
        <v>4</v>
      </c>
      <c r="F174" s="4" t="n">
        <v>2</v>
      </c>
    </row>
    <row r="175" customFormat="false" ht="45.75" hidden="false" customHeight="true" outlineLevel="0" collapsed="false">
      <c r="A175" s="2" t="s">
        <v>284</v>
      </c>
      <c r="B175" s="2" t="s">
        <v>285</v>
      </c>
      <c r="C175" s="2" t="s">
        <v>217</v>
      </c>
      <c r="D175" s="2" t="s">
        <v>283</v>
      </c>
      <c r="E175" s="4" t="n">
        <v>5</v>
      </c>
      <c r="F175" s="4" t="n">
        <v>2</v>
      </c>
    </row>
    <row r="176" customFormat="false" ht="45.75" hidden="false" customHeight="true" outlineLevel="0" collapsed="false">
      <c r="A176" s="2" t="s">
        <v>284</v>
      </c>
      <c r="B176" s="2" t="s">
        <v>285</v>
      </c>
      <c r="C176" s="2" t="s">
        <v>217</v>
      </c>
      <c r="D176" s="2" t="s">
        <v>283</v>
      </c>
      <c r="E176" s="4" t="n">
        <v>6</v>
      </c>
      <c r="F176" s="4" t="n">
        <v>2</v>
      </c>
    </row>
    <row r="177" customFormat="false" ht="45.75" hidden="false" customHeight="true" outlineLevel="0" collapsed="false">
      <c r="A177" s="2" t="s">
        <v>284</v>
      </c>
      <c r="B177" s="2" t="s">
        <v>285</v>
      </c>
      <c r="C177" s="2" t="s">
        <v>217</v>
      </c>
      <c r="D177" s="2" t="s">
        <v>283</v>
      </c>
      <c r="E177" s="4" t="n">
        <v>7</v>
      </c>
      <c r="F177" s="4" t="n">
        <v>2</v>
      </c>
    </row>
    <row r="178" customFormat="false" ht="45.75" hidden="false" customHeight="true" outlineLevel="0" collapsed="false">
      <c r="A178" s="2" t="s">
        <v>284</v>
      </c>
      <c r="B178" s="2" t="s">
        <v>285</v>
      </c>
      <c r="C178" s="2" t="s">
        <v>217</v>
      </c>
      <c r="D178" s="2" t="s">
        <v>283</v>
      </c>
      <c r="E178" s="4" t="n">
        <v>8</v>
      </c>
      <c r="F178" s="4" t="n">
        <v>2</v>
      </c>
    </row>
    <row r="179" customFormat="false" ht="45.75" hidden="false" customHeight="true" outlineLevel="0" collapsed="false">
      <c r="A179" s="2" t="s">
        <v>284</v>
      </c>
      <c r="B179" s="2" t="s">
        <v>285</v>
      </c>
      <c r="C179" s="2" t="s">
        <v>217</v>
      </c>
      <c r="D179" s="2" t="s">
        <v>283</v>
      </c>
      <c r="E179" s="4" t="n">
        <v>9</v>
      </c>
      <c r="F179" s="4" t="n">
        <v>2</v>
      </c>
    </row>
    <row r="180" customFormat="false" ht="45.75" hidden="false" customHeight="true" outlineLevel="0" collapsed="false">
      <c r="A180" s="2" t="s">
        <v>284</v>
      </c>
      <c r="B180" s="2" t="s">
        <v>285</v>
      </c>
      <c r="C180" s="2" t="s">
        <v>217</v>
      </c>
      <c r="D180" s="2" t="s">
        <v>283</v>
      </c>
      <c r="E180" s="4" t="n">
        <v>10</v>
      </c>
      <c r="F180" s="4" t="n">
        <v>2</v>
      </c>
    </row>
    <row r="181" customFormat="false" ht="45.75" hidden="false" customHeight="true" outlineLevel="0" collapsed="false">
      <c r="A181" s="2" t="s">
        <v>284</v>
      </c>
      <c r="B181" s="2" t="s">
        <v>285</v>
      </c>
      <c r="C181" s="2" t="s">
        <v>217</v>
      </c>
      <c r="D181" s="2" t="s">
        <v>283</v>
      </c>
      <c r="E181" s="4" t="n">
        <v>11</v>
      </c>
      <c r="F181" s="4" t="n">
        <v>2</v>
      </c>
    </row>
    <row r="182" customFormat="false" ht="45.75" hidden="false" customHeight="true" outlineLevel="0" collapsed="false">
      <c r="A182" s="2" t="s">
        <v>284</v>
      </c>
      <c r="B182" s="2" t="s">
        <v>285</v>
      </c>
      <c r="C182" s="2" t="s">
        <v>217</v>
      </c>
      <c r="D182" s="2" t="s">
        <v>283</v>
      </c>
      <c r="E182" s="4" t="n">
        <v>12</v>
      </c>
      <c r="F182" s="4" t="n">
        <v>2</v>
      </c>
    </row>
    <row r="183" customFormat="false" ht="45.75" hidden="false" customHeight="true" outlineLevel="0" collapsed="false">
      <c r="A183" s="2" t="s">
        <v>286</v>
      </c>
      <c r="B183" s="2" t="s">
        <v>287</v>
      </c>
      <c r="C183" s="2" t="s">
        <v>217</v>
      </c>
      <c r="D183" s="2" t="s">
        <v>283</v>
      </c>
      <c r="E183" s="4" t="n">
        <v>1</v>
      </c>
      <c r="F183" s="4" t="n">
        <v>8</v>
      </c>
    </row>
    <row r="184" customFormat="false" ht="45.75" hidden="false" customHeight="true" outlineLevel="0" collapsed="false">
      <c r="A184" s="2" t="s">
        <v>286</v>
      </c>
      <c r="B184" s="2" t="s">
        <v>287</v>
      </c>
      <c r="C184" s="2" t="s">
        <v>217</v>
      </c>
      <c r="D184" s="2" t="s">
        <v>283</v>
      </c>
      <c r="E184" s="4" t="n">
        <v>2</v>
      </c>
      <c r="F184" s="4" t="n">
        <v>8</v>
      </c>
    </row>
    <row r="185" customFormat="false" ht="45.75" hidden="false" customHeight="true" outlineLevel="0" collapsed="false">
      <c r="A185" s="2" t="s">
        <v>286</v>
      </c>
      <c r="B185" s="2" t="s">
        <v>287</v>
      </c>
      <c r="C185" s="2" t="s">
        <v>217</v>
      </c>
      <c r="D185" s="2" t="s">
        <v>283</v>
      </c>
      <c r="E185" s="4" t="n">
        <v>3</v>
      </c>
      <c r="F185" s="4" t="n">
        <v>8</v>
      </c>
    </row>
    <row r="186" customFormat="false" ht="45.75" hidden="false" customHeight="true" outlineLevel="0" collapsed="false">
      <c r="A186" s="2" t="s">
        <v>286</v>
      </c>
      <c r="B186" s="2" t="s">
        <v>287</v>
      </c>
      <c r="C186" s="2" t="s">
        <v>217</v>
      </c>
      <c r="D186" s="2" t="s">
        <v>283</v>
      </c>
      <c r="E186" s="4" t="n">
        <v>4</v>
      </c>
      <c r="F186" s="4" t="n">
        <v>8</v>
      </c>
    </row>
    <row r="187" customFormat="false" ht="45.75" hidden="false" customHeight="true" outlineLevel="0" collapsed="false">
      <c r="A187" s="2" t="s">
        <v>286</v>
      </c>
      <c r="B187" s="2" t="s">
        <v>287</v>
      </c>
      <c r="C187" s="2" t="s">
        <v>217</v>
      </c>
      <c r="D187" s="2" t="s">
        <v>283</v>
      </c>
      <c r="E187" s="4" t="n">
        <v>5</v>
      </c>
      <c r="F187" s="4" t="n">
        <v>8</v>
      </c>
    </row>
    <row r="188" customFormat="false" ht="45.75" hidden="false" customHeight="true" outlineLevel="0" collapsed="false">
      <c r="A188" s="2" t="s">
        <v>286</v>
      </c>
      <c r="B188" s="2" t="s">
        <v>287</v>
      </c>
      <c r="C188" s="2" t="s">
        <v>217</v>
      </c>
      <c r="D188" s="2" t="s">
        <v>283</v>
      </c>
      <c r="E188" s="4" t="n">
        <v>6</v>
      </c>
      <c r="F188" s="4" t="n">
        <v>8</v>
      </c>
    </row>
    <row r="189" customFormat="false" ht="45.75" hidden="false" customHeight="true" outlineLevel="0" collapsed="false">
      <c r="A189" s="2" t="s">
        <v>286</v>
      </c>
      <c r="B189" s="2" t="s">
        <v>287</v>
      </c>
      <c r="C189" s="2" t="s">
        <v>217</v>
      </c>
      <c r="D189" s="2" t="s">
        <v>283</v>
      </c>
      <c r="E189" s="4" t="n">
        <v>7</v>
      </c>
      <c r="F189" s="4" t="n">
        <v>8</v>
      </c>
    </row>
    <row r="190" customFormat="false" ht="45.75" hidden="false" customHeight="true" outlineLevel="0" collapsed="false">
      <c r="A190" s="2" t="s">
        <v>286</v>
      </c>
      <c r="B190" s="2" t="s">
        <v>287</v>
      </c>
      <c r="C190" s="2" t="s">
        <v>217</v>
      </c>
      <c r="D190" s="2" t="s">
        <v>283</v>
      </c>
      <c r="E190" s="4" t="n">
        <v>8</v>
      </c>
      <c r="F190" s="4" t="n">
        <v>8</v>
      </c>
    </row>
    <row r="191" customFormat="false" ht="45.75" hidden="false" customHeight="true" outlineLevel="0" collapsed="false">
      <c r="A191" s="2" t="s">
        <v>286</v>
      </c>
      <c r="B191" s="2" t="s">
        <v>287</v>
      </c>
      <c r="C191" s="2" t="s">
        <v>217</v>
      </c>
      <c r="D191" s="2" t="s">
        <v>283</v>
      </c>
      <c r="E191" s="4" t="n">
        <v>9</v>
      </c>
      <c r="F191" s="4" t="n">
        <v>8</v>
      </c>
    </row>
    <row r="192" customFormat="false" ht="45.75" hidden="false" customHeight="true" outlineLevel="0" collapsed="false">
      <c r="A192" s="2" t="s">
        <v>286</v>
      </c>
      <c r="B192" s="2" t="s">
        <v>287</v>
      </c>
      <c r="C192" s="2" t="s">
        <v>217</v>
      </c>
      <c r="D192" s="2" t="s">
        <v>283</v>
      </c>
      <c r="E192" s="4" t="n">
        <v>10</v>
      </c>
      <c r="F192" s="4" t="n">
        <v>8</v>
      </c>
    </row>
    <row r="193" customFormat="false" ht="45.75" hidden="false" customHeight="true" outlineLevel="0" collapsed="false">
      <c r="A193" s="2" t="s">
        <v>286</v>
      </c>
      <c r="B193" s="2" t="s">
        <v>287</v>
      </c>
      <c r="C193" s="2" t="s">
        <v>217</v>
      </c>
      <c r="D193" s="2" t="s">
        <v>283</v>
      </c>
      <c r="E193" s="4" t="n">
        <v>11</v>
      </c>
      <c r="F193" s="4" t="n">
        <v>8</v>
      </c>
    </row>
    <row r="194" customFormat="false" ht="45.75" hidden="false" customHeight="true" outlineLevel="0" collapsed="false">
      <c r="A194" s="2" t="s">
        <v>286</v>
      </c>
      <c r="B194" s="2" t="s">
        <v>287</v>
      </c>
      <c r="C194" s="2" t="s">
        <v>217</v>
      </c>
      <c r="D194" s="2" t="s">
        <v>283</v>
      </c>
      <c r="E194" s="4" t="n">
        <v>12</v>
      </c>
      <c r="F194" s="4" t="n">
        <v>8</v>
      </c>
    </row>
    <row r="195" customFormat="false" ht="45.75" hidden="false" customHeight="true" outlineLevel="0" collapsed="false">
      <c r="A195" s="2" t="s">
        <v>288</v>
      </c>
      <c r="B195" s="2" t="s">
        <v>289</v>
      </c>
      <c r="C195" s="2" t="s">
        <v>212</v>
      </c>
      <c r="D195" s="2" t="s">
        <v>290</v>
      </c>
      <c r="E195" s="4" t="n">
        <v>2</v>
      </c>
      <c r="F195" s="4" t="n">
        <v>20</v>
      </c>
    </row>
    <row r="196" customFormat="false" ht="45.75" hidden="false" customHeight="true" outlineLevel="0" collapsed="false">
      <c r="A196" s="2" t="s">
        <v>291</v>
      </c>
      <c r="B196" s="2" t="s">
        <v>292</v>
      </c>
      <c r="C196" s="2" t="s">
        <v>212</v>
      </c>
      <c r="D196" s="2" t="s">
        <v>290</v>
      </c>
      <c r="E196" s="4" t="n">
        <v>2</v>
      </c>
      <c r="F196" s="4" t="n">
        <v>32</v>
      </c>
    </row>
    <row r="197" customFormat="false" ht="45.75" hidden="false" customHeight="true" outlineLevel="0" collapsed="false">
      <c r="A197" s="2" t="s">
        <v>293</v>
      </c>
      <c r="B197" s="2" t="s">
        <v>294</v>
      </c>
      <c r="C197" s="2" t="s">
        <v>212</v>
      </c>
      <c r="D197" s="2" t="s">
        <v>290</v>
      </c>
      <c r="E197" s="4" t="n">
        <v>3</v>
      </c>
      <c r="F197" s="4" t="n">
        <v>30</v>
      </c>
    </row>
    <row r="198" customFormat="false" ht="45.75" hidden="false" customHeight="true" outlineLevel="0" collapsed="false">
      <c r="A198" s="2" t="s">
        <v>293</v>
      </c>
      <c r="B198" s="2" t="s">
        <v>294</v>
      </c>
      <c r="C198" s="2" t="s">
        <v>212</v>
      </c>
      <c r="D198" s="2" t="s">
        <v>290</v>
      </c>
      <c r="E198" s="4" t="n">
        <v>4</v>
      </c>
      <c r="F198" s="4" t="n">
        <v>30</v>
      </c>
    </row>
    <row r="199" customFormat="false" ht="45.75" hidden="false" customHeight="true" outlineLevel="0" collapsed="false">
      <c r="A199" s="2" t="s">
        <v>295</v>
      </c>
      <c r="B199" s="2" t="s">
        <v>296</v>
      </c>
      <c r="C199" s="2" t="s">
        <v>212</v>
      </c>
      <c r="D199" s="2" t="s">
        <v>290</v>
      </c>
      <c r="E199" s="4" t="n">
        <v>4</v>
      </c>
      <c r="F199" s="4" t="n">
        <v>20</v>
      </c>
    </row>
    <row r="200" customFormat="false" ht="45.75" hidden="false" customHeight="true" outlineLevel="0" collapsed="false">
      <c r="A200" s="2" t="s">
        <v>297</v>
      </c>
      <c r="B200" s="2" t="s">
        <v>298</v>
      </c>
      <c r="C200" s="2" t="s">
        <v>212</v>
      </c>
      <c r="D200" s="2" t="s">
        <v>290</v>
      </c>
      <c r="E200" s="4" t="n">
        <v>5</v>
      </c>
      <c r="F200" s="4" t="n">
        <v>22</v>
      </c>
    </row>
    <row r="201" customFormat="false" ht="45.75" hidden="false" customHeight="true" outlineLevel="0" collapsed="false">
      <c r="A201" s="2" t="s">
        <v>297</v>
      </c>
      <c r="B201" s="2" t="s">
        <v>298</v>
      </c>
      <c r="C201" s="2" t="s">
        <v>212</v>
      </c>
      <c r="D201" s="2" t="s">
        <v>290</v>
      </c>
      <c r="E201" s="4" t="n">
        <v>6</v>
      </c>
      <c r="F201" s="4" t="n">
        <v>22</v>
      </c>
    </row>
    <row r="202" customFormat="false" ht="45.75" hidden="false" customHeight="true" outlineLevel="0" collapsed="false">
      <c r="A202" s="2" t="s">
        <v>299</v>
      </c>
      <c r="B202" s="2" t="s">
        <v>300</v>
      </c>
      <c r="C202" s="2" t="s">
        <v>212</v>
      </c>
      <c r="D202" s="2" t="s">
        <v>290</v>
      </c>
      <c r="E202" s="4" t="n">
        <v>6</v>
      </c>
      <c r="F202" s="4" t="n">
        <v>16</v>
      </c>
    </row>
    <row r="203" customFormat="false" ht="45.75" hidden="false" customHeight="true" outlineLevel="0" collapsed="false">
      <c r="A203" s="2" t="s">
        <v>301</v>
      </c>
      <c r="B203" s="2" t="s">
        <v>302</v>
      </c>
      <c r="C203" s="2" t="s">
        <v>212</v>
      </c>
      <c r="D203" s="2" t="s">
        <v>290</v>
      </c>
      <c r="E203" s="4" t="n">
        <v>3</v>
      </c>
      <c r="F203" s="4" t="n">
        <v>4</v>
      </c>
    </row>
    <row r="204" customFormat="false" ht="45.75" hidden="false" customHeight="true" outlineLevel="0" collapsed="false">
      <c r="A204" s="2" t="s">
        <v>301</v>
      </c>
      <c r="B204" s="2" t="s">
        <v>302</v>
      </c>
      <c r="C204" s="2" t="s">
        <v>212</v>
      </c>
      <c r="D204" s="2" t="s">
        <v>290</v>
      </c>
      <c r="E204" s="4" t="n">
        <v>4</v>
      </c>
      <c r="F204" s="4" t="n">
        <v>4</v>
      </c>
    </row>
    <row r="205" customFormat="false" ht="45.75" hidden="false" customHeight="true" outlineLevel="0" collapsed="false">
      <c r="A205" s="2" t="s">
        <v>301</v>
      </c>
      <c r="B205" s="2" t="s">
        <v>302</v>
      </c>
      <c r="C205" s="2" t="s">
        <v>212</v>
      </c>
      <c r="D205" s="2" t="s">
        <v>290</v>
      </c>
      <c r="E205" s="4" t="n">
        <v>5</v>
      </c>
      <c r="F205" s="4" t="n">
        <v>4</v>
      </c>
    </row>
    <row r="206" customFormat="false" ht="45.75" hidden="false" customHeight="true" outlineLevel="0" collapsed="false">
      <c r="A206" s="2" t="s">
        <v>301</v>
      </c>
      <c r="B206" s="2" t="s">
        <v>302</v>
      </c>
      <c r="C206" s="2" t="s">
        <v>212</v>
      </c>
      <c r="D206" s="2" t="s">
        <v>290</v>
      </c>
      <c r="E206" s="4" t="n">
        <v>6</v>
      </c>
      <c r="F206" s="4" t="n">
        <v>4</v>
      </c>
    </row>
    <row r="207" customFormat="false" ht="45.75" hidden="false" customHeight="true" outlineLevel="0" collapsed="false">
      <c r="A207" s="2" t="s">
        <v>301</v>
      </c>
      <c r="B207" s="2" t="s">
        <v>302</v>
      </c>
      <c r="C207" s="2" t="s">
        <v>212</v>
      </c>
      <c r="D207" s="2" t="s">
        <v>290</v>
      </c>
      <c r="E207" s="4" t="n">
        <v>7</v>
      </c>
      <c r="F207" s="4" t="n">
        <v>4</v>
      </c>
    </row>
    <row r="208" customFormat="false" ht="45.75" hidden="false" customHeight="true" outlineLevel="0" collapsed="false">
      <c r="A208" s="2" t="s">
        <v>301</v>
      </c>
      <c r="B208" s="2" t="s">
        <v>302</v>
      </c>
      <c r="C208" s="2" t="s">
        <v>212</v>
      </c>
      <c r="D208" s="2" t="s">
        <v>290</v>
      </c>
      <c r="E208" s="4" t="n">
        <v>8</v>
      </c>
      <c r="F208" s="4" t="n">
        <v>4</v>
      </c>
    </row>
    <row r="209" customFormat="false" ht="45.75" hidden="false" customHeight="true" outlineLevel="0" collapsed="false">
      <c r="A209" s="2" t="s">
        <v>301</v>
      </c>
      <c r="B209" s="2" t="s">
        <v>302</v>
      </c>
      <c r="C209" s="2" t="s">
        <v>212</v>
      </c>
      <c r="D209" s="2" t="s">
        <v>290</v>
      </c>
      <c r="E209" s="4" t="n">
        <v>9</v>
      </c>
      <c r="F209" s="4" t="n">
        <v>4</v>
      </c>
    </row>
    <row r="210" customFormat="false" ht="45.75" hidden="false" customHeight="true" outlineLevel="0" collapsed="false">
      <c r="A210" s="2" t="s">
        <v>301</v>
      </c>
      <c r="B210" s="2" t="s">
        <v>302</v>
      </c>
      <c r="C210" s="2" t="s">
        <v>212</v>
      </c>
      <c r="D210" s="2" t="s">
        <v>290</v>
      </c>
      <c r="E210" s="4" t="n">
        <v>10</v>
      </c>
      <c r="F210" s="4" t="n">
        <v>4</v>
      </c>
    </row>
    <row r="211" customFormat="false" ht="45.75" hidden="false" customHeight="true" outlineLevel="0" collapsed="false">
      <c r="A211" s="2" t="s">
        <v>301</v>
      </c>
      <c r="B211" s="2" t="s">
        <v>302</v>
      </c>
      <c r="C211" s="2" t="s">
        <v>212</v>
      </c>
      <c r="D211" s="2" t="s">
        <v>290</v>
      </c>
      <c r="E211" s="4" t="n">
        <v>11</v>
      </c>
      <c r="F211" s="4" t="n">
        <v>4</v>
      </c>
    </row>
    <row r="212" customFormat="false" ht="45.75" hidden="false" customHeight="true" outlineLevel="0" collapsed="false">
      <c r="A212" s="2" t="s">
        <v>301</v>
      </c>
      <c r="B212" s="2" t="s">
        <v>302</v>
      </c>
      <c r="C212" s="2" t="s">
        <v>212</v>
      </c>
      <c r="D212" s="2" t="s">
        <v>290</v>
      </c>
      <c r="E212" s="4" t="n">
        <v>12</v>
      </c>
      <c r="F212" s="4" t="n">
        <v>4</v>
      </c>
    </row>
    <row r="213" customFormat="false" ht="45.75" hidden="false" customHeight="true" outlineLevel="0" collapsed="false">
      <c r="A213" s="2" t="s">
        <v>115</v>
      </c>
      <c r="B213" s="2" t="s">
        <v>303</v>
      </c>
      <c r="C213" s="2" t="s">
        <v>208</v>
      </c>
      <c r="D213" s="2" t="s">
        <v>304</v>
      </c>
      <c r="E213" s="4" t="n">
        <v>1</v>
      </c>
      <c r="F213" s="4" t="n">
        <v>16</v>
      </c>
    </row>
    <row r="214" customFormat="false" ht="45.75" hidden="false" customHeight="true" outlineLevel="0" collapsed="false">
      <c r="A214" s="2" t="s">
        <v>115</v>
      </c>
      <c r="B214" s="2" t="s">
        <v>303</v>
      </c>
      <c r="C214" s="2" t="s">
        <v>208</v>
      </c>
      <c r="D214" s="2" t="s">
        <v>304</v>
      </c>
      <c r="E214" s="4" t="n">
        <v>2</v>
      </c>
      <c r="F214" s="4" t="n">
        <v>16</v>
      </c>
    </row>
    <row r="215" customFormat="false" ht="45.75" hidden="false" customHeight="true" outlineLevel="0" collapsed="false">
      <c r="A215" s="2" t="s">
        <v>115</v>
      </c>
      <c r="B215" s="2" t="s">
        <v>303</v>
      </c>
      <c r="C215" s="2" t="s">
        <v>208</v>
      </c>
      <c r="D215" s="2" t="s">
        <v>304</v>
      </c>
      <c r="E215" s="4" t="n">
        <v>3</v>
      </c>
      <c r="F215" s="4" t="n">
        <v>16</v>
      </c>
    </row>
    <row r="216" customFormat="false" ht="45.75" hidden="false" customHeight="true" outlineLevel="0" collapsed="false">
      <c r="A216" s="2" t="s">
        <v>115</v>
      </c>
      <c r="B216" s="2" t="s">
        <v>303</v>
      </c>
      <c r="C216" s="2" t="s">
        <v>208</v>
      </c>
      <c r="D216" s="2" t="s">
        <v>304</v>
      </c>
      <c r="E216" s="4" t="n">
        <v>4</v>
      </c>
      <c r="F216" s="4" t="n">
        <v>16</v>
      </c>
    </row>
    <row r="217" customFormat="false" ht="45.75" hidden="false" customHeight="true" outlineLevel="0" collapsed="false">
      <c r="A217" s="2" t="s">
        <v>115</v>
      </c>
      <c r="B217" s="2" t="s">
        <v>303</v>
      </c>
      <c r="C217" s="2" t="s">
        <v>208</v>
      </c>
      <c r="D217" s="2" t="s">
        <v>304</v>
      </c>
      <c r="E217" s="4" t="n">
        <v>5</v>
      </c>
      <c r="F217" s="4" t="n">
        <v>16</v>
      </c>
    </row>
    <row r="218" customFormat="false" ht="45.75" hidden="false" customHeight="true" outlineLevel="0" collapsed="false">
      <c r="A218" s="2" t="s">
        <v>115</v>
      </c>
      <c r="B218" s="2" t="s">
        <v>303</v>
      </c>
      <c r="C218" s="2" t="s">
        <v>208</v>
      </c>
      <c r="D218" s="2" t="s">
        <v>304</v>
      </c>
      <c r="E218" s="4" t="n">
        <v>6</v>
      </c>
      <c r="F218" s="4" t="n">
        <v>16</v>
      </c>
    </row>
    <row r="219" customFormat="false" ht="45.75" hidden="false" customHeight="true" outlineLevel="0" collapsed="false">
      <c r="A219" s="2" t="s">
        <v>115</v>
      </c>
      <c r="B219" s="2" t="s">
        <v>303</v>
      </c>
      <c r="C219" s="2" t="s">
        <v>208</v>
      </c>
      <c r="D219" s="2" t="s">
        <v>304</v>
      </c>
      <c r="E219" s="4" t="n">
        <v>7</v>
      </c>
      <c r="F219" s="4" t="n">
        <v>16</v>
      </c>
    </row>
    <row r="220" customFormat="false" ht="45.75" hidden="false" customHeight="true" outlineLevel="0" collapsed="false">
      <c r="A220" s="2" t="s">
        <v>115</v>
      </c>
      <c r="B220" s="2" t="s">
        <v>303</v>
      </c>
      <c r="C220" s="2" t="s">
        <v>208</v>
      </c>
      <c r="D220" s="2" t="s">
        <v>304</v>
      </c>
      <c r="E220" s="4" t="n">
        <v>8</v>
      </c>
      <c r="F220" s="4" t="n">
        <v>16</v>
      </c>
    </row>
    <row r="221" customFormat="false" ht="45.75" hidden="false" customHeight="true" outlineLevel="0" collapsed="false">
      <c r="A221" s="2" t="s">
        <v>115</v>
      </c>
      <c r="B221" s="2" t="s">
        <v>303</v>
      </c>
      <c r="C221" s="2" t="s">
        <v>208</v>
      </c>
      <c r="D221" s="2" t="s">
        <v>304</v>
      </c>
      <c r="E221" s="4" t="n">
        <v>9</v>
      </c>
      <c r="F221" s="4" t="n">
        <v>16</v>
      </c>
    </row>
    <row r="222" customFormat="false" ht="45.75" hidden="false" customHeight="true" outlineLevel="0" collapsed="false">
      <c r="A222" s="2" t="s">
        <v>115</v>
      </c>
      <c r="B222" s="2" t="s">
        <v>303</v>
      </c>
      <c r="C222" s="2" t="s">
        <v>208</v>
      </c>
      <c r="D222" s="2" t="s">
        <v>304</v>
      </c>
      <c r="E222" s="4" t="n">
        <v>10</v>
      </c>
      <c r="F222" s="4" t="n">
        <v>16</v>
      </c>
    </row>
    <row r="223" customFormat="false" ht="45.75" hidden="false" customHeight="true" outlineLevel="0" collapsed="false">
      <c r="A223" s="2" t="s">
        <v>115</v>
      </c>
      <c r="B223" s="2" t="s">
        <v>303</v>
      </c>
      <c r="C223" s="2" t="s">
        <v>208</v>
      </c>
      <c r="D223" s="2" t="s">
        <v>304</v>
      </c>
      <c r="E223" s="4" t="n">
        <v>11</v>
      </c>
      <c r="F223" s="4" t="n">
        <v>16</v>
      </c>
    </row>
    <row r="224" customFormat="false" ht="45.75" hidden="false" customHeight="true" outlineLevel="0" collapsed="false">
      <c r="A224" s="2" t="s">
        <v>115</v>
      </c>
      <c r="B224" s="2" t="s">
        <v>303</v>
      </c>
      <c r="C224" s="2" t="s">
        <v>208</v>
      </c>
      <c r="D224" s="2" t="s">
        <v>304</v>
      </c>
      <c r="E224" s="4" t="n">
        <v>12</v>
      </c>
      <c r="F224" s="4" t="n">
        <v>16</v>
      </c>
    </row>
    <row r="225" customFormat="false" ht="45.75" hidden="false" customHeight="true" outlineLevel="0" collapsed="false">
      <c r="A225" s="2" t="s">
        <v>121</v>
      </c>
      <c r="B225" s="2" t="s">
        <v>305</v>
      </c>
      <c r="C225" s="2" t="s">
        <v>206</v>
      </c>
      <c r="D225" s="2" t="s">
        <v>306</v>
      </c>
      <c r="E225" s="4" t="n">
        <v>1</v>
      </c>
      <c r="F225" s="4" t="n">
        <v>2</v>
      </c>
    </row>
    <row r="226" customFormat="false" ht="45.75" hidden="false" customHeight="true" outlineLevel="0" collapsed="false">
      <c r="A226" s="2" t="s">
        <v>121</v>
      </c>
      <c r="B226" s="2" t="s">
        <v>305</v>
      </c>
      <c r="C226" s="2" t="s">
        <v>206</v>
      </c>
      <c r="D226" s="2" t="s">
        <v>306</v>
      </c>
      <c r="E226" s="4" t="n">
        <v>2</v>
      </c>
      <c r="F226" s="4" t="n">
        <v>2</v>
      </c>
    </row>
    <row r="227" customFormat="false" ht="45.75" hidden="false" customHeight="true" outlineLevel="0" collapsed="false">
      <c r="A227" s="2" t="s">
        <v>121</v>
      </c>
      <c r="B227" s="2" t="s">
        <v>305</v>
      </c>
      <c r="C227" s="2" t="s">
        <v>206</v>
      </c>
      <c r="D227" s="2" t="s">
        <v>306</v>
      </c>
      <c r="E227" s="4" t="n">
        <v>3</v>
      </c>
      <c r="F227" s="4" t="n">
        <v>2</v>
      </c>
    </row>
    <row r="228" customFormat="false" ht="45.75" hidden="false" customHeight="true" outlineLevel="0" collapsed="false">
      <c r="A228" s="2" t="s">
        <v>121</v>
      </c>
      <c r="B228" s="2" t="s">
        <v>305</v>
      </c>
      <c r="C228" s="2" t="s">
        <v>206</v>
      </c>
      <c r="D228" s="2" t="s">
        <v>306</v>
      </c>
      <c r="E228" s="4" t="n">
        <v>4</v>
      </c>
      <c r="F228" s="4" t="n">
        <v>2</v>
      </c>
    </row>
    <row r="229" customFormat="false" ht="45.75" hidden="false" customHeight="true" outlineLevel="0" collapsed="false">
      <c r="A229" s="2" t="s">
        <v>121</v>
      </c>
      <c r="B229" s="2" t="s">
        <v>305</v>
      </c>
      <c r="C229" s="2" t="s">
        <v>206</v>
      </c>
      <c r="D229" s="2" t="s">
        <v>306</v>
      </c>
      <c r="E229" s="4" t="n">
        <v>5</v>
      </c>
      <c r="F229" s="4" t="n">
        <v>2</v>
      </c>
    </row>
    <row r="230" customFormat="false" ht="45.75" hidden="false" customHeight="true" outlineLevel="0" collapsed="false">
      <c r="A230" s="2" t="s">
        <v>121</v>
      </c>
      <c r="B230" s="2" t="s">
        <v>305</v>
      </c>
      <c r="C230" s="2" t="s">
        <v>206</v>
      </c>
      <c r="D230" s="2" t="s">
        <v>306</v>
      </c>
      <c r="E230" s="4" t="n">
        <v>6</v>
      </c>
      <c r="F230" s="4" t="n">
        <v>2</v>
      </c>
    </row>
    <row r="231" customFormat="false" ht="45.75" hidden="false" customHeight="true" outlineLevel="0" collapsed="false">
      <c r="A231" s="2" t="s">
        <v>121</v>
      </c>
      <c r="B231" s="2" t="s">
        <v>305</v>
      </c>
      <c r="C231" s="2" t="s">
        <v>206</v>
      </c>
      <c r="D231" s="2" t="s">
        <v>306</v>
      </c>
      <c r="E231" s="4" t="n">
        <v>7</v>
      </c>
      <c r="F231" s="4" t="n">
        <v>2</v>
      </c>
    </row>
    <row r="232" customFormat="false" ht="45.75" hidden="false" customHeight="true" outlineLevel="0" collapsed="false">
      <c r="A232" s="2" t="s">
        <v>121</v>
      </c>
      <c r="B232" s="2" t="s">
        <v>305</v>
      </c>
      <c r="C232" s="2" t="s">
        <v>206</v>
      </c>
      <c r="D232" s="2" t="s">
        <v>306</v>
      </c>
      <c r="E232" s="4" t="n">
        <v>8</v>
      </c>
      <c r="F232" s="4" t="n">
        <v>2</v>
      </c>
    </row>
    <row r="233" customFormat="false" ht="45.75" hidden="false" customHeight="true" outlineLevel="0" collapsed="false">
      <c r="A233" s="2" t="s">
        <v>121</v>
      </c>
      <c r="B233" s="2" t="s">
        <v>305</v>
      </c>
      <c r="C233" s="2" t="s">
        <v>206</v>
      </c>
      <c r="D233" s="2" t="s">
        <v>306</v>
      </c>
      <c r="E233" s="4" t="n">
        <v>9</v>
      </c>
      <c r="F233" s="4" t="n">
        <v>2</v>
      </c>
    </row>
    <row r="234" customFormat="false" ht="45.75" hidden="false" customHeight="true" outlineLevel="0" collapsed="false">
      <c r="A234" s="2" t="s">
        <v>121</v>
      </c>
      <c r="B234" s="2" t="s">
        <v>305</v>
      </c>
      <c r="C234" s="2" t="s">
        <v>206</v>
      </c>
      <c r="D234" s="2" t="s">
        <v>306</v>
      </c>
      <c r="E234" s="4" t="n">
        <v>10</v>
      </c>
      <c r="F234" s="4" t="n">
        <v>2</v>
      </c>
    </row>
    <row r="235" customFormat="false" ht="45.75" hidden="false" customHeight="true" outlineLevel="0" collapsed="false">
      <c r="A235" s="2" t="s">
        <v>121</v>
      </c>
      <c r="B235" s="2" t="s">
        <v>305</v>
      </c>
      <c r="C235" s="2" t="s">
        <v>206</v>
      </c>
      <c r="D235" s="2" t="s">
        <v>306</v>
      </c>
      <c r="E235" s="4" t="n">
        <v>11</v>
      </c>
      <c r="F235" s="4" t="n">
        <v>2</v>
      </c>
    </row>
    <row r="236" customFormat="false" ht="45.75" hidden="false" customHeight="true" outlineLevel="0" collapsed="false">
      <c r="A236" s="2" t="s">
        <v>121</v>
      </c>
      <c r="B236" s="2" t="s">
        <v>305</v>
      </c>
      <c r="C236" s="2" t="s">
        <v>206</v>
      </c>
      <c r="D236" s="2" t="s">
        <v>306</v>
      </c>
      <c r="E236" s="4" t="n">
        <v>12</v>
      </c>
      <c r="F236" s="4" t="n">
        <v>2</v>
      </c>
    </row>
    <row r="237" customFormat="false" ht="45.75" hidden="false" customHeight="true" outlineLevel="0" collapsed="false">
      <c r="A237" s="2" t="s">
        <v>127</v>
      </c>
      <c r="B237" s="2" t="s">
        <v>307</v>
      </c>
      <c r="C237" s="2" t="s">
        <v>206</v>
      </c>
      <c r="D237" s="2" t="s">
        <v>306</v>
      </c>
      <c r="E237" s="4" t="n">
        <v>3</v>
      </c>
      <c r="F237" s="4" t="n">
        <v>2</v>
      </c>
    </row>
    <row r="238" customFormat="false" ht="45.75" hidden="false" customHeight="true" outlineLevel="0" collapsed="false">
      <c r="A238" s="2" t="s">
        <v>127</v>
      </c>
      <c r="B238" s="2" t="s">
        <v>307</v>
      </c>
      <c r="C238" s="2" t="s">
        <v>206</v>
      </c>
      <c r="D238" s="2" t="s">
        <v>306</v>
      </c>
      <c r="E238" s="4" t="n">
        <v>5</v>
      </c>
      <c r="F238" s="4" t="n">
        <v>2</v>
      </c>
    </row>
    <row r="239" customFormat="false" ht="45.75" hidden="false" customHeight="true" outlineLevel="0" collapsed="false">
      <c r="A239" s="2" t="s">
        <v>127</v>
      </c>
      <c r="B239" s="2" t="s">
        <v>307</v>
      </c>
      <c r="C239" s="2" t="s">
        <v>206</v>
      </c>
      <c r="D239" s="2" t="s">
        <v>306</v>
      </c>
      <c r="E239" s="4" t="n">
        <v>8</v>
      </c>
      <c r="F239" s="4" t="n">
        <v>2</v>
      </c>
    </row>
    <row r="240" customFormat="false" ht="45.75" hidden="false" customHeight="true" outlineLevel="0" collapsed="false">
      <c r="A240" s="2" t="s">
        <v>127</v>
      </c>
      <c r="B240" s="2" t="s">
        <v>307</v>
      </c>
      <c r="C240" s="2" t="s">
        <v>206</v>
      </c>
      <c r="D240" s="2" t="s">
        <v>306</v>
      </c>
      <c r="E240" s="4" t="n">
        <v>11</v>
      </c>
      <c r="F240" s="4" t="n">
        <v>2</v>
      </c>
    </row>
    <row r="241" customFormat="false" ht="45.75" hidden="false" customHeight="true" outlineLevel="0" collapsed="false">
      <c r="A241" s="2" t="s">
        <v>132</v>
      </c>
      <c r="B241" s="2" t="s">
        <v>308</v>
      </c>
      <c r="C241" s="2" t="s">
        <v>216</v>
      </c>
      <c r="D241" s="2" t="s">
        <v>309</v>
      </c>
      <c r="E241" s="4" t="n">
        <v>3</v>
      </c>
      <c r="F241" s="4" t="n">
        <v>8</v>
      </c>
    </row>
    <row r="242" customFormat="false" ht="45.75" hidden="false" customHeight="true" outlineLevel="0" collapsed="false">
      <c r="A242" s="2" t="s">
        <v>132</v>
      </c>
      <c r="B242" s="2" t="s">
        <v>308</v>
      </c>
      <c r="C242" s="2" t="s">
        <v>216</v>
      </c>
      <c r="D242" s="2" t="s">
        <v>309</v>
      </c>
      <c r="E242" s="4" t="n">
        <v>5</v>
      </c>
      <c r="F242" s="4" t="n">
        <v>8</v>
      </c>
    </row>
    <row r="243" customFormat="false" ht="45.75" hidden="false" customHeight="true" outlineLevel="0" collapsed="false">
      <c r="A243" s="2" t="s">
        <v>132</v>
      </c>
      <c r="B243" s="2" t="s">
        <v>308</v>
      </c>
      <c r="C243" s="2" t="s">
        <v>216</v>
      </c>
      <c r="D243" s="2" t="s">
        <v>309</v>
      </c>
      <c r="E243" s="4" t="n">
        <v>8</v>
      </c>
      <c r="F243" s="4" t="n">
        <v>8</v>
      </c>
    </row>
    <row r="244" customFormat="false" ht="45.75" hidden="false" customHeight="true" outlineLevel="0" collapsed="false">
      <c r="A244" s="2" t="s">
        <v>132</v>
      </c>
      <c r="B244" s="2" t="s">
        <v>308</v>
      </c>
      <c r="C244" s="2" t="s">
        <v>216</v>
      </c>
      <c r="D244" s="2" t="s">
        <v>309</v>
      </c>
      <c r="E244" s="4" t="n">
        <v>11</v>
      </c>
      <c r="F244" s="4" t="n">
        <v>8</v>
      </c>
    </row>
    <row r="245" customFormat="false" ht="45.75" hidden="false" customHeight="true" outlineLevel="0" collapsed="false">
      <c r="A245" s="2" t="s">
        <v>310</v>
      </c>
      <c r="B245" s="2" t="s">
        <v>311</v>
      </c>
      <c r="C245" s="2" t="s">
        <v>214</v>
      </c>
      <c r="D245" s="2" t="s">
        <v>312</v>
      </c>
      <c r="E245" s="4" t="n">
        <v>1</v>
      </c>
      <c r="F245" s="4" t="n">
        <v>20</v>
      </c>
    </row>
    <row r="246" customFormat="false" ht="45.75" hidden="false" customHeight="true" outlineLevel="0" collapsed="false">
      <c r="A246" s="2" t="s">
        <v>313</v>
      </c>
      <c r="B246" s="2" t="s">
        <v>314</v>
      </c>
      <c r="C246" s="2" t="s">
        <v>214</v>
      </c>
      <c r="D246" s="2" t="s">
        <v>312</v>
      </c>
      <c r="E246" s="4" t="n">
        <v>2</v>
      </c>
      <c r="F246" s="4" t="n">
        <v>8</v>
      </c>
    </row>
    <row r="247" customFormat="false" ht="45.75" hidden="false" customHeight="true" outlineLevel="0" collapsed="false">
      <c r="A247" s="2" t="s">
        <v>313</v>
      </c>
      <c r="B247" s="2" t="s">
        <v>314</v>
      </c>
      <c r="C247" s="2" t="s">
        <v>214</v>
      </c>
      <c r="D247" s="2" t="s">
        <v>312</v>
      </c>
      <c r="E247" s="4" t="n">
        <v>3</v>
      </c>
      <c r="F247" s="4" t="n">
        <v>8</v>
      </c>
    </row>
    <row r="248" customFormat="false" ht="45.75" hidden="false" customHeight="true" outlineLevel="0" collapsed="false">
      <c r="A248" s="2" t="s">
        <v>313</v>
      </c>
      <c r="B248" s="2" t="s">
        <v>314</v>
      </c>
      <c r="C248" s="2" t="s">
        <v>214</v>
      </c>
      <c r="D248" s="2" t="s">
        <v>312</v>
      </c>
      <c r="E248" s="4" t="n">
        <v>4</v>
      </c>
      <c r="F248" s="4" t="n">
        <v>8</v>
      </c>
    </row>
    <row r="249" customFormat="false" ht="45.75" hidden="false" customHeight="true" outlineLevel="0" collapsed="false">
      <c r="A249" s="2" t="s">
        <v>313</v>
      </c>
      <c r="B249" s="2" t="s">
        <v>314</v>
      </c>
      <c r="C249" s="2" t="s">
        <v>214</v>
      </c>
      <c r="D249" s="2" t="s">
        <v>312</v>
      </c>
      <c r="E249" s="4" t="n">
        <v>5</v>
      </c>
      <c r="F249" s="4" t="n">
        <v>8</v>
      </c>
    </row>
    <row r="250" customFormat="false" ht="45.75" hidden="false" customHeight="true" outlineLevel="0" collapsed="false">
      <c r="A250" s="2" t="s">
        <v>313</v>
      </c>
      <c r="B250" s="2" t="s">
        <v>314</v>
      </c>
      <c r="C250" s="2" t="s">
        <v>214</v>
      </c>
      <c r="D250" s="2" t="s">
        <v>312</v>
      </c>
      <c r="E250" s="4" t="n">
        <v>6</v>
      </c>
      <c r="F250" s="4" t="n">
        <v>8</v>
      </c>
    </row>
    <row r="251" customFormat="false" ht="45.75" hidden="false" customHeight="true" outlineLevel="0" collapsed="false">
      <c r="A251" s="2" t="s">
        <v>313</v>
      </c>
      <c r="B251" s="2" t="s">
        <v>314</v>
      </c>
      <c r="C251" s="2" t="s">
        <v>214</v>
      </c>
      <c r="D251" s="2" t="s">
        <v>312</v>
      </c>
      <c r="E251" s="4" t="n">
        <v>7</v>
      </c>
      <c r="F251" s="4" t="n">
        <v>8</v>
      </c>
    </row>
    <row r="252" customFormat="false" ht="45.75" hidden="false" customHeight="true" outlineLevel="0" collapsed="false">
      <c r="A252" s="2" t="s">
        <v>313</v>
      </c>
      <c r="B252" s="2" t="s">
        <v>314</v>
      </c>
      <c r="C252" s="2" t="s">
        <v>214</v>
      </c>
      <c r="D252" s="2" t="s">
        <v>312</v>
      </c>
      <c r="E252" s="4" t="n">
        <v>8</v>
      </c>
      <c r="F252" s="4" t="n">
        <v>8</v>
      </c>
    </row>
    <row r="253" customFormat="false" ht="45.75" hidden="false" customHeight="true" outlineLevel="0" collapsed="false">
      <c r="A253" s="2" t="s">
        <v>313</v>
      </c>
      <c r="B253" s="2" t="s">
        <v>314</v>
      </c>
      <c r="C253" s="2" t="s">
        <v>214</v>
      </c>
      <c r="D253" s="2" t="s">
        <v>312</v>
      </c>
      <c r="E253" s="4" t="n">
        <v>9</v>
      </c>
      <c r="F253" s="4" t="n">
        <v>8</v>
      </c>
    </row>
    <row r="254" customFormat="false" ht="45.75" hidden="false" customHeight="true" outlineLevel="0" collapsed="false">
      <c r="A254" s="2" t="s">
        <v>313</v>
      </c>
      <c r="B254" s="2" t="s">
        <v>314</v>
      </c>
      <c r="C254" s="2" t="s">
        <v>214</v>
      </c>
      <c r="D254" s="2" t="s">
        <v>312</v>
      </c>
      <c r="E254" s="4" t="n">
        <v>10</v>
      </c>
      <c r="F254" s="4" t="n">
        <v>8</v>
      </c>
    </row>
    <row r="255" customFormat="false" ht="45.75" hidden="false" customHeight="true" outlineLevel="0" collapsed="false">
      <c r="A255" s="2" t="s">
        <v>313</v>
      </c>
      <c r="B255" s="2" t="s">
        <v>314</v>
      </c>
      <c r="C255" s="2" t="s">
        <v>214</v>
      </c>
      <c r="D255" s="2" t="s">
        <v>312</v>
      </c>
      <c r="E255" s="4" t="n">
        <v>11</v>
      </c>
      <c r="F255" s="4" t="n">
        <v>8</v>
      </c>
    </row>
    <row r="256" customFormat="false" ht="45.75" hidden="false" customHeight="true" outlineLevel="0" collapsed="false">
      <c r="A256" s="2" t="s">
        <v>313</v>
      </c>
      <c r="B256" s="2" t="s">
        <v>314</v>
      </c>
      <c r="C256" s="2" t="s">
        <v>214</v>
      </c>
      <c r="D256" s="2" t="s">
        <v>312</v>
      </c>
      <c r="E256" s="4" t="n">
        <v>12</v>
      </c>
      <c r="F256" s="4" t="n">
        <v>8</v>
      </c>
    </row>
    <row r="257" customFormat="false" ht="45.75" hidden="false" customHeight="true" outlineLevel="0" collapsed="false">
      <c r="A257" s="2" t="s">
        <v>315</v>
      </c>
      <c r="B257" s="2" t="s">
        <v>316</v>
      </c>
      <c r="C257" s="2" t="s">
        <v>214</v>
      </c>
      <c r="D257" s="2" t="s">
        <v>312</v>
      </c>
      <c r="E257" s="4" t="n">
        <v>1</v>
      </c>
      <c r="F257" s="4" t="n">
        <v>5</v>
      </c>
    </row>
    <row r="258" customFormat="false" ht="45.75" hidden="false" customHeight="true" outlineLevel="0" collapsed="false">
      <c r="A258" s="2" t="s">
        <v>315</v>
      </c>
      <c r="B258" s="2" t="s">
        <v>316</v>
      </c>
      <c r="C258" s="2" t="s">
        <v>214</v>
      </c>
      <c r="D258" s="2" t="s">
        <v>312</v>
      </c>
      <c r="E258" s="4" t="n">
        <v>2</v>
      </c>
      <c r="F258" s="4" t="n">
        <v>5</v>
      </c>
    </row>
    <row r="259" customFormat="false" ht="45.75" hidden="false" customHeight="true" outlineLevel="0" collapsed="false">
      <c r="A259" s="2" t="s">
        <v>315</v>
      </c>
      <c r="B259" s="2" t="s">
        <v>316</v>
      </c>
      <c r="C259" s="2" t="s">
        <v>214</v>
      </c>
      <c r="D259" s="2" t="s">
        <v>312</v>
      </c>
      <c r="E259" s="4" t="n">
        <v>3</v>
      </c>
      <c r="F259" s="4" t="n">
        <v>5</v>
      </c>
    </row>
    <row r="260" customFormat="false" ht="45.75" hidden="false" customHeight="true" outlineLevel="0" collapsed="false">
      <c r="A260" s="2" t="s">
        <v>315</v>
      </c>
      <c r="B260" s="2" t="s">
        <v>316</v>
      </c>
      <c r="C260" s="2" t="s">
        <v>214</v>
      </c>
      <c r="D260" s="2" t="s">
        <v>312</v>
      </c>
      <c r="E260" s="4" t="n">
        <v>4</v>
      </c>
      <c r="F260" s="4" t="n">
        <v>5</v>
      </c>
    </row>
    <row r="261" customFormat="false" ht="45.75" hidden="false" customHeight="true" outlineLevel="0" collapsed="false">
      <c r="A261" s="2" t="s">
        <v>315</v>
      </c>
      <c r="B261" s="2" t="s">
        <v>316</v>
      </c>
      <c r="C261" s="2" t="s">
        <v>214</v>
      </c>
      <c r="D261" s="2" t="s">
        <v>312</v>
      </c>
      <c r="E261" s="4" t="n">
        <v>5</v>
      </c>
      <c r="F261" s="4" t="n">
        <v>5</v>
      </c>
    </row>
    <row r="262" customFormat="false" ht="45.75" hidden="false" customHeight="true" outlineLevel="0" collapsed="false">
      <c r="A262" s="2" t="s">
        <v>315</v>
      </c>
      <c r="B262" s="2" t="s">
        <v>316</v>
      </c>
      <c r="C262" s="2" t="s">
        <v>214</v>
      </c>
      <c r="D262" s="2" t="s">
        <v>312</v>
      </c>
      <c r="E262" s="4" t="n">
        <v>6</v>
      </c>
      <c r="F262" s="4" t="n">
        <v>5</v>
      </c>
    </row>
    <row r="263" customFormat="false" ht="45.75" hidden="false" customHeight="true" outlineLevel="0" collapsed="false">
      <c r="A263" s="2" t="s">
        <v>315</v>
      </c>
      <c r="B263" s="2" t="s">
        <v>316</v>
      </c>
      <c r="C263" s="2" t="s">
        <v>214</v>
      </c>
      <c r="D263" s="2" t="s">
        <v>312</v>
      </c>
      <c r="E263" s="4" t="n">
        <v>7</v>
      </c>
      <c r="F263" s="4" t="n">
        <v>5</v>
      </c>
    </row>
    <row r="264" customFormat="false" ht="45.75" hidden="false" customHeight="true" outlineLevel="0" collapsed="false">
      <c r="A264" s="2" t="s">
        <v>315</v>
      </c>
      <c r="B264" s="2" t="s">
        <v>316</v>
      </c>
      <c r="C264" s="2" t="s">
        <v>214</v>
      </c>
      <c r="D264" s="2" t="s">
        <v>312</v>
      </c>
      <c r="E264" s="4" t="n">
        <v>8</v>
      </c>
      <c r="F264" s="4" t="n">
        <v>5</v>
      </c>
    </row>
    <row r="265" customFormat="false" ht="45.75" hidden="false" customHeight="true" outlineLevel="0" collapsed="false">
      <c r="A265" s="2" t="s">
        <v>315</v>
      </c>
      <c r="B265" s="2" t="s">
        <v>316</v>
      </c>
      <c r="C265" s="2" t="s">
        <v>214</v>
      </c>
      <c r="D265" s="2" t="s">
        <v>312</v>
      </c>
      <c r="E265" s="4" t="n">
        <v>9</v>
      </c>
      <c r="F265" s="4" t="n">
        <v>5</v>
      </c>
    </row>
    <row r="266" customFormat="false" ht="45.75" hidden="false" customHeight="true" outlineLevel="0" collapsed="false">
      <c r="A266" s="2" t="s">
        <v>315</v>
      </c>
      <c r="B266" s="2" t="s">
        <v>316</v>
      </c>
      <c r="C266" s="2" t="s">
        <v>214</v>
      </c>
      <c r="D266" s="2" t="s">
        <v>312</v>
      </c>
      <c r="E266" s="4" t="n">
        <v>10</v>
      </c>
      <c r="F266" s="4" t="n">
        <v>5</v>
      </c>
    </row>
    <row r="267" customFormat="false" ht="45.75" hidden="false" customHeight="true" outlineLevel="0" collapsed="false">
      <c r="A267" s="2" t="s">
        <v>315</v>
      </c>
      <c r="B267" s="2" t="s">
        <v>316</v>
      </c>
      <c r="C267" s="2" t="s">
        <v>214</v>
      </c>
      <c r="D267" s="2" t="s">
        <v>312</v>
      </c>
      <c r="E267" s="4" t="n">
        <v>11</v>
      </c>
      <c r="F267" s="4" t="n">
        <v>5</v>
      </c>
    </row>
    <row r="268" customFormat="false" ht="45.75" hidden="false" customHeight="true" outlineLevel="0" collapsed="false">
      <c r="A268" s="2" t="s">
        <v>315</v>
      </c>
      <c r="B268" s="2" t="s">
        <v>316</v>
      </c>
      <c r="C268" s="2" t="s">
        <v>214</v>
      </c>
      <c r="D268" s="2" t="s">
        <v>312</v>
      </c>
      <c r="E268" s="4" t="n">
        <v>12</v>
      </c>
      <c r="F268" s="4" t="n">
        <v>5</v>
      </c>
    </row>
    <row r="269" customFormat="false" ht="45.75" hidden="false" customHeight="true" outlineLevel="0" collapsed="false">
      <c r="A269" s="2" t="s">
        <v>317</v>
      </c>
      <c r="B269" s="2" t="s">
        <v>318</v>
      </c>
      <c r="C269" s="2" t="s">
        <v>214</v>
      </c>
      <c r="D269" s="2" t="s">
        <v>312</v>
      </c>
      <c r="E269" s="4" t="n">
        <v>3</v>
      </c>
      <c r="F269" s="4" t="n">
        <v>3</v>
      </c>
    </row>
    <row r="270" customFormat="false" ht="45.75" hidden="false" customHeight="true" outlineLevel="0" collapsed="false">
      <c r="A270" s="2" t="s">
        <v>317</v>
      </c>
      <c r="B270" s="2" t="s">
        <v>318</v>
      </c>
      <c r="C270" s="2" t="s">
        <v>214</v>
      </c>
      <c r="D270" s="2" t="s">
        <v>312</v>
      </c>
      <c r="E270" s="4" t="n">
        <v>5</v>
      </c>
      <c r="F270" s="4" t="n">
        <v>3</v>
      </c>
    </row>
    <row r="271" customFormat="false" ht="45.75" hidden="false" customHeight="true" outlineLevel="0" collapsed="false">
      <c r="A271" s="2" t="s">
        <v>317</v>
      </c>
      <c r="B271" s="2" t="s">
        <v>318</v>
      </c>
      <c r="C271" s="2" t="s">
        <v>214</v>
      </c>
      <c r="D271" s="2" t="s">
        <v>312</v>
      </c>
      <c r="E271" s="4" t="n">
        <v>8</v>
      </c>
      <c r="F271" s="4" t="n">
        <v>3</v>
      </c>
    </row>
    <row r="272" customFormat="false" ht="45.75" hidden="false" customHeight="true" outlineLevel="0" collapsed="false">
      <c r="A272" s="2" t="s">
        <v>317</v>
      </c>
      <c r="B272" s="2" t="s">
        <v>318</v>
      </c>
      <c r="C272" s="2" t="s">
        <v>214</v>
      </c>
      <c r="D272" s="2" t="s">
        <v>312</v>
      </c>
      <c r="E272" s="4" t="n">
        <v>11</v>
      </c>
      <c r="F272" s="4" t="n">
        <v>3</v>
      </c>
    </row>
    <row r="273" customFormat="false" ht="45.75" hidden="false" customHeight="true" outlineLevel="0" collapsed="false">
      <c r="A273" s="2" t="s">
        <v>319</v>
      </c>
      <c r="B273" s="2" t="s">
        <v>320</v>
      </c>
      <c r="C273" s="2" t="s">
        <v>214</v>
      </c>
      <c r="D273" s="2" t="s">
        <v>312</v>
      </c>
      <c r="E273" s="4" t="n">
        <v>1</v>
      </c>
      <c r="F273" s="4" t="n">
        <v>2</v>
      </c>
    </row>
    <row r="274" customFormat="false" ht="45.75" hidden="false" customHeight="true" outlineLevel="0" collapsed="false">
      <c r="A274" s="2" t="s">
        <v>319</v>
      </c>
      <c r="B274" s="2" t="s">
        <v>320</v>
      </c>
      <c r="C274" s="2" t="s">
        <v>214</v>
      </c>
      <c r="D274" s="2" t="s">
        <v>312</v>
      </c>
      <c r="E274" s="4" t="n">
        <v>2</v>
      </c>
      <c r="F274" s="4" t="n">
        <v>2</v>
      </c>
    </row>
    <row r="275" customFormat="false" ht="45.75" hidden="false" customHeight="true" outlineLevel="0" collapsed="false">
      <c r="A275" s="2" t="s">
        <v>319</v>
      </c>
      <c r="B275" s="2" t="s">
        <v>320</v>
      </c>
      <c r="C275" s="2" t="s">
        <v>214</v>
      </c>
      <c r="D275" s="2" t="s">
        <v>312</v>
      </c>
      <c r="E275" s="4" t="n">
        <v>3</v>
      </c>
      <c r="F275" s="4" t="n">
        <v>2</v>
      </c>
    </row>
    <row r="276" customFormat="false" ht="45.75" hidden="false" customHeight="true" outlineLevel="0" collapsed="false">
      <c r="A276" s="2" t="s">
        <v>319</v>
      </c>
      <c r="B276" s="2" t="s">
        <v>320</v>
      </c>
      <c r="C276" s="2" t="s">
        <v>214</v>
      </c>
      <c r="D276" s="2" t="s">
        <v>312</v>
      </c>
      <c r="E276" s="4" t="n">
        <v>4</v>
      </c>
      <c r="F276" s="4" t="n">
        <v>2</v>
      </c>
    </row>
    <row r="277" customFormat="false" ht="45.75" hidden="false" customHeight="true" outlineLevel="0" collapsed="false">
      <c r="A277" s="2" t="s">
        <v>319</v>
      </c>
      <c r="B277" s="2" t="s">
        <v>320</v>
      </c>
      <c r="C277" s="2" t="s">
        <v>214</v>
      </c>
      <c r="D277" s="2" t="s">
        <v>312</v>
      </c>
      <c r="E277" s="4" t="n">
        <v>5</v>
      </c>
      <c r="F277" s="4" t="n">
        <v>2</v>
      </c>
    </row>
    <row r="278" customFormat="false" ht="45.75" hidden="false" customHeight="true" outlineLevel="0" collapsed="false">
      <c r="A278" s="2" t="s">
        <v>319</v>
      </c>
      <c r="B278" s="2" t="s">
        <v>320</v>
      </c>
      <c r="C278" s="2" t="s">
        <v>214</v>
      </c>
      <c r="D278" s="2" t="s">
        <v>312</v>
      </c>
      <c r="E278" s="4" t="n">
        <v>6</v>
      </c>
      <c r="F278" s="4" t="n">
        <v>2</v>
      </c>
    </row>
    <row r="279" customFormat="false" ht="45.75" hidden="false" customHeight="true" outlineLevel="0" collapsed="false">
      <c r="A279" s="2" t="s">
        <v>319</v>
      </c>
      <c r="B279" s="2" t="s">
        <v>320</v>
      </c>
      <c r="C279" s="2" t="s">
        <v>214</v>
      </c>
      <c r="D279" s="2" t="s">
        <v>312</v>
      </c>
      <c r="E279" s="4" t="n">
        <v>7</v>
      </c>
      <c r="F279" s="4" t="n">
        <v>2</v>
      </c>
    </row>
    <row r="280" customFormat="false" ht="45.75" hidden="false" customHeight="true" outlineLevel="0" collapsed="false">
      <c r="A280" s="2" t="s">
        <v>319</v>
      </c>
      <c r="B280" s="2" t="s">
        <v>320</v>
      </c>
      <c r="C280" s="2" t="s">
        <v>214</v>
      </c>
      <c r="D280" s="2" t="s">
        <v>312</v>
      </c>
      <c r="E280" s="4" t="n">
        <v>8</v>
      </c>
      <c r="F280" s="4" t="n">
        <v>2</v>
      </c>
    </row>
    <row r="281" customFormat="false" ht="45.75" hidden="false" customHeight="true" outlineLevel="0" collapsed="false">
      <c r="A281" s="2" t="s">
        <v>319</v>
      </c>
      <c r="B281" s="2" t="s">
        <v>320</v>
      </c>
      <c r="C281" s="2" t="s">
        <v>214</v>
      </c>
      <c r="D281" s="2" t="s">
        <v>312</v>
      </c>
      <c r="E281" s="4" t="n">
        <v>9</v>
      </c>
      <c r="F281" s="4" t="n">
        <v>2</v>
      </c>
    </row>
    <row r="282" customFormat="false" ht="45.75" hidden="false" customHeight="true" outlineLevel="0" collapsed="false">
      <c r="A282" s="2" t="s">
        <v>319</v>
      </c>
      <c r="B282" s="2" t="s">
        <v>320</v>
      </c>
      <c r="C282" s="2" t="s">
        <v>214</v>
      </c>
      <c r="D282" s="2" t="s">
        <v>312</v>
      </c>
      <c r="E282" s="4" t="n">
        <v>10</v>
      </c>
      <c r="F282" s="4" t="n">
        <v>2</v>
      </c>
    </row>
    <row r="283" customFormat="false" ht="45.75" hidden="false" customHeight="true" outlineLevel="0" collapsed="false">
      <c r="A283" s="2" t="s">
        <v>319</v>
      </c>
      <c r="B283" s="2" t="s">
        <v>320</v>
      </c>
      <c r="C283" s="2" t="s">
        <v>214</v>
      </c>
      <c r="D283" s="2" t="s">
        <v>312</v>
      </c>
      <c r="E283" s="4" t="n">
        <v>11</v>
      </c>
      <c r="F283" s="4" t="n">
        <v>2</v>
      </c>
    </row>
    <row r="284" customFormat="false" ht="45.75" hidden="false" customHeight="true" outlineLevel="0" collapsed="false">
      <c r="A284" s="2" t="s">
        <v>319</v>
      </c>
      <c r="B284" s="2" t="s">
        <v>320</v>
      </c>
      <c r="C284" s="2" t="s">
        <v>214</v>
      </c>
      <c r="D284" s="2" t="s">
        <v>312</v>
      </c>
      <c r="E284" s="4" t="n">
        <v>12</v>
      </c>
      <c r="F284" s="4" t="n">
        <v>2</v>
      </c>
    </row>
    <row r="285" customFormat="false" ht="45.75" hidden="false" customHeight="true" outlineLevel="0" collapsed="false">
      <c r="A285" s="2" t="s">
        <v>321</v>
      </c>
      <c r="B285" s="2" t="s">
        <v>322</v>
      </c>
      <c r="C285" s="2" t="s">
        <v>209</v>
      </c>
      <c r="D285" s="2" t="s">
        <v>323</v>
      </c>
      <c r="E285" s="4" t="n">
        <v>1</v>
      </c>
      <c r="F285" s="4" t="n">
        <v>6</v>
      </c>
    </row>
    <row r="286" customFormat="false" ht="45.75" hidden="false" customHeight="true" outlineLevel="0" collapsed="false">
      <c r="A286" s="2" t="s">
        <v>321</v>
      </c>
      <c r="B286" s="2" t="s">
        <v>322</v>
      </c>
      <c r="C286" s="2" t="s">
        <v>209</v>
      </c>
      <c r="D286" s="2" t="s">
        <v>323</v>
      </c>
      <c r="E286" s="4" t="n">
        <v>2</v>
      </c>
      <c r="F286" s="4" t="n">
        <v>6</v>
      </c>
    </row>
    <row r="287" customFormat="false" ht="45.75" hidden="false" customHeight="true" outlineLevel="0" collapsed="false">
      <c r="A287" s="2" t="s">
        <v>321</v>
      </c>
      <c r="B287" s="2" t="s">
        <v>322</v>
      </c>
      <c r="C287" s="2" t="s">
        <v>209</v>
      </c>
      <c r="D287" s="2" t="s">
        <v>323</v>
      </c>
      <c r="E287" s="4" t="n">
        <v>3</v>
      </c>
      <c r="F287" s="4" t="n">
        <v>6</v>
      </c>
    </row>
    <row r="288" customFormat="false" ht="45.75" hidden="false" customHeight="true" outlineLevel="0" collapsed="false">
      <c r="A288" s="2" t="s">
        <v>321</v>
      </c>
      <c r="B288" s="2" t="s">
        <v>322</v>
      </c>
      <c r="C288" s="2" t="s">
        <v>209</v>
      </c>
      <c r="D288" s="2" t="s">
        <v>323</v>
      </c>
      <c r="E288" s="4" t="n">
        <v>4</v>
      </c>
      <c r="F288" s="4" t="n">
        <v>6</v>
      </c>
    </row>
    <row r="289" customFormat="false" ht="45.75" hidden="false" customHeight="true" outlineLevel="0" collapsed="false">
      <c r="A289" s="2" t="s">
        <v>321</v>
      </c>
      <c r="B289" s="2" t="s">
        <v>322</v>
      </c>
      <c r="C289" s="2" t="s">
        <v>209</v>
      </c>
      <c r="D289" s="2" t="s">
        <v>323</v>
      </c>
      <c r="E289" s="4" t="n">
        <v>5</v>
      </c>
      <c r="F289" s="4" t="n">
        <v>6</v>
      </c>
    </row>
    <row r="290" customFormat="false" ht="45.75" hidden="false" customHeight="true" outlineLevel="0" collapsed="false">
      <c r="A290" s="2" t="s">
        <v>321</v>
      </c>
      <c r="B290" s="2" t="s">
        <v>322</v>
      </c>
      <c r="C290" s="2" t="s">
        <v>209</v>
      </c>
      <c r="D290" s="2" t="s">
        <v>323</v>
      </c>
      <c r="E290" s="4" t="n">
        <v>6</v>
      </c>
      <c r="F290" s="4" t="n">
        <v>6</v>
      </c>
    </row>
    <row r="291" customFormat="false" ht="45.75" hidden="false" customHeight="true" outlineLevel="0" collapsed="false">
      <c r="A291" s="2" t="s">
        <v>321</v>
      </c>
      <c r="B291" s="2" t="s">
        <v>322</v>
      </c>
      <c r="C291" s="2" t="s">
        <v>209</v>
      </c>
      <c r="D291" s="2" t="s">
        <v>323</v>
      </c>
      <c r="E291" s="4" t="n">
        <v>7</v>
      </c>
      <c r="F291" s="4" t="n">
        <v>6</v>
      </c>
    </row>
    <row r="292" customFormat="false" ht="45.75" hidden="false" customHeight="true" outlineLevel="0" collapsed="false">
      <c r="A292" s="2" t="s">
        <v>321</v>
      </c>
      <c r="B292" s="2" t="s">
        <v>322</v>
      </c>
      <c r="C292" s="2" t="s">
        <v>209</v>
      </c>
      <c r="D292" s="2" t="s">
        <v>323</v>
      </c>
      <c r="E292" s="4" t="n">
        <v>8</v>
      </c>
      <c r="F292" s="4" t="n">
        <v>6</v>
      </c>
    </row>
    <row r="293" customFormat="false" ht="45.75" hidden="false" customHeight="true" outlineLevel="0" collapsed="false">
      <c r="A293" s="2" t="s">
        <v>321</v>
      </c>
      <c r="B293" s="2" t="s">
        <v>322</v>
      </c>
      <c r="C293" s="2" t="s">
        <v>209</v>
      </c>
      <c r="D293" s="2" t="s">
        <v>323</v>
      </c>
      <c r="E293" s="4" t="n">
        <v>9</v>
      </c>
      <c r="F293" s="4" t="n">
        <v>6</v>
      </c>
    </row>
    <row r="294" customFormat="false" ht="45.75" hidden="false" customHeight="true" outlineLevel="0" collapsed="false">
      <c r="A294" s="2" t="s">
        <v>321</v>
      </c>
      <c r="B294" s="2" t="s">
        <v>322</v>
      </c>
      <c r="C294" s="2" t="s">
        <v>209</v>
      </c>
      <c r="D294" s="2" t="s">
        <v>323</v>
      </c>
      <c r="E294" s="4" t="n">
        <v>10</v>
      </c>
      <c r="F294" s="4" t="n">
        <v>6</v>
      </c>
    </row>
    <row r="295" customFormat="false" ht="45.75" hidden="false" customHeight="true" outlineLevel="0" collapsed="false">
      <c r="A295" s="2" t="s">
        <v>321</v>
      </c>
      <c r="B295" s="2" t="s">
        <v>322</v>
      </c>
      <c r="C295" s="2" t="s">
        <v>209</v>
      </c>
      <c r="D295" s="2" t="s">
        <v>323</v>
      </c>
      <c r="E295" s="4" t="n">
        <v>11</v>
      </c>
      <c r="F295" s="4" t="n">
        <v>6</v>
      </c>
    </row>
    <row r="296" customFormat="false" ht="45.75" hidden="false" customHeight="true" outlineLevel="0" collapsed="false">
      <c r="A296" s="2" t="s">
        <v>321</v>
      </c>
      <c r="B296" s="2" t="s">
        <v>322</v>
      </c>
      <c r="C296" s="2" t="s">
        <v>209</v>
      </c>
      <c r="D296" s="2" t="s">
        <v>323</v>
      </c>
      <c r="E296" s="4" t="n">
        <v>12</v>
      </c>
      <c r="F296" s="4" t="n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&amp;LPlan fuente: regenerar si cambian inputs.&amp;R&amp;P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7" min="1" style="0" width="27.71"/>
  </cols>
  <sheetData>
    <row r="1" customFormat="false" ht="36" hidden="false" customHeight="true" outlineLevel="0" collapsed="false">
      <c r="A1" s="1" t="s">
        <v>324</v>
      </c>
      <c r="B1" s="1" t="s">
        <v>234</v>
      </c>
      <c r="C1" s="1" t="s">
        <v>235</v>
      </c>
      <c r="D1" s="1" t="s">
        <v>325</v>
      </c>
      <c r="E1" s="1" t="s">
        <v>326</v>
      </c>
      <c r="F1" s="1" t="s">
        <v>327</v>
      </c>
      <c r="G1" s="1" t="s">
        <v>328</v>
      </c>
    </row>
    <row r="2" customFormat="false" ht="45.75" hidden="false" customHeight="true" outlineLevel="0" collapsed="false">
      <c r="A2" s="2" t="s">
        <v>218</v>
      </c>
      <c r="B2" s="4" t="n">
        <v>1</v>
      </c>
      <c r="C2" s="4" t="n">
        <v>42</v>
      </c>
      <c r="D2" s="4" t="n">
        <v>48.3</v>
      </c>
      <c r="E2" s="4" t="n">
        <v>60</v>
      </c>
      <c r="F2" s="4" t="n">
        <v>11.7</v>
      </c>
      <c r="G2" s="2" t="s">
        <v>329</v>
      </c>
    </row>
    <row r="3" customFormat="false" ht="45.75" hidden="false" customHeight="true" outlineLevel="0" collapsed="false">
      <c r="A3" s="2" t="s">
        <v>218</v>
      </c>
      <c r="B3" s="4" t="n">
        <v>2</v>
      </c>
      <c r="C3" s="4" t="n">
        <v>42</v>
      </c>
      <c r="D3" s="4" t="n">
        <v>48.3</v>
      </c>
      <c r="E3" s="4" t="n">
        <v>60</v>
      </c>
      <c r="F3" s="4" t="n">
        <v>11.7</v>
      </c>
      <c r="G3" s="2" t="s">
        <v>329</v>
      </c>
    </row>
    <row r="4" customFormat="false" ht="45.75" hidden="false" customHeight="true" outlineLevel="0" collapsed="false">
      <c r="A4" s="2" t="s">
        <v>218</v>
      </c>
      <c r="B4" s="4" t="n">
        <v>3</v>
      </c>
      <c r="C4" s="4" t="n">
        <v>46</v>
      </c>
      <c r="D4" s="4" t="n">
        <v>52.9</v>
      </c>
      <c r="E4" s="4" t="n">
        <v>60</v>
      </c>
      <c r="F4" s="4" t="n">
        <v>7.1</v>
      </c>
      <c r="G4" s="2" t="s">
        <v>329</v>
      </c>
    </row>
    <row r="5" customFormat="false" ht="45.75" hidden="false" customHeight="true" outlineLevel="0" collapsed="false">
      <c r="A5" s="2" t="s">
        <v>218</v>
      </c>
      <c r="B5" s="4" t="n">
        <v>4</v>
      </c>
      <c r="C5" s="4" t="n">
        <v>42</v>
      </c>
      <c r="D5" s="4" t="n">
        <v>48.3</v>
      </c>
      <c r="E5" s="4" t="n">
        <v>60</v>
      </c>
      <c r="F5" s="4" t="n">
        <v>11.7</v>
      </c>
      <c r="G5" s="2" t="s">
        <v>329</v>
      </c>
    </row>
    <row r="6" customFormat="false" ht="45.75" hidden="false" customHeight="true" outlineLevel="0" collapsed="false">
      <c r="A6" s="2" t="s">
        <v>218</v>
      </c>
      <c r="B6" s="4" t="n">
        <v>5</v>
      </c>
      <c r="C6" s="4" t="n">
        <v>46</v>
      </c>
      <c r="D6" s="4" t="n">
        <v>52.9</v>
      </c>
      <c r="E6" s="4" t="n">
        <v>60</v>
      </c>
      <c r="F6" s="4" t="n">
        <v>7.1</v>
      </c>
      <c r="G6" s="2" t="s">
        <v>329</v>
      </c>
    </row>
    <row r="7" customFormat="false" ht="45.75" hidden="false" customHeight="true" outlineLevel="0" collapsed="false">
      <c r="A7" s="2" t="s">
        <v>218</v>
      </c>
      <c r="B7" s="4" t="n">
        <v>6</v>
      </c>
      <c r="C7" s="4" t="n">
        <v>42</v>
      </c>
      <c r="D7" s="4" t="n">
        <v>48.3</v>
      </c>
      <c r="E7" s="4" t="n">
        <v>60</v>
      </c>
      <c r="F7" s="4" t="n">
        <v>11.7</v>
      </c>
      <c r="G7" s="2" t="s">
        <v>329</v>
      </c>
    </row>
    <row r="8" customFormat="false" ht="45.75" hidden="false" customHeight="true" outlineLevel="0" collapsed="false">
      <c r="A8" s="2" t="s">
        <v>218</v>
      </c>
      <c r="B8" s="4" t="n">
        <v>7</v>
      </c>
      <c r="C8" s="4" t="n">
        <v>42</v>
      </c>
      <c r="D8" s="4" t="n">
        <v>48.3</v>
      </c>
      <c r="E8" s="4" t="n">
        <v>60</v>
      </c>
      <c r="F8" s="4" t="n">
        <v>11.7</v>
      </c>
      <c r="G8" s="2" t="s">
        <v>329</v>
      </c>
    </row>
    <row r="9" customFormat="false" ht="45.75" hidden="false" customHeight="true" outlineLevel="0" collapsed="false">
      <c r="A9" s="2" t="s">
        <v>218</v>
      </c>
      <c r="B9" s="4" t="n">
        <v>8</v>
      </c>
      <c r="C9" s="4" t="n">
        <v>46</v>
      </c>
      <c r="D9" s="4" t="n">
        <v>52.9</v>
      </c>
      <c r="E9" s="4" t="n">
        <v>60</v>
      </c>
      <c r="F9" s="4" t="n">
        <v>7.1</v>
      </c>
      <c r="G9" s="2" t="s">
        <v>329</v>
      </c>
    </row>
    <row r="10" customFormat="false" ht="45.75" hidden="false" customHeight="true" outlineLevel="0" collapsed="false">
      <c r="A10" s="2" t="s">
        <v>218</v>
      </c>
      <c r="B10" s="4" t="n">
        <v>9</v>
      </c>
      <c r="C10" s="4" t="n">
        <v>42</v>
      </c>
      <c r="D10" s="4" t="n">
        <v>48.3</v>
      </c>
      <c r="E10" s="4" t="n">
        <v>60</v>
      </c>
      <c r="F10" s="4" t="n">
        <v>11.7</v>
      </c>
      <c r="G10" s="2" t="s">
        <v>329</v>
      </c>
    </row>
    <row r="11" customFormat="false" ht="45.75" hidden="false" customHeight="true" outlineLevel="0" collapsed="false">
      <c r="A11" s="2" t="s">
        <v>218</v>
      </c>
      <c r="B11" s="4" t="n">
        <v>10</v>
      </c>
      <c r="C11" s="4" t="n">
        <v>42</v>
      </c>
      <c r="D11" s="4" t="n">
        <v>48.3</v>
      </c>
      <c r="E11" s="4" t="n">
        <v>60</v>
      </c>
      <c r="F11" s="4" t="n">
        <v>11.7</v>
      </c>
      <c r="G11" s="2" t="s">
        <v>329</v>
      </c>
    </row>
    <row r="12" customFormat="false" ht="45.75" hidden="false" customHeight="true" outlineLevel="0" collapsed="false">
      <c r="A12" s="2" t="s">
        <v>218</v>
      </c>
      <c r="B12" s="4" t="n">
        <v>11</v>
      </c>
      <c r="C12" s="4" t="n">
        <v>46</v>
      </c>
      <c r="D12" s="4" t="n">
        <v>52.9</v>
      </c>
      <c r="E12" s="4" t="n">
        <v>60</v>
      </c>
      <c r="F12" s="4" t="n">
        <v>7.1</v>
      </c>
      <c r="G12" s="2" t="s">
        <v>329</v>
      </c>
    </row>
    <row r="13" customFormat="false" ht="45.75" hidden="false" customHeight="true" outlineLevel="0" collapsed="false">
      <c r="A13" s="2" t="s">
        <v>218</v>
      </c>
      <c r="B13" s="4" t="n">
        <v>12</v>
      </c>
      <c r="C13" s="4" t="n">
        <v>42</v>
      </c>
      <c r="D13" s="4" t="n">
        <v>48.3</v>
      </c>
      <c r="E13" s="4" t="n">
        <v>60</v>
      </c>
      <c r="F13" s="4" t="n">
        <v>11.7</v>
      </c>
      <c r="G13" s="2" t="s">
        <v>329</v>
      </c>
    </row>
    <row r="14" customFormat="false" ht="45.75" hidden="false" customHeight="true" outlineLevel="0" collapsed="false">
      <c r="A14" s="2" t="s">
        <v>210</v>
      </c>
      <c r="B14" s="4" t="n">
        <v>1</v>
      </c>
      <c r="C14" s="4" t="n">
        <v>28</v>
      </c>
      <c r="D14" s="4" t="n">
        <v>32.2</v>
      </c>
      <c r="E14" s="4" t="n">
        <v>36</v>
      </c>
      <c r="F14" s="4" t="n">
        <v>3.8</v>
      </c>
      <c r="G14" s="2" t="s">
        <v>329</v>
      </c>
    </row>
    <row r="15" customFormat="false" ht="45.75" hidden="false" customHeight="true" outlineLevel="0" collapsed="false">
      <c r="A15" s="2" t="s">
        <v>210</v>
      </c>
      <c r="B15" s="4" t="n">
        <v>2</v>
      </c>
      <c r="C15" s="4" t="n">
        <v>8</v>
      </c>
      <c r="D15" s="4" t="n">
        <v>9.2</v>
      </c>
      <c r="E15" s="4" t="n">
        <v>36</v>
      </c>
      <c r="F15" s="4" t="n">
        <v>26.8</v>
      </c>
      <c r="G15" s="2" t="s">
        <v>329</v>
      </c>
    </row>
    <row r="16" customFormat="false" ht="45.75" hidden="false" customHeight="true" outlineLevel="0" collapsed="false">
      <c r="A16" s="2" t="s">
        <v>210</v>
      </c>
      <c r="B16" s="4" t="n">
        <v>3</v>
      </c>
      <c r="C16" s="4" t="n">
        <v>18</v>
      </c>
      <c r="D16" s="4" t="n">
        <v>20.7</v>
      </c>
      <c r="E16" s="4" t="n">
        <v>36</v>
      </c>
      <c r="F16" s="4" t="n">
        <v>15.3</v>
      </c>
      <c r="G16" s="2" t="s">
        <v>329</v>
      </c>
    </row>
    <row r="17" customFormat="false" ht="45.75" hidden="false" customHeight="true" outlineLevel="0" collapsed="false">
      <c r="A17" s="2" t="s">
        <v>210</v>
      </c>
      <c r="B17" s="4" t="n">
        <v>4</v>
      </c>
      <c r="C17" s="4" t="n">
        <v>18</v>
      </c>
      <c r="D17" s="4" t="n">
        <v>20.7</v>
      </c>
      <c r="E17" s="4" t="n">
        <v>36</v>
      </c>
      <c r="F17" s="4" t="n">
        <v>15.3</v>
      </c>
      <c r="G17" s="2" t="s">
        <v>329</v>
      </c>
    </row>
    <row r="18" customFormat="false" ht="45.75" hidden="false" customHeight="true" outlineLevel="0" collapsed="false">
      <c r="A18" s="2" t="s">
        <v>210</v>
      </c>
      <c r="B18" s="4" t="n">
        <v>5</v>
      </c>
      <c r="C18" s="4" t="n">
        <v>16</v>
      </c>
      <c r="D18" s="4" t="n">
        <v>18.4</v>
      </c>
      <c r="E18" s="4" t="n">
        <v>36</v>
      </c>
      <c r="F18" s="4" t="n">
        <v>17.6</v>
      </c>
      <c r="G18" s="2" t="s">
        <v>329</v>
      </c>
    </row>
    <row r="19" customFormat="false" ht="45.75" hidden="false" customHeight="true" outlineLevel="0" collapsed="false">
      <c r="A19" s="2" t="s">
        <v>210</v>
      </c>
      <c r="B19" s="4" t="n">
        <v>6</v>
      </c>
      <c r="C19" s="4" t="n">
        <v>16</v>
      </c>
      <c r="D19" s="4" t="n">
        <v>18.4</v>
      </c>
      <c r="E19" s="4" t="n">
        <v>36</v>
      </c>
      <c r="F19" s="4" t="n">
        <v>17.6</v>
      </c>
      <c r="G19" s="2" t="s">
        <v>329</v>
      </c>
    </row>
    <row r="20" customFormat="false" ht="45.75" hidden="false" customHeight="true" outlineLevel="0" collapsed="false">
      <c r="A20" s="2" t="s">
        <v>210</v>
      </c>
      <c r="B20" s="4" t="n">
        <v>7</v>
      </c>
      <c r="C20" s="4" t="n">
        <v>8</v>
      </c>
      <c r="D20" s="4" t="n">
        <v>9.2</v>
      </c>
      <c r="E20" s="4" t="n">
        <v>36</v>
      </c>
      <c r="F20" s="4" t="n">
        <v>26.8</v>
      </c>
      <c r="G20" s="2" t="s">
        <v>329</v>
      </c>
    </row>
    <row r="21" customFormat="false" ht="45.75" hidden="false" customHeight="true" outlineLevel="0" collapsed="false">
      <c r="A21" s="2" t="s">
        <v>210</v>
      </c>
      <c r="B21" s="4" t="n">
        <v>8</v>
      </c>
      <c r="C21" s="4" t="n">
        <v>8</v>
      </c>
      <c r="D21" s="4" t="n">
        <v>9.2</v>
      </c>
      <c r="E21" s="4" t="n">
        <v>36</v>
      </c>
      <c r="F21" s="4" t="n">
        <v>26.8</v>
      </c>
      <c r="G21" s="2" t="s">
        <v>329</v>
      </c>
    </row>
    <row r="22" customFormat="false" ht="45.75" hidden="false" customHeight="true" outlineLevel="0" collapsed="false">
      <c r="A22" s="2" t="s">
        <v>210</v>
      </c>
      <c r="B22" s="4" t="n">
        <v>9</v>
      </c>
      <c r="C22" s="4" t="n">
        <v>8</v>
      </c>
      <c r="D22" s="4" t="n">
        <v>9.2</v>
      </c>
      <c r="E22" s="4" t="n">
        <v>36</v>
      </c>
      <c r="F22" s="4" t="n">
        <v>26.8</v>
      </c>
      <c r="G22" s="2" t="s">
        <v>329</v>
      </c>
    </row>
    <row r="23" customFormat="false" ht="45.75" hidden="false" customHeight="true" outlineLevel="0" collapsed="false">
      <c r="A23" s="2" t="s">
        <v>210</v>
      </c>
      <c r="B23" s="4" t="n">
        <v>10</v>
      </c>
      <c r="C23" s="4" t="n">
        <v>8</v>
      </c>
      <c r="D23" s="4" t="n">
        <v>9.2</v>
      </c>
      <c r="E23" s="4" t="n">
        <v>36</v>
      </c>
      <c r="F23" s="4" t="n">
        <v>26.8</v>
      </c>
      <c r="G23" s="2" t="s">
        <v>329</v>
      </c>
    </row>
    <row r="24" customFormat="false" ht="45.75" hidden="false" customHeight="true" outlineLevel="0" collapsed="false">
      <c r="A24" s="2" t="s">
        <v>210</v>
      </c>
      <c r="B24" s="4" t="n">
        <v>11</v>
      </c>
      <c r="C24" s="4" t="n">
        <v>8</v>
      </c>
      <c r="D24" s="4" t="n">
        <v>9.2</v>
      </c>
      <c r="E24" s="4" t="n">
        <v>36</v>
      </c>
      <c r="F24" s="4" t="n">
        <v>26.8</v>
      </c>
      <c r="G24" s="2" t="s">
        <v>329</v>
      </c>
    </row>
    <row r="25" customFormat="false" ht="45.75" hidden="false" customHeight="true" outlineLevel="0" collapsed="false">
      <c r="A25" s="2" t="s">
        <v>210</v>
      </c>
      <c r="B25" s="4" t="n">
        <v>12</v>
      </c>
      <c r="C25" s="4" t="n">
        <v>8</v>
      </c>
      <c r="D25" s="4" t="n">
        <v>9.2</v>
      </c>
      <c r="E25" s="4" t="n">
        <v>36</v>
      </c>
      <c r="F25" s="4" t="n">
        <v>26.8</v>
      </c>
      <c r="G25" s="2" t="s">
        <v>329</v>
      </c>
    </row>
    <row r="26" customFormat="false" ht="45.75" hidden="false" customHeight="true" outlineLevel="0" collapsed="false">
      <c r="A26" s="2" t="s">
        <v>215</v>
      </c>
      <c r="B26" s="4" t="n">
        <v>1</v>
      </c>
      <c r="C26" s="4" t="n">
        <v>100</v>
      </c>
      <c r="D26" s="4" t="n">
        <v>115</v>
      </c>
      <c r="E26" s="4" t="n">
        <v>120</v>
      </c>
      <c r="F26" s="4" t="n">
        <v>5.00000000000001</v>
      </c>
      <c r="G26" s="2" t="s">
        <v>329</v>
      </c>
    </row>
    <row r="27" customFormat="false" ht="45.75" hidden="false" customHeight="true" outlineLevel="0" collapsed="false">
      <c r="A27" s="2" t="s">
        <v>215</v>
      </c>
      <c r="B27" s="4" t="n">
        <v>2</v>
      </c>
      <c r="C27" s="4" t="n">
        <v>52</v>
      </c>
      <c r="D27" s="4" t="n">
        <v>59.8</v>
      </c>
      <c r="E27" s="4" t="n">
        <v>120</v>
      </c>
      <c r="F27" s="4" t="n">
        <v>60.2</v>
      </c>
      <c r="G27" s="2" t="s">
        <v>329</v>
      </c>
    </row>
    <row r="28" customFormat="false" ht="45.75" hidden="false" customHeight="true" outlineLevel="0" collapsed="false">
      <c r="A28" s="2" t="s">
        <v>215</v>
      </c>
      <c r="B28" s="4" t="n">
        <v>3</v>
      </c>
      <c r="C28" s="4" t="n">
        <v>50</v>
      </c>
      <c r="D28" s="4" t="n">
        <v>57.5</v>
      </c>
      <c r="E28" s="4" t="n">
        <v>120</v>
      </c>
      <c r="F28" s="4" t="n">
        <v>62.5</v>
      </c>
      <c r="G28" s="2" t="s">
        <v>329</v>
      </c>
    </row>
    <row r="29" customFormat="false" ht="45.75" hidden="false" customHeight="true" outlineLevel="0" collapsed="false">
      <c r="A29" s="2" t="s">
        <v>215</v>
      </c>
      <c r="B29" s="4" t="n">
        <v>4</v>
      </c>
      <c r="C29" s="4" t="n">
        <v>38</v>
      </c>
      <c r="D29" s="4" t="n">
        <v>43.7</v>
      </c>
      <c r="E29" s="4" t="n">
        <v>120</v>
      </c>
      <c r="F29" s="4" t="n">
        <v>76.3</v>
      </c>
      <c r="G29" s="2" t="s">
        <v>329</v>
      </c>
    </row>
    <row r="30" customFormat="false" ht="45.75" hidden="false" customHeight="true" outlineLevel="0" collapsed="false">
      <c r="A30" s="2" t="s">
        <v>215</v>
      </c>
      <c r="B30" s="4" t="n">
        <v>5</v>
      </c>
      <c r="C30" s="4" t="n">
        <v>46</v>
      </c>
      <c r="D30" s="4" t="n">
        <v>52.9</v>
      </c>
      <c r="E30" s="4" t="n">
        <v>120</v>
      </c>
      <c r="F30" s="4" t="n">
        <v>67.1</v>
      </c>
      <c r="G30" s="2" t="s">
        <v>329</v>
      </c>
    </row>
    <row r="31" customFormat="false" ht="45.75" hidden="false" customHeight="true" outlineLevel="0" collapsed="false">
      <c r="A31" s="2" t="s">
        <v>215</v>
      </c>
      <c r="B31" s="4" t="n">
        <v>6</v>
      </c>
      <c r="C31" s="4" t="n">
        <v>34</v>
      </c>
      <c r="D31" s="4" t="n">
        <v>39.1</v>
      </c>
      <c r="E31" s="4" t="n">
        <v>120</v>
      </c>
      <c r="F31" s="4" t="n">
        <v>80.9</v>
      </c>
      <c r="G31" s="2" t="s">
        <v>329</v>
      </c>
    </row>
    <row r="32" customFormat="false" ht="45.75" hidden="false" customHeight="true" outlineLevel="0" collapsed="false">
      <c r="A32" s="2" t="s">
        <v>215</v>
      </c>
      <c r="B32" s="4" t="n">
        <v>7</v>
      </c>
      <c r="C32" s="4" t="n">
        <v>28</v>
      </c>
      <c r="D32" s="4" t="n">
        <v>32.2</v>
      </c>
      <c r="E32" s="4" t="n">
        <v>120</v>
      </c>
      <c r="F32" s="4" t="n">
        <v>87.8</v>
      </c>
      <c r="G32" s="2" t="s">
        <v>329</v>
      </c>
    </row>
    <row r="33" customFormat="false" ht="45.75" hidden="false" customHeight="true" outlineLevel="0" collapsed="false">
      <c r="A33" s="2" t="s">
        <v>215</v>
      </c>
      <c r="B33" s="4" t="n">
        <v>8</v>
      </c>
      <c r="C33" s="4" t="n">
        <v>40</v>
      </c>
      <c r="D33" s="4" t="n">
        <v>46</v>
      </c>
      <c r="E33" s="4" t="n">
        <v>120</v>
      </c>
      <c r="F33" s="4" t="n">
        <v>74</v>
      </c>
      <c r="G33" s="2" t="s">
        <v>329</v>
      </c>
    </row>
    <row r="34" customFormat="false" ht="45.75" hidden="false" customHeight="true" outlineLevel="0" collapsed="false">
      <c r="A34" s="2" t="s">
        <v>215</v>
      </c>
      <c r="B34" s="4" t="n">
        <v>9</v>
      </c>
      <c r="C34" s="4" t="n">
        <v>28</v>
      </c>
      <c r="D34" s="4" t="n">
        <v>32.2</v>
      </c>
      <c r="E34" s="4" t="n">
        <v>120</v>
      </c>
      <c r="F34" s="4" t="n">
        <v>87.8</v>
      </c>
      <c r="G34" s="2" t="s">
        <v>329</v>
      </c>
    </row>
    <row r="35" customFormat="false" ht="45.75" hidden="false" customHeight="true" outlineLevel="0" collapsed="false">
      <c r="A35" s="2" t="s">
        <v>215</v>
      </c>
      <c r="B35" s="4" t="n">
        <v>10</v>
      </c>
      <c r="C35" s="4" t="n">
        <v>28</v>
      </c>
      <c r="D35" s="4" t="n">
        <v>32.2</v>
      </c>
      <c r="E35" s="4" t="n">
        <v>120</v>
      </c>
      <c r="F35" s="4" t="n">
        <v>87.8</v>
      </c>
      <c r="G35" s="2" t="s">
        <v>329</v>
      </c>
    </row>
    <row r="36" customFormat="false" ht="45.75" hidden="false" customHeight="true" outlineLevel="0" collapsed="false">
      <c r="A36" s="2" t="s">
        <v>215</v>
      </c>
      <c r="B36" s="4" t="n">
        <v>11</v>
      </c>
      <c r="C36" s="4" t="n">
        <v>40</v>
      </c>
      <c r="D36" s="4" t="n">
        <v>46</v>
      </c>
      <c r="E36" s="4" t="n">
        <v>120</v>
      </c>
      <c r="F36" s="4" t="n">
        <v>74</v>
      </c>
      <c r="G36" s="2" t="s">
        <v>329</v>
      </c>
    </row>
    <row r="37" customFormat="false" ht="45.75" hidden="false" customHeight="true" outlineLevel="0" collapsed="false">
      <c r="A37" s="2" t="s">
        <v>215</v>
      </c>
      <c r="B37" s="4" t="n">
        <v>12</v>
      </c>
      <c r="C37" s="4" t="n">
        <v>28</v>
      </c>
      <c r="D37" s="4" t="n">
        <v>32.2</v>
      </c>
      <c r="E37" s="4" t="n">
        <v>120</v>
      </c>
      <c r="F37" s="4" t="n">
        <v>87.8</v>
      </c>
      <c r="G37" s="2" t="s">
        <v>329</v>
      </c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&amp;LPlan fuente: regenerar si cambian inputs.&amp;R&amp;P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7" min="1" style="0" width="27.71"/>
  </cols>
  <sheetData>
    <row r="1" customFormat="false" ht="36" hidden="false" customHeight="true" outlineLevel="0" collapsed="false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</row>
    <row r="2" customFormat="false" ht="45.75" hidden="false" customHeight="true" outlineLevel="0" collapsed="false">
      <c r="A2" s="4" t="n">
        <v>10000</v>
      </c>
      <c r="B2" s="4" t="n">
        <v>0.03</v>
      </c>
      <c r="C2" s="4" t="n">
        <v>0.65</v>
      </c>
      <c r="D2" s="4" t="n">
        <v>130</v>
      </c>
      <c r="E2" s="4" t="n">
        <v>195</v>
      </c>
      <c r="F2" s="4" t="n">
        <v>65</v>
      </c>
      <c r="G2" s="2" t="s">
        <v>337</v>
      </c>
    </row>
    <row r="3" customFormat="false" ht="45.75" hidden="false" customHeight="true" outlineLevel="0" collapsed="false">
      <c r="A3" s="4" t="n">
        <v>10000</v>
      </c>
      <c r="B3" s="4" t="n">
        <v>0.02</v>
      </c>
      <c r="C3" s="4" t="n">
        <v>0.75</v>
      </c>
      <c r="D3" s="4" t="n">
        <v>130</v>
      </c>
      <c r="E3" s="4" t="n">
        <v>150</v>
      </c>
      <c r="F3" s="4" t="n">
        <v>20</v>
      </c>
      <c r="G3" s="2" t="s">
        <v>337</v>
      </c>
    </row>
    <row r="4" customFormat="false" ht="45.75" hidden="false" customHeight="true" outlineLevel="0" collapsed="false">
      <c r="A4" s="4" t="n">
        <v>10000</v>
      </c>
      <c r="B4" s="4" t="n">
        <v>0.03</v>
      </c>
      <c r="C4" s="4" t="n">
        <v>0.75</v>
      </c>
      <c r="D4" s="4" t="n">
        <v>130</v>
      </c>
      <c r="E4" s="4" t="n">
        <v>225</v>
      </c>
      <c r="F4" s="4" t="n">
        <v>95</v>
      </c>
      <c r="G4" s="2" t="s">
        <v>337</v>
      </c>
    </row>
    <row r="5" customFormat="false" ht="45.75" hidden="false" customHeight="true" outlineLevel="0" collapsed="false">
      <c r="A5" s="4" t="n">
        <v>100000</v>
      </c>
      <c r="B5" s="4" t="n">
        <v>0.03</v>
      </c>
      <c r="C5" s="4" t="n">
        <v>0.65</v>
      </c>
      <c r="D5" s="4" t="n">
        <v>1300</v>
      </c>
      <c r="E5" s="4" t="n">
        <v>1950</v>
      </c>
      <c r="F5" s="4" t="n">
        <v>650</v>
      </c>
      <c r="G5" s="2" t="s">
        <v>337</v>
      </c>
    </row>
    <row r="6" customFormat="false" ht="45.75" hidden="false" customHeight="true" outlineLevel="0" collapsed="false">
      <c r="A6" s="4" t="n">
        <v>100000</v>
      </c>
      <c r="B6" s="4" t="n">
        <v>0.02</v>
      </c>
      <c r="C6" s="4" t="n">
        <v>0.75</v>
      </c>
      <c r="D6" s="4" t="n">
        <v>1300</v>
      </c>
      <c r="E6" s="4" t="n">
        <v>1500</v>
      </c>
      <c r="F6" s="4" t="n">
        <v>200</v>
      </c>
      <c r="G6" s="2" t="s">
        <v>337</v>
      </c>
    </row>
    <row r="7" customFormat="false" ht="45.75" hidden="false" customHeight="true" outlineLevel="0" collapsed="false">
      <c r="A7" s="4" t="n">
        <v>100000</v>
      </c>
      <c r="B7" s="4" t="n">
        <v>0.03</v>
      </c>
      <c r="C7" s="4" t="n">
        <v>0.75</v>
      </c>
      <c r="D7" s="4" t="n">
        <v>1300</v>
      </c>
      <c r="E7" s="4" t="n">
        <v>2250</v>
      </c>
      <c r="F7" s="4" t="n">
        <v>950</v>
      </c>
      <c r="G7" s="2" t="s">
        <v>337</v>
      </c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&amp;LPlan fuente: regenerar si cambian inputs.&amp;R&amp;P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9" min="1" style="0" width="27.71"/>
  </cols>
  <sheetData>
    <row r="1" customFormat="false" ht="36" hidden="false" customHeight="true" outlineLevel="0" collapsed="false">
      <c r="A1" s="1" t="s">
        <v>338</v>
      </c>
      <c r="B1" s="1" t="s">
        <v>339</v>
      </c>
      <c r="C1" s="1" t="s">
        <v>340</v>
      </c>
      <c r="D1" s="1" t="s">
        <v>341</v>
      </c>
      <c r="E1" s="1" t="s">
        <v>342</v>
      </c>
      <c r="F1" s="1" t="s">
        <v>343</v>
      </c>
      <c r="G1" s="1" t="s">
        <v>344</v>
      </c>
      <c r="H1" s="1" t="s">
        <v>345</v>
      </c>
      <c r="I1" s="1" t="s">
        <v>346</v>
      </c>
    </row>
    <row r="2" customFormat="false" ht="45.75" hidden="false" customHeight="true" outlineLevel="0" collapsed="false">
      <c r="A2" s="2" t="s">
        <v>192</v>
      </c>
      <c r="B2" s="2" t="s">
        <v>83</v>
      </c>
      <c r="C2" s="2" t="s">
        <v>84</v>
      </c>
      <c r="D2" s="2" t="s">
        <v>85</v>
      </c>
      <c r="E2" s="4" t="n">
        <v>498.8</v>
      </c>
      <c r="F2" s="4" t="n">
        <v>9.976</v>
      </c>
      <c r="G2" s="4" t="n">
        <v>6.4844</v>
      </c>
      <c r="H2" s="4" t="n">
        <v>1</v>
      </c>
      <c r="I2" s="2" t="s">
        <v>87</v>
      </c>
    </row>
    <row r="3" customFormat="false" ht="45.75" hidden="false" customHeight="true" outlineLevel="0" collapsed="false">
      <c r="A3" s="2" t="s">
        <v>192</v>
      </c>
      <c r="B3" s="2" t="s">
        <v>90</v>
      </c>
      <c r="C3" s="2" t="s">
        <v>91</v>
      </c>
      <c r="D3" s="2" t="s">
        <v>85</v>
      </c>
      <c r="E3" s="4" t="n">
        <v>31.92</v>
      </c>
      <c r="F3" s="4" t="n">
        <v>0.6384</v>
      </c>
      <c r="G3" s="4" t="n">
        <v>0.41496</v>
      </c>
      <c r="H3" s="4" t="n">
        <v>2</v>
      </c>
      <c r="I3" s="2" t="s">
        <v>93</v>
      </c>
    </row>
    <row r="4" customFormat="false" ht="45.75" hidden="false" customHeight="true" outlineLevel="0" collapsed="false">
      <c r="A4" s="2" t="s">
        <v>192</v>
      </c>
      <c r="B4" s="2" t="s">
        <v>96</v>
      </c>
      <c r="C4" s="2" t="s">
        <v>97</v>
      </c>
      <c r="D4" s="2" t="s">
        <v>85</v>
      </c>
      <c r="E4" s="4" t="n">
        <v>42.24</v>
      </c>
      <c r="F4" s="4" t="n">
        <v>0.8448</v>
      </c>
      <c r="G4" s="4" t="n">
        <v>0.54912</v>
      </c>
      <c r="H4" s="4" t="n">
        <v>3</v>
      </c>
      <c r="I4" s="2" t="s">
        <v>99</v>
      </c>
    </row>
    <row r="5" customFormat="false" ht="45.75" hidden="false" customHeight="true" outlineLevel="0" collapsed="false">
      <c r="A5" s="2" t="s">
        <v>192</v>
      </c>
      <c r="B5" s="2" t="s">
        <v>101</v>
      </c>
      <c r="C5" s="2" t="s">
        <v>102</v>
      </c>
      <c r="D5" s="2" t="s">
        <v>85</v>
      </c>
      <c r="E5" s="4" t="n">
        <v>36.12</v>
      </c>
      <c r="F5" s="4" t="n">
        <v>0.7224</v>
      </c>
      <c r="G5" s="4" t="n">
        <v>0.46956</v>
      </c>
      <c r="H5" s="4" t="n">
        <v>1</v>
      </c>
      <c r="I5" s="2" t="s">
        <v>104</v>
      </c>
    </row>
    <row r="6" customFormat="false" ht="45.75" hidden="false" customHeight="true" outlineLevel="0" collapsed="false">
      <c r="A6" s="2" t="s">
        <v>192</v>
      </c>
      <c r="B6" s="2" t="s">
        <v>106</v>
      </c>
      <c r="C6" s="2" t="s">
        <v>107</v>
      </c>
      <c r="D6" s="2" t="s">
        <v>85</v>
      </c>
      <c r="E6" s="4" t="n">
        <v>8.6</v>
      </c>
      <c r="F6" s="4" t="n">
        <v>0.172</v>
      </c>
      <c r="G6" s="4" t="n">
        <v>0.1118</v>
      </c>
      <c r="H6" s="4" t="n">
        <v>1</v>
      </c>
      <c r="I6" s="2" t="s">
        <v>87</v>
      </c>
    </row>
    <row r="7" customFormat="false" ht="45.75" hidden="false" customHeight="true" outlineLevel="0" collapsed="false">
      <c r="A7" s="2" t="s">
        <v>192</v>
      </c>
      <c r="B7" s="2" t="s">
        <v>110</v>
      </c>
      <c r="C7" s="2" t="s">
        <v>111</v>
      </c>
      <c r="D7" s="2" t="s">
        <v>85</v>
      </c>
      <c r="E7" s="4" t="n">
        <v>8.6</v>
      </c>
      <c r="F7" s="4" t="n">
        <v>0.172</v>
      </c>
      <c r="G7" s="4" t="n">
        <v>0.1118</v>
      </c>
      <c r="H7" s="4" t="n">
        <v>1</v>
      </c>
      <c r="I7" s="2" t="s">
        <v>104</v>
      </c>
    </row>
    <row r="8" customFormat="false" ht="45.75" hidden="false" customHeight="true" outlineLevel="0" collapsed="false">
      <c r="A8" s="2" t="s">
        <v>192</v>
      </c>
      <c r="B8" s="2" t="s">
        <v>115</v>
      </c>
      <c r="C8" s="2" t="s">
        <v>116</v>
      </c>
      <c r="D8" s="2" t="s">
        <v>117</v>
      </c>
      <c r="E8" s="4" t="n">
        <v>243.2</v>
      </c>
      <c r="F8" s="4" t="n">
        <v>4.864</v>
      </c>
      <c r="G8" s="4" t="n">
        <v>3.1616</v>
      </c>
      <c r="H8" s="4" t="n">
        <v>2</v>
      </c>
      <c r="I8" s="2" t="s">
        <v>119</v>
      </c>
    </row>
    <row r="9" customFormat="false" ht="45.75" hidden="false" customHeight="true" outlineLevel="0" collapsed="false">
      <c r="A9" s="2" t="s">
        <v>192</v>
      </c>
      <c r="B9" s="2" t="s">
        <v>121</v>
      </c>
      <c r="C9" s="2" t="s">
        <v>122</v>
      </c>
      <c r="D9" s="2" t="s">
        <v>117</v>
      </c>
      <c r="E9" s="4" t="n">
        <v>223.6</v>
      </c>
      <c r="F9" s="4" t="n">
        <v>4.472</v>
      </c>
      <c r="G9" s="4" t="n">
        <v>2.9068</v>
      </c>
      <c r="H9" s="4" t="n">
        <v>1</v>
      </c>
      <c r="I9" s="2" t="s">
        <v>124</v>
      </c>
    </row>
    <row r="10" customFormat="false" ht="45.75" hidden="false" customHeight="true" outlineLevel="0" collapsed="false">
      <c r="A10" s="2" t="s">
        <v>192</v>
      </c>
      <c r="B10" s="2" t="s">
        <v>127</v>
      </c>
      <c r="C10" s="2" t="s">
        <v>128</v>
      </c>
      <c r="D10" s="2" t="s">
        <v>117</v>
      </c>
      <c r="E10" s="4" t="n">
        <v>51.48</v>
      </c>
      <c r="F10" s="4" t="n">
        <v>1.0296</v>
      </c>
      <c r="G10" s="4" t="n">
        <v>0.66924</v>
      </c>
      <c r="H10" s="4" t="n">
        <v>3</v>
      </c>
      <c r="I10" s="2" t="s">
        <v>130</v>
      </c>
    </row>
    <row r="11" customFormat="false" ht="45.75" hidden="false" customHeight="true" outlineLevel="0" collapsed="false">
      <c r="A11" s="2" t="s">
        <v>192</v>
      </c>
      <c r="B11" s="2" t="s">
        <v>132</v>
      </c>
      <c r="C11" s="2" t="s">
        <v>133</v>
      </c>
      <c r="D11" s="2" t="s">
        <v>117</v>
      </c>
      <c r="E11" s="4" t="n">
        <v>5.28</v>
      </c>
      <c r="F11" s="4" t="n">
        <v>0.1056</v>
      </c>
      <c r="G11" s="4" t="n">
        <v>0.06864</v>
      </c>
      <c r="H11" s="4" t="n">
        <v>3</v>
      </c>
      <c r="I11" s="2" t="s">
        <v>130</v>
      </c>
    </row>
    <row r="12" customFormat="false" ht="45.75" hidden="false" customHeight="true" outlineLevel="0" collapsed="false">
      <c r="A12" s="2" t="s">
        <v>192</v>
      </c>
      <c r="B12" s="2" t="s">
        <v>136</v>
      </c>
      <c r="C12" s="2" t="s">
        <v>137</v>
      </c>
      <c r="D12" s="2" t="s">
        <v>138</v>
      </c>
      <c r="E12" s="4" t="n">
        <v>343.2</v>
      </c>
      <c r="F12" s="4" t="n">
        <v>6.864</v>
      </c>
      <c r="G12" s="4" t="n">
        <v>4.4616</v>
      </c>
      <c r="H12" s="4" t="n">
        <v>7</v>
      </c>
      <c r="I12" s="2" t="s">
        <v>140</v>
      </c>
    </row>
    <row r="13" customFormat="false" ht="45.75" hidden="false" customHeight="true" outlineLevel="0" collapsed="false">
      <c r="A13" s="2" t="s">
        <v>192</v>
      </c>
      <c r="B13" s="2" t="s">
        <v>143</v>
      </c>
      <c r="C13" s="2" t="s">
        <v>144</v>
      </c>
      <c r="D13" s="2" t="s">
        <v>138</v>
      </c>
      <c r="E13" s="4" t="n">
        <v>174.8</v>
      </c>
      <c r="F13" s="4" t="n">
        <v>3.496</v>
      </c>
      <c r="G13" s="4" t="n">
        <v>2.2724</v>
      </c>
      <c r="H13" s="4" t="n">
        <v>5</v>
      </c>
      <c r="I13" s="2" t="s">
        <v>146</v>
      </c>
    </row>
    <row r="14" customFormat="false" ht="45.75" hidden="false" customHeight="true" outlineLevel="0" collapsed="false">
      <c r="A14" s="2" t="s">
        <v>192</v>
      </c>
      <c r="B14" s="2" t="s">
        <v>148</v>
      </c>
      <c r="C14" s="2" t="s">
        <v>149</v>
      </c>
      <c r="D14" s="2" t="s">
        <v>138</v>
      </c>
      <c r="E14" s="4" t="n">
        <v>93.6</v>
      </c>
      <c r="F14" s="4" t="n">
        <v>1.872</v>
      </c>
      <c r="G14" s="4" t="n">
        <v>1.2168</v>
      </c>
      <c r="H14" s="4" t="n">
        <v>6</v>
      </c>
      <c r="I14" s="2" t="s">
        <v>151</v>
      </c>
    </row>
    <row r="15" customFormat="false" ht="45.75" hidden="false" customHeight="true" outlineLevel="0" collapsed="false">
      <c r="A15" s="2" t="s">
        <v>192</v>
      </c>
      <c r="B15" s="2" t="s">
        <v>154</v>
      </c>
      <c r="C15" s="2" t="s">
        <v>155</v>
      </c>
      <c r="D15" s="2" t="s">
        <v>138</v>
      </c>
      <c r="E15" s="4" t="n">
        <v>136.8</v>
      </c>
      <c r="F15" s="4" t="n">
        <v>2.736</v>
      </c>
      <c r="G15" s="4" t="n">
        <v>1.7784</v>
      </c>
      <c r="H15" s="4" t="n">
        <v>6</v>
      </c>
      <c r="I15" s="2" t="s">
        <v>151</v>
      </c>
    </row>
    <row r="16" customFormat="false" ht="45.75" hidden="false" customHeight="true" outlineLevel="0" collapsed="false">
      <c r="A16" s="2" t="s">
        <v>192</v>
      </c>
      <c r="B16" s="2" t="s">
        <v>158</v>
      </c>
      <c r="C16" s="2" t="s">
        <v>159</v>
      </c>
      <c r="D16" s="2" t="s">
        <v>138</v>
      </c>
      <c r="E16" s="4" t="n">
        <v>237.6</v>
      </c>
      <c r="F16" s="4" t="n">
        <v>4.752</v>
      </c>
      <c r="G16" s="4" t="n">
        <v>3.0888</v>
      </c>
      <c r="H16" s="4" t="n">
        <v>8</v>
      </c>
      <c r="I16" s="2" t="s">
        <v>161</v>
      </c>
    </row>
    <row r="17" customFormat="false" ht="45.75" hidden="false" customHeight="true" outlineLevel="0" collapsed="false">
      <c r="A17" s="2" t="s">
        <v>192</v>
      </c>
      <c r="B17" s="2" t="s">
        <v>163</v>
      </c>
      <c r="C17" s="2" t="s">
        <v>164</v>
      </c>
      <c r="D17" s="2" t="s">
        <v>165</v>
      </c>
      <c r="E17" s="4" t="n">
        <v>498.8</v>
      </c>
      <c r="F17" s="4" t="n">
        <v>9.976</v>
      </c>
      <c r="G17" s="4" t="n">
        <v>6.4844</v>
      </c>
      <c r="H17" s="4" t="n">
        <v>1</v>
      </c>
      <c r="I17" s="2" t="s">
        <v>167</v>
      </c>
    </row>
    <row r="18" customFormat="false" ht="45.75" hidden="false" customHeight="true" outlineLevel="0" collapsed="false">
      <c r="A18" s="2" t="s">
        <v>192</v>
      </c>
      <c r="B18" s="2" t="s">
        <v>170</v>
      </c>
      <c r="C18" s="2" t="s">
        <v>171</v>
      </c>
      <c r="D18" s="2" t="s">
        <v>165</v>
      </c>
      <c r="E18" s="4" t="n">
        <v>179.2</v>
      </c>
      <c r="F18" s="4" t="n">
        <v>3.584</v>
      </c>
      <c r="G18" s="4" t="n">
        <v>2.3296</v>
      </c>
      <c r="H18" s="4" t="n">
        <v>4</v>
      </c>
      <c r="I18" s="2" t="s">
        <v>173</v>
      </c>
    </row>
    <row r="19" customFormat="false" ht="45.75" hidden="false" customHeight="true" outlineLevel="0" collapsed="false">
      <c r="A19" s="2" t="s">
        <v>192</v>
      </c>
      <c r="B19" s="2" t="s">
        <v>175</v>
      </c>
      <c r="C19" s="2" t="s">
        <v>176</v>
      </c>
      <c r="D19" s="2" t="s">
        <v>165</v>
      </c>
      <c r="E19" s="4" t="n">
        <v>101.48</v>
      </c>
      <c r="F19" s="4" t="n">
        <v>2.0296</v>
      </c>
      <c r="G19" s="4" t="n">
        <v>1.31924</v>
      </c>
      <c r="H19" s="4" t="n">
        <v>1</v>
      </c>
      <c r="I19" s="2" t="s">
        <v>87</v>
      </c>
    </row>
    <row r="20" customFormat="false" ht="45.75" hidden="false" customHeight="true" outlineLevel="0" collapsed="false">
      <c r="A20" s="2" t="s">
        <v>192</v>
      </c>
      <c r="B20" s="2" t="s">
        <v>179</v>
      </c>
      <c r="C20" s="2" t="s">
        <v>180</v>
      </c>
      <c r="D20" s="2" t="s">
        <v>165</v>
      </c>
      <c r="E20" s="4" t="n">
        <v>77.88</v>
      </c>
      <c r="F20" s="4" t="n">
        <v>1.5576</v>
      </c>
      <c r="G20" s="4" t="n">
        <v>1.01244</v>
      </c>
      <c r="H20" s="4" t="n">
        <v>3</v>
      </c>
      <c r="I20" s="2" t="s">
        <v>182</v>
      </c>
    </row>
    <row r="21" customFormat="false" ht="45.75" hidden="false" customHeight="true" outlineLevel="0" collapsed="false">
      <c r="A21" s="2" t="s">
        <v>193</v>
      </c>
      <c r="B21" s="2" t="s">
        <v>83</v>
      </c>
      <c r="C21" s="2" t="s">
        <v>84</v>
      </c>
      <c r="D21" s="2" t="s">
        <v>85</v>
      </c>
      <c r="E21" s="4" t="n">
        <v>1247</v>
      </c>
      <c r="F21" s="4" t="n">
        <v>24.94</v>
      </c>
      <c r="G21" s="4" t="n">
        <v>16.211</v>
      </c>
      <c r="H21" s="4" t="n">
        <v>1</v>
      </c>
      <c r="I21" s="2" t="s">
        <v>87</v>
      </c>
    </row>
    <row r="22" customFormat="false" ht="45.75" hidden="false" customHeight="true" outlineLevel="0" collapsed="false">
      <c r="A22" s="2" t="s">
        <v>193</v>
      </c>
      <c r="B22" s="2" t="s">
        <v>90</v>
      </c>
      <c r="C22" s="2" t="s">
        <v>91</v>
      </c>
      <c r="D22" s="2" t="s">
        <v>85</v>
      </c>
      <c r="E22" s="4" t="n">
        <v>79.8</v>
      </c>
      <c r="F22" s="4" t="n">
        <v>1.596</v>
      </c>
      <c r="G22" s="4" t="n">
        <v>1.0374</v>
      </c>
      <c r="H22" s="4" t="n">
        <v>2</v>
      </c>
      <c r="I22" s="2" t="s">
        <v>93</v>
      </c>
    </row>
    <row r="23" customFormat="false" ht="45.75" hidden="false" customHeight="true" outlineLevel="0" collapsed="false">
      <c r="A23" s="2" t="s">
        <v>193</v>
      </c>
      <c r="B23" s="2" t="s">
        <v>96</v>
      </c>
      <c r="C23" s="2" t="s">
        <v>97</v>
      </c>
      <c r="D23" s="2" t="s">
        <v>85</v>
      </c>
      <c r="E23" s="4" t="n">
        <v>105.6</v>
      </c>
      <c r="F23" s="4" t="n">
        <v>2.112</v>
      </c>
      <c r="G23" s="4" t="n">
        <v>1.3728</v>
      </c>
      <c r="H23" s="4" t="n">
        <v>3</v>
      </c>
      <c r="I23" s="2" t="s">
        <v>99</v>
      </c>
    </row>
    <row r="24" customFormat="false" ht="45.75" hidden="false" customHeight="true" outlineLevel="0" collapsed="false">
      <c r="A24" s="2" t="s">
        <v>193</v>
      </c>
      <c r="B24" s="2" t="s">
        <v>101</v>
      </c>
      <c r="C24" s="2" t="s">
        <v>102</v>
      </c>
      <c r="D24" s="2" t="s">
        <v>85</v>
      </c>
      <c r="E24" s="4" t="n">
        <v>90.3</v>
      </c>
      <c r="F24" s="4" t="n">
        <v>1.806</v>
      </c>
      <c r="G24" s="4" t="n">
        <v>1.1739</v>
      </c>
      <c r="H24" s="4" t="n">
        <v>1</v>
      </c>
      <c r="I24" s="2" t="s">
        <v>104</v>
      </c>
    </row>
    <row r="25" customFormat="false" ht="45.75" hidden="false" customHeight="true" outlineLevel="0" collapsed="false">
      <c r="A25" s="2" t="s">
        <v>193</v>
      </c>
      <c r="B25" s="2" t="s">
        <v>106</v>
      </c>
      <c r="C25" s="2" t="s">
        <v>107</v>
      </c>
      <c r="D25" s="2" t="s">
        <v>85</v>
      </c>
      <c r="E25" s="4" t="n">
        <v>21.5</v>
      </c>
      <c r="F25" s="4" t="n">
        <v>0.43</v>
      </c>
      <c r="G25" s="4" t="n">
        <v>0.2795</v>
      </c>
      <c r="H25" s="4" t="n">
        <v>1</v>
      </c>
      <c r="I25" s="2" t="s">
        <v>87</v>
      </c>
    </row>
    <row r="26" customFormat="false" ht="45.75" hidden="false" customHeight="true" outlineLevel="0" collapsed="false">
      <c r="A26" s="2" t="s">
        <v>193</v>
      </c>
      <c r="B26" s="2" t="s">
        <v>110</v>
      </c>
      <c r="C26" s="2" t="s">
        <v>111</v>
      </c>
      <c r="D26" s="2" t="s">
        <v>85</v>
      </c>
      <c r="E26" s="4" t="n">
        <v>21.5</v>
      </c>
      <c r="F26" s="4" t="n">
        <v>0.43</v>
      </c>
      <c r="G26" s="4" t="n">
        <v>0.2795</v>
      </c>
      <c r="H26" s="4" t="n">
        <v>1</v>
      </c>
      <c r="I26" s="2" t="s">
        <v>104</v>
      </c>
    </row>
    <row r="27" customFormat="false" ht="45.75" hidden="false" customHeight="true" outlineLevel="0" collapsed="false">
      <c r="A27" s="2" t="s">
        <v>193</v>
      </c>
      <c r="B27" s="2" t="s">
        <v>115</v>
      </c>
      <c r="C27" s="2" t="s">
        <v>116</v>
      </c>
      <c r="D27" s="2" t="s">
        <v>117</v>
      </c>
      <c r="E27" s="4" t="n">
        <v>608</v>
      </c>
      <c r="F27" s="4" t="n">
        <v>12.16</v>
      </c>
      <c r="G27" s="4" t="n">
        <v>7.904</v>
      </c>
      <c r="H27" s="4" t="n">
        <v>2</v>
      </c>
      <c r="I27" s="2" t="s">
        <v>119</v>
      </c>
    </row>
    <row r="28" customFormat="false" ht="45.75" hidden="false" customHeight="true" outlineLevel="0" collapsed="false">
      <c r="A28" s="2" t="s">
        <v>193</v>
      </c>
      <c r="B28" s="2" t="s">
        <v>121</v>
      </c>
      <c r="C28" s="2" t="s">
        <v>122</v>
      </c>
      <c r="D28" s="2" t="s">
        <v>117</v>
      </c>
      <c r="E28" s="4" t="n">
        <v>559</v>
      </c>
      <c r="F28" s="4" t="n">
        <v>11.18</v>
      </c>
      <c r="G28" s="4" t="n">
        <v>7.267</v>
      </c>
      <c r="H28" s="4" t="n">
        <v>1</v>
      </c>
      <c r="I28" s="2" t="s">
        <v>124</v>
      </c>
    </row>
    <row r="29" customFormat="false" ht="45.75" hidden="false" customHeight="true" outlineLevel="0" collapsed="false">
      <c r="A29" s="2" t="s">
        <v>193</v>
      </c>
      <c r="B29" s="2" t="s">
        <v>127</v>
      </c>
      <c r="C29" s="2" t="s">
        <v>128</v>
      </c>
      <c r="D29" s="2" t="s">
        <v>117</v>
      </c>
      <c r="E29" s="4" t="n">
        <v>128.7</v>
      </c>
      <c r="F29" s="4" t="n">
        <v>2.574</v>
      </c>
      <c r="G29" s="4" t="n">
        <v>1.6731</v>
      </c>
      <c r="H29" s="4" t="n">
        <v>3</v>
      </c>
      <c r="I29" s="2" t="s">
        <v>130</v>
      </c>
    </row>
    <row r="30" customFormat="false" ht="45.75" hidden="false" customHeight="true" outlineLevel="0" collapsed="false">
      <c r="A30" s="2" t="s">
        <v>193</v>
      </c>
      <c r="B30" s="2" t="s">
        <v>132</v>
      </c>
      <c r="C30" s="2" t="s">
        <v>133</v>
      </c>
      <c r="D30" s="2" t="s">
        <v>117</v>
      </c>
      <c r="E30" s="4" t="n">
        <v>13.2</v>
      </c>
      <c r="F30" s="4" t="n">
        <v>0.264</v>
      </c>
      <c r="G30" s="4" t="n">
        <v>0.1716</v>
      </c>
      <c r="H30" s="4" t="n">
        <v>3</v>
      </c>
      <c r="I30" s="2" t="s">
        <v>130</v>
      </c>
    </row>
    <row r="31" customFormat="false" ht="45.75" hidden="false" customHeight="true" outlineLevel="0" collapsed="false">
      <c r="A31" s="2" t="s">
        <v>193</v>
      </c>
      <c r="B31" s="2" t="s">
        <v>136</v>
      </c>
      <c r="C31" s="2" t="s">
        <v>137</v>
      </c>
      <c r="D31" s="2" t="s">
        <v>138</v>
      </c>
      <c r="E31" s="4" t="n">
        <v>858</v>
      </c>
      <c r="F31" s="4" t="n">
        <v>17.16</v>
      </c>
      <c r="G31" s="4" t="n">
        <v>11.154</v>
      </c>
      <c r="H31" s="4" t="n">
        <v>7</v>
      </c>
      <c r="I31" s="2" t="s">
        <v>140</v>
      </c>
    </row>
    <row r="32" customFormat="false" ht="45.75" hidden="false" customHeight="true" outlineLevel="0" collapsed="false">
      <c r="A32" s="2" t="s">
        <v>193</v>
      </c>
      <c r="B32" s="2" t="s">
        <v>143</v>
      </c>
      <c r="C32" s="2" t="s">
        <v>144</v>
      </c>
      <c r="D32" s="2" t="s">
        <v>138</v>
      </c>
      <c r="E32" s="4" t="n">
        <v>437</v>
      </c>
      <c r="F32" s="4" t="n">
        <v>8.74</v>
      </c>
      <c r="G32" s="4" t="n">
        <v>5.681</v>
      </c>
      <c r="H32" s="4" t="n">
        <v>5</v>
      </c>
      <c r="I32" s="2" t="s">
        <v>146</v>
      </c>
    </row>
    <row r="33" customFormat="false" ht="45.75" hidden="false" customHeight="true" outlineLevel="0" collapsed="false">
      <c r="A33" s="2" t="s">
        <v>193</v>
      </c>
      <c r="B33" s="2" t="s">
        <v>148</v>
      </c>
      <c r="C33" s="2" t="s">
        <v>149</v>
      </c>
      <c r="D33" s="2" t="s">
        <v>138</v>
      </c>
      <c r="E33" s="4" t="n">
        <v>234</v>
      </c>
      <c r="F33" s="4" t="n">
        <v>4.68</v>
      </c>
      <c r="G33" s="4" t="n">
        <v>3.042</v>
      </c>
      <c r="H33" s="4" t="n">
        <v>6</v>
      </c>
      <c r="I33" s="2" t="s">
        <v>151</v>
      </c>
    </row>
    <row r="34" customFormat="false" ht="45.75" hidden="false" customHeight="true" outlineLevel="0" collapsed="false">
      <c r="A34" s="2" t="s">
        <v>193</v>
      </c>
      <c r="B34" s="2" t="s">
        <v>154</v>
      </c>
      <c r="C34" s="2" t="s">
        <v>155</v>
      </c>
      <c r="D34" s="2" t="s">
        <v>138</v>
      </c>
      <c r="E34" s="4" t="n">
        <v>342</v>
      </c>
      <c r="F34" s="4" t="n">
        <v>6.84</v>
      </c>
      <c r="G34" s="4" t="n">
        <v>4.446</v>
      </c>
      <c r="H34" s="4" t="n">
        <v>6</v>
      </c>
      <c r="I34" s="2" t="s">
        <v>151</v>
      </c>
    </row>
    <row r="35" customFormat="false" ht="45.75" hidden="false" customHeight="true" outlineLevel="0" collapsed="false">
      <c r="A35" s="2" t="s">
        <v>193</v>
      </c>
      <c r="B35" s="2" t="s">
        <v>158</v>
      </c>
      <c r="C35" s="2" t="s">
        <v>159</v>
      </c>
      <c r="D35" s="2" t="s">
        <v>138</v>
      </c>
      <c r="E35" s="4" t="n">
        <v>594</v>
      </c>
      <c r="F35" s="4" t="n">
        <v>11.88</v>
      </c>
      <c r="G35" s="4" t="n">
        <v>7.722</v>
      </c>
      <c r="H35" s="4" t="n">
        <v>8</v>
      </c>
      <c r="I35" s="2" t="s">
        <v>161</v>
      </c>
    </row>
    <row r="36" customFormat="false" ht="45.75" hidden="false" customHeight="true" outlineLevel="0" collapsed="false">
      <c r="A36" s="2" t="s">
        <v>193</v>
      </c>
      <c r="B36" s="2" t="s">
        <v>163</v>
      </c>
      <c r="C36" s="2" t="s">
        <v>164</v>
      </c>
      <c r="D36" s="2" t="s">
        <v>165</v>
      </c>
      <c r="E36" s="4" t="n">
        <v>1247</v>
      </c>
      <c r="F36" s="4" t="n">
        <v>24.94</v>
      </c>
      <c r="G36" s="4" t="n">
        <v>16.211</v>
      </c>
      <c r="H36" s="4" t="n">
        <v>1</v>
      </c>
      <c r="I36" s="2" t="s">
        <v>167</v>
      </c>
    </row>
    <row r="37" customFormat="false" ht="45.75" hidden="false" customHeight="true" outlineLevel="0" collapsed="false">
      <c r="A37" s="2" t="s">
        <v>193</v>
      </c>
      <c r="B37" s="2" t="s">
        <v>170</v>
      </c>
      <c r="C37" s="2" t="s">
        <v>171</v>
      </c>
      <c r="D37" s="2" t="s">
        <v>165</v>
      </c>
      <c r="E37" s="4" t="n">
        <v>448</v>
      </c>
      <c r="F37" s="4" t="n">
        <v>8.96</v>
      </c>
      <c r="G37" s="4" t="n">
        <v>5.824</v>
      </c>
      <c r="H37" s="4" t="n">
        <v>4</v>
      </c>
      <c r="I37" s="2" t="s">
        <v>173</v>
      </c>
    </row>
    <row r="38" customFormat="false" ht="45.75" hidden="false" customHeight="true" outlineLevel="0" collapsed="false">
      <c r="A38" s="2" t="s">
        <v>193</v>
      </c>
      <c r="B38" s="2" t="s">
        <v>175</v>
      </c>
      <c r="C38" s="2" t="s">
        <v>176</v>
      </c>
      <c r="D38" s="2" t="s">
        <v>165</v>
      </c>
      <c r="E38" s="4" t="n">
        <v>253.7</v>
      </c>
      <c r="F38" s="4" t="n">
        <v>5.074</v>
      </c>
      <c r="G38" s="4" t="n">
        <v>3.2981</v>
      </c>
      <c r="H38" s="4" t="n">
        <v>1</v>
      </c>
      <c r="I38" s="2" t="s">
        <v>87</v>
      </c>
    </row>
    <row r="39" customFormat="false" ht="45.75" hidden="false" customHeight="true" outlineLevel="0" collapsed="false">
      <c r="A39" s="2" t="s">
        <v>193</v>
      </c>
      <c r="B39" s="2" t="s">
        <v>179</v>
      </c>
      <c r="C39" s="2" t="s">
        <v>180</v>
      </c>
      <c r="D39" s="2" t="s">
        <v>165</v>
      </c>
      <c r="E39" s="4" t="n">
        <v>194.7</v>
      </c>
      <c r="F39" s="4" t="n">
        <v>3.894</v>
      </c>
      <c r="G39" s="4" t="n">
        <v>2.5311</v>
      </c>
      <c r="H39" s="4" t="n">
        <v>3</v>
      </c>
      <c r="I39" s="2" t="s">
        <v>182</v>
      </c>
    </row>
    <row r="40" customFormat="false" ht="45.75" hidden="false" customHeight="true" outlineLevel="0" collapsed="false">
      <c r="A40" s="2" t="s">
        <v>194</v>
      </c>
      <c r="B40" s="2" t="s">
        <v>83</v>
      </c>
      <c r="C40" s="2" t="s">
        <v>84</v>
      </c>
      <c r="D40" s="2" t="s">
        <v>85</v>
      </c>
      <c r="E40" s="4" t="n">
        <v>2494</v>
      </c>
      <c r="F40" s="4" t="n">
        <v>49.88</v>
      </c>
      <c r="G40" s="4" t="n">
        <v>32.422</v>
      </c>
      <c r="H40" s="4" t="n">
        <v>1</v>
      </c>
      <c r="I40" s="2" t="s">
        <v>87</v>
      </c>
    </row>
    <row r="41" customFormat="false" ht="45.75" hidden="false" customHeight="true" outlineLevel="0" collapsed="false">
      <c r="A41" s="2" t="s">
        <v>194</v>
      </c>
      <c r="B41" s="2" t="s">
        <v>90</v>
      </c>
      <c r="C41" s="2" t="s">
        <v>91</v>
      </c>
      <c r="D41" s="2" t="s">
        <v>85</v>
      </c>
      <c r="E41" s="4" t="n">
        <v>159.6</v>
      </c>
      <c r="F41" s="4" t="n">
        <v>3.192</v>
      </c>
      <c r="G41" s="4" t="n">
        <v>2.0748</v>
      </c>
      <c r="H41" s="4" t="n">
        <v>2</v>
      </c>
      <c r="I41" s="2" t="s">
        <v>93</v>
      </c>
    </row>
    <row r="42" customFormat="false" ht="45.75" hidden="false" customHeight="true" outlineLevel="0" collapsed="false">
      <c r="A42" s="2" t="s">
        <v>194</v>
      </c>
      <c r="B42" s="2" t="s">
        <v>96</v>
      </c>
      <c r="C42" s="2" t="s">
        <v>97</v>
      </c>
      <c r="D42" s="2" t="s">
        <v>85</v>
      </c>
      <c r="E42" s="4" t="n">
        <v>211.2</v>
      </c>
      <c r="F42" s="4" t="n">
        <v>4.224</v>
      </c>
      <c r="G42" s="4" t="n">
        <v>2.7456</v>
      </c>
      <c r="H42" s="4" t="n">
        <v>3</v>
      </c>
      <c r="I42" s="2" t="s">
        <v>99</v>
      </c>
    </row>
    <row r="43" customFormat="false" ht="45.75" hidden="false" customHeight="true" outlineLevel="0" collapsed="false">
      <c r="A43" s="2" t="s">
        <v>194</v>
      </c>
      <c r="B43" s="2" t="s">
        <v>101</v>
      </c>
      <c r="C43" s="2" t="s">
        <v>102</v>
      </c>
      <c r="D43" s="2" t="s">
        <v>85</v>
      </c>
      <c r="E43" s="4" t="n">
        <v>180.6</v>
      </c>
      <c r="F43" s="4" t="n">
        <v>3.612</v>
      </c>
      <c r="G43" s="4" t="n">
        <v>2.3478</v>
      </c>
      <c r="H43" s="4" t="n">
        <v>1</v>
      </c>
      <c r="I43" s="2" t="s">
        <v>104</v>
      </c>
    </row>
    <row r="44" customFormat="false" ht="45.75" hidden="false" customHeight="true" outlineLevel="0" collapsed="false">
      <c r="A44" s="2" t="s">
        <v>194</v>
      </c>
      <c r="B44" s="2" t="s">
        <v>106</v>
      </c>
      <c r="C44" s="2" t="s">
        <v>107</v>
      </c>
      <c r="D44" s="2" t="s">
        <v>85</v>
      </c>
      <c r="E44" s="4" t="n">
        <v>43</v>
      </c>
      <c r="F44" s="4" t="n">
        <v>0.86</v>
      </c>
      <c r="G44" s="4" t="n">
        <v>0.559</v>
      </c>
      <c r="H44" s="4" t="n">
        <v>1</v>
      </c>
      <c r="I44" s="2" t="s">
        <v>87</v>
      </c>
    </row>
    <row r="45" customFormat="false" ht="45.75" hidden="false" customHeight="true" outlineLevel="0" collapsed="false">
      <c r="A45" s="2" t="s">
        <v>194</v>
      </c>
      <c r="B45" s="2" t="s">
        <v>110</v>
      </c>
      <c r="C45" s="2" t="s">
        <v>111</v>
      </c>
      <c r="D45" s="2" t="s">
        <v>85</v>
      </c>
      <c r="E45" s="4" t="n">
        <v>43</v>
      </c>
      <c r="F45" s="4" t="n">
        <v>0.86</v>
      </c>
      <c r="G45" s="4" t="n">
        <v>0.559</v>
      </c>
      <c r="H45" s="4" t="n">
        <v>1</v>
      </c>
      <c r="I45" s="2" t="s">
        <v>104</v>
      </c>
    </row>
    <row r="46" customFormat="false" ht="45.75" hidden="false" customHeight="true" outlineLevel="0" collapsed="false">
      <c r="A46" s="2" t="s">
        <v>194</v>
      </c>
      <c r="B46" s="2" t="s">
        <v>115</v>
      </c>
      <c r="C46" s="2" t="s">
        <v>116</v>
      </c>
      <c r="D46" s="2" t="s">
        <v>117</v>
      </c>
      <c r="E46" s="4" t="n">
        <v>1216</v>
      </c>
      <c r="F46" s="4" t="n">
        <v>24.32</v>
      </c>
      <c r="G46" s="4" t="n">
        <v>15.808</v>
      </c>
      <c r="H46" s="4" t="n">
        <v>2</v>
      </c>
      <c r="I46" s="2" t="s">
        <v>119</v>
      </c>
    </row>
    <row r="47" customFormat="false" ht="45.75" hidden="false" customHeight="true" outlineLevel="0" collapsed="false">
      <c r="A47" s="2" t="s">
        <v>194</v>
      </c>
      <c r="B47" s="2" t="s">
        <v>121</v>
      </c>
      <c r="C47" s="2" t="s">
        <v>122</v>
      </c>
      <c r="D47" s="2" t="s">
        <v>117</v>
      </c>
      <c r="E47" s="4" t="n">
        <v>1118</v>
      </c>
      <c r="F47" s="4" t="n">
        <v>22.36</v>
      </c>
      <c r="G47" s="4" t="n">
        <v>14.534</v>
      </c>
      <c r="H47" s="4" t="n">
        <v>1</v>
      </c>
      <c r="I47" s="2" t="s">
        <v>124</v>
      </c>
    </row>
    <row r="48" customFormat="false" ht="45.75" hidden="false" customHeight="true" outlineLevel="0" collapsed="false">
      <c r="A48" s="2" t="s">
        <v>194</v>
      </c>
      <c r="B48" s="2" t="s">
        <v>127</v>
      </c>
      <c r="C48" s="2" t="s">
        <v>128</v>
      </c>
      <c r="D48" s="2" t="s">
        <v>117</v>
      </c>
      <c r="E48" s="4" t="n">
        <v>257.4</v>
      </c>
      <c r="F48" s="4" t="n">
        <v>5.148</v>
      </c>
      <c r="G48" s="4" t="n">
        <v>3.3462</v>
      </c>
      <c r="H48" s="4" t="n">
        <v>3</v>
      </c>
      <c r="I48" s="2" t="s">
        <v>130</v>
      </c>
    </row>
    <row r="49" customFormat="false" ht="45.75" hidden="false" customHeight="true" outlineLevel="0" collapsed="false">
      <c r="A49" s="2" t="s">
        <v>194</v>
      </c>
      <c r="B49" s="2" t="s">
        <v>132</v>
      </c>
      <c r="C49" s="2" t="s">
        <v>133</v>
      </c>
      <c r="D49" s="2" t="s">
        <v>117</v>
      </c>
      <c r="E49" s="4" t="n">
        <v>26.4</v>
      </c>
      <c r="F49" s="4" t="n">
        <v>0.528</v>
      </c>
      <c r="G49" s="4" t="n">
        <v>0.3432</v>
      </c>
      <c r="H49" s="4" t="n">
        <v>3</v>
      </c>
      <c r="I49" s="2" t="s">
        <v>130</v>
      </c>
    </row>
    <row r="50" customFormat="false" ht="45.75" hidden="false" customHeight="true" outlineLevel="0" collapsed="false">
      <c r="A50" s="2" t="s">
        <v>194</v>
      </c>
      <c r="B50" s="2" t="s">
        <v>136</v>
      </c>
      <c r="C50" s="2" t="s">
        <v>137</v>
      </c>
      <c r="D50" s="2" t="s">
        <v>138</v>
      </c>
      <c r="E50" s="4" t="n">
        <v>1716</v>
      </c>
      <c r="F50" s="4" t="n">
        <v>34.32</v>
      </c>
      <c r="G50" s="4" t="n">
        <v>22.308</v>
      </c>
      <c r="H50" s="4" t="n">
        <v>7</v>
      </c>
      <c r="I50" s="2" t="s">
        <v>140</v>
      </c>
    </row>
    <row r="51" customFormat="false" ht="45.75" hidden="false" customHeight="true" outlineLevel="0" collapsed="false">
      <c r="A51" s="2" t="s">
        <v>194</v>
      </c>
      <c r="B51" s="2" t="s">
        <v>143</v>
      </c>
      <c r="C51" s="2" t="s">
        <v>144</v>
      </c>
      <c r="D51" s="2" t="s">
        <v>138</v>
      </c>
      <c r="E51" s="4" t="n">
        <v>874</v>
      </c>
      <c r="F51" s="4" t="n">
        <v>17.48</v>
      </c>
      <c r="G51" s="4" t="n">
        <v>11.362</v>
      </c>
      <c r="H51" s="4" t="n">
        <v>5</v>
      </c>
      <c r="I51" s="2" t="s">
        <v>146</v>
      </c>
    </row>
    <row r="52" customFormat="false" ht="45.75" hidden="false" customHeight="true" outlineLevel="0" collapsed="false">
      <c r="A52" s="2" t="s">
        <v>194</v>
      </c>
      <c r="B52" s="2" t="s">
        <v>148</v>
      </c>
      <c r="C52" s="2" t="s">
        <v>149</v>
      </c>
      <c r="D52" s="2" t="s">
        <v>138</v>
      </c>
      <c r="E52" s="4" t="n">
        <v>468</v>
      </c>
      <c r="F52" s="4" t="n">
        <v>9.36</v>
      </c>
      <c r="G52" s="4" t="n">
        <v>6.084</v>
      </c>
      <c r="H52" s="4" t="n">
        <v>6</v>
      </c>
      <c r="I52" s="2" t="s">
        <v>151</v>
      </c>
    </row>
    <row r="53" customFormat="false" ht="45.75" hidden="false" customHeight="true" outlineLevel="0" collapsed="false">
      <c r="A53" s="2" t="s">
        <v>194</v>
      </c>
      <c r="B53" s="2" t="s">
        <v>154</v>
      </c>
      <c r="C53" s="2" t="s">
        <v>155</v>
      </c>
      <c r="D53" s="2" t="s">
        <v>138</v>
      </c>
      <c r="E53" s="4" t="n">
        <v>684</v>
      </c>
      <c r="F53" s="4" t="n">
        <v>13.68</v>
      </c>
      <c r="G53" s="4" t="n">
        <v>8.892</v>
      </c>
      <c r="H53" s="4" t="n">
        <v>6</v>
      </c>
      <c r="I53" s="2" t="s">
        <v>151</v>
      </c>
    </row>
    <row r="54" customFormat="false" ht="45.75" hidden="false" customHeight="true" outlineLevel="0" collapsed="false">
      <c r="A54" s="2" t="s">
        <v>194</v>
      </c>
      <c r="B54" s="2" t="s">
        <v>158</v>
      </c>
      <c r="C54" s="2" t="s">
        <v>159</v>
      </c>
      <c r="D54" s="2" t="s">
        <v>138</v>
      </c>
      <c r="E54" s="4" t="n">
        <v>1188</v>
      </c>
      <c r="F54" s="4" t="n">
        <v>23.76</v>
      </c>
      <c r="G54" s="4" t="n">
        <v>15.444</v>
      </c>
      <c r="H54" s="4" t="n">
        <v>8</v>
      </c>
      <c r="I54" s="2" t="s">
        <v>161</v>
      </c>
    </row>
    <row r="55" customFormat="false" ht="45.75" hidden="false" customHeight="true" outlineLevel="0" collapsed="false">
      <c r="A55" s="2" t="s">
        <v>194</v>
      </c>
      <c r="B55" s="2" t="s">
        <v>163</v>
      </c>
      <c r="C55" s="2" t="s">
        <v>164</v>
      </c>
      <c r="D55" s="2" t="s">
        <v>165</v>
      </c>
      <c r="E55" s="4" t="n">
        <v>2494</v>
      </c>
      <c r="F55" s="4" t="n">
        <v>49.88</v>
      </c>
      <c r="G55" s="4" t="n">
        <v>32.422</v>
      </c>
      <c r="H55" s="4" t="n">
        <v>1</v>
      </c>
      <c r="I55" s="2" t="s">
        <v>167</v>
      </c>
    </row>
    <row r="56" customFormat="false" ht="45.75" hidden="false" customHeight="true" outlineLevel="0" collapsed="false">
      <c r="A56" s="2" t="s">
        <v>194</v>
      </c>
      <c r="B56" s="2" t="s">
        <v>170</v>
      </c>
      <c r="C56" s="2" t="s">
        <v>171</v>
      </c>
      <c r="D56" s="2" t="s">
        <v>165</v>
      </c>
      <c r="E56" s="4" t="n">
        <v>896</v>
      </c>
      <c r="F56" s="4" t="n">
        <v>17.92</v>
      </c>
      <c r="G56" s="4" t="n">
        <v>11.648</v>
      </c>
      <c r="H56" s="4" t="n">
        <v>4</v>
      </c>
      <c r="I56" s="2" t="s">
        <v>173</v>
      </c>
    </row>
    <row r="57" customFormat="false" ht="45.75" hidden="false" customHeight="true" outlineLevel="0" collapsed="false">
      <c r="A57" s="2" t="s">
        <v>194</v>
      </c>
      <c r="B57" s="2" t="s">
        <v>175</v>
      </c>
      <c r="C57" s="2" t="s">
        <v>176</v>
      </c>
      <c r="D57" s="2" t="s">
        <v>165</v>
      </c>
      <c r="E57" s="4" t="n">
        <v>507.4</v>
      </c>
      <c r="F57" s="4" t="n">
        <v>10.148</v>
      </c>
      <c r="G57" s="4" t="n">
        <v>6.5962</v>
      </c>
      <c r="H57" s="4" t="n">
        <v>1</v>
      </c>
      <c r="I57" s="2" t="s">
        <v>87</v>
      </c>
    </row>
    <row r="58" customFormat="false" ht="45.75" hidden="false" customHeight="true" outlineLevel="0" collapsed="false">
      <c r="A58" s="2" t="s">
        <v>194</v>
      </c>
      <c r="B58" s="2" t="s">
        <v>179</v>
      </c>
      <c r="C58" s="2" t="s">
        <v>180</v>
      </c>
      <c r="D58" s="2" t="s">
        <v>165</v>
      </c>
      <c r="E58" s="4" t="n">
        <v>389.4</v>
      </c>
      <c r="F58" s="4" t="n">
        <v>7.788</v>
      </c>
      <c r="G58" s="4" t="n">
        <v>5.0622</v>
      </c>
      <c r="H58" s="4" t="n">
        <v>3</v>
      </c>
      <c r="I58" s="2" t="s">
        <v>182</v>
      </c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&amp;LPlan fuente: regenerar si cambian inputs.&amp;R&amp;P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3" min="1" style="0" width="27.71"/>
  </cols>
  <sheetData>
    <row r="1" customFormat="false" ht="36" hidden="false" customHeight="true" outlineLevel="0" collapsed="false">
      <c r="A1" s="1" t="s">
        <v>347</v>
      </c>
      <c r="B1" s="1" t="s">
        <v>348</v>
      </c>
      <c r="C1" s="1" t="s">
        <v>349</v>
      </c>
      <c r="D1" s="1" t="s">
        <v>350</v>
      </c>
      <c r="E1" s="1" t="s">
        <v>351</v>
      </c>
      <c r="F1" s="1" t="s">
        <v>352</v>
      </c>
      <c r="G1" s="1" t="s">
        <v>353</v>
      </c>
      <c r="H1" s="1" t="s">
        <v>354</v>
      </c>
      <c r="I1" s="1" t="s">
        <v>355</v>
      </c>
      <c r="J1" s="1" t="s">
        <v>356</v>
      </c>
      <c r="K1" s="1" t="s">
        <v>357</v>
      </c>
      <c r="L1" s="1" t="s">
        <v>358</v>
      </c>
      <c r="M1" s="1" t="s">
        <v>359</v>
      </c>
    </row>
    <row r="2" customFormat="false" ht="45.75" hidden="false" customHeight="true" outlineLevel="0" collapsed="false">
      <c r="A2" s="2" t="s">
        <v>167</v>
      </c>
      <c r="B2" s="4" t="n">
        <v>1</v>
      </c>
      <c r="C2" s="2" t="s">
        <v>360</v>
      </c>
      <c r="D2" s="2" t="s">
        <v>361</v>
      </c>
      <c r="E2" s="2" t="s">
        <v>362</v>
      </c>
      <c r="F2" s="2" t="s">
        <v>363</v>
      </c>
      <c r="G2" s="2" t="s">
        <v>364</v>
      </c>
      <c r="H2" s="2" t="s">
        <v>365</v>
      </c>
      <c r="I2" s="2" t="s">
        <v>366</v>
      </c>
      <c r="J2" s="2" t="s">
        <v>163</v>
      </c>
      <c r="K2" s="2" t="s">
        <v>367</v>
      </c>
      <c r="L2" s="4" t="n">
        <v>1</v>
      </c>
      <c r="M2" s="2" t="s">
        <v>368</v>
      </c>
    </row>
    <row r="3" customFormat="false" ht="45.75" hidden="false" customHeight="true" outlineLevel="0" collapsed="false">
      <c r="A3" s="2" t="s">
        <v>104</v>
      </c>
      <c r="B3" s="4" t="n">
        <v>1</v>
      </c>
      <c r="C3" s="2" t="s">
        <v>369</v>
      </c>
      <c r="D3" s="2" t="s">
        <v>370</v>
      </c>
      <c r="E3" s="2" t="s">
        <v>371</v>
      </c>
      <c r="F3" s="2" t="s">
        <v>372</v>
      </c>
      <c r="G3" s="2" t="s">
        <v>364</v>
      </c>
      <c r="H3" s="2" t="s">
        <v>365</v>
      </c>
      <c r="I3" s="2" t="s">
        <v>366</v>
      </c>
      <c r="J3" s="2" t="s">
        <v>373</v>
      </c>
      <c r="K3" s="2" t="s">
        <v>367</v>
      </c>
      <c r="L3" s="4" t="n">
        <v>1</v>
      </c>
      <c r="M3" s="2" t="s">
        <v>368</v>
      </c>
    </row>
    <row r="4" customFormat="false" ht="45.75" hidden="false" customHeight="true" outlineLevel="0" collapsed="false">
      <c r="A4" s="2" t="s">
        <v>374</v>
      </c>
      <c r="B4" s="4" t="n">
        <v>2</v>
      </c>
      <c r="C4" s="2" t="s">
        <v>360</v>
      </c>
      <c r="D4" s="2" t="s">
        <v>375</v>
      </c>
      <c r="E4" s="2" t="s">
        <v>376</v>
      </c>
      <c r="F4" s="2" t="s">
        <v>377</v>
      </c>
      <c r="G4" s="2" t="s">
        <v>364</v>
      </c>
      <c r="H4" s="2" t="s">
        <v>365</v>
      </c>
      <c r="I4" s="2" t="s">
        <v>366</v>
      </c>
      <c r="J4" s="2" t="s">
        <v>378</v>
      </c>
      <c r="K4" s="2" t="s">
        <v>367</v>
      </c>
      <c r="L4" s="4" t="n">
        <v>2</v>
      </c>
      <c r="M4" s="2" t="s">
        <v>368</v>
      </c>
    </row>
    <row r="5" customFormat="false" ht="45.75" hidden="false" customHeight="true" outlineLevel="0" collapsed="false">
      <c r="A5" s="2" t="s">
        <v>379</v>
      </c>
      <c r="B5" s="4" t="n">
        <v>2</v>
      </c>
      <c r="C5" s="2" t="s">
        <v>380</v>
      </c>
      <c r="D5" s="2" t="s">
        <v>381</v>
      </c>
      <c r="E5" s="2" t="s">
        <v>382</v>
      </c>
      <c r="F5" s="2" t="s">
        <v>383</v>
      </c>
      <c r="G5" s="2" t="s">
        <v>364</v>
      </c>
      <c r="H5" s="2" t="s">
        <v>365</v>
      </c>
      <c r="I5" s="2" t="s">
        <v>366</v>
      </c>
      <c r="J5" s="2"/>
      <c r="K5" s="2" t="s">
        <v>384</v>
      </c>
      <c r="L5" s="4" t="n">
        <v>2</v>
      </c>
      <c r="M5" s="2" t="s">
        <v>368</v>
      </c>
    </row>
    <row r="6" customFormat="false" ht="45.75" hidden="false" customHeight="true" outlineLevel="0" collapsed="false">
      <c r="A6" s="2" t="s">
        <v>130</v>
      </c>
      <c r="B6" s="4" t="n">
        <v>3</v>
      </c>
      <c r="C6" s="2" t="s">
        <v>385</v>
      </c>
      <c r="D6" s="2" t="s">
        <v>386</v>
      </c>
      <c r="E6" s="2" t="s">
        <v>387</v>
      </c>
      <c r="F6" s="2" t="s">
        <v>388</v>
      </c>
      <c r="G6" s="2" t="s">
        <v>364</v>
      </c>
      <c r="H6" s="2" t="s">
        <v>365</v>
      </c>
      <c r="I6" s="2" t="s">
        <v>366</v>
      </c>
      <c r="J6" s="2" t="s">
        <v>389</v>
      </c>
      <c r="K6" s="2" t="s">
        <v>367</v>
      </c>
      <c r="L6" s="4" t="n">
        <v>3</v>
      </c>
      <c r="M6" s="2" t="s">
        <v>368</v>
      </c>
    </row>
    <row r="7" customFormat="false" ht="45.75" hidden="false" customHeight="true" outlineLevel="0" collapsed="false">
      <c r="A7" s="2" t="s">
        <v>182</v>
      </c>
      <c r="B7" s="4" t="n">
        <v>3</v>
      </c>
      <c r="C7" s="2" t="s">
        <v>390</v>
      </c>
      <c r="D7" s="2" t="s">
        <v>391</v>
      </c>
      <c r="E7" s="2" t="s">
        <v>362</v>
      </c>
      <c r="F7" s="2" t="s">
        <v>87</v>
      </c>
      <c r="G7" s="2" t="s">
        <v>364</v>
      </c>
      <c r="H7" s="2" t="s">
        <v>365</v>
      </c>
      <c r="I7" s="2" t="s">
        <v>366</v>
      </c>
      <c r="J7" s="2" t="s">
        <v>179</v>
      </c>
      <c r="K7" s="2" t="s">
        <v>367</v>
      </c>
      <c r="L7" s="4" t="n">
        <v>5</v>
      </c>
      <c r="M7" s="2" t="s">
        <v>368</v>
      </c>
    </row>
    <row r="8" customFormat="false" ht="45.75" hidden="false" customHeight="true" outlineLevel="0" collapsed="false">
      <c r="A8" s="2" t="s">
        <v>392</v>
      </c>
      <c r="B8" s="4" t="n">
        <v>4</v>
      </c>
      <c r="C8" s="2" t="s">
        <v>385</v>
      </c>
      <c r="D8" s="2" t="s">
        <v>393</v>
      </c>
      <c r="E8" s="2" t="s">
        <v>387</v>
      </c>
      <c r="F8" s="2" t="s">
        <v>394</v>
      </c>
      <c r="G8" s="2" t="s">
        <v>364</v>
      </c>
      <c r="H8" s="2" t="s">
        <v>365</v>
      </c>
      <c r="I8" s="2" t="s">
        <v>366</v>
      </c>
      <c r="J8" s="2"/>
      <c r="K8" s="2" t="s">
        <v>384</v>
      </c>
      <c r="L8" s="4" t="n">
        <v>7</v>
      </c>
      <c r="M8" s="2" t="s">
        <v>368</v>
      </c>
    </row>
    <row r="9" customFormat="false" ht="45.75" hidden="false" customHeight="true" outlineLevel="0" collapsed="false">
      <c r="A9" s="2" t="s">
        <v>173</v>
      </c>
      <c r="B9" s="4" t="n">
        <v>4</v>
      </c>
      <c r="C9" s="2" t="s">
        <v>395</v>
      </c>
      <c r="D9" s="2" t="s">
        <v>396</v>
      </c>
      <c r="E9" s="2" t="s">
        <v>397</v>
      </c>
      <c r="F9" s="2" t="s">
        <v>398</v>
      </c>
      <c r="G9" s="2" t="s">
        <v>364</v>
      </c>
      <c r="H9" s="2" t="s">
        <v>365</v>
      </c>
      <c r="I9" s="2" t="s">
        <v>366</v>
      </c>
      <c r="J9" s="2" t="s">
        <v>170</v>
      </c>
      <c r="K9" s="2" t="s">
        <v>367</v>
      </c>
      <c r="L9" s="4" t="n">
        <v>4</v>
      </c>
      <c r="M9" s="2" t="s">
        <v>368</v>
      </c>
    </row>
    <row r="10" customFormat="false" ht="45.75" hidden="false" customHeight="true" outlineLevel="0" collapsed="false">
      <c r="A10" s="2" t="s">
        <v>399</v>
      </c>
      <c r="B10" s="4" t="n">
        <v>5</v>
      </c>
      <c r="C10" s="2" t="s">
        <v>360</v>
      </c>
      <c r="D10" s="2" t="s">
        <v>400</v>
      </c>
      <c r="E10" s="2" t="s">
        <v>387</v>
      </c>
      <c r="F10" s="2" t="s">
        <v>377</v>
      </c>
      <c r="G10" s="2" t="s">
        <v>364</v>
      </c>
      <c r="H10" s="2" t="s">
        <v>365</v>
      </c>
      <c r="I10" s="2" t="s">
        <v>366</v>
      </c>
      <c r="J10" s="2"/>
      <c r="K10" s="2" t="s">
        <v>384</v>
      </c>
      <c r="L10" s="4" t="n">
        <v>6</v>
      </c>
      <c r="M10" s="2" t="s">
        <v>368</v>
      </c>
    </row>
    <row r="11" customFormat="false" ht="45.75" hidden="false" customHeight="true" outlineLevel="0" collapsed="false">
      <c r="A11" s="2" t="s">
        <v>146</v>
      </c>
      <c r="B11" s="4" t="n">
        <v>5</v>
      </c>
      <c r="C11" s="2" t="s">
        <v>385</v>
      </c>
      <c r="D11" s="2" t="s">
        <v>401</v>
      </c>
      <c r="E11" s="2" t="s">
        <v>387</v>
      </c>
      <c r="F11" s="2" t="s">
        <v>388</v>
      </c>
      <c r="G11" s="2" t="s">
        <v>364</v>
      </c>
      <c r="H11" s="2" t="s">
        <v>402</v>
      </c>
      <c r="I11" s="2" t="s">
        <v>366</v>
      </c>
      <c r="J11" s="2" t="s">
        <v>143</v>
      </c>
      <c r="K11" s="2" t="s">
        <v>367</v>
      </c>
      <c r="L11" s="4" t="n">
        <v>3</v>
      </c>
      <c r="M11" s="2" t="s">
        <v>368</v>
      </c>
    </row>
    <row r="12" customFormat="false" ht="45.75" hidden="false" customHeight="true" outlineLevel="0" collapsed="false">
      <c r="A12" s="2" t="s">
        <v>403</v>
      </c>
      <c r="B12" s="4" t="n">
        <v>6</v>
      </c>
      <c r="C12" s="2" t="s">
        <v>390</v>
      </c>
      <c r="D12" s="2" t="s">
        <v>404</v>
      </c>
      <c r="E12" s="2" t="s">
        <v>376</v>
      </c>
      <c r="F12" s="2" t="s">
        <v>405</v>
      </c>
      <c r="G12" s="2" t="s">
        <v>364</v>
      </c>
      <c r="H12" s="2" t="s">
        <v>365</v>
      </c>
      <c r="I12" s="2" t="s">
        <v>366</v>
      </c>
      <c r="J12" s="2"/>
      <c r="K12" s="2" t="s">
        <v>384</v>
      </c>
      <c r="L12" s="4" t="n">
        <v>8</v>
      </c>
      <c r="M12" s="2" t="s">
        <v>368</v>
      </c>
    </row>
    <row r="13" customFormat="false" ht="45.75" hidden="false" customHeight="true" outlineLevel="0" collapsed="false">
      <c r="A13" s="2" t="s">
        <v>151</v>
      </c>
      <c r="B13" s="4" t="n">
        <v>6</v>
      </c>
      <c r="C13" s="2" t="s">
        <v>385</v>
      </c>
      <c r="D13" s="2" t="s">
        <v>406</v>
      </c>
      <c r="E13" s="2" t="s">
        <v>387</v>
      </c>
      <c r="F13" s="2" t="s">
        <v>388</v>
      </c>
      <c r="G13" s="2" t="s">
        <v>364</v>
      </c>
      <c r="H13" s="2" t="s">
        <v>402</v>
      </c>
      <c r="I13" s="2" t="s">
        <v>366</v>
      </c>
      <c r="J13" s="2" t="s">
        <v>407</v>
      </c>
      <c r="K13" s="2" t="s">
        <v>367</v>
      </c>
      <c r="L13" s="4" t="n">
        <v>5</v>
      </c>
      <c r="M13" s="2" t="s">
        <v>368</v>
      </c>
    </row>
    <row r="14" customFormat="false" ht="45.75" hidden="false" customHeight="true" outlineLevel="0" collapsed="false">
      <c r="A14" s="2" t="s">
        <v>140</v>
      </c>
      <c r="B14" s="4" t="n">
        <v>7</v>
      </c>
      <c r="C14" s="2" t="s">
        <v>385</v>
      </c>
      <c r="D14" s="2" t="s">
        <v>408</v>
      </c>
      <c r="E14" s="2" t="s">
        <v>387</v>
      </c>
      <c r="F14" s="2" t="s">
        <v>388</v>
      </c>
      <c r="G14" s="2" t="s">
        <v>364</v>
      </c>
      <c r="H14" s="2" t="s">
        <v>402</v>
      </c>
      <c r="I14" s="2" t="s">
        <v>366</v>
      </c>
      <c r="J14" s="2" t="s">
        <v>136</v>
      </c>
      <c r="K14" s="2" t="s">
        <v>367</v>
      </c>
      <c r="L14" s="4" t="n">
        <v>4</v>
      </c>
      <c r="M14" s="2" t="s">
        <v>368</v>
      </c>
    </row>
    <row r="15" customFormat="false" ht="45.75" hidden="false" customHeight="true" outlineLevel="0" collapsed="false">
      <c r="A15" s="2" t="s">
        <v>409</v>
      </c>
      <c r="B15" s="4" t="n">
        <v>7</v>
      </c>
      <c r="C15" s="2" t="s">
        <v>369</v>
      </c>
      <c r="D15" s="2" t="s">
        <v>410</v>
      </c>
      <c r="E15" s="2" t="s">
        <v>382</v>
      </c>
      <c r="F15" s="2" t="s">
        <v>411</v>
      </c>
      <c r="G15" s="2" t="s">
        <v>364</v>
      </c>
      <c r="H15" s="2" t="s">
        <v>365</v>
      </c>
      <c r="I15" s="2" t="s">
        <v>366</v>
      </c>
      <c r="J15" s="2"/>
      <c r="K15" s="2" t="s">
        <v>384</v>
      </c>
      <c r="L15" s="4" t="n">
        <v>7</v>
      </c>
      <c r="M15" s="2" t="s">
        <v>368</v>
      </c>
    </row>
    <row r="16" customFormat="false" ht="45.75" hidden="false" customHeight="true" outlineLevel="0" collapsed="false">
      <c r="A16" s="2" t="s">
        <v>412</v>
      </c>
      <c r="B16" s="4" t="n">
        <v>8</v>
      </c>
      <c r="C16" s="2" t="s">
        <v>390</v>
      </c>
      <c r="D16" s="2" t="s">
        <v>413</v>
      </c>
      <c r="E16" s="2" t="s">
        <v>376</v>
      </c>
      <c r="F16" s="2" t="s">
        <v>405</v>
      </c>
      <c r="G16" s="2" t="s">
        <v>364</v>
      </c>
      <c r="H16" s="2" t="s">
        <v>365</v>
      </c>
      <c r="I16" s="2" t="s">
        <v>366</v>
      </c>
      <c r="J16" s="2"/>
      <c r="K16" s="2" t="s">
        <v>384</v>
      </c>
      <c r="L16" s="4" t="n">
        <v>8</v>
      </c>
      <c r="M16" s="2" t="s">
        <v>368</v>
      </c>
    </row>
    <row r="17" customFormat="false" ht="45.75" hidden="false" customHeight="true" outlineLevel="0" collapsed="false">
      <c r="A17" s="2" t="s">
        <v>161</v>
      </c>
      <c r="B17" s="4" t="n">
        <v>8</v>
      </c>
      <c r="C17" s="2" t="s">
        <v>385</v>
      </c>
      <c r="D17" s="2" t="s">
        <v>414</v>
      </c>
      <c r="E17" s="2" t="s">
        <v>387</v>
      </c>
      <c r="F17" s="2" t="s">
        <v>388</v>
      </c>
      <c r="G17" s="2" t="s">
        <v>364</v>
      </c>
      <c r="H17" s="2" t="s">
        <v>402</v>
      </c>
      <c r="I17" s="2" t="s">
        <v>366</v>
      </c>
      <c r="J17" s="2" t="s">
        <v>158</v>
      </c>
      <c r="K17" s="2" t="s">
        <v>367</v>
      </c>
      <c r="L17" s="4" t="n">
        <v>6</v>
      </c>
      <c r="M17" s="2" t="s">
        <v>368</v>
      </c>
    </row>
    <row r="18" customFormat="false" ht="45.75" hidden="false" customHeight="true" outlineLevel="0" collapsed="false">
      <c r="A18" s="2" t="s">
        <v>415</v>
      </c>
      <c r="B18" s="4" t="n">
        <v>9</v>
      </c>
      <c r="C18" s="2" t="s">
        <v>390</v>
      </c>
      <c r="D18" s="2" t="s">
        <v>416</v>
      </c>
      <c r="E18" s="2" t="s">
        <v>387</v>
      </c>
      <c r="F18" s="2" t="s">
        <v>417</v>
      </c>
      <c r="G18" s="2" t="s">
        <v>364</v>
      </c>
      <c r="H18" s="2" t="s">
        <v>365</v>
      </c>
      <c r="I18" s="2" t="s">
        <v>366</v>
      </c>
      <c r="J18" s="2"/>
      <c r="K18" s="2" t="s">
        <v>384</v>
      </c>
      <c r="L18" s="4" t="n">
        <v>9</v>
      </c>
      <c r="M18" s="2" t="s">
        <v>368</v>
      </c>
    </row>
    <row r="19" customFormat="false" ht="45.75" hidden="false" customHeight="true" outlineLevel="0" collapsed="false">
      <c r="A19" s="2" t="s">
        <v>418</v>
      </c>
      <c r="B19" s="4" t="n">
        <v>9</v>
      </c>
      <c r="C19" s="2" t="s">
        <v>380</v>
      </c>
      <c r="D19" s="2" t="s">
        <v>419</v>
      </c>
      <c r="E19" s="2" t="s">
        <v>382</v>
      </c>
      <c r="F19" s="2" t="s">
        <v>420</v>
      </c>
      <c r="G19" s="2" t="s">
        <v>364</v>
      </c>
      <c r="H19" s="2" t="s">
        <v>365</v>
      </c>
      <c r="I19" s="2" t="s">
        <v>366</v>
      </c>
      <c r="J19" s="2"/>
      <c r="K19" s="2" t="s">
        <v>384</v>
      </c>
      <c r="L19" s="4" t="n">
        <v>9</v>
      </c>
      <c r="M19" s="2" t="s">
        <v>368</v>
      </c>
    </row>
    <row r="20" customFormat="false" ht="45.75" hidden="false" customHeight="true" outlineLevel="0" collapsed="false">
      <c r="A20" s="2" t="s">
        <v>421</v>
      </c>
      <c r="B20" s="4" t="n">
        <v>10</v>
      </c>
      <c r="C20" s="2" t="s">
        <v>395</v>
      </c>
      <c r="D20" s="2" t="s">
        <v>422</v>
      </c>
      <c r="E20" s="2" t="s">
        <v>397</v>
      </c>
      <c r="F20" s="2" t="s">
        <v>423</v>
      </c>
      <c r="G20" s="2" t="s">
        <v>364</v>
      </c>
      <c r="H20" s="2" t="s">
        <v>365</v>
      </c>
      <c r="I20" s="2" t="s">
        <v>366</v>
      </c>
      <c r="J20" s="2"/>
      <c r="K20" s="2" t="s">
        <v>384</v>
      </c>
      <c r="L20" s="4" t="n">
        <v>10</v>
      </c>
      <c r="M20" s="2" t="s">
        <v>368</v>
      </c>
    </row>
    <row r="21" customFormat="false" ht="45.75" hidden="false" customHeight="true" outlineLevel="0" collapsed="false">
      <c r="A21" s="2" t="s">
        <v>424</v>
      </c>
      <c r="B21" s="4" t="n">
        <v>10</v>
      </c>
      <c r="C21" s="2" t="s">
        <v>360</v>
      </c>
      <c r="D21" s="2" t="s">
        <v>425</v>
      </c>
      <c r="E21" s="2" t="s">
        <v>397</v>
      </c>
      <c r="F21" s="2" t="s">
        <v>426</v>
      </c>
      <c r="G21" s="2" t="s">
        <v>364</v>
      </c>
      <c r="H21" s="2" t="s">
        <v>365</v>
      </c>
      <c r="I21" s="2" t="s">
        <v>366</v>
      </c>
      <c r="J21" s="2"/>
      <c r="K21" s="2" t="s">
        <v>384</v>
      </c>
      <c r="L21" s="4" t="n">
        <v>10</v>
      </c>
      <c r="M21" s="2" t="s">
        <v>368</v>
      </c>
    </row>
    <row r="22" customFormat="false" ht="45.75" hidden="false" customHeight="true" outlineLevel="0" collapsed="false">
      <c r="A22" s="2" t="s">
        <v>427</v>
      </c>
      <c r="B22" s="4" t="n">
        <v>11</v>
      </c>
      <c r="C22" s="2" t="s">
        <v>385</v>
      </c>
      <c r="D22" s="2" t="s">
        <v>428</v>
      </c>
      <c r="E22" s="2" t="s">
        <v>387</v>
      </c>
      <c r="F22" s="2" t="s">
        <v>388</v>
      </c>
      <c r="G22" s="2" t="s">
        <v>364</v>
      </c>
      <c r="H22" s="2" t="s">
        <v>365</v>
      </c>
      <c r="I22" s="2" t="s">
        <v>366</v>
      </c>
      <c r="J22" s="2"/>
      <c r="K22" s="2" t="s">
        <v>384</v>
      </c>
      <c r="L22" s="4" t="n">
        <v>11</v>
      </c>
      <c r="M22" s="2" t="s">
        <v>368</v>
      </c>
    </row>
    <row r="23" customFormat="false" ht="45.75" hidden="false" customHeight="true" outlineLevel="0" collapsed="false">
      <c r="A23" s="2" t="s">
        <v>429</v>
      </c>
      <c r="B23" s="4" t="n">
        <v>11</v>
      </c>
      <c r="C23" s="2" t="s">
        <v>390</v>
      </c>
      <c r="D23" s="2" t="s">
        <v>430</v>
      </c>
      <c r="E23" s="2" t="s">
        <v>376</v>
      </c>
      <c r="F23" s="2" t="s">
        <v>405</v>
      </c>
      <c r="G23" s="2" t="s">
        <v>364</v>
      </c>
      <c r="H23" s="2" t="s">
        <v>365</v>
      </c>
      <c r="I23" s="2" t="s">
        <v>366</v>
      </c>
      <c r="J23" s="2"/>
      <c r="K23" s="2" t="s">
        <v>384</v>
      </c>
      <c r="L23" s="4" t="n">
        <v>11</v>
      </c>
      <c r="M23" s="2" t="s">
        <v>368</v>
      </c>
    </row>
    <row r="24" customFormat="false" ht="45.75" hidden="false" customHeight="true" outlineLevel="0" collapsed="false">
      <c r="A24" s="2" t="s">
        <v>431</v>
      </c>
      <c r="B24" s="4" t="n">
        <v>12</v>
      </c>
      <c r="C24" s="2" t="s">
        <v>369</v>
      </c>
      <c r="D24" s="2" t="s">
        <v>432</v>
      </c>
      <c r="E24" s="2" t="s">
        <v>371</v>
      </c>
      <c r="F24" s="2" t="s">
        <v>372</v>
      </c>
      <c r="G24" s="2" t="s">
        <v>364</v>
      </c>
      <c r="H24" s="2" t="s">
        <v>365</v>
      </c>
      <c r="I24" s="2" t="s">
        <v>366</v>
      </c>
      <c r="J24" s="2"/>
      <c r="K24" s="2" t="s">
        <v>384</v>
      </c>
      <c r="L24" s="4" t="n">
        <v>12</v>
      </c>
      <c r="M24" s="2" t="s">
        <v>368</v>
      </c>
    </row>
    <row r="25" customFormat="false" ht="45.75" hidden="false" customHeight="true" outlineLevel="0" collapsed="false">
      <c r="A25" s="2" t="s">
        <v>433</v>
      </c>
      <c r="B25" s="4" t="n">
        <v>12</v>
      </c>
      <c r="C25" s="2" t="s">
        <v>380</v>
      </c>
      <c r="D25" s="2" t="s">
        <v>434</v>
      </c>
      <c r="E25" s="2" t="s">
        <v>382</v>
      </c>
      <c r="F25" s="2" t="s">
        <v>435</v>
      </c>
      <c r="G25" s="2" t="s">
        <v>364</v>
      </c>
      <c r="H25" s="2" t="s">
        <v>365</v>
      </c>
      <c r="I25" s="2" t="s">
        <v>366</v>
      </c>
      <c r="J25" s="2"/>
      <c r="K25" s="2" t="s">
        <v>384</v>
      </c>
      <c r="L25" s="4" t="n">
        <v>12</v>
      </c>
      <c r="M25" s="2" t="s">
        <v>368</v>
      </c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&amp;LPlan fuente: regenerar si cambian inputs.&amp;R&amp;P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27.71"/>
  </cols>
  <sheetData>
    <row r="1" customFormat="false" ht="36" hidden="false" customHeight="true" outlineLevel="0" collapsed="false">
      <c r="A1" s="1" t="s">
        <v>338</v>
      </c>
      <c r="B1" s="1" t="s">
        <v>436</v>
      </c>
      <c r="C1" s="1" t="s">
        <v>437</v>
      </c>
      <c r="D1" s="1" t="s">
        <v>438</v>
      </c>
      <c r="E1" s="1" t="s">
        <v>439</v>
      </c>
      <c r="F1" s="1" t="s">
        <v>328</v>
      </c>
    </row>
    <row r="2" customFormat="false" ht="45.75" hidden="false" customHeight="true" outlineLevel="0" collapsed="false">
      <c r="A2" s="2" t="s">
        <v>192</v>
      </c>
      <c r="B2" s="4" t="n">
        <v>2993.2</v>
      </c>
      <c r="C2" s="4" t="n">
        <v>3743.2</v>
      </c>
      <c r="D2" s="4" t="n">
        <v>750.000000000002</v>
      </c>
      <c r="E2" s="4" t="n">
        <v>9.75000000000003</v>
      </c>
      <c r="F2" s="2" t="s">
        <v>440</v>
      </c>
    </row>
    <row r="3" customFormat="false" ht="45.75" hidden="false" customHeight="true" outlineLevel="0" collapsed="false">
      <c r="A3" s="2" t="s">
        <v>193</v>
      </c>
      <c r="B3" s="4" t="n">
        <v>7483</v>
      </c>
      <c r="C3" s="4" t="n">
        <v>9358</v>
      </c>
      <c r="D3" s="4" t="n">
        <v>1875</v>
      </c>
      <c r="E3" s="4" t="n">
        <v>24.375</v>
      </c>
      <c r="F3" s="2" t="s">
        <v>440</v>
      </c>
    </row>
    <row r="4" customFormat="false" ht="45.75" hidden="false" customHeight="true" outlineLevel="0" collapsed="false">
      <c r="A4" s="2" t="s">
        <v>194</v>
      </c>
      <c r="B4" s="4" t="n">
        <v>14966</v>
      </c>
      <c r="C4" s="4" t="n">
        <v>18716</v>
      </c>
      <c r="D4" s="4" t="n">
        <v>3750</v>
      </c>
      <c r="E4" s="4" t="n">
        <v>48.75</v>
      </c>
      <c r="F4" s="2" t="s">
        <v>440</v>
      </c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&amp;LPlan fuente: regenerar si cambian inputs.&amp;R&amp;P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.71"/>
    <col collapsed="false" customWidth="true" hidden="false" outlineLevel="0" max="2" min="2" style="0" width="75.71"/>
  </cols>
  <sheetData>
    <row r="1" customFormat="false" ht="36" hidden="false" customHeight="true" outlineLevel="0" collapsed="false">
      <c r="A1" s="1" t="s">
        <v>441</v>
      </c>
      <c r="B1" s="1" t="s">
        <v>442</v>
      </c>
    </row>
    <row r="2" customFormat="false" ht="48" hidden="false" customHeight="true" outlineLevel="0" collapsed="false">
      <c r="A2" s="2" t="s">
        <v>443</v>
      </c>
      <c r="B2" s="2" t="s">
        <v>444</v>
      </c>
    </row>
    <row r="3" customFormat="false" ht="48" hidden="false" customHeight="true" outlineLevel="0" collapsed="false">
      <c r="A3" s="2" t="s">
        <v>445</v>
      </c>
      <c r="B3" s="2" t="s">
        <v>446</v>
      </c>
    </row>
    <row r="4" customFormat="false" ht="48" hidden="false" customHeight="true" outlineLevel="0" collapsed="false">
      <c r="A4" s="2" t="s">
        <v>447</v>
      </c>
      <c r="B4" s="2" t="s">
        <v>448</v>
      </c>
    </row>
    <row r="5" customFormat="false" ht="48" hidden="false" customHeight="true" outlineLevel="0" collapsed="false">
      <c r="A5" s="2" t="s">
        <v>449</v>
      </c>
      <c r="B5" s="2" t="s">
        <v>450</v>
      </c>
    </row>
    <row r="6" customFormat="false" ht="48" hidden="false" customHeight="true" outlineLevel="0" collapsed="false">
      <c r="A6" s="2" t="s">
        <v>451</v>
      </c>
      <c r="B6" s="2" t="s">
        <v>452</v>
      </c>
    </row>
    <row r="7" customFormat="false" ht="48" hidden="false" customHeight="true" outlineLevel="0" collapsed="false">
      <c r="A7" s="2" t="s">
        <v>453</v>
      </c>
      <c r="B7" s="2" t="s">
        <v>454</v>
      </c>
    </row>
    <row r="8" customFormat="false" ht="48" hidden="false" customHeight="true" outlineLevel="0" collapsed="false">
      <c r="A8" s="2" t="s">
        <v>455</v>
      </c>
      <c r="B8" s="2" t="s">
        <v>456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2026-10-07T12:12:47Z</dcterms:created>
  <dc:creator>Efeonce</dc:creator>
  <dc:description>Anexo interno. Fuentes y embudo original preservados. Supuestos nuevos editables.</dc:description>
  <dc:language>es-ES</dc:language>
  <cp:lastModifiedBy>Efeonce</cp:lastModifiedBy>
  <dcterms:modified xsi:type="dcterms:W3CDTF">2026-10-07T12:12:47Z</dcterms:modified>
  <cp:revision>0</cp:revision>
  <dc:subject/>
  <dc:title>Pibank · conexión demanda, ejecución y costo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