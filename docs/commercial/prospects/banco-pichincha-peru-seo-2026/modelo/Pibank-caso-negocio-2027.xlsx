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sumen" sheetId="1" state="visible" r:id="rId3"/>
    <sheet name="Supuestos" sheetId="2" state="visible" r:id="rId4"/>
    <sheet name="Mensual" sheetId="3" state="visible" r:id="rId5"/>
    <sheet name="Cohortes" sheetId="4" state="visible" r:id="rId6"/>
    <sheet name="Sensibilidad" sheetId="5" state="visible" r:id="rId7"/>
    <sheet name="Fuentes" sheetId="6" state="visible" r:id="rId8"/>
    <sheet name="Demanda" sheetId="7" state="visible" r:id="rId9"/>
  </sheets>
  <definedNames>
    <definedName function="false" hidden="false" localSheetId="3" name="_xlnm.Print_Area" vbProcedure="false">Cohortes!$C$1:$P$34</definedName>
    <definedName function="false" hidden="false" localSheetId="6" name="_xlnm.Print_Area" vbProcedure="false">Demanda!$C$1:$K$28</definedName>
    <definedName function="false" hidden="false" localSheetId="5" name="_xlnm.Print_Area" vbProcedure="false">Fuentes!$C$1:$H$35</definedName>
    <definedName function="false" hidden="false" localSheetId="2" name="_xlnm.Print_Area" vbProcedure="false">Mensual!$C$1:$K$37</definedName>
    <definedName function="false" hidden="false" localSheetId="0" name="_xlnm.Print_Area" vbProcedure="false">Resumen!$C$1:$K$38</definedName>
    <definedName function="false" hidden="false" localSheetId="4" name="_xlnm.Print_Area" vbProcedure="false">Sensibilidad!$C$1:$K$55</definedName>
    <definedName function="false" hidden="false" localSheetId="1" name="_xlnm.Print_Area" vbProcedure="false">Supuestos!$C$1:$K$73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<sst xmlns="http://schemas.openxmlformats.org/spreadsheetml/2006/main" count="340" uniqueCount="246">
  <si>
    <t xml:space="preserve">Pibank: caso de captación 2027</t>
  </si>
  <si>
    <t xml:space="preserve">Escenario seleccionado</t>
  </si>
  <si>
    <t xml:space="preserve">ILUSTRACIÓN CONDICIONADA. Preparación interna. No es forecast aprobado ni compromiso de aperturas.</t>
  </si>
  <si>
    <t xml:space="preserve">Resultado de seis meses</t>
  </si>
  <si>
    <t xml:space="preserve">Caso activo</t>
  </si>
  <si>
    <t xml:space="preserve">Unidad</t>
  </si>
  <si>
    <t xml:space="preserve">Visitas adicionales</t>
  </si>
  <si>
    <t xml:space="preserve">visitas</t>
  </si>
  <si>
    <t xml:space="preserve">Aperturas incrementales</t>
  </si>
  <si>
    <t xml:space="preserve">cuentas</t>
  </si>
  <si>
    <t xml:space="preserve">Primer fondeo incremental</t>
  </si>
  <si>
    <t xml:space="preserve">Entrada inicial bruta USD equivalente</t>
  </si>
  <si>
    <t xml:space="preserve">USD eq.</t>
  </si>
  <si>
    <t xml:space="preserve">Saldo incremental al cierre</t>
  </si>
  <si>
    <t xml:space="preserve">Saldo externo incremental al cierre</t>
  </si>
  <si>
    <t xml:space="preserve">Escala / meta cuentas provisional</t>
  </si>
  <si>
    <t xml:space="preserve">%</t>
  </si>
  <si>
    <t xml:space="preserve">Costo completo programa</t>
  </si>
  <si>
    <t xml:space="preserve">USD</t>
  </si>
  <si>
    <t xml:space="preserve">Costo / fondeada incremental</t>
  </si>
  <si>
    <t xml:space="preserve">Valor mínimo / fondeada para equilibrio</t>
  </si>
  <si>
    <t xml:space="preserve">USD en 6m</t>
  </si>
  <si>
    <t xml:space="preserve">ROI seis meses</t>
  </si>
  <si>
    <t xml:space="preserve">Payback dentro de seis meses</t>
  </si>
  <si>
    <t xml:space="preserve">mes</t>
  </si>
  <si>
    <t xml:space="preserve">ROI y payback N/D hasta Finance, valor económico y costos completos validados. Saldo no es revenue.</t>
  </si>
  <si>
    <t xml:space="preserve">Mes</t>
  </si>
  <si>
    <t xml:space="preserve">Visitas extra</t>
  </si>
  <si>
    <t xml:space="preserve">Fondeadas extra</t>
  </si>
  <si>
    <t xml:space="preserve">Saldo cierre USD eq.</t>
  </si>
  <si>
    <t xml:space="preserve">Saldo externo USD eq.</t>
  </si>
  <si>
    <t xml:space="preserve">Inicio enero 2027 y seis meses son calendario de prueba. Meta USD inferida; moneda y periodo sin confirmación.</t>
  </si>
  <si>
    <t xml:space="preserve">Producto público Soles. USD es equivalencia aritmética; no supone cuenta en dólares ni tipo de cambio.</t>
  </si>
  <si>
    <t xml:space="preserve">Demanda 3.900 es proxy histórico, no forecast 2027. Relevancia 75%, referencia, captura y embudo son ilustrativos.</t>
  </si>
  <si>
    <t xml:space="preserve">Cambiar selector en Supuestos D4 para recalcular Conservador/Base/Favorable con el mismo build.</t>
  </si>
  <si>
    <t xml:space="preserve">Inputs editables y escenarios</t>
  </si>
  <si>
    <t xml:space="preserve">Selector escenario (1 / 2 / 3)</t>
  </si>
  <si>
    <t xml:space="preserve">Nombre activo</t>
  </si>
  <si>
    <t xml:space="preserve">1 Conservador, 2 Base, 3 Favorable. Los nombres distinguen pruebas ilustrativas, no probabilidades.</t>
  </si>
  <si>
    <t xml:space="preserve">Meta cuentas provisional</t>
  </si>
  <si>
    <t xml:space="preserve">Meta USD provisional</t>
  </si>
  <si>
    <t xml:space="preserve">Ticket USD equivalente provisional</t>
  </si>
  <si>
    <t xml:space="preserve">Inicio ilustrativo</t>
  </si>
  <si>
    <t xml:space="preserve">Meta USD inferida de 15.200 × US$2.500. Moneda y periodo de la meta no confirmados.</t>
  </si>
  <si>
    <t xml:space="preserve">Factor relevancia/eligibilidad ilustrativo</t>
  </si>
  <si>
    <t xml:space="preserve">Finance validó contribución neta</t>
  </si>
  <si>
    <t xml:space="preserve">No</t>
  </si>
  <si>
    <t xml:space="preserve">Contribución neta anual / USD externo</t>
  </si>
  <si>
    <t xml:space="preserve">Costos validados</t>
  </si>
  <si>
    <t xml:space="preserve">Capacidad con reserva (horas)</t>
  </si>
  <si>
    <t xml:space="preserve">Inversión cliente USD / mes (pendiente)</t>
  </si>
  <si>
    <t xml:space="preserve">Inversión seis meses, si completa</t>
  </si>
  <si>
    <t xml:space="preserve">Costo interno Efeonce USD (pendiente)</t>
  </si>
  <si>
    <t xml:space="preserve">Captura adicional de demanda activo</t>
  </si>
  <si>
    <t xml:space="preserve">Conservador</t>
  </si>
  <si>
    <t xml:space="preserve">Base</t>
  </si>
  <si>
    <t xml:space="preserve">Favorable</t>
  </si>
  <si>
    <t xml:space="preserve">Captura referencia sin programa activo</t>
  </si>
  <si>
    <t xml:space="preserve">Visita a apertura completada activo</t>
  </si>
  <si>
    <t xml:space="preserve">Apertura a primer fondeo activo</t>
  </si>
  <si>
    <t xml:space="preserve">Demanda mensual (búsquedas, no personas) activo</t>
  </si>
  <si>
    <t xml:space="preserve">Saldo relativo a 30 días activo</t>
  </si>
  <si>
    <t xml:space="preserve">Saldo relativo a 60 días activo</t>
  </si>
  <si>
    <t xml:space="preserve">Saldo relativo a 90 días y después activo</t>
  </si>
  <si>
    <t xml:space="preserve">Proporción externa del saldo incremental activo</t>
  </si>
  <si>
    <t xml:space="preserve">Amarillo/azul: editable. Verde: vínculo. Negro: cálculo. Demanda proxy histórica; conversión y captura ilustrativas.</t>
  </si>
  <si>
    <t xml:space="preserve">Retención es proporción de saldo por cuenta original, incluye salida de fondos; no multiplicar por abandono otra vez.</t>
  </si>
  <si>
    <t xml:space="preserve">Valor anual neto: UN método Finance que ya descuenta costos del fondeo. No sumar FTP y ahorro duplicados.</t>
  </si>
  <si>
    <t xml:space="preserve">USD representa equivalencia de la meta. La cuenta pública vigente es Soles; no se modela tipo de cambio.</t>
  </si>
  <si>
    <t xml:space="preserve">Enero es calendario ilustrativo; inicio del programa por validar</t>
  </si>
  <si>
    <t xml:space="preserve">Inversión cliente pendiente. No es cero. No fee ni quote aprobado</t>
  </si>
  <si>
    <t xml:space="preserve">Captación incremental: seis meses</t>
  </si>
  <si>
    <t xml:space="preserve">Indicador</t>
  </si>
  <si>
    <t xml:space="preserve">Mes 1</t>
  </si>
  <si>
    <t xml:space="preserve">Mes 2</t>
  </si>
  <si>
    <t xml:space="preserve">Mes 3</t>
  </si>
  <si>
    <t xml:space="preserve">Mes 4</t>
  </si>
  <si>
    <t xml:space="preserve">Mes 5</t>
  </si>
  <si>
    <t xml:space="preserve">Mes 6</t>
  </si>
  <si>
    <t xml:space="preserve">Proxy demanda histórica trasladada</t>
  </si>
  <si>
    <t xml:space="preserve">búsquedas</t>
  </si>
  <si>
    <t xml:space="preserve">Captura referencia</t>
  </si>
  <si>
    <t xml:space="preserve">Captura adicional programa</t>
  </si>
  <si>
    <t xml:space="preserve">Visitas referencia</t>
  </si>
  <si>
    <t xml:space="preserve">Visitas con programa</t>
  </si>
  <si>
    <t xml:space="preserve">Demanda × relevancia ilustrativa</t>
  </si>
  <si>
    <t xml:space="preserve">Visita → apertura</t>
  </si>
  <si>
    <t xml:space="preserve">Aperturas referencia</t>
  </si>
  <si>
    <t xml:space="preserve">Aperturas con programa</t>
  </si>
  <si>
    <t xml:space="preserve">Apertura → fondeo</t>
  </si>
  <si>
    <t xml:space="preserve">Fondeadas referencia</t>
  </si>
  <si>
    <t xml:space="preserve">Fondeadas con programa</t>
  </si>
  <si>
    <t xml:space="preserve">Fondeadas incrementales</t>
  </si>
  <si>
    <t xml:space="preserve">Saldo externo incremental</t>
  </si>
  <si>
    <t xml:space="preserve">Inversión cliente pendiente</t>
  </si>
  <si>
    <t xml:space="preserve">Inversión acumulada</t>
  </si>
  <si>
    <t xml:space="preserve">Contribución neta mensual</t>
  </si>
  <si>
    <t xml:space="preserve">Contribución acumulada</t>
  </si>
  <si>
    <t xml:space="preserve">ROI acumulado</t>
  </si>
  <si>
    <t xml:space="preserve">Valor menos inversión acumulado</t>
  </si>
  <si>
    <t xml:space="preserve">Recuperación alcanzada</t>
  </si>
  <si>
    <t xml:space="preserve">0/1</t>
  </si>
  <si>
    <t xml:space="preserve">Referencia también es ilustrativa. No representa tráfico actual ni pérdidas históricas desde el lanzamiento.</t>
  </si>
  <si>
    <t xml:space="preserve">Contribución valorada sólo sobre saldo externo. Ninguna apertura se atribuye a una cita de IA.</t>
  </si>
  <si>
    <t xml:space="preserve">Saldo de cohortes incrementales</t>
  </si>
  <si>
    <t xml:space="preserve">Cohorte</t>
  </si>
  <si>
    <t xml:space="preserve">Fondeadas inc.</t>
  </si>
  <si>
    <t xml:space="preserve">Ticket USD eq.</t>
  </si>
  <si>
    <t xml:space="preserve">Relativo 30d</t>
  </si>
  <si>
    <t xml:space="preserve">Relativo 60d</t>
  </si>
  <si>
    <t xml:space="preserve">Relativo 90d</t>
  </si>
  <si>
    <t xml:space="preserve">M1</t>
  </si>
  <si>
    <t xml:space="preserve">M2</t>
  </si>
  <si>
    <t xml:space="preserve">M3</t>
  </si>
  <si>
    <t xml:space="preserve">M4</t>
  </si>
  <si>
    <t xml:space="preserve">M5</t>
  </si>
  <si>
    <t xml:space="preserve">M6</t>
  </si>
  <si>
    <t xml:space="preserve">Saldo relativo incluye ceros/retiros por cuenta original. Curva ilustrativa; sin datos bancarios observados.</t>
  </si>
  <si>
    <t xml:space="preserve">Cuentas iniciales</t>
  </si>
  <si>
    <t xml:space="preserve">Saldo a 30 días</t>
  </si>
  <si>
    <t xml:space="preserve">Saldo a 60 días</t>
  </si>
  <si>
    <t xml:space="preserve">Saldo a 90 días</t>
  </si>
  <si>
    <t xml:space="preserve">Fuera 6m</t>
  </si>
  <si>
    <t xml:space="preserve">30/60/90 días son proxies mensuales desde primer fondeo. Los que caen después del semestre figuran Fuera 6m.</t>
  </si>
  <si>
    <t xml:space="preserve">La suma de depósitos iniciales es entrada bruta modelada. El saldo cierre es stock retenido; no se suman stocks.</t>
  </si>
  <si>
    <t xml:space="preserve">Cuentas fraccionarias son expectativas matemáticas. No representan personas reales ni cuentas observadas.</t>
  </si>
  <si>
    <t xml:space="preserve">Sensibilidad y escala requerida</t>
  </si>
  <si>
    <t xml:space="preserve">Banda meta</t>
  </si>
  <si>
    <t xml:space="preserve">Cuentas requeridas</t>
  </si>
  <si>
    <t xml:space="preserve">Visitas necesarias</t>
  </si>
  <si>
    <t xml:space="preserve">Saldo entrada USD eq.</t>
  </si>
  <si>
    <t xml:space="preserve">Bandas de escala: no son compromiso de contribución. Tasas de M1 se usan sólo en este cálculo top-down.</t>
  </si>
  <si>
    <t xml:space="preserve">Sensibilidad: cuentas incrementales con las visitas adicionales del caso activo.</t>
  </si>
  <si>
    <t xml:space="preserve">Apertura / Fondeo</t>
  </si>
  <si>
    <t xml:space="preserve">Retraso meses</t>
  </si>
  <si>
    <t xml:space="preserve">Visitas dentro 6m</t>
  </si>
  <si>
    <t xml:space="preserve">Cuentas fondeadas</t>
  </si>
  <si>
    <t xml:space="preserve">Retraso desplaza la curva y recorta los últimos meses dentro del horizonte. Conversiones M1 constantes en esta prueba.</t>
  </si>
  <si>
    <t xml:space="preserve">Origen externo</t>
  </si>
  <si>
    <t xml:space="preserve">Saldo externo cierre USD eq.</t>
  </si>
  <si>
    <t xml:space="preserve">Retención y ticket se editan en Supuestos y actualizan Cohortes/Resumen. No equivalen a margen o revenue.</t>
  </si>
  <si>
    <t xml:space="preserve">Inversión hipotética USD</t>
  </si>
  <si>
    <t xml:space="preserve">Valor por cuenta para equilibrio</t>
  </si>
  <si>
    <t xml:space="preserve">Naturaleza</t>
  </si>
  <si>
    <t xml:space="preserve">Sensibilidad; no fee</t>
  </si>
  <si>
    <t xml:space="preserve">Esta matriz explora inversión hipotética total. No es cotización ni propuesta de fee. No produce ROI sin Finance.</t>
  </si>
  <si>
    <t xml:space="preserve">75% relevancia/eligibilidad es supuesto de prueba común. Ajustar Supuestos D13 cambia todas las visitas y cohortes.</t>
  </si>
  <si>
    <t xml:space="preserve">Aceptación geo pool amplio</t>
  </si>
  <si>
    <t xml:space="preserve">Demanda adicional / mes</t>
  </si>
  <si>
    <t xml:space="preserve">Fondeadas extra 6m</t>
  </si>
  <si>
    <t xml:space="preserve">Pool alto rendimiento 1.600 excluido de caso activo por SERP geográfica mixta. Esta prueba no lo vuelve elegible.</t>
  </si>
  <si>
    <t xml:space="preserve">Procedencia y límites de inputs</t>
  </si>
  <si>
    <t xml:space="preserve">ID</t>
  </si>
  <si>
    <t xml:space="preserve">Fuente</t>
  </si>
  <si>
    <t xml:space="preserve">Alcance</t>
  </si>
  <si>
    <t xml:space="preserve">Fecha</t>
  </si>
  <si>
    <t xml:space="preserve">Confianza</t>
  </si>
  <si>
    <t xml:space="preserve">CAPACIDAD</t>
  </si>
  <si>
    <t xml:space="preserve">Estimación de planificación</t>
  </si>
  <si>
    <t xml:space="preserve">../propuesta/ALCANCE-Y-COSTEO-INTERNO.md §2</t>
  </si>
  <si>
    <t xml:space="preserve">866h + reserva15%=995,9h. No costo monetario, roster ni fee aprobado</t>
  </si>
  <si>
    <t xml:space="preserve">2026-10-06</t>
  </si>
  <si>
    <t xml:space="preserve">Pendiente Operations/Finance</t>
  </si>
  <si>
    <t xml:space="preserve">META</t>
  </si>
  <si>
    <t xml:space="preserve">Inferencia provisional</t>
  </si>
  <si>
    <t xml:space="preserve">MEETING-2026-10-06.md y conversación del operador</t>
  </si>
  <si>
    <t xml:space="preserve">Meta Pibank referida en reunión; moneda/horizonte/estado de cuenta no confirmados</t>
  </si>
  <si>
    <t xml:space="preserve">Alta aritmética; baja confirmación de meta</t>
  </si>
  <si>
    <t xml:space="preserve">PRODUCTO</t>
  </si>
  <si>
    <t xml:space="preserve">Observación pública</t>
  </si>
  <si>
    <t xml:space="preserve">https://pibank.pe/cuenta-soles-pibank/</t>
  </si>
  <si>
    <t xml:space="preserve">Cuenta Soles, ahorro digital; no valida meta USD ni producto dólares</t>
  </si>
  <si>
    <t xml:space="preserve">Alta para página observada</t>
  </si>
  <si>
    <t xml:space="preserve">IDENTIDAD</t>
  </si>
  <si>
    <t xml:space="preserve">https://pibank.pe/quienes-somos/</t>
  </si>
  <si>
    <t xml:space="preserve">Pibank pertenece a Banco Pichincha Perú</t>
  </si>
  <si>
    <t xml:space="preserve">Alta para identidad declarada</t>
  </si>
  <si>
    <t xml:space="preserve">GOOGLE</t>
  </si>
  <si>
    <t xml:space="preserve">Documentación primaria</t>
  </si>
  <si>
    <t xml:space="preserve">https://developers.google.com/search/docs/appearance/ai-features</t>
  </si>
  <si>
    <t xml:space="preserve">Google: SEO fundamentos; sin requisitos técnicos extras ni aparición garantizada</t>
  </si>
  <si>
    <t xml:space="preserve">Alta para Google únicamente</t>
  </si>
  <si>
    <t xml:space="preserve">SIM</t>
  </si>
  <si>
    <t xml:space="preserve">Ejemplo aritmético</t>
  </si>
  <si>
    <t xml:space="preserve">Diseño del modelo de prueba; inputs.json</t>
  </si>
  <si>
    <t xml:space="preserve">Captura, referencia, apertura, fondeo, retención, origen externo no medidos</t>
  </si>
  <si>
    <t xml:space="preserve">No inferencia empírica</t>
  </si>
  <si>
    <t xml:space="preserve">DEMANDA</t>
  </si>
  <si>
    <t xml:space="preserve">Proxy editorial con estimaciones DataForSEO PE/es, suma MAX de seis grupos. Alto rendimiento1600 excluido por SERP mixta geográfica. Snapshot sept2026/últimos meses agosto; no TAM personas ni forecast2027</t>
  </si>
  <si>
    <t xml:space="preserve">../research/pibank-demand-2026-10-06/demand-inputs.json; keyword_overview/live + keyword_suggestions/live, consultado2026-10-06</t>
  </si>
  <si>
    <t xml:space="preserve">Demanda mensual: cobertura y deduplicación deben corresponder al país/producto</t>
  </si>
  <si>
    <t xml:space="preserve">Provisional hasta validación de dataset</t>
  </si>
  <si>
    <t xml:space="preserve">RELEVANCIA</t>
  </si>
  <si>
    <t xml:space="preserve">Supuesto ilustrativo</t>
  </si>
  <si>
    <t xml:space="preserve">Inputs editables, sin conversión observada</t>
  </si>
  <si>
    <t xml:space="preserve">Factor de prueba 75% no medido sobre3900. Recorta relevancia/elegibilidad y solapamiento restante; sensibilizar, no personas únicas</t>
  </si>
  <si>
    <t xml:space="preserve">VALOR</t>
  </si>
  <si>
    <t xml:space="preserve">Pendiente Finance</t>
  </si>
  <si>
    <t xml:space="preserve">Sin método bancario validado</t>
  </si>
  <si>
    <t xml:space="preserve">Contribución neta anual por USD de saldo externo, método único</t>
  </si>
  <si>
    <t xml:space="preserve">No disponible</t>
  </si>
  <si>
    <t xml:space="preserve">COSTOS</t>
  </si>
  <si>
    <t xml:space="preserve">Pendiente oferta</t>
  </si>
  <si>
    <t xml:space="preserve">Inputs editables, sin quote aprobado</t>
  </si>
  <si>
    <t xml:space="preserve">Inversión cliente pendiente. No es cero. No fee ni quote aprobado Costo interno Efeonce separado, pendiente.</t>
  </si>
  <si>
    <t xml:space="preserve">No inferencia de precio</t>
  </si>
  <si>
    <t xml:space="preserve">Validación: Comercial confirma meta/horizonte; SEO deduplica demanda; banco aporta embudo; Finance valora fondeo.</t>
  </si>
  <si>
    <t xml:space="preserve">Todos los drivers SIM son ejemplos aritméticos. No hay tasas medidas, costos aprobados ni causalidad probada.</t>
  </si>
  <si>
    <t xml:space="preserve">Estimaciones de mercado PE/es: fuente histórica</t>
  </si>
  <si>
    <t xml:space="preserve">Grupo</t>
  </si>
  <si>
    <t xml:space="preserve">Consulta representativa</t>
  </si>
  <si>
    <t xml:space="preserve">Proxy mensual</t>
  </si>
  <si>
    <t xml:space="preserve">Usar</t>
  </si>
  <si>
    <t xml:space="preserve">Incluido</t>
  </si>
  <si>
    <t xml:space="preserve">G01_category</t>
  </si>
  <si>
    <t xml:space="preserve">cuenta de ahorros</t>
  </si>
  <si>
    <t xml:space="preserve">Sí</t>
  </si>
  <si>
    <t xml:space="preserve">G02_high_yield</t>
  </si>
  <si>
    <t xml:space="preserve">cuenta de ahorros de alto rendimiento</t>
  </si>
  <si>
    <t xml:space="preserve">G03_comparison</t>
  </si>
  <si>
    <t xml:space="preserve">mejor cuenta de ahorros peru</t>
  </si>
  <si>
    <t xml:space="preserve">G04_digital</t>
  </si>
  <si>
    <t xml:space="preserve">cuenta de ahorros digital</t>
  </si>
  <si>
    <t xml:space="preserve">G05_opening</t>
  </si>
  <si>
    <t xml:space="preserve">abrir cuenta de ahorros</t>
  </si>
  <si>
    <t xml:space="preserve">G06_no_maintenance</t>
  </si>
  <si>
    <t xml:space="preserve">cuenta de ahorros sin mantenimiento</t>
  </si>
  <si>
    <t xml:space="preserve">G07_interest</t>
  </si>
  <si>
    <t xml:space="preserve">cuenta de ahorros con intereses</t>
  </si>
  <si>
    <t xml:space="preserve">G08_usd_future</t>
  </si>
  <si>
    <t xml:space="preserve">cuenta de ahorros en dolares</t>
  </si>
  <si>
    <t xml:space="preserve">G09_term_substitute</t>
  </si>
  <si>
    <t xml:space="preserve">cuenta de ahorros a plazo fijo</t>
  </si>
  <si>
    <t xml:space="preserve">G10_definition</t>
  </si>
  <si>
    <t xml:space="preserve">cuenta de ahorros que es</t>
  </si>
  <si>
    <t xml:space="preserve">G11_current_vs_savings</t>
  </si>
  <si>
    <t xml:space="preserve">diferencia entre cuenta corriente y cuenta de ahorros</t>
  </si>
  <si>
    <t xml:space="preserve">G12_trust_fsd</t>
  </si>
  <si>
    <t xml:space="preserve">fondo de seguro de depositos</t>
  </si>
  <si>
    <t xml:space="preserve">G13_trea</t>
  </si>
  <si>
    <t xml:space="preserve">que es trea</t>
  </si>
  <si>
    <t xml:space="preserve">Proxy total mercado / mes</t>
  </si>
  <si>
    <t xml:space="preserve">Agregación MAX por grupo editorial. Persiste solapamiento entre grupos y relevancia internacional; no personas únicas.</t>
  </si>
  <si>
    <t xml:space="preserve">PE/es. Consulta 06/10/2026. Volúmenes snapshot sept2026, últimos monthly_searches agosto. No baseline post-launch.</t>
  </si>
  <si>
    <t xml:space="preserve">Marca Pibank, competidores, soporte, educación, plazo fijo y futuros dólares excluidos. Ausencias preservadas NULL en dataset.</t>
  </si>
  <si>
    <t xml:space="preserve">Source: demand-source.json (metadata/grupos + SHA256 original). DataForSEO keyword_overview y keyword_suggestions live.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</si>
</sst>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.0;\(#,##0.0\);\—"/>
    <numFmt numFmtId="166" formatCode="&quot;US$&quot;#,##0;&quot;(US$&quot;#,##0\);\—"/>
    <numFmt numFmtId="167" formatCode="0.0%;\(0.0%\);\—"/>
    <numFmt numFmtId="168" formatCode="mm/yy"/>
    <numFmt numFmtId="169" formatCode="0.00%;\(0.00%\);\—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8294A"/>
      <name val="Arial"/>
      <family val="0"/>
      <charset val="1"/>
    </font>
    <font>
      <sz val="10"/>
      <color rgb="FF1A1A1A"/>
      <name val="Arial"/>
      <family val="0"/>
      <charset val="1"/>
    </font>
    <font>
      <sz val="10"/>
      <color rgb="FF00805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18294A"/>
      <name val="Arial"/>
      <family val="0"/>
      <charset val="1"/>
    </font>
    <font>
      <sz val="10"/>
      <color rgb="FF0000CC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0385F"/>
        <bgColor rgb="FF18294A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dotted">
        <color rgb="FF7E8A9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1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9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9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9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9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9" fontId="9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9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9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CC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50"/>
      <rgbColor rgb="FFC0C0C0"/>
      <rgbColor rgb="FF7E8A9E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87DA0"/>
      <rgbColor rgb="FF969696"/>
      <rgbColor rgb="FF18294A"/>
      <rgbColor rgb="FF339966"/>
      <rgbColor rgb="FF003300"/>
      <rgbColor rgb="FF1A1A1A"/>
      <rgbColor rgb="FF993300"/>
      <rgbColor rgb="FF993366"/>
      <rgbColor rgb="FF333399"/>
      <rgbColor rgb="FF20385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0385F"/>
    <pageSetUpPr fitToPage="true"/>
  </sheetPr>
  <dimension ref="C2:K3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2"/>
    <col collapsed="false" customWidth="true" hidden="false" outlineLevel="0" max="3" min="3" style="0" width="40"/>
    <col collapsed="false" customWidth="true" hidden="false" outlineLevel="0" max="4" min="4" style="0" width="18"/>
    <col collapsed="false" customWidth="true" hidden="false" outlineLevel="0" max="11" min="5" style="0" width="15"/>
  </cols>
  <sheetData>
    <row r="2" customFormat="false" ht="24.75" hidden="false" customHeight="true" outlineLevel="0" collapsed="false">
      <c r="C2" s="1" t="s">
        <v>0</v>
      </c>
    </row>
    <row r="4" customFormat="false" ht="15" hidden="false" customHeight="false" outlineLevel="0" collapsed="false">
      <c r="C4" s="2" t="s">
        <v>1</v>
      </c>
      <c r="D4" s="3" t="str">
        <f aca="false">Supuestos!D5</f>
        <v>Base</v>
      </c>
    </row>
    <row r="5" customFormat="false" ht="30" hidden="false" customHeight="true" outlineLevel="0" collapsed="false">
      <c r="C5" s="4" t="s">
        <v>2</v>
      </c>
      <c r="D5" s="4"/>
      <c r="E5" s="4"/>
      <c r="F5" s="4"/>
      <c r="G5" s="4"/>
      <c r="H5" s="4"/>
      <c r="I5" s="4"/>
      <c r="J5" s="4"/>
      <c r="K5" s="4"/>
    </row>
    <row r="6" customFormat="false" ht="19.5" hidden="false" customHeight="true" outlineLevel="0" collapsed="false"/>
    <row r="7" customFormat="false" ht="30" hidden="false" customHeight="true" outlineLevel="0" collapsed="false">
      <c r="C7" s="5" t="s">
        <v>3</v>
      </c>
      <c r="D7" s="5" t="s">
        <v>4</v>
      </c>
      <c r="E7" s="5" t="s">
        <v>5</v>
      </c>
    </row>
    <row r="8" customFormat="false" ht="19.5" hidden="false" customHeight="true" outlineLevel="0" collapsed="false">
      <c r="C8" s="2" t="s">
        <v>6</v>
      </c>
      <c r="D8" s="6" t="n">
        <f aca="false">IF(COUNT(Mensual!F13:K13)=6,SUM(Mensual!F13:K13),"N/D")</f>
        <v>1067.625</v>
      </c>
      <c r="E8" s="7" t="s">
        <v>7</v>
      </c>
    </row>
    <row r="9" customFormat="false" ht="19.5" hidden="false" customHeight="true" outlineLevel="0" collapsed="false">
      <c r="C9" s="2" t="s">
        <v>8</v>
      </c>
      <c r="D9" s="6" t="n">
        <f aca="false">IF(COUNT(Mensual!F19:K19)=6,SUM(Mensual!F19:K19),"N/D")</f>
        <v>21.3525</v>
      </c>
      <c r="E9" s="7" t="s">
        <v>9</v>
      </c>
    </row>
    <row r="10" customFormat="false" ht="19.5" hidden="false" customHeight="true" outlineLevel="0" collapsed="false">
      <c r="C10" s="2" t="s">
        <v>10</v>
      </c>
      <c r="D10" s="6" t="n">
        <f aca="false">IF(COUNT(Mensual!F23:K23)=6,SUM(Mensual!F23:K23),"N/D")</f>
        <v>13.879125</v>
      </c>
      <c r="E10" s="7" t="s">
        <v>9</v>
      </c>
    </row>
    <row r="11" customFormat="false" ht="19.5" hidden="false" customHeight="true" outlineLevel="0" collapsed="false">
      <c r="C11" s="2" t="s">
        <v>11</v>
      </c>
      <c r="D11" s="8" t="n">
        <f aca="false">IF(COUNT(D10,Supuestos!D10)=2,D10*Supuestos!D10,"N/D")</f>
        <v>34697.8125</v>
      </c>
      <c r="E11" s="7" t="s">
        <v>12</v>
      </c>
    </row>
    <row r="12" customFormat="false" ht="19.5" hidden="false" customHeight="true" outlineLevel="0" collapsed="false">
      <c r="C12" s="2" t="s">
        <v>13</v>
      </c>
      <c r="D12" s="8" t="n">
        <f aca="false">Mensual!K25</f>
        <v>32867.859375</v>
      </c>
      <c r="E12" s="7" t="s">
        <v>12</v>
      </c>
    </row>
    <row r="13" customFormat="false" ht="19.5" hidden="false" customHeight="true" outlineLevel="0" collapsed="false">
      <c r="C13" s="2" t="s">
        <v>14</v>
      </c>
      <c r="D13" s="8" t="n">
        <f aca="false">Mensual!K26</f>
        <v>23007.5015625</v>
      </c>
      <c r="E13" s="7" t="s">
        <v>12</v>
      </c>
    </row>
    <row r="14" customFormat="false" ht="19.5" hidden="false" customHeight="true" outlineLevel="0" collapsed="false">
      <c r="C14" s="2" t="s">
        <v>15</v>
      </c>
      <c r="D14" s="9" t="n">
        <f aca="false">IF(AND(COUNT(D10,Supuestos!D8)=2,Supuestos!D8&gt;0),D10/Supuestos!D8,"N/D")</f>
        <v>0.000913100328947368</v>
      </c>
      <c r="E14" s="7" t="s">
        <v>16</v>
      </c>
    </row>
    <row r="15" customFormat="false" ht="19.5" hidden="false" customHeight="true" outlineLevel="0" collapsed="false"/>
    <row r="16" customFormat="false" ht="19.5" hidden="false" customHeight="true" outlineLevel="0" collapsed="false">
      <c r="C16" s="2" t="s">
        <v>17</v>
      </c>
      <c r="D16" s="8" t="str">
        <f aca="false">Supuestos!D20</f>
        <v>N/D</v>
      </c>
      <c r="E16" s="7" t="s">
        <v>18</v>
      </c>
    </row>
    <row r="17" customFormat="false" ht="19.5" hidden="false" customHeight="true" outlineLevel="0" collapsed="false">
      <c r="C17" s="2" t="s">
        <v>19</v>
      </c>
      <c r="D17" s="8" t="str">
        <f aca="false">IF(AND(Supuestos!D16="Sí",COUNT(D16,D10)=2,D16&gt;0,D10&gt;0),D16/D10,"N/D")</f>
        <v>N/D</v>
      </c>
      <c r="E17" s="7" t="s">
        <v>18</v>
      </c>
    </row>
    <row r="18" customFormat="false" ht="19.5" hidden="false" customHeight="true" outlineLevel="0" collapsed="false">
      <c r="C18" s="2" t="s">
        <v>20</v>
      </c>
      <c r="D18" s="8" t="str">
        <f aca="false">IF(AND(COUNT(D16,D10)=2,D16&gt;0,D10&gt;0),D16/D10,"N/D")</f>
        <v>N/D</v>
      </c>
      <c r="E18" s="7" t="s">
        <v>21</v>
      </c>
    </row>
    <row r="19" customFormat="false" ht="19.5" hidden="false" customHeight="true" outlineLevel="0" collapsed="false">
      <c r="C19" s="2" t="s">
        <v>22</v>
      </c>
      <c r="D19" s="9" t="str">
        <f aca="false">Mensual!K31</f>
        <v>N/D</v>
      </c>
      <c r="E19" s="7" t="s">
        <v>16</v>
      </c>
    </row>
    <row r="20" customFormat="false" ht="19.5" hidden="false" customHeight="true" outlineLevel="0" collapsed="false">
      <c r="C20" s="2" t="s">
        <v>23</v>
      </c>
      <c r="D20" s="6" t="str">
        <f aca="false">IF(COUNT(Mensual!F34:K34)=6,IFERROR(MATCH(1,Mensual!F34:K34,0),"No en 6m"),"N/D")</f>
        <v>N/D</v>
      </c>
      <c r="E20" s="7" t="s">
        <v>24</v>
      </c>
    </row>
    <row r="21" customFormat="false" ht="19.5" hidden="false" customHeight="true" outlineLevel="0" collapsed="false"/>
    <row r="22" customFormat="false" ht="30" hidden="false" customHeight="true" outlineLevel="0" collapsed="false">
      <c r="C22" s="4" t="s">
        <v>25</v>
      </c>
      <c r="D22" s="4"/>
      <c r="E22" s="4"/>
      <c r="F22" s="4"/>
      <c r="G22" s="4"/>
      <c r="H22" s="4"/>
      <c r="I22" s="4"/>
      <c r="J22" s="4"/>
      <c r="K22" s="4"/>
    </row>
    <row r="23" customFormat="false" ht="19.5" hidden="false" customHeight="true" outlineLevel="0" collapsed="false"/>
    <row r="24" customFormat="false" ht="30" hidden="false" customHeight="true" outlineLevel="0" collapsed="false">
      <c r="C24" s="5" t="s">
        <v>26</v>
      </c>
      <c r="D24" s="5" t="s">
        <v>27</v>
      </c>
      <c r="E24" s="5" t="s">
        <v>28</v>
      </c>
      <c r="F24" s="5" t="s">
        <v>29</v>
      </c>
      <c r="G24" s="5" t="s">
        <v>30</v>
      </c>
    </row>
    <row r="25" customFormat="false" ht="19.5" hidden="false" customHeight="true" outlineLevel="0" collapsed="false">
      <c r="C25" s="10" t="n">
        <f aca="false">Mensual!F8</f>
        <v>46388</v>
      </c>
      <c r="D25" s="6" t="n">
        <f aca="false">Mensual!F13</f>
        <v>14.625</v>
      </c>
      <c r="E25" s="6" t="n">
        <f aca="false">Mensual!F23</f>
        <v>0.190125</v>
      </c>
      <c r="F25" s="8" t="n">
        <f aca="false">Mensual!F25</f>
        <v>475.3125</v>
      </c>
      <c r="G25" s="8" t="n">
        <f aca="false">Mensual!F26</f>
        <v>332.71875</v>
      </c>
    </row>
    <row r="26" customFormat="false" ht="19.5" hidden="false" customHeight="true" outlineLevel="0" collapsed="false">
      <c r="C26" s="10" t="n">
        <f aca="false">Mensual!G8</f>
        <v>46419</v>
      </c>
      <c r="D26" s="6" t="n">
        <f aca="false">Mensual!G13</f>
        <v>43.875</v>
      </c>
      <c r="E26" s="6" t="n">
        <f aca="false">Mensual!G23</f>
        <v>0.570375</v>
      </c>
      <c r="F26" s="8" t="n">
        <f aca="false">Mensual!G25</f>
        <v>1877.484375</v>
      </c>
      <c r="G26" s="8" t="n">
        <f aca="false">Mensual!G26</f>
        <v>1314.2390625</v>
      </c>
    </row>
    <row r="27" customFormat="false" ht="19.5" hidden="false" customHeight="true" outlineLevel="0" collapsed="false">
      <c r="C27" s="10" t="n">
        <f aca="false">Mensual!H8</f>
        <v>46447</v>
      </c>
      <c r="D27" s="6" t="n">
        <f aca="false">Mensual!H13</f>
        <v>102.375</v>
      </c>
      <c r="E27" s="6" t="n">
        <f aca="false">Mensual!H23</f>
        <v>1.330875</v>
      </c>
      <c r="F27" s="8" t="n">
        <f aca="false">Mensual!H25</f>
        <v>5109.609375</v>
      </c>
      <c r="G27" s="8" t="n">
        <f aca="false">Mensual!H26</f>
        <v>3576.7265625</v>
      </c>
    </row>
    <row r="28" customFormat="false" ht="19.5" hidden="false" customHeight="true" outlineLevel="0" collapsed="false">
      <c r="C28" s="10" t="n">
        <f aca="false">Mensual!I8</f>
        <v>46478</v>
      </c>
      <c r="D28" s="6" t="n">
        <f aca="false">Mensual!I13</f>
        <v>175.5</v>
      </c>
      <c r="E28" s="6" t="n">
        <f aca="false">Mensual!I23</f>
        <v>2.2815</v>
      </c>
      <c r="F28" s="8" t="n">
        <f aca="false">Mensual!I25</f>
        <v>10551.9375</v>
      </c>
      <c r="G28" s="8" t="n">
        <f aca="false">Mensual!I26</f>
        <v>7386.35625</v>
      </c>
    </row>
    <row r="29" customFormat="false" ht="19.5" hidden="false" customHeight="true" outlineLevel="0" collapsed="false">
      <c r="C29" s="10" t="n">
        <f aca="false">Mensual!J8</f>
        <v>46508</v>
      </c>
      <c r="D29" s="6" t="n">
        <f aca="false">Mensual!J13</f>
        <v>292.5</v>
      </c>
      <c r="E29" s="6" t="n">
        <f aca="false">Mensual!J23</f>
        <v>3.8025</v>
      </c>
      <c r="F29" s="8" t="n">
        <f aca="false">Mensual!J25</f>
        <v>19535.34375</v>
      </c>
      <c r="G29" s="8" t="n">
        <f aca="false">Mensual!J26</f>
        <v>13674.740625</v>
      </c>
    </row>
    <row r="30" customFormat="false" ht="19.5" hidden="false" customHeight="true" outlineLevel="0" collapsed="false">
      <c r="C30" s="10" t="n">
        <f aca="false">Mensual!K8</f>
        <v>46539</v>
      </c>
      <c r="D30" s="6" t="n">
        <f aca="false">Mensual!K13</f>
        <v>438.75</v>
      </c>
      <c r="E30" s="6" t="n">
        <f aca="false">Mensual!K23</f>
        <v>5.70375</v>
      </c>
      <c r="F30" s="8" t="n">
        <f aca="false">Mensual!K25</f>
        <v>32867.859375</v>
      </c>
      <c r="G30" s="8" t="n">
        <f aca="false">Mensual!K26</f>
        <v>23007.5015625</v>
      </c>
    </row>
    <row r="31" customFormat="false" ht="19.5" hidden="false" customHeight="true" outlineLevel="0" collapsed="false"/>
    <row r="32" customFormat="false" ht="30" hidden="false" customHeight="true" outlineLevel="0" collapsed="false">
      <c r="C32" s="4" t="s">
        <v>31</v>
      </c>
      <c r="D32" s="4"/>
      <c r="E32" s="4"/>
      <c r="F32" s="4"/>
      <c r="G32" s="4"/>
      <c r="H32" s="4"/>
      <c r="I32" s="4"/>
      <c r="J32" s="4"/>
      <c r="K32" s="4"/>
    </row>
    <row r="33" customFormat="false" ht="30" hidden="false" customHeight="true" outlineLevel="0" collapsed="false">
      <c r="C33" s="4" t="s">
        <v>32</v>
      </c>
      <c r="D33" s="4"/>
      <c r="E33" s="4"/>
      <c r="F33" s="4"/>
      <c r="G33" s="4"/>
      <c r="H33" s="4"/>
      <c r="I33" s="4"/>
      <c r="J33" s="4"/>
      <c r="K33" s="4"/>
    </row>
    <row r="34" customFormat="false" ht="30" hidden="false" customHeight="true" outlineLevel="0" collapsed="false">
      <c r="C34" s="4" t="s">
        <v>33</v>
      </c>
      <c r="D34" s="4"/>
      <c r="E34" s="4"/>
      <c r="F34" s="4"/>
      <c r="G34" s="4"/>
      <c r="H34" s="4"/>
      <c r="I34" s="4"/>
      <c r="J34" s="4"/>
      <c r="K34" s="4"/>
    </row>
    <row r="35" customFormat="false" ht="19.5" hidden="false" customHeight="true" outlineLevel="0" collapsed="false"/>
    <row r="36" customFormat="false" ht="30" hidden="false" customHeight="true" outlineLevel="0" collapsed="false">
      <c r="C36" s="4" t="s">
        <v>34</v>
      </c>
      <c r="D36" s="4"/>
      <c r="E36" s="4"/>
      <c r="F36" s="4"/>
      <c r="G36" s="4"/>
      <c r="H36" s="4"/>
      <c r="I36" s="4"/>
      <c r="J36" s="4"/>
      <c r="K36" s="4"/>
    </row>
    <row r="37" customFormat="false" ht="19.5" hidden="false" customHeight="true" outlineLevel="0" collapsed="false"/>
    <row r="38" customFormat="false" ht="19.5" hidden="false" customHeight="true" outlineLevel="0" collapsed="false"/>
  </sheetData>
  <mergeCells count="6">
    <mergeCell ref="C5:K5"/>
    <mergeCell ref="C22:K22"/>
    <mergeCell ref="C32:K32"/>
    <mergeCell ref="C33:K33"/>
    <mergeCell ref="C34:K34"/>
    <mergeCell ref="C36:K36"/>
  </mergeCells>
  <printOptions headings="false" gridLines="false" gridLinesSet="true" horizontalCentered="true" verticalCentered="false"/>
  <pageMargins left="0.25" right="0.25" top="0.3" bottom="0.3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87DA0"/>
    <pageSetUpPr fitToPage="true"/>
  </sheetPr>
  <dimension ref="C2:K7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7" topLeftCell="F8" activePane="bottomRight" state="frozen"/>
      <selection pane="topLeft" activeCell="A1" activeCellId="0" sqref="A1"/>
      <selection pane="topRight" activeCell="F1" activeCellId="0" sqref="F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2"/>
    <col collapsed="false" customWidth="true" hidden="false" outlineLevel="0" max="3" min="3" style="0" width="40"/>
    <col collapsed="false" customWidth="true" hidden="false" outlineLevel="0" max="4" min="4" style="0" width="18"/>
    <col collapsed="false" customWidth="true" hidden="false" outlineLevel="0" max="5" min="5" style="0" width="3"/>
    <col collapsed="false" customWidth="true" hidden="false" outlineLevel="0" max="11" min="6" style="0" width="15"/>
  </cols>
  <sheetData>
    <row r="2" customFormat="false" ht="24.75" hidden="false" customHeight="true" outlineLevel="0" collapsed="false">
      <c r="C2" s="1" t="s">
        <v>35</v>
      </c>
    </row>
    <row r="4" customFormat="false" ht="15" hidden="false" customHeight="false" outlineLevel="0" collapsed="false">
      <c r="C4" s="2" t="s">
        <v>36</v>
      </c>
      <c r="D4" s="11" t="n">
        <v>2</v>
      </c>
    </row>
    <row r="5" customFormat="false" ht="19.5" hidden="false" customHeight="true" outlineLevel="0" collapsed="false">
      <c r="C5" s="2" t="s">
        <v>37</v>
      </c>
      <c r="D5" s="2" t="str">
        <f aca="false">CHOOSE(D4,"Conservador","Base","Favorable")</f>
        <v>Base</v>
      </c>
    </row>
    <row r="6" customFormat="false" ht="30" hidden="false" customHeight="true" outlineLevel="0" collapsed="false">
      <c r="C6" s="4" t="s">
        <v>38</v>
      </c>
      <c r="D6" s="4"/>
      <c r="E6" s="4"/>
      <c r="F6" s="4"/>
      <c r="G6" s="4"/>
      <c r="H6" s="4"/>
      <c r="I6" s="4"/>
      <c r="J6" s="4"/>
      <c r="K6" s="4"/>
    </row>
    <row r="7" customFormat="false" ht="19.5" hidden="false" customHeight="true" outlineLevel="0" collapsed="false"/>
    <row r="8" customFormat="false" ht="19.5" hidden="false" customHeight="true" outlineLevel="0" collapsed="false">
      <c r="C8" s="2" t="s">
        <v>39</v>
      </c>
      <c r="D8" s="12" t="n">
        <v>15200</v>
      </c>
    </row>
    <row r="9" customFormat="false" ht="19.5" hidden="false" customHeight="true" outlineLevel="0" collapsed="false">
      <c r="C9" s="2" t="s">
        <v>40</v>
      </c>
      <c r="D9" s="13" t="n">
        <v>38000000</v>
      </c>
    </row>
    <row r="10" customFormat="false" ht="19.5" hidden="false" customHeight="true" outlineLevel="0" collapsed="false">
      <c r="C10" s="2" t="s">
        <v>41</v>
      </c>
      <c r="D10" s="13" t="n">
        <v>2500</v>
      </c>
    </row>
    <row r="11" customFormat="false" ht="19.5" hidden="false" customHeight="true" outlineLevel="0" collapsed="false">
      <c r="C11" s="2" t="s">
        <v>42</v>
      </c>
      <c r="D11" s="14" t="n">
        <v>46388</v>
      </c>
    </row>
    <row r="12" customFormat="false" ht="30" hidden="false" customHeight="true" outlineLevel="0" collapsed="false">
      <c r="C12" s="4" t="s">
        <v>43</v>
      </c>
      <c r="D12" s="4"/>
      <c r="E12" s="4"/>
      <c r="F12" s="4"/>
      <c r="G12" s="4"/>
      <c r="H12" s="4"/>
      <c r="I12" s="4"/>
      <c r="J12" s="4"/>
      <c r="K12" s="4"/>
    </row>
    <row r="13" customFormat="false" ht="19.5" hidden="false" customHeight="true" outlineLevel="0" collapsed="false">
      <c r="C13" s="2" t="s">
        <v>44</v>
      </c>
      <c r="D13" s="15" t="n">
        <v>0.75</v>
      </c>
    </row>
    <row r="14" customFormat="false" ht="19.5" hidden="false" customHeight="true" outlineLevel="0" collapsed="false">
      <c r="C14" s="2" t="s">
        <v>45</v>
      </c>
      <c r="D14" s="16" t="s">
        <v>46</v>
      </c>
    </row>
    <row r="15" customFormat="false" ht="19.5" hidden="false" customHeight="true" outlineLevel="0" collapsed="false">
      <c r="C15" s="2" t="s">
        <v>47</v>
      </c>
      <c r="D15" s="17"/>
    </row>
    <row r="16" customFormat="false" ht="19.5" hidden="false" customHeight="true" outlineLevel="0" collapsed="false">
      <c r="C16" s="2" t="s">
        <v>48</v>
      </c>
      <c r="D16" s="16" t="s">
        <v>46</v>
      </c>
    </row>
    <row r="17" customFormat="false" ht="19.5" hidden="false" customHeight="true" outlineLevel="0" collapsed="false">
      <c r="C17" s="2" t="s">
        <v>49</v>
      </c>
      <c r="D17" s="18" t="n">
        <v>995.9</v>
      </c>
    </row>
    <row r="18" customFormat="false" ht="19.5" hidden="false" customHeight="true" outlineLevel="0" collapsed="false">
      <c r="F18" s="19" t="n">
        <f aca="false">EDATE($D$11,0)</f>
        <v>46388</v>
      </c>
      <c r="G18" s="19" t="n">
        <f aca="false">EDATE($D$11,1)</f>
        <v>46419</v>
      </c>
      <c r="H18" s="19" t="n">
        <f aca="false">EDATE($D$11,2)</f>
        <v>46447</v>
      </c>
      <c r="I18" s="19" t="n">
        <f aca="false">EDATE($D$11,3)</f>
        <v>46478</v>
      </c>
      <c r="J18" s="19" t="n">
        <f aca="false">EDATE($D$11,4)</f>
        <v>46508</v>
      </c>
      <c r="K18" s="19" t="n">
        <f aca="false">EDATE($D$11,5)</f>
        <v>46539</v>
      </c>
    </row>
    <row r="19" customFormat="false" ht="19.5" hidden="false" customHeight="true" outlineLevel="0" collapsed="false">
      <c r="C19" s="2" t="s">
        <v>50</v>
      </c>
      <c r="F19" s="13"/>
      <c r="G19" s="13"/>
      <c r="H19" s="13"/>
      <c r="I19" s="13"/>
      <c r="J19" s="13"/>
      <c r="K19" s="13"/>
    </row>
    <row r="20" customFormat="false" ht="19.5" hidden="false" customHeight="true" outlineLevel="0" collapsed="false">
      <c r="C20" s="2" t="s">
        <v>51</v>
      </c>
      <c r="D20" s="20" t="str">
        <f aca="false">IF(COUNT(F19:K19)=6,SUM(F19:K19),"N/D")</f>
        <v>N/D</v>
      </c>
    </row>
    <row r="21" customFormat="false" ht="19.5" hidden="false" customHeight="true" outlineLevel="0" collapsed="false">
      <c r="C21" s="2" t="s">
        <v>52</v>
      </c>
      <c r="D21" s="13"/>
    </row>
    <row r="22" customFormat="false" ht="19.5" hidden="false" customHeight="true" outlineLevel="0" collapsed="false"/>
    <row r="23" customFormat="false" ht="19.5" hidden="false" customHeight="true" outlineLevel="0" collapsed="false">
      <c r="C23" s="2" t="s">
        <v>53</v>
      </c>
      <c r="F23" s="21" t="n">
        <f aca="false">IF(CHOOSE($D$4,COUNT(F24),COUNT(F25),COUNT(F26))=1,CHOOSE($D$4,F24,F25,F26),"N/D")</f>
        <v>0.005</v>
      </c>
      <c r="G23" s="21" t="n">
        <f aca="false">IF(CHOOSE($D$4,COUNT(G24),COUNT(G25),COUNT(G26))=1,CHOOSE($D$4,G24,G25,G26),"N/D")</f>
        <v>0.015</v>
      </c>
      <c r="H23" s="21" t="n">
        <f aca="false">IF(CHOOSE($D$4,COUNT(H24),COUNT(H25),COUNT(H26))=1,CHOOSE($D$4,H24,H25,H26),"N/D")</f>
        <v>0.035</v>
      </c>
      <c r="I23" s="21" t="n">
        <f aca="false">IF(CHOOSE($D$4,COUNT(I24),COUNT(I25),COUNT(I26))=1,CHOOSE($D$4,I24,I25,I26),"N/D")</f>
        <v>0.06</v>
      </c>
      <c r="J23" s="21" t="n">
        <f aca="false">IF(CHOOSE($D$4,COUNT(J24),COUNT(J25),COUNT(J26))=1,CHOOSE($D$4,J24,J25,J26),"N/D")</f>
        <v>0.1</v>
      </c>
      <c r="K23" s="21" t="n">
        <f aca="false">IF(CHOOSE($D$4,COUNT(K24),COUNT(K25),COUNT(K26))=1,CHOOSE($D$4,K24,K25,K26),"N/D")</f>
        <v>0.15</v>
      </c>
    </row>
    <row r="24" customFormat="false" ht="19.5" hidden="false" customHeight="true" outlineLevel="0" collapsed="false">
      <c r="C24" s="2" t="s">
        <v>54</v>
      </c>
      <c r="F24" s="17" t="n">
        <v>0.0025</v>
      </c>
      <c r="G24" s="17" t="n">
        <v>0.005</v>
      </c>
      <c r="H24" s="17" t="n">
        <v>0.0125</v>
      </c>
      <c r="I24" s="17" t="n">
        <v>0.025</v>
      </c>
      <c r="J24" s="17" t="n">
        <v>0.04</v>
      </c>
      <c r="K24" s="17" t="n">
        <v>0.06</v>
      </c>
    </row>
    <row r="25" customFormat="false" ht="19.5" hidden="false" customHeight="true" outlineLevel="0" collapsed="false">
      <c r="C25" s="2" t="s">
        <v>55</v>
      </c>
      <c r="F25" s="17" t="n">
        <v>0.005</v>
      </c>
      <c r="G25" s="17" t="n">
        <v>0.015</v>
      </c>
      <c r="H25" s="17" t="n">
        <v>0.035</v>
      </c>
      <c r="I25" s="17" t="n">
        <v>0.06</v>
      </c>
      <c r="J25" s="17" t="n">
        <v>0.1</v>
      </c>
      <c r="K25" s="17" t="n">
        <v>0.15</v>
      </c>
    </row>
    <row r="26" customFormat="false" ht="19.5" hidden="false" customHeight="true" outlineLevel="0" collapsed="false">
      <c r="C26" s="2" t="s">
        <v>56</v>
      </c>
      <c r="F26" s="17" t="n">
        <v>0.01</v>
      </c>
      <c r="G26" s="17" t="n">
        <v>0.025</v>
      </c>
      <c r="H26" s="17" t="n">
        <v>0.05</v>
      </c>
      <c r="I26" s="17" t="n">
        <v>0.1</v>
      </c>
      <c r="J26" s="17" t="n">
        <v>0.175</v>
      </c>
      <c r="K26" s="17" t="n">
        <v>0.25</v>
      </c>
    </row>
    <row r="27" customFormat="false" ht="19.5" hidden="false" customHeight="true" outlineLevel="0" collapsed="false"/>
    <row r="28" customFormat="false" ht="19.5" hidden="false" customHeight="true" outlineLevel="0" collapsed="false">
      <c r="C28" s="2" t="s">
        <v>57</v>
      </c>
      <c r="F28" s="21" t="n">
        <f aca="false">IF(CHOOSE($D$4,COUNT(F29),COUNT(F30),COUNT(F31))=1,CHOOSE($D$4,F29,F30,F31),"N/D")</f>
        <v>0.01</v>
      </c>
      <c r="G28" s="21" t="n">
        <f aca="false">IF(CHOOSE($D$4,COUNT(G29),COUNT(G30),COUNT(G31))=1,CHOOSE($D$4,G29,G30,G31),"N/D")</f>
        <v>0.01</v>
      </c>
      <c r="H28" s="21" t="n">
        <f aca="false">IF(CHOOSE($D$4,COUNT(H29),COUNT(H30),COUNT(H31))=1,CHOOSE($D$4,H29,H30,H31),"N/D")</f>
        <v>0.01</v>
      </c>
      <c r="I28" s="21" t="n">
        <f aca="false">IF(CHOOSE($D$4,COUNT(I29),COUNT(I30),COUNT(I31))=1,CHOOSE($D$4,I29,I30,I31),"N/D")</f>
        <v>0.01</v>
      </c>
      <c r="J28" s="21" t="n">
        <f aca="false">IF(CHOOSE($D$4,COUNT(J29),COUNT(J30),COUNT(J31))=1,CHOOSE($D$4,J29,J30,J31),"N/D")</f>
        <v>0.01</v>
      </c>
      <c r="K28" s="21" t="n">
        <f aca="false">IF(CHOOSE($D$4,COUNT(K29),COUNT(K30),COUNT(K31))=1,CHOOSE($D$4,K29,K30,K31),"N/D")</f>
        <v>0.01</v>
      </c>
    </row>
    <row r="29" customFormat="false" ht="19.5" hidden="false" customHeight="true" outlineLevel="0" collapsed="false">
      <c r="C29" s="2" t="s">
        <v>54</v>
      </c>
      <c r="F29" s="17" t="n">
        <v>0.01</v>
      </c>
      <c r="G29" s="17" t="n">
        <v>0.01</v>
      </c>
      <c r="H29" s="17" t="n">
        <v>0.01</v>
      </c>
      <c r="I29" s="17" t="n">
        <v>0.01</v>
      </c>
      <c r="J29" s="17" t="n">
        <v>0.01</v>
      </c>
      <c r="K29" s="17" t="n">
        <v>0.01</v>
      </c>
    </row>
    <row r="30" customFormat="false" ht="19.5" hidden="false" customHeight="true" outlineLevel="0" collapsed="false">
      <c r="C30" s="2" t="s">
        <v>55</v>
      </c>
      <c r="F30" s="17" t="n">
        <v>0.01</v>
      </c>
      <c r="G30" s="17" t="n">
        <v>0.01</v>
      </c>
      <c r="H30" s="17" t="n">
        <v>0.01</v>
      </c>
      <c r="I30" s="17" t="n">
        <v>0.01</v>
      </c>
      <c r="J30" s="17" t="n">
        <v>0.01</v>
      </c>
      <c r="K30" s="17" t="n">
        <v>0.01</v>
      </c>
    </row>
    <row r="31" customFormat="false" ht="19.5" hidden="false" customHeight="true" outlineLevel="0" collapsed="false">
      <c r="C31" s="2" t="s">
        <v>56</v>
      </c>
      <c r="F31" s="17" t="n">
        <v>0.01</v>
      </c>
      <c r="G31" s="17" t="n">
        <v>0.01</v>
      </c>
      <c r="H31" s="17" t="n">
        <v>0.01</v>
      </c>
      <c r="I31" s="17" t="n">
        <v>0.01</v>
      </c>
      <c r="J31" s="17" t="n">
        <v>0.01</v>
      </c>
      <c r="K31" s="17" t="n">
        <v>0.01</v>
      </c>
    </row>
    <row r="32" customFormat="false" ht="19.5" hidden="false" customHeight="true" outlineLevel="0" collapsed="false"/>
    <row r="33" customFormat="false" ht="19.5" hidden="false" customHeight="true" outlineLevel="0" collapsed="false">
      <c r="C33" s="2" t="s">
        <v>58</v>
      </c>
      <c r="F33" s="21" t="n">
        <f aca="false">IF(CHOOSE($D$4,COUNT(F34),COUNT(F35),COUNT(F36))=1,CHOOSE($D$4,F34,F35,F36),"N/D")</f>
        <v>0.02</v>
      </c>
      <c r="G33" s="21" t="n">
        <f aca="false">IF(CHOOSE($D$4,COUNT(G34),COUNT(G35),COUNT(G36))=1,CHOOSE($D$4,G34,G35,G36),"N/D")</f>
        <v>0.02</v>
      </c>
      <c r="H33" s="21" t="n">
        <f aca="false">IF(CHOOSE($D$4,COUNT(H34),COUNT(H35),COUNT(H36))=1,CHOOSE($D$4,H34,H35,H36),"N/D")</f>
        <v>0.02</v>
      </c>
      <c r="I33" s="21" t="n">
        <f aca="false">IF(CHOOSE($D$4,COUNT(I34),COUNT(I35),COUNT(I36))=1,CHOOSE($D$4,I34,I35,I36),"N/D")</f>
        <v>0.02</v>
      </c>
      <c r="J33" s="21" t="n">
        <f aca="false">IF(CHOOSE($D$4,COUNT(J34),COUNT(J35),COUNT(J36))=1,CHOOSE($D$4,J34,J35,J36),"N/D")</f>
        <v>0.02</v>
      </c>
      <c r="K33" s="21" t="n">
        <f aca="false">IF(CHOOSE($D$4,COUNT(K34),COUNT(K35),COUNT(K36))=1,CHOOSE($D$4,K34,K35,K36),"N/D")</f>
        <v>0.02</v>
      </c>
    </row>
    <row r="34" customFormat="false" ht="19.5" hidden="false" customHeight="true" outlineLevel="0" collapsed="false">
      <c r="C34" s="2" t="s">
        <v>54</v>
      </c>
      <c r="F34" s="17" t="n">
        <v>0.01</v>
      </c>
      <c r="G34" s="17" t="n">
        <v>0.01</v>
      </c>
      <c r="H34" s="17" t="n">
        <v>0.01</v>
      </c>
      <c r="I34" s="17" t="n">
        <v>0.01</v>
      </c>
      <c r="J34" s="17" t="n">
        <v>0.01</v>
      </c>
      <c r="K34" s="17" t="n">
        <v>0.01</v>
      </c>
    </row>
    <row r="35" customFormat="false" ht="19.5" hidden="false" customHeight="true" outlineLevel="0" collapsed="false">
      <c r="C35" s="2" t="s">
        <v>55</v>
      </c>
      <c r="F35" s="17" t="n">
        <v>0.02</v>
      </c>
      <c r="G35" s="17" t="n">
        <v>0.02</v>
      </c>
      <c r="H35" s="17" t="n">
        <v>0.02</v>
      </c>
      <c r="I35" s="17" t="n">
        <v>0.02</v>
      </c>
      <c r="J35" s="17" t="n">
        <v>0.02</v>
      </c>
      <c r="K35" s="17" t="n">
        <v>0.02</v>
      </c>
    </row>
    <row r="36" customFormat="false" ht="19.5" hidden="false" customHeight="true" outlineLevel="0" collapsed="false">
      <c r="C36" s="2" t="s">
        <v>56</v>
      </c>
      <c r="F36" s="17" t="n">
        <v>0.03</v>
      </c>
      <c r="G36" s="17" t="n">
        <v>0.03</v>
      </c>
      <c r="H36" s="17" t="n">
        <v>0.03</v>
      </c>
      <c r="I36" s="17" t="n">
        <v>0.03</v>
      </c>
      <c r="J36" s="17" t="n">
        <v>0.03</v>
      </c>
      <c r="K36" s="17" t="n">
        <v>0.03</v>
      </c>
    </row>
    <row r="37" customFormat="false" ht="19.5" hidden="false" customHeight="true" outlineLevel="0" collapsed="false"/>
    <row r="38" customFormat="false" ht="19.5" hidden="false" customHeight="true" outlineLevel="0" collapsed="false">
      <c r="C38" s="2" t="s">
        <v>59</v>
      </c>
      <c r="F38" s="21" t="n">
        <f aca="false">IF(CHOOSE($D$4,COUNT(F39),COUNT(F40),COUNT(F41))=1,CHOOSE($D$4,F39,F40,F41),"N/D")</f>
        <v>0.65</v>
      </c>
      <c r="G38" s="21" t="n">
        <f aca="false">IF(CHOOSE($D$4,COUNT(G39),COUNT(G40),COUNT(G41))=1,CHOOSE($D$4,G39,G40,G41),"N/D")</f>
        <v>0.65</v>
      </c>
      <c r="H38" s="21" t="n">
        <f aca="false">IF(CHOOSE($D$4,COUNT(H39),COUNT(H40),COUNT(H41))=1,CHOOSE($D$4,H39,H40,H41),"N/D")</f>
        <v>0.65</v>
      </c>
      <c r="I38" s="21" t="n">
        <f aca="false">IF(CHOOSE($D$4,COUNT(I39),COUNT(I40),COUNT(I41))=1,CHOOSE($D$4,I39,I40,I41),"N/D")</f>
        <v>0.65</v>
      </c>
      <c r="J38" s="21" t="n">
        <f aca="false">IF(CHOOSE($D$4,COUNT(J39),COUNT(J40),COUNT(J41))=1,CHOOSE($D$4,J39,J40,J41),"N/D")</f>
        <v>0.65</v>
      </c>
      <c r="K38" s="21" t="n">
        <f aca="false">IF(CHOOSE($D$4,COUNT(K39),COUNT(K40),COUNT(K41))=1,CHOOSE($D$4,K39,K40,K41),"N/D")</f>
        <v>0.65</v>
      </c>
    </row>
    <row r="39" customFormat="false" ht="19.5" hidden="false" customHeight="true" outlineLevel="0" collapsed="false">
      <c r="C39" s="2" t="s">
        <v>54</v>
      </c>
      <c r="F39" s="17" t="n">
        <v>0.5</v>
      </c>
      <c r="G39" s="17" t="n">
        <v>0.5</v>
      </c>
      <c r="H39" s="17" t="n">
        <v>0.5</v>
      </c>
      <c r="I39" s="17" t="n">
        <v>0.5</v>
      </c>
      <c r="J39" s="17" t="n">
        <v>0.5</v>
      </c>
      <c r="K39" s="17" t="n">
        <v>0.5</v>
      </c>
    </row>
    <row r="40" customFormat="false" ht="19.5" hidden="false" customHeight="true" outlineLevel="0" collapsed="false">
      <c r="C40" s="2" t="s">
        <v>55</v>
      </c>
      <c r="F40" s="17" t="n">
        <v>0.65</v>
      </c>
      <c r="G40" s="17" t="n">
        <v>0.65</v>
      </c>
      <c r="H40" s="17" t="n">
        <v>0.65</v>
      </c>
      <c r="I40" s="17" t="n">
        <v>0.65</v>
      </c>
      <c r="J40" s="17" t="n">
        <v>0.65</v>
      </c>
      <c r="K40" s="17" t="n">
        <v>0.65</v>
      </c>
    </row>
    <row r="41" customFormat="false" ht="19.5" hidden="false" customHeight="true" outlineLevel="0" collapsed="false">
      <c r="C41" s="2" t="s">
        <v>56</v>
      </c>
      <c r="F41" s="17" t="n">
        <v>0.75</v>
      </c>
      <c r="G41" s="17" t="n">
        <v>0.75</v>
      </c>
      <c r="H41" s="17" t="n">
        <v>0.75</v>
      </c>
      <c r="I41" s="17" t="n">
        <v>0.75</v>
      </c>
      <c r="J41" s="17" t="n">
        <v>0.75</v>
      </c>
      <c r="K41" s="17" t="n">
        <v>0.75</v>
      </c>
    </row>
    <row r="42" customFormat="false" ht="19.5" hidden="false" customHeight="true" outlineLevel="0" collapsed="false"/>
    <row r="43" customFormat="false" ht="19.5" hidden="false" customHeight="true" outlineLevel="0" collapsed="false">
      <c r="C43" s="2" t="s">
        <v>60</v>
      </c>
      <c r="F43" s="18" t="n">
        <f aca="false">IF(CHOOSE($D$4,COUNT(F44),COUNT(F45),COUNT(F46))=1,CHOOSE($D$4,F44,F45,F46),"N/D")</f>
        <v>3900</v>
      </c>
      <c r="G43" s="18" t="n">
        <f aca="false">IF(CHOOSE($D$4,COUNT(G44),COUNT(G45),COUNT(G46))=1,CHOOSE($D$4,G44,G45,G46),"N/D")</f>
        <v>3900</v>
      </c>
      <c r="H43" s="18" t="n">
        <f aca="false">IF(CHOOSE($D$4,COUNT(H44),COUNT(H45),COUNT(H46))=1,CHOOSE($D$4,H44,H45,H46),"N/D")</f>
        <v>3900</v>
      </c>
      <c r="I43" s="18" t="n">
        <f aca="false">IF(CHOOSE($D$4,COUNT(I44),COUNT(I45),COUNT(I46))=1,CHOOSE($D$4,I44,I45,I46),"N/D")</f>
        <v>3900</v>
      </c>
      <c r="J43" s="18" t="n">
        <f aca="false">IF(CHOOSE($D$4,COUNT(J44),COUNT(J45),COUNT(J46))=1,CHOOSE($D$4,J44,J45,J46),"N/D")</f>
        <v>3900</v>
      </c>
      <c r="K43" s="18" t="n">
        <f aca="false">IF(CHOOSE($D$4,COUNT(K44),COUNT(K45),COUNT(K46))=1,CHOOSE($D$4,K44,K45,K46),"N/D")</f>
        <v>3900</v>
      </c>
    </row>
    <row r="44" customFormat="false" ht="19.5" hidden="false" customHeight="true" outlineLevel="0" collapsed="false">
      <c r="C44" s="2" t="s">
        <v>54</v>
      </c>
      <c r="F44" s="12" t="n">
        <v>3900</v>
      </c>
      <c r="G44" s="12" t="n">
        <v>3900</v>
      </c>
      <c r="H44" s="12" t="n">
        <v>3900</v>
      </c>
      <c r="I44" s="12" t="n">
        <v>3900</v>
      </c>
      <c r="J44" s="12" t="n">
        <v>3900</v>
      </c>
      <c r="K44" s="12" t="n">
        <v>3900</v>
      </c>
    </row>
    <row r="45" customFormat="false" ht="19.5" hidden="false" customHeight="true" outlineLevel="0" collapsed="false">
      <c r="C45" s="2" t="s">
        <v>55</v>
      </c>
      <c r="F45" s="12" t="n">
        <v>3900</v>
      </c>
      <c r="G45" s="12" t="n">
        <v>3900</v>
      </c>
      <c r="H45" s="12" t="n">
        <v>3900</v>
      </c>
      <c r="I45" s="12" t="n">
        <v>3900</v>
      </c>
      <c r="J45" s="12" t="n">
        <v>3900</v>
      </c>
      <c r="K45" s="12" t="n">
        <v>3900</v>
      </c>
    </row>
    <row r="46" customFormat="false" ht="19.5" hidden="false" customHeight="true" outlineLevel="0" collapsed="false">
      <c r="C46" s="2" t="s">
        <v>56</v>
      </c>
      <c r="F46" s="12" t="n">
        <v>3900</v>
      </c>
      <c r="G46" s="12" t="n">
        <v>3900</v>
      </c>
      <c r="H46" s="12" t="n">
        <v>3900</v>
      </c>
      <c r="I46" s="12" t="n">
        <v>3900</v>
      </c>
      <c r="J46" s="12" t="n">
        <v>3900</v>
      </c>
      <c r="K46" s="12" t="n">
        <v>3900</v>
      </c>
    </row>
    <row r="47" customFormat="false" ht="19.5" hidden="false" customHeight="true" outlineLevel="0" collapsed="false"/>
    <row r="48" customFormat="false" ht="19.5" hidden="false" customHeight="true" outlineLevel="0" collapsed="false">
      <c r="C48" s="2" t="s">
        <v>61</v>
      </c>
      <c r="F48" s="21" t="n">
        <f aca="false">IF(CHOOSE($D$4,COUNT(F49),COUNT(F50),COUNT(F51))=1,CHOOSE($D$4,F49,F50,F51),"N/D")</f>
        <v>0.95</v>
      </c>
      <c r="G48" s="21" t="n">
        <f aca="false">IF(CHOOSE($D$4,COUNT(G49),COUNT(G50),COUNT(G51))=1,CHOOSE($D$4,G49,G50,G51),"N/D")</f>
        <v>0.95</v>
      </c>
      <c r="H48" s="21" t="n">
        <f aca="false">IF(CHOOSE($D$4,COUNT(H49),COUNT(H50),COUNT(H51))=1,CHOOSE($D$4,H49,H50,H51),"N/D")</f>
        <v>0.95</v>
      </c>
      <c r="I48" s="21" t="n">
        <f aca="false">IF(CHOOSE($D$4,COUNT(I49),COUNT(I50),COUNT(I51))=1,CHOOSE($D$4,I49,I50,I51),"N/D")</f>
        <v>0.95</v>
      </c>
      <c r="J48" s="21" t="n">
        <f aca="false">IF(CHOOSE($D$4,COUNT(J49),COUNT(J50),COUNT(J51))=1,CHOOSE($D$4,J49,J50,J51),"N/D")</f>
        <v>0.95</v>
      </c>
      <c r="K48" s="21" t="n">
        <f aca="false">IF(CHOOSE($D$4,COUNT(K49),COUNT(K50),COUNT(K51))=1,CHOOSE($D$4,K49,K50,K51),"N/D")</f>
        <v>0.95</v>
      </c>
    </row>
    <row r="49" customFormat="false" ht="19.5" hidden="false" customHeight="true" outlineLevel="0" collapsed="false">
      <c r="C49" s="2" t="s">
        <v>54</v>
      </c>
      <c r="F49" s="17" t="n">
        <v>0.9</v>
      </c>
      <c r="G49" s="17" t="n">
        <v>0.9</v>
      </c>
      <c r="H49" s="17" t="n">
        <v>0.9</v>
      </c>
      <c r="I49" s="17" t="n">
        <v>0.9</v>
      </c>
      <c r="J49" s="17" t="n">
        <v>0.9</v>
      </c>
      <c r="K49" s="17" t="n">
        <v>0.9</v>
      </c>
    </row>
    <row r="50" customFormat="false" ht="19.5" hidden="false" customHeight="true" outlineLevel="0" collapsed="false">
      <c r="C50" s="2" t="s">
        <v>55</v>
      </c>
      <c r="F50" s="17" t="n">
        <v>0.95</v>
      </c>
      <c r="G50" s="17" t="n">
        <v>0.95</v>
      </c>
      <c r="H50" s="17" t="n">
        <v>0.95</v>
      </c>
      <c r="I50" s="17" t="n">
        <v>0.95</v>
      </c>
      <c r="J50" s="17" t="n">
        <v>0.95</v>
      </c>
      <c r="K50" s="17" t="n">
        <v>0.95</v>
      </c>
    </row>
    <row r="51" customFormat="false" ht="19.5" hidden="false" customHeight="true" outlineLevel="0" collapsed="false">
      <c r="C51" s="2" t="s">
        <v>56</v>
      </c>
      <c r="F51" s="17" t="n">
        <v>0.97</v>
      </c>
      <c r="G51" s="17" t="n">
        <v>0.97</v>
      </c>
      <c r="H51" s="17" t="n">
        <v>0.97</v>
      </c>
      <c r="I51" s="17" t="n">
        <v>0.97</v>
      </c>
      <c r="J51" s="17" t="n">
        <v>0.97</v>
      </c>
      <c r="K51" s="17" t="n">
        <v>0.97</v>
      </c>
    </row>
    <row r="52" customFormat="false" ht="19.5" hidden="false" customHeight="true" outlineLevel="0" collapsed="false"/>
    <row r="53" customFormat="false" ht="19.5" hidden="false" customHeight="true" outlineLevel="0" collapsed="false">
      <c r="C53" s="2" t="s">
        <v>62</v>
      </c>
      <c r="F53" s="21" t="n">
        <f aca="false">IF(CHOOSE($D$4,COUNT(F54),COUNT(F55),COUNT(F56))=1,CHOOSE($D$4,F54,F55,F56),"N/D")</f>
        <v>0.9</v>
      </c>
      <c r="G53" s="21" t="n">
        <f aca="false">IF(CHOOSE($D$4,COUNT(G54),COUNT(G55),COUNT(G56))=1,CHOOSE($D$4,G54,G55,G56),"N/D")</f>
        <v>0.9</v>
      </c>
      <c r="H53" s="21" t="n">
        <f aca="false">IF(CHOOSE($D$4,COUNT(H54),COUNT(H55),COUNT(H56))=1,CHOOSE($D$4,H54,H55,H56),"N/D")</f>
        <v>0.9</v>
      </c>
      <c r="I53" s="21" t="n">
        <f aca="false">IF(CHOOSE($D$4,COUNT(I54),COUNT(I55),COUNT(I56))=1,CHOOSE($D$4,I54,I55,I56),"N/D")</f>
        <v>0.9</v>
      </c>
      <c r="J53" s="21" t="n">
        <f aca="false">IF(CHOOSE($D$4,COUNT(J54),COUNT(J55),COUNT(J56))=1,CHOOSE($D$4,J54,J55,J56),"N/D")</f>
        <v>0.9</v>
      </c>
      <c r="K53" s="21" t="n">
        <f aca="false">IF(CHOOSE($D$4,COUNT(K54),COUNT(K55),COUNT(K56))=1,CHOOSE($D$4,K54,K55,K56),"N/D")</f>
        <v>0.9</v>
      </c>
    </row>
    <row r="54" customFormat="false" ht="19.5" hidden="false" customHeight="true" outlineLevel="0" collapsed="false">
      <c r="C54" s="2" t="s">
        <v>54</v>
      </c>
      <c r="F54" s="17" t="n">
        <v>0.8</v>
      </c>
      <c r="G54" s="17" t="n">
        <v>0.8</v>
      </c>
      <c r="H54" s="17" t="n">
        <v>0.8</v>
      </c>
      <c r="I54" s="17" t="n">
        <v>0.8</v>
      </c>
      <c r="J54" s="17" t="n">
        <v>0.8</v>
      </c>
      <c r="K54" s="17" t="n">
        <v>0.8</v>
      </c>
    </row>
    <row r="55" customFormat="false" ht="19.5" hidden="false" customHeight="true" outlineLevel="0" collapsed="false">
      <c r="C55" s="2" t="s">
        <v>55</v>
      </c>
      <c r="F55" s="17" t="n">
        <v>0.9</v>
      </c>
      <c r="G55" s="17" t="n">
        <v>0.9</v>
      </c>
      <c r="H55" s="17" t="n">
        <v>0.9</v>
      </c>
      <c r="I55" s="17" t="n">
        <v>0.9</v>
      </c>
      <c r="J55" s="17" t="n">
        <v>0.9</v>
      </c>
      <c r="K55" s="17" t="n">
        <v>0.9</v>
      </c>
    </row>
    <row r="56" customFormat="false" ht="19.5" hidden="false" customHeight="true" outlineLevel="0" collapsed="false">
      <c r="C56" s="2" t="s">
        <v>56</v>
      </c>
      <c r="F56" s="17" t="n">
        <v>0.95</v>
      </c>
      <c r="G56" s="17" t="n">
        <v>0.95</v>
      </c>
      <c r="H56" s="17" t="n">
        <v>0.95</v>
      </c>
      <c r="I56" s="17" t="n">
        <v>0.95</v>
      </c>
      <c r="J56" s="17" t="n">
        <v>0.95</v>
      </c>
      <c r="K56" s="17" t="n">
        <v>0.95</v>
      </c>
    </row>
    <row r="57" customFormat="false" ht="19.5" hidden="false" customHeight="true" outlineLevel="0" collapsed="false"/>
    <row r="58" customFormat="false" ht="19.5" hidden="false" customHeight="true" outlineLevel="0" collapsed="false">
      <c r="C58" s="2" t="s">
        <v>63</v>
      </c>
      <c r="F58" s="21" t="n">
        <f aca="false">IF(CHOOSE($D$4,COUNT(F59),COUNT(F60),COUNT(F61))=1,CHOOSE($D$4,F59,F60,F61),"N/D")</f>
        <v>0.85</v>
      </c>
      <c r="G58" s="21" t="n">
        <f aca="false">IF(CHOOSE($D$4,COUNT(G59),COUNT(G60),COUNT(G61))=1,CHOOSE($D$4,G59,G60,G61),"N/D")</f>
        <v>0.85</v>
      </c>
      <c r="H58" s="21" t="n">
        <f aca="false">IF(CHOOSE($D$4,COUNT(H59),COUNT(H60),COUNT(H61))=1,CHOOSE($D$4,H59,H60,H61),"N/D")</f>
        <v>0.85</v>
      </c>
      <c r="I58" s="21" t="n">
        <f aca="false">IF(CHOOSE($D$4,COUNT(I59),COUNT(I60),COUNT(I61))=1,CHOOSE($D$4,I59,I60,I61),"N/D")</f>
        <v>0.85</v>
      </c>
      <c r="J58" s="21" t="n">
        <f aca="false">IF(CHOOSE($D$4,COUNT(J59),COUNT(J60),COUNT(J61))=1,CHOOSE($D$4,J59,J60,J61),"N/D")</f>
        <v>0.85</v>
      </c>
      <c r="K58" s="21" t="n">
        <f aca="false">IF(CHOOSE($D$4,COUNT(K59),COUNT(K60),COUNT(K61))=1,CHOOSE($D$4,K59,K60,K61),"N/D")</f>
        <v>0.85</v>
      </c>
    </row>
    <row r="59" customFormat="false" ht="19.5" hidden="false" customHeight="true" outlineLevel="0" collapsed="false">
      <c r="C59" s="2" t="s">
        <v>54</v>
      </c>
      <c r="F59" s="17" t="n">
        <v>0.7</v>
      </c>
      <c r="G59" s="17" t="n">
        <v>0.7</v>
      </c>
      <c r="H59" s="17" t="n">
        <v>0.7</v>
      </c>
      <c r="I59" s="17" t="n">
        <v>0.7</v>
      </c>
      <c r="J59" s="17" t="n">
        <v>0.7</v>
      </c>
      <c r="K59" s="17" t="n">
        <v>0.7</v>
      </c>
    </row>
    <row r="60" customFormat="false" ht="19.5" hidden="false" customHeight="true" outlineLevel="0" collapsed="false">
      <c r="C60" s="2" t="s">
        <v>55</v>
      </c>
      <c r="F60" s="17" t="n">
        <v>0.85</v>
      </c>
      <c r="G60" s="17" t="n">
        <v>0.85</v>
      </c>
      <c r="H60" s="17" t="n">
        <v>0.85</v>
      </c>
      <c r="I60" s="17" t="n">
        <v>0.85</v>
      </c>
      <c r="J60" s="17" t="n">
        <v>0.85</v>
      </c>
      <c r="K60" s="17" t="n">
        <v>0.85</v>
      </c>
    </row>
    <row r="61" customFormat="false" ht="19.5" hidden="false" customHeight="true" outlineLevel="0" collapsed="false">
      <c r="C61" s="2" t="s">
        <v>56</v>
      </c>
      <c r="F61" s="17" t="n">
        <v>0.92</v>
      </c>
      <c r="G61" s="17" t="n">
        <v>0.92</v>
      </c>
      <c r="H61" s="17" t="n">
        <v>0.92</v>
      </c>
      <c r="I61" s="17" t="n">
        <v>0.92</v>
      </c>
      <c r="J61" s="17" t="n">
        <v>0.92</v>
      </c>
      <c r="K61" s="17" t="n">
        <v>0.92</v>
      </c>
    </row>
    <row r="62" customFormat="false" ht="19.5" hidden="false" customHeight="true" outlineLevel="0" collapsed="false"/>
    <row r="63" customFormat="false" ht="19.5" hidden="false" customHeight="true" outlineLevel="0" collapsed="false">
      <c r="C63" s="2" t="s">
        <v>64</v>
      </c>
      <c r="F63" s="21" t="n">
        <f aca="false">IF(CHOOSE($D$4,COUNT(F64),COUNT(F65),COUNT(F66))=1,CHOOSE($D$4,F64,F65,F66),"N/D")</f>
        <v>0.7</v>
      </c>
      <c r="G63" s="21" t="n">
        <f aca="false">IF(CHOOSE($D$4,COUNT(G64),COUNT(G65),COUNT(G66))=1,CHOOSE($D$4,G64,G65,G66),"N/D")</f>
        <v>0.7</v>
      </c>
      <c r="H63" s="21" t="n">
        <f aca="false">IF(CHOOSE($D$4,COUNT(H64),COUNT(H65),COUNT(H66))=1,CHOOSE($D$4,H64,H65,H66),"N/D")</f>
        <v>0.7</v>
      </c>
      <c r="I63" s="21" t="n">
        <f aca="false">IF(CHOOSE($D$4,COUNT(I64),COUNT(I65),COUNT(I66))=1,CHOOSE($D$4,I64,I65,I66),"N/D")</f>
        <v>0.7</v>
      </c>
      <c r="J63" s="21" t="n">
        <f aca="false">IF(CHOOSE($D$4,COUNT(J64),COUNT(J65),COUNT(J66))=1,CHOOSE($D$4,J64,J65,J66),"N/D")</f>
        <v>0.7</v>
      </c>
      <c r="K63" s="21" t="n">
        <f aca="false">IF(CHOOSE($D$4,COUNT(K64),COUNT(K65),COUNT(K66))=1,CHOOSE($D$4,K64,K65,K66),"N/D")</f>
        <v>0.7</v>
      </c>
    </row>
    <row r="64" customFormat="false" ht="19.5" hidden="false" customHeight="true" outlineLevel="0" collapsed="false">
      <c r="C64" s="2" t="s">
        <v>54</v>
      </c>
      <c r="F64" s="17" t="n">
        <v>0.7</v>
      </c>
      <c r="G64" s="17" t="n">
        <v>0.7</v>
      </c>
      <c r="H64" s="17" t="n">
        <v>0.7</v>
      </c>
      <c r="I64" s="17" t="n">
        <v>0.7</v>
      </c>
      <c r="J64" s="17" t="n">
        <v>0.7</v>
      </c>
      <c r="K64" s="17" t="n">
        <v>0.7</v>
      </c>
    </row>
    <row r="65" customFormat="false" ht="19.5" hidden="false" customHeight="true" outlineLevel="0" collapsed="false">
      <c r="C65" s="2" t="s">
        <v>55</v>
      </c>
      <c r="F65" s="17" t="n">
        <v>0.7</v>
      </c>
      <c r="G65" s="17" t="n">
        <v>0.7</v>
      </c>
      <c r="H65" s="17" t="n">
        <v>0.7</v>
      </c>
      <c r="I65" s="17" t="n">
        <v>0.7</v>
      </c>
      <c r="J65" s="17" t="n">
        <v>0.7</v>
      </c>
      <c r="K65" s="17" t="n">
        <v>0.7</v>
      </c>
    </row>
    <row r="66" customFormat="false" ht="19.5" hidden="false" customHeight="true" outlineLevel="0" collapsed="false">
      <c r="C66" s="2" t="s">
        <v>56</v>
      </c>
      <c r="F66" s="17" t="n">
        <v>0.7</v>
      </c>
      <c r="G66" s="17" t="n">
        <v>0.7</v>
      </c>
      <c r="H66" s="17" t="n">
        <v>0.7</v>
      </c>
      <c r="I66" s="17" t="n">
        <v>0.7</v>
      </c>
      <c r="J66" s="17" t="n">
        <v>0.7</v>
      </c>
      <c r="K66" s="17" t="n">
        <v>0.7</v>
      </c>
    </row>
    <row r="67" customFormat="false" ht="19.5" hidden="false" customHeight="true" outlineLevel="0" collapsed="false"/>
    <row r="68" customFormat="false" ht="30" hidden="false" customHeight="true" outlineLevel="0" collapsed="false">
      <c r="C68" s="4" t="s">
        <v>65</v>
      </c>
      <c r="D68" s="4"/>
      <c r="E68" s="4"/>
      <c r="F68" s="4"/>
      <c r="G68" s="4"/>
      <c r="H68" s="4"/>
      <c r="I68" s="4"/>
      <c r="J68" s="4"/>
      <c r="K68" s="4"/>
    </row>
    <row r="69" customFormat="false" ht="30" hidden="false" customHeight="true" outlineLevel="0" collapsed="false">
      <c r="C69" s="4" t="s">
        <v>66</v>
      </c>
      <c r="D69" s="4"/>
      <c r="E69" s="4"/>
      <c r="F69" s="4"/>
      <c r="G69" s="4"/>
      <c r="H69" s="4"/>
      <c r="I69" s="4"/>
      <c r="J69" s="4"/>
      <c r="K69" s="4"/>
    </row>
    <row r="70" customFormat="false" ht="30" hidden="false" customHeight="true" outlineLevel="0" collapsed="false">
      <c r="C70" s="4" t="s">
        <v>67</v>
      </c>
      <c r="D70" s="4"/>
      <c r="E70" s="4"/>
      <c r="F70" s="4"/>
      <c r="G70" s="4"/>
      <c r="H70" s="4"/>
      <c r="I70" s="4"/>
      <c r="J70" s="4"/>
      <c r="K70" s="4"/>
    </row>
    <row r="71" customFormat="false" ht="30" hidden="false" customHeight="true" outlineLevel="0" collapsed="false">
      <c r="C71" s="4" t="s">
        <v>68</v>
      </c>
      <c r="D71" s="4"/>
      <c r="E71" s="4"/>
      <c r="F71" s="4"/>
      <c r="G71" s="4"/>
      <c r="H71" s="4"/>
      <c r="I71" s="4"/>
      <c r="J71" s="4"/>
      <c r="K71" s="4"/>
    </row>
    <row r="72" customFormat="false" ht="30" hidden="false" customHeight="true" outlineLevel="0" collapsed="false">
      <c r="C72" s="4" t="s">
        <v>69</v>
      </c>
      <c r="D72" s="4"/>
      <c r="E72" s="4"/>
      <c r="F72" s="4"/>
      <c r="G72" s="4"/>
      <c r="H72" s="4"/>
      <c r="I72" s="4"/>
      <c r="J72" s="4"/>
      <c r="K72" s="4"/>
    </row>
    <row r="73" customFormat="false" ht="30" hidden="false" customHeight="true" outlineLevel="0" collapsed="false">
      <c r="C73" s="4" t="s">
        <v>70</v>
      </c>
      <c r="D73" s="4"/>
      <c r="E73" s="4"/>
      <c r="F73" s="4"/>
      <c r="G73" s="4"/>
      <c r="H73" s="4"/>
      <c r="I73" s="4"/>
      <c r="J73" s="4"/>
      <c r="K73" s="4"/>
    </row>
  </sheetData>
  <mergeCells count="8">
    <mergeCell ref="C6:K6"/>
    <mergeCell ref="C12:K12"/>
    <mergeCell ref="C68:K68"/>
    <mergeCell ref="C69:K69"/>
    <mergeCell ref="C70:K70"/>
    <mergeCell ref="C71:K71"/>
    <mergeCell ref="C72:K72"/>
    <mergeCell ref="C73:K73"/>
  </mergeCells>
  <dataValidations count="3">
    <dataValidation allowBlank="false" error="Usa 1, 2 o 3" errorStyle="stop" operator="between" showDropDown="false" showErrorMessage="true" showInputMessage="false" sqref="D4" type="whole">
      <formula1>1</formula1>
      <formula2>3</formula2>
    </dataValidation>
    <dataValidation allowBlank="false" errorStyle="stop" operator="between" showDropDown="false" showErrorMessage="false" showInputMessage="false" sqref="D14" type="list">
      <formula1>"Sí,No"</formula1>
      <formula2>0</formula2>
    </dataValidation>
    <dataValidation allowBlank="false" errorStyle="stop" operator="between" showDropDown="false" showErrorMessage="false" showInputMessage="false" sqref="D16" type="list">
      <formula1>"Sí,No"</formula1>
      <formula2>0</formula2>
    </dataValidation>
  </dataValidations>
  <printOptions headings="false" gridLines="false" gridLinesSet="true" horizontalCentered="true" verticalCentered="false"/>
  <pageMargins left="0.25" right="0.25" top="0.3" bottom="0.3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C2:K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7" topLeftCell="F8" activePane="bottomRight" state="frozen"/>
      <selection pane="topLeft" activeCell="A1" activeCellId="0" sqref="A1"/>
      <selection pane="topRight" activeCell="F1" activeCellId="0" sqref="F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2"/>
    <col collapsed="false" customWidth="true" hidden="false" outlineLevel="0" max="3" min="3" style="0" width="40"/>
    <col collapsed="false" customWidth="true" hidden="false" outlineLevel="0" max="4" min="4" style="0" width="18"/>
    <col collapsed="false" customWidth="true" hidden="false" outlineLevel="0" max="5" min="5" style="0" width="3"/>
    <col collapsed="false" customWidth="true" hidden="false" outlineLevel="0" max="11" min="6" style="0" width="15"/>
  </cols>
  <sheetData>
    <row r="2" customFormat="false" ht="24.75" hidden="false" customHeight="true" outlineLevel="0" collapsed="false">
      <c r="C2" s="1" t="s">
        <v>71</v>
      </c>
    </row>
    <row r="4" customFormat="false" ht="15" hidden="false" customHeight="false" outlineLevel="0" collapsed="false">
      <c r="C4" s="2" t="s">
        <v>1</v>
      </c>
      <c r="D4" s="3" t="str">
        <f aca="false">Supuestos!D5</f>
        <v>Base</v>
      </c>
    </row>
    <row r="5" customFormat="false" ht="19.5" hidden="false" customHeight="true" outlineLevel="0" collapsed="false"/>
    <row r="6" customFormat="false" ht="19.5" hidden="false" customHeight="true" outlineLevel="0" collapsed="false"/>
    <row r="7" customFormat="false" ht="30" hidden="false" customHeight="true" outlineLevel="0" collapsed="false">
      <c r="C7" s="5" t="s">
        <v>72</v>
      </c>
      <c r="D7" s="5" t="s">
        <v>5</v>
      </c>
      <c r="E7" s="5"/>
      <c r="F7" s="5" t="s">
        <v>73</v>
      </c>
      <c r="G7" s="5" t="s">
        <v>74</v>
      </c>
      <c r="H7" s="5" t="s">
        <v>75</v>
      </c>
      <c r="I7" s="5" t="s">
        <v>76</v>
      </c>
      <c r="J7" s="5" t="s">
        <v>77</v>
      </c>
      <c r="K7" s="5" t="s">
        <v>78</v>
      </c>
    </row>
    <row r="8" customFormat="false" ht="19.5" hidden="false" customHeight="true" outlineLevel="0" collapsed="false">
      <c r="F8" s="22" t="n">
        <f aca="false">Supuestos!F18</f>
        <v>46388</v>
      </c>
      <c r="G8" s="22" t="n">
        <f aca="false">Supuestos!G18</f>
        <v>46419</v>
      </c>
      <c r="H8" s="22" t="n">
        <f aca="false">Supuestos!H18</f>
        <v>46447</v>
      </c>
      <c r="I8" s="22" t="n">
        <f aca="false">Supuestos!I18</f>
        <v>46478</v>
      </c>
      <c r="J8" s="22" t="n">
        <f aca="false">Supuestos!J18</f>
        <v>46508</v>
      </c>
      <c r="K8" s="22" t="n">
        <f aca="false">Supuestos!K18</f>
        <v>46539</v>
      </c>
    </row>
    <row r="9" customFormat="false" ht="19.5" hidden="false" customHeight="true" outlineLevel="0" collapsed="false">
      <c r="C9" s="2" t="s">
        <v>79</v>
      </c>
      <c r="D9" s="2" t="s">
        <v>80</v>
      </c>
      <c r="F9" s="23" t="n">
        <f aca="false">Supuestos!F43</f>
        <v>3900</v>
      </c>
      <c r="G9" s="23" t="n">
        <f aca="false">Supuestos!G43</f>
        <v>3900</v>
      </c>
      <c r="H9" s="23" t="n">
        <f aca="false">Supuestos!H43</f>
        <v>3900</v>
      </c>
      <c r="I9" s="23" t="n">
        <f aca="false">Supuestos!I43</f>
        <v>3900</v>
      </c>
      <c r="J9" s="23" t="n">
        <f aca="false">Supuestos!J43</f>
        <v>3900</v>
      </c>
      <c r="K9" s="23" t="n">
        <f aca="false">Supuestos!K43</f>
        <v>3900</v>
      </c>
    </row>
    <row r="10" customFormat="false" ht="19.5" hidden="false" customHeight="true" outlineLevel="0" collapsed="false">
      <c r="C10" s="2" t="s">
        <v>81</v>
      </c>
      <c r="D10" s="2" t="s">
        <v>16</v>
      </c>
      <c r="F10" s="24" t="n">
        <f aca="false">Supuestos!F28</f>
        <v>0.01</v>
      </c>
      <c r="G10" s="24" t="n">
        <f aca="false">Supuestos!G28</f>
        <v>0.01</v>
      </c>
      <c r="H10" s="24" t="n">
        <f aca="false">Supuestos!H28</f>
        <v>0.01</v>
      </c>
      <c r="I10" s="24" t="n">
        <f aca="false">Supuestos!I28</f>
        <v>0.01</v>
      </c>
      <c r="J10" s="24" t="n">
        <f aca="false">Supuestos!J28</f>
        <v>0.01</v>
      </c>
      <c r="K10" s="24" t="n">
        <f aca="false">Supuestos!K28</f>
        <v>0.01</v>
      </c>
    </row>
    <row r="11" customFormat="false" ht="19.5" hidden="false" customHeight="true" outlineLevel="0" collapsed="false">
      <c r="C11" s="2" t="s">
        <v>82</v>
      </c>
      <c r="D11" s="2" t="s">
        <v>16</v>
      </c>
      <c r="F11" s="24" t="n">
        <f aca="false">Supuestos!F23</f>
        <v>0.005</v>
      </c>
      <c r="G11" s="24" t="n">
        <f aca="false">Supuestos!G23</f>
        <v>0.015</v>
      </c>
      <c r="H11" s="24" t="n">
        <f aca="false">Supuestos!H23</f>
        <v>0.035</v>
      </c>
      <c r="I11" s="24" t="n">
        <f aca="false">Supuestos!I23</f>
        <v>0.06</v>
      </c>
      <c r="J11" s="24" t="n">
        <f aca="false">Supuestos!J23</f>
        <v>0.1</v>
      </c>
      <c r="K11" s="24" t="n">
        <f aca="false">Supuestos!K23</f>
        <v>0.15</v>
      </c>
    </row>
    <row r="12" customFormat="false" ht="19.5" hidden="false" customHeight="true" outlineLevel="0" collapsed="false">
      <c r="C12" s="2" t="s">
        <v>83</v>
      </c>
      <c r="D12" s="2" t="s">
        <v>7</v>
      </c>
      <c r="F12" s="18" t="n">
        <f aca="false">IF(COUNT(F15,F10)=2,F15*F10,"N/D")</f>
        <v>29.25</v>
      </c>
      <c r="G12" s="18" t="n">
        <f aca="false">IF(COUNT(G15,G10)=2,G15*G10,"N/D")</f>
        <v>29.25</v>
      </c>
      <c r="H12" s="18" t="n">
        <f aca="false">IF(COUNT(H15,H10)=2,H15*H10,"N/D")</f>
        <v>29.25</v>
      </c>
      <c r="I12" s="18" t="n">
        <f aca="false">IF(COUNT(I15,I10)=2,I15*I10,"N/D")</f>
        <v>29.25</v>
      </c>
      <c r="J12" s="18" t="n">
        <f aca="false">IF(COUNT(J15,J10)=2,J15*J10,"N/D")</f>
        <v>29.25</v>
      </c>
      <c r="K12" s="18" t="n">
        <f aca="false">IF(COUNT(K15,K10)=2,K15*K10,"N/D")</f>
        <v>29.25</v>
      </c>
    </row>
    <row r="13" customFormat="false" ht="19.5" hidden="false" customHeight="true" outlineLevel="0" collapsed="false">
      <c r="C13" s="2" t="s">
        <v>6</v>
      </c>
      <c r="D13" s="2" t="s">
        <v>7</v>
      </c>
      <c r="F13" s="18" t="n">
        <f aca="false">IF(COUNT(F15,F11)=2,F15*F11,"N/D")</f>
        <v>14.625</v>
      </c>
      <c r="G13" s="18" t="n">
        <f aca="false">IF(COUNT(G15,G11)=2,G15*G11,"N/D")</f>
        <v>43.875</v>
      </c>
      <c r="H13" s="18" t="n">
        <f aca="false">IF(COUNT(H15,H11)=2,H15*H11,"N/D")</f>
        <v>102.375</v>
      </c>
      <c r="I13" s="18" t="n">
        <f aca="false">IF(COUNT(I15,I11)=2,I15*I11,"N/D")</f>
        <v>175.5</v>
      </c>
      <c r="J13" s="18" t="n">
        <f aca="false">IF(COUNT(J15,J11)=2,J15*J11,"N/D")</f>
        <v>292.5</v>
      </c>
      <c r="K13" s="18" t="n">
        <f aca="false">IF(COUNT(K15,K11)=2,K15*K11,"N/D")</f>
        <v>438.75</v>
      </c>
    </row>
    <row r="14" customFormat="false" ht="19.5" hidden="false" customHeight="true" outlineLevel="0" collapsed="false">
      <c r="C14" s="2" t="s">
        <v>84</v>
      </c>
      <c r="D14" s="2" t="s">
        <v>7</v>
      </c>
      <c r="F14" s="18" t="n">
        <f aca="false">IF(COUNT(F12,F13)=2,SUM(F12:F13),"N/D")</f>
        <v>43.875</v>
      </c>
      <c r="G14" s="18" t="n">
        <f aca="false">IF(COUNT(G12,G13)=2,SUM(G12:G13),"N/D")</f>
        <v>73.125</v>
      </c>
      <c r="H14" s="18" t="n">
        <f aca="false">IF(COUNT(H12,H13)=2,SUM(H12:H13),"N/D")</f>
        <v>131.625</v>
      </c>
      <c r="I14" s="18" t="n">
        <f aca="false">IF(COUNT(I12,I13)=2,SUM(I12:I13),"N/D")</f>
        <v>204.75</v>
      </c>
      <c r="J14" s="18" t="n">
        <f aca="false">IF(COUNT(J12,J13)=2,SUM(J12:J13),"N/D")</f>
        <v>321.75</v>
      </c>
      <c r="K14" s="18" t="n">
        <f aca="false">IF(COUNT(K12,K13)=2,SUM(K12:K13),"N/D")</f>
        <v>468</v>
      </c>
    </row>
    <row r="15" customFormat="false" ht="19.5" hidden="false" customHeight="true" outlineLevel="0" collapsed="false">
      <c r="C15" s="2" t="s">
        <v>85</v>
      </c>
      <c r="D15" s="2" t="s">
        <v>80</v>
      </c>
      <c r="F15" s="23" t="n">
        <f aca="false">IF(COUNT(F9,Supuestos!$D$13)=2,F9*Supuestos!$D$13,"N/D")</f>
        <v>2925</v>
      </c>
      <c r="G15" s="23" t="n">
        <f aca="false">IF(COUNT(G9,Supuestos!$D$13)=2,G9*Supuestos!$D$13,"N/D")</f>
        <v>2925</v>
      </c>
      <c r="H15" s="23" t="n">
        <f aca="false">IF(COUNT(H9,Supuestos!$D$13)=2,H9*Supuestos!$D$13,"N/D")</f>
        <v>2925</v>
      </c>
      <c r="I15" s="23" t="n">
        <f aca="false">IF(COUNT(I9,Supuestos!$D$13)=2,I9*Supuestos!$D$13,"N/D")</f>
        <v>2925</v>
      </c>
      <c r="J15" s="23" t="n">
        <f aca="false">IF(COUNT(J9,Supuestos!$D$13)=2,J9*Supuestos!$D$13,"N/D")</f>
        <v>2925</v>
      </c>
      <c r="K15" s="23" t="n">
        <f aca="false">IF(COUNT(K9,Supuestos!$D$13)=2,K9*Supuestos!$D$13,"N/D")</f>
        <v>2925</v>
      </c>
    </row>
    <row r="16" customFormat="false" ht="19.5" hidden="false" customHeight="true" outlineLevel="0" collapsed="false">
      <c r="C16" s="2" t="s">
        <v>86</v>
      </c>
      <c r="D16" s="2" t="s">
        <v>16</v>
      </c>
      <c r="F16" s="24" t="n">
        <f aca="false">Supuestos!F33</f>
        <v>0.02</v>
      </c>
      <c r="G16" s="24" t="n">
        <f aca="false">Supuestos!G33</f>
        <v>0.02</v>
      </c>
      <c r="H16" s="24" t="n">
        <f aca="false">Supuestos!H33</f>
        <v>0.02</v>
      </c>
      <c r="I16" s="24" t="n">
        <f aca="false">Supuestos!I33</f>
        <v>0.02</v>
      </c>
      <c r="J16" s="24" t="n">
        <f aca="false">Supuestos!J33</f>
        <v>0.02</v>
      </c>
      <c r="K16" s="24" t="n">
        <f aca="false">Supuestos!K33</f>
        <v>0.02</v>
      </c>
    </row>
    <row r="17" customFormat="false" ht="19.5" hidden="false" customHeight="true" outlineLevel="0" collapsed="false">
      <c r="C17" s="2" t="s">
        <v>87</v>
      </c>
      <c r="D17" s="2" t="s">
        <v>9</v>
      </c>
      <c r="F17" s="18" t="n">
        <f aca="false">IF(COUNT(F12,F16)=2,F12*F16,"N/D")</f>
        <v>0.585</v>
      </c>
      <c r="G17" s="18" t="n">
        <f aca="false">IF(COUNT(G12,G16)=2,G12*G16,"N/D")</f>
        <v>0.585</v>
      </c>
      <c r="H17" s="18" t="n">
        <f aca="false">IF(COUNT(H12,H16)=2,H12*H16,"N/D")</f>
        <v>0.585</v>
      </c>
      <c r="I17" s="18" t="n">
        <f aca="false">IF(COUNT(I12,I16)=2,I12*I16,"N/D")</f>
        <v>0.585</v>
      </c>
      <c r="J17" s="18" t="n">
        <f aca="false">IF(COUNT(J12,J16)=2,J12*J16,"N/D")</f>
        <v>0.585</v>
      </c>
      <c r="K17" s="18" t="n">
        <f aca="false">IF(COUNT(K12,K16)=2,K12*K16,"N/D")</f>
        <v>0.585</v>
      </c>
    </row>
    <row r="18" customFormat="false" ht="19.5" hidden="false" customHeight="true" outlineLevel="0" collapsed="false">
      <c r="C18" s="2" t="s">
        <v>88</v>
      </c>
      <c r="D18" s="2" t="s">
        <v>9</v>
      </c>
      <c r="F18" s="18" t="n">
        <f aca="false">IF(COUNT(F14,F16)=2,F14*F16,"N/D")</f>
        <v>0.8775</v>
      </c>
      <c r="G18" s="18" t="n">
        <f aca="false">IF(COUNT(G14,G16)=2,G14*G16,"N/D")</f>
        <v>1.4625</v>
      </c>
      <c r="H18" s="18" t="n">
        <f aca="false">IF(COUNT(H14,H16)=2,H14*H16,"N/D")</f>
        <v>2.6325</v>
      </c>
      <c r="I18" s="18" t="n">
        <f aca="false">IF(COUNT(I14,I16)=2,I14*I16,"N/D")</f>
        <v>4.095</v>
      </c>
      <c r="J18" s="18" t="n">
        <f aca="false">IF(COUNT(J14,J16)=2,J14*J16,"N/D")</f>
        <v>6.435</v>
      </c>
      <c r="K18" s="18" t="n">
        <f aca="false">IF(COUNT(K14,K16)=2,K14*K16,"N/D")</f>
        <v>9.36</v>
      </c>
    </row>
    <row r="19" customFormat="false" ht="19.5" hidden="false" customHeight="true" outlineLevel="0" collapsed="false">
      <c r="C19" s="2" t="s">
        <v>8</v>
      </c>
      <c r="D19" s="2" t="s">
        <v>9</v>
      </c>
      <c r="F19" s="18" t="n">
        <f aca="false">IF(COUNT(F18,F17)=2,F18-F17,"N/D")</f>
        <v>0.2925</v>
      </c>
      <c r="G19" s="18" t="n">
        <f aca="false">IF(COUNT(G18,G17)=2,G18-G17,"N/D")</f>
        <v>0.8775</v>
      </c>
      <c r="H19" s="18" t="n">
        <f aca="false">IF(COUNT(H18,H17)=2,H18-H17,"N/D")</f>
        <v>2.0475</v>
      </c>
      <c r="I19" s="18" t="n">
        <f aca="false">IF(COUNT(I18,I17)=2,I18-I17,"N/D")</f>
        <v>3.51</v>
      </c>
      <c r="J19" s="18" t="n">
        <f aca="false">IF(COUNT(J18,J17)=2,J18-J17,"N/D")</f>
        <v>5.85</v>
      </c>
      <c r="K19" s="18" t="n">
        <f aca="false">IF(COUNT(K18,K17)=2,K18-K17,"N/D")</f>
        <v>8.775</v>
      </c>
    </row>
    <row r="20" customFormat="false" ht="19.5" hidden="false" customHeight="true" outlineLevel="0" collapsed="false">
      <c r="C20" s="2" t="s">
        <v>89</v>
      </c>
      <c r="D20" s="2" t="s">
        <v>16</v>
      </c>
      <c r="F20" s="24" t="n">
        <f aca="false">Supuestos!F38</f>
        <v>0.65</v>
      </c>
      <c r="G20" s="24" t="n">
        <f aca="false">Supuestos!G38</f>
        <v>0.65</v>
      </c>
      <c r="H20" s="24" t="n">
        <f aca="false">Supuestos!H38</f>
        <v>0.65</v>
      </c>
      <c r="I20" s="24" t="n">
        <f aca="false">Supuestos!I38</f>
        <v>0.65</v>
      </c>
      <c r="J20" s="24" t="n">
        <f aca="false">Supuestos!J38</f>
        <v>0.65</v>
      </c>
      <c r="K20" s="24" t="n">
        <f aca="false">Supuestos!K38</f>
        <v>0.65</v>
      </c>
    </row>
    <row r="21" customFormat="false" ht="19.5" hidden="false" customHeight="true" outlineLevel="0" collapsed="false">
      <c r="C21" s="2" t="s">
        <v>90</v>
      </c>
      <c r="D21" s="2" t="s">
        <v>9</v>
      </c>
      <c r="F21" s="18" t="n">
        <f aca="false">IF(COUNT(F17,F20)=2,F17*F20,"N/D")</f>
        <v>0.38025</v>
      </c>
      <c r="G21" s="18" t="n">
        <f aca="false">IF(COUNT(G17,G20)=2,G17*G20,"N/D")</f>
        <v>0.38025</v>
      </c>
      <c r="H21" s="18" t="n">
        <f aca="false">IF(COUNT(H17,H20)=2,H17*H20,"N/D")</f>
        <v>0.38025</v>
      </c>
      <c r="I21" s="18" t="n">
        <f aca="false">IF(COUNT(I17,I20)=2,I17*I20,"N/D")</f>
        <v>0.38025</v>
      </c>
      <c r="J21" s="18" t="n">
        <f aca="false">IF(COUNT(J17,J20)=2,J17*J20,"N/D")</f>
        <v>0.38025</v>
      </c>
      <c r="K21" s="18" t="n">
        <f aca="false">IF(COUNT(K17,K20)=2,K17*K20,"N/D")</f>
        <v>0.38025</v>
      </c>
    </row>
    <row r="22" customFormat="false" ht="19.5" hidden="false" customHeight="true" outlineLevel="0" collapsed="false">
      <c r="C22" s="2" t="s">
        <v>91</v>
      </c>
      <c r="D22" s="2" t="s">
        <v>9</v>
      </c>
      <c r="F22" s="18" t="n">
        <f aca="false">IF(COUNT(F18,F20)=2,F18*F20,"N/D")</f>
        <v>0.570375</v>
      </c>
      <c r="G22" s="18" t="n">
        <f aca="false">IF(COUNT(G18,G20)=2,G18*G20,"N/D")</f>
        <v>0.950625</v>
      </c>
      <c r="H22" s="18" t="n">
        <f aca="false">IF(COUNT(H18,H20)=2,H18*H20,"N/D")</f>
        <v>1.711125</v>
      </c>
      <c r="I22" s="18" t="n">
        <f aca="false">IF(COUNT(I18,I20)=2,I18*I20,"N/D")</f>
        <v>2.66175</v>
      </c>
      <c r="J22" s="18" t="n">
        <f aca="false">IF(COUNT(J18,J20)=2,J18*J20,"N/D")</f>
        <v>4.18275</v>
      </c>
      <c r="K22" s="18" t="n">
        <f aca="false">IF(COUNT(K18,K20)=2,K18*K20,"N/D")</f>
        <v>6.084</v>
      </c>
    </row>
    <row r="23" customFormat="false" ht="19.5" hidden="false" customHeight="true" outlineLevel="0" collapsed="false">
      <c r="C23" s="2" t="s">
        <v>92</v>
      </c>
      <c r="D23" s="2" t="s">
        <v>9</v>
      </c>
      <c r="F23" s="18" t="n">
        <f aca="false">IF(COUNT(F22,F21)=2,F22-F21,"N/D")</f>
        <v>0.190125</v>
      </c>
      <c r="G23" s="18" t="n">
        <f aca="false">IF(COUNT(G22,G21)=2,G22-G21,"N/D")</f>
        <v>0.570375</v>
      </c>
      <c r="H23" s="18" t="n">
        <f aca="false">IF(COUNT(H22,H21)=2,H22-H21,"N/D")</f>
        <v>1.330875</v>
      </c>
      <c r="I23" s="18" t="n">
        <f aca="false">IF(COUNT(I22,I21)=2,I22-I21,"N/D")</f>
        <v>2.2815</v>
      </c>
      <c r="J23" s="18" t="n">
        <f aca="false">IF(COUNT(J22,J21)=2,J22-J21,"N/D")</f>
        <v>3.8025</v>
      </c>
      <c r="K23" s="18" t="n">
        <f aca="false">IF(COUNT(K22,K21)=2,K22-K21,"N/D")</f>
        <v>5.70375</v>
      </c>
    </row>
    <row r="24" customFormat="false" ht="19.5" hidden="false" customHeight="true" outlineLevel="0" collapsed="false"/>
    <row r="25" customFormat="false" ht="19.5" hidden="false" customHeight="true" outlineLevel="0" collapsed="false">
      <c r="C25" s="2" t="s">
        <v>13</v>
      </c>
      <c r="D25" s="2" t="s">
        <v>12</v>
      </c>
      <c r="F25" s="25" t="n">
        <f aca="false">Cohortes!K15</f>
        <v>475.3125</v>
      </c>
      <c r="G25" s="25" t="n">
        <f aca="false">Cohortes!L15</f>
        <v>1877.484375</v>
      </c>
      <c r="H25" s="25" t="n">
        <f aca="false">Cohortes!M15</f>
        <v>5109.609375</v>
      </c>
      <c r="I25" s="25" t="n">
        <f aca="false">Cohortes!N15</f>
        <v>10551.9375</v>
      </c>
      <c r="J25" s="25" t="n">
        <f aca="false">Cohortes!O15</f>
        <v>19535.34375</v>
      </c>
      <c r="K25" s="25" t="n">
        <f aca="false">Cohortes!P15</f>
        <v>32867.859375</v>
      </c>
    </row>
    <row r="26" customFormat="false" ht="19.5" hidden="false" customHeight="true" outlineLevel="0" collapsed="false">
      <c r="C26" s="2" t="s">
        <v>93</v>
      </c>
      <c r="D26" s="2" t="s">
        <v>12</v>
      </c>
      <c r="F26" s="25" t="n">
        <f aca="false">IF(COUNT(F25,Supuestos!F63)=2,F25*Supuestos!F63,"N/D")</f>
        <v>332.71875</v>
      </c>
      <c r="G26" s="25" t="n">
        <f aca="false">IF(COUNT(G25,Supuestos!G63)=2,G25*Supuestos!G63,"N/D")</f>
        <v>1314.2390625</v>
      </c>
      <c r="H26" s="25" t="n">
        <f aca="false">IF(COUNT(H25,Supuestos!H63)=2,H25*Supuestos!H63,"N/D")</f>
        <v>3576.7265625</v>
      </c>
      <c r="I26" s="25" t="n">
        <f aca="false">IF(COUNT(I25,Supuestos!I63)=2,I25*Supuestos!I63,"N/D")</f>
        <v>7386.35625</v>
      </c>
      <c r="J26" s="25" t="n">
        <f aca="false">IF(COUNT(J25,Supuestos!J63)=2,J25*Supuestos!J63,"N/D")</f>
        <v>13674.740625</v>
      </c>
      <c r="K26" s="25" t="n">
        <f aca="false">IF(COUNT(K25,Supuestos!K63)=2,K25*Supuestos!K63,"N/D")</f>
        <v>23007.5015625</v>
      </c>
    </row>
    <row r="27" customFormat="false" ht="19.5" hidden="false" customHeight="true" outlineLevel="0" collapsed="false">
      <c r="C27" s="2" t="s">
        <v>94</v>
      </c>
      <c r="D27" s="2" t="s">
        <v>18</v>
      </c>
      <c r="F27" s="25" t="str">
        <f aca="false">IF(COUNT(Supuestos!F19)=1,Supuestos!F19,"N/D")</f>
        <v>N/D</v>
      </c>
      <c r="G27" s="25" t="str">
        <f aca="false">IF(COUNT(Supuestos!G19)=1,Supuestos!G19,"N/D")</f>
        <v>N/D</v>
      </c>
      <c r="H27" s="25" t="str">
        <f aca="false">IF(COUNT(Supuestos!H19)=1,Supuestos!H19,"N/D")</f>
        <v>N/D</v>
      </c>
      <c r="I27" s="25" t="str">
        <f aca="false">IF(COUNT(Supuestos!I19)=1,Supuestos!I19,"N/D")</f>
        <v>N/D</v>
      </c>
      <c r="J27" s="25" t="str">
        <f aca="false">IF(COUNT(Supuestos!J19)=1,Supuestos!J19,"N/D")</f>
        <v>N/D</v>
      </c>
      <c r="K27" s="25" t="str">
        <f aca="false">IF(COUNT(Supuestos!K19)=1,Supuestos!K19,"N/D")</f>
        <v>N/D</v>
      </c>
    </row>
    <row r="28" customFormat="false" ht="19.5" hidden="false" customHeight="true" outlineLevel="0" collapsed="false">
      <c r="C28" s="2" t="s">
        <v>95</v>
      </c>
      <c r="D28" s="2" t="s">
        <v>18</v>
      </c>
      <c r="F28" s="20" t="str">
        <f aca="false">IF(COUNT($F27:F27)=1,SUM($F27:F27),"N/D")</f>
        <v>N/D</v>
      </c>
      <c r="G28" s="20" t="str">
        <f aca="false">IF(COUNT($F27:G27)=2,SUM($F27:G27),"N/D")</f>
        <v>N/D</v>
      </c>
      <c r="H28" s="20" t="str">
        <f aca="false">IF(COUNT($F27:H27)=3,SUM($F27:H27),"N/D")</f>
        <v>N/D</v>
      </c>
      <c r="I28" s="20" t="str">
        <f aca="false">IF(COUNT($F27:I27)=4,SUM($F27:I27),"N/D")</f>
        <v>N/D</v>
      </c>
      <c r="J28" s="20" t="str">
        <f aca="false">IF(COUNT($F27:J27)=5,SUM($F27:J27),"N/D")</f>
        <v>N/D</v>
      </c>
      <c r="K28" s="20" t="str">
        <f aca="false">IF(COUNT($F27:K27)=6,SUM($F27:K27),"N/D")</f>
        <v>N/D</v>
      </c>
    </row>
    <row r="29" customFormat="false" ht="19.5" hidden="false" customHeight="true" outlineLevel="0" collapsed="false">
      <c r="C29" s="2" t="s">
        <v>96</v>
      </c>
      <c r="D29" s="2" t="s">
        <v>18</v>
      </c>
      <c r="F29" s="25" t="str">
        <f aca="false">IF(AND(Supuestos!$D$14="Sí",COUNT(Supuestos!$D$15,F26)=2),F26*Supuestos!$D$15/12,"N/D")</f>
        <v>N/D</v>
      </c>
      <c r="G29" s="25" t="str">
        <f aca="false">IF(AND(Supuestos!$D$14="Sí",COUNT(Supuestos!$D$15,G26)=2),G26*Supuestos!$D$15/12,"N/D")</f>
        <v>N/D</v>
      </c>
      <c r="H29" s="25" t="str">
        <f aca="false">IF(AND(Supuestos!$D$14="Sí",COUNT(Supuestos!$D$15,H26)=2),H26*Supuestos!$D$15/12,"N/D")</f>
        <v>N/D</v>
      </c>
      <c r="I29" s="25" t="str">
        <f aca="false">IF(AND(Supuestos!$D$14="Sí",COUNT(Supuestos!$D$15,I26)=2),I26*Supuestos!$D$15/12,"N/D")</f>
        <v>N/D</v>
      </c>
      <c r="J29" s="25" t="str">
        <f aca="false">IF(AND(Supuestos!$D$14="Sí",COUNT(Supuestos!$D$15,J26)=2),J26*Supuestos!$D$15/12,"N/D")</f>
        <v>N/D</v>
      </c>
      <c r="K29" s="25" t="str">
        <f aca="false">IF(AND(Supuestos!$D$14="Sí",COUNT(Supuestos!$D$15,K26)=2),K26*Supuestos!$D$15/12,"N/D")</f>
        <v>N/D</v>
      </c>
    </row>
    <row r="30" customFormat="false" ht="19.5" hidden="false" customHeight="true" outlineLevel="0" collapsed="false">
      <c r="C30" s="2" t="s">
        <v>97</v>
      </c>
      <c r="D30" s="2" t="s">
        <v>18</v>
      </c>
      <c r="F30" s="20" t="str">
        <f aca="false">IF(COUNT($F29:F29)=1,SUM($F29:F29),"N/D")</f>
        <v>N/D</v>
      </c>
      <c r="G30" s="20" t="str">
        <f aca="false">IF(COUNT($F29:G29)=2,SUM($F29:G29),"N/D")</f>
        <v>N/D</v>
      </c>
      <c r="H30" s="20" t="str">
        <f aca="false">IF(COUNT($F29:H29)=3,SUM($F29:H29),"N/D")</f>
        <v>N/D</v>
      </c>
      <c r="I30" s="20" t="str">
        <f aca="false">IF(COUNT($F29:I29)=4,SUM($F29:I29),"N/D")</f>
        <v>N/D</v>
      </c>
      <c r="J30" s="20" t="str">
        <f aca="false">IF(COUNT($F29:J29)=5,SUM($F29:J29),"N/D")</f>
        <v>N/D</v>
      </c>
      <c r="K30" s="20" t="str">
        <f aca="false">IF(COUNT($F29:K29)=6,SUM($F29:K29),"N/D")</f>
        <v>N/D</v>
      </c>
    </row>
    <row r="31" customFormat="false" ht="19.5" hidden="false" customHeight="true" outlineLevel="0" collapsed="false">
      <c r="C31" s="2" t="s">
        <v>98</v>
      </c>
      <c r="D31" s="2" t="s">
        <v>16</v>
      </c>
      <c r="F31" s="26" t="str">
        <f aca="false">IF(AND(Supuestos!$D$14="Sí",Supuestos!$D$16="Sí",COUNT(F28,F30)=2,F28&gt;0),(F30-F28)/F28,"N/D")</f>
        <v>N/D</v>
      </c>
      <c r="G31" s="26" t="str">
        <f aca="false">IF(AND(Supuestos!$D$14="Sí",Supuestos!$D$16="Sí",COUNT(G28,G30)=2,G28&gt;0),(G30-G28)/G28,"N/D")</f>
        <v>N/D</v>
      </c>
      <c r="H31" s="26" t="str">
        <f aca="false">IF(AND(Supuestos!$D$14="Sí",Supuestos!$D$16="Sí",COUNT(H28,H30)=2,H28&gt;0),(H30-H28)/H28,"N/D")</f>
        <v>N/D</v>
      </c>
      <c r="I31" s="26" t="str">
        <f aca="false">IF(AND(Supuestos!$D$14="Sí",Supuestos!$D$16="Sí",COUNT(I28,I30)=2,I28&gt;0),(I30-I28)/I28,"N/D")</f>
        <v>N/D</v>
      </c>
      <c r="J31" s="26" t="str">
        <f aca="false">IF(AND(Supuestos!$D$14="Sí",Supuestos!$D$16="Sí",COUNT(J28,J30)=2,J28&gt;0),(J30-J28)/J28,"N/D")</f>
        <v>N/D</v>
      </c>
      <c r="K31" s="26" t="str">
        <f aca="false">IF(AND(Supuestos!$D$14="Sí",Supuestos!$D$16="Sí",COUNT(K28,K30)=2,K28&gt;0),(K30-K28)/K28,"N/D")</f>
        <v>N/D</v>
      </c>
    </row>
    <row r="32" customFormat="false" ht="19.5" hidden="false" customHeight="true" outlineLevel="0" collapsed="false">
      <c r="C32" s="2" t="s">
        <v>99</v>
      </c>
      <c r="D32" s="2" t="s">
        <v>18</v>
      </c>
      <c r="F32" s="25" t="str">
        <f aca="false">IF(AND(Supuestos!$D$14="Sí",Supuestos!$D$16="Sí",COUNT(F28,F30)=2,F28&gt;0),F30-F28,"N/D")</f>
        <v>N/D</v>
      </c>
      <c r="G32" s="25" t="str">
        <f aca="false">IF(AND(Supuestos!$D$14="Sí",Supuestos!$D$16="Sí",COUNT(G28,G30)=2,G28&gt;0),G30-G28,"N/D")</f>
        <v>N/D</v>
      </c>
      <c r="H32" s="25" t="str">
        <f aca="false">IF(AND(Supuestos!$D$14="Sí",Supuestos!$D$16="Sí",COUNT(H28,H30)=2,H28&gt;0),H30-H28,"N/D")</f>
        <v>N/D</v>
      </c>
      <c r="I32" s="25" t="str">
        <f aca="false">IF(AND(Supuestos!$D$14="Sí",Supuestos!$D$16="Sí",COUNT(I28,I30)=2,I28&gt;0),I30-I28,"N/D")</f>
        <v>N/D</v>
      </c>
      <c r="J32" s="25" t="str">
        <f aca="false">IF(AND(Supuestos!$D$14="Sí",Supuestos!$D$16="Sí",COUNT(J28,J30)=2,J28&gt;0),J30-J28,"N/D")</f>
        <v>N/D</v>
      </c>
      <c r="K32" s="25" t="str">
        <f aca="false">IF(AND(Supuestos!$D$14="Sí",Supuestos!$D$16="Sí",COUNT(K28,K30)=2,K28&gt;0),K30-K28,"N/D")</f>
        <v>N/D</v>
      </c>
    </row>
    <row r="33" customFormat="false" ht="19.5" hidden="false" customHeight="true" outlineLevel="0" collapsed="false"/>
    <row r="34" customFormat="false" ht="19.5" hidden="false" customHeight="true" outlineLevel="0" collapsed="false">
      <c r="C34" s="2" t="s">
        <v>100</v>
      </c>
      <c r="D34" s="2" t="s">
        <v>101</v>
      </c>
      <c r="F34" s="18" t="str">
        <f aca="false">IF(COUNT(F32)=1,IF(F32&gt;=0,1,0),"N/D")</f>
        <v>N/D</v>
      </c>
      <c r="G34" s="18" t="str">
        <f aca="false">IF(COUNT(G32)=1,IF(G32&gt;=0,1,0),"N/D")</f>
        <v>N/D</v>
      </c>
      <c r="H34" s="18" t="str">
        <f aca="false">IF(COUNT(H32)=1,IF(H32&gt;=0,1,0),"N/D")</f>
        <v>N/D</v>
      </c>
      <c r="I34" s="18" t="str">
        <f aca="false">IF(COUNT(I32)=1,IF(I32&gt;=0,1,0),"N/D")</f>
        <v>N/D</v>
      </c>
      <c r="J34" s="18" t="str">
        <f aca="false">IF(COUNT(J32)=1,IF(J32&gt;=0,1,0),"N/D")</f>
        <v>N/D</v>
      </c>
      <c r="K34" s="18" t="str">
        <f aca="false">IF(COUNT(K32)=1,IF(K32&gt;=0,1,0),"N/D")</f>
        <v>N/D</v>
      </c>
    </row>
    <row r="35" customFormat="false" ht="19.5" hidden="false" customHeight="true" outlineLevel="0" collapsed="false"/>
    <row r="36" customFormat="false" ht="30" hidden="false" customHeight="true" outlineLevel="0" collapsed="false">
      <c r="C36" s="4" t="s">
        <v>102</v>
      </c>
      <c r="D36" s="4"/>
      <c r="E36" s="4"/>
      <c r="F36" s="4"/>
      <c r="G36" s="4"/>
      <c r="H36" s="4"/>
      <c r="I36" s="4"/>
      <c r="J36" s="4"/>
      <c r="K36" s="4"/>
    </row>
    <row r="37" customFormat="false" ht="30" hidden="false" customHeight="true" outlineLevel="0" collapsed="false">
      <c r="C37" s="4" t="s">
        <v>103</v>
      </c>
      <c r="D37" s="4"/>
      <c r="E37" s="4"/>
      <c r="F37" s="4"/>
      <c r="G37" s="4"/>
      <c r="H37" s="4"/>
      <c r="I37" s="4"/>
      <c r="J37" s="4"/>
      <c r="K37" s="4"/>
    </row>
  </sheetData>
  <mergeCells count="2">
    <mergeCell ref="C36:K36"/>
    <mergeCell ref="C37:K37"/>
  </mergeCells>
  <printOptions headings="false" gridLines="false" gridLinesSet="true" horizontalCentered="true" verticalCentered="false"/>
  <pageMargins left="0.25" right="0.25" top="0.3" bottom="0.3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C2:P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7" topLeftCell="F8" activePane="bottomRight" state="frozen"/>
      <selection pane="topLeft" activeCell="A1" activeCellId="0" sqref="A1"/>
      <selection pane="topRight" activeCell="F1" activeCellId="0" sqref="F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2"/>
    <col collapsed="false" customWidth="true" hidden="false" outlineLevel="0" max="5" min="3" style="0" width="16"/>
    <col collapsed="false" customWidth="true" hidden="false" outlineLevel="0" max="16" min="6" style="0" width="14"/>
  </cols>
  <sheetData>
    <row r="2" customFormat="false" ht="24.75" hidden="false" customHeight="true" outlineLevel="0" collapsed="false">
      <c r="C2" s="1" t="s">
        <v>104</v>
      </c>
    </row>
    <row r="4" customFormat="false" ht="15" hidden="false" customHeight="false" outlineLevel="0" collapsed="false">
      <c r="C4" s="2" t="s">
        <v>1</v>
      </c>
      <c r="D4" s="3" t="str">
        <f aca="false">Supuestos!D5</f>
        <v>Base</v>
      </c>
    </row>
    <row r="5" customFormat="false" ht="19.5" hidden="false" customHeight="true" outlineLevel="0" collapsed="false"/>
    <row r="6" customFormat="false" ht="19.5" hidden="false" customHeight="true" outlineLevel="0" collapsed="false"/>
    <row r="7" customFormat="false" ht="30" hidden="false" customHeight="true" outlineLevel="0" collapsed="false">
      <c r="C7" s="5" t="s">
        <v>105</v>
      </c>
      <c r="D7" s="5" t="s">
        <v>106</v>
      </c>
      <c r="E7" s="5" t="s">
        <v>107</v>
      </c>
      <c r="F7" s="5" t="s">
        <v>108</v>
      </c>
      <c r="G7" s="5" t="s">
        <v>109</v>
      </c>
      <c r="H7" s="5" t="s">
        <v>110</v>
      </c>
      <c r="I7" s="5"/>
      <c r="J7" s="5"/>
      <c r="K7" s="5" t="s">
        <v>111</v>
      </c>
      <c r="L7" s="5" t="s">
        <v>112</v>
      </c>
      <c r="M7" s="5" t="s">
        <v>113</v>
      </c>
      <c r="N7" s="5" t="s">
        <v>114</v>
      </c>
      <c r="O7" s="5" t="s">
        <v>115</v>
      </c>
      <c r="P7" s="5" t="s">
        <v>116</v>
      </c>
    </row>
    <row r="8" customFormat="false" ht="19.5" hidden="false" customHeight="true" outlineLevel="0" collapsed="false">
      <c r="C8" s="22" t="n">
        <f aca="false">Supuestos!F18</f>
        <v>46388</v>
      </c>
      <c r="D8" s="23" t="n">
        <f aca="false">Mensual!F23</f>
        <v>0.190125</v>
      </c>
      <c r="E8" s="25" t="n">
        <f aca="false">IF(COUNT(Supuestos!$D$10)=1,Supuestos!$D$10,"N/D")</f>
        <v>2500</v>
      </c>
      <c r="F8" s="26" t="n">
        <f aca="false">Supuestos!F48</f>
        <v>0.95</v>
      </c>
      <c r="G8" s="26" t="n">
        <f aca="false">Supuestos!F53</f>
        <v>0.9</v>
      </c>
      <c r="H8" s="26" t="n">
        <f aca="false">Supuestos!F58</f>
        <v>0.85</v>
      </c>
      <c r="K8" s="20" t="n">
        <f aca="false">IF(COUNT($D8,$E8)=2,$D8*$E8,"N/D")</f>
        <v>475.3125</v>
      </c>
      <c r="L8" s="20" t="n">
        <f aca="false">IF(COUNT($D8,$E8,$F8)=3,$D8*$E8*$F8,"N/D")</f>
        <v>451.546875</v>
      </c>
      <c r="M8" s="20" t="n">
        <f aca="false">IF(COUNT($D8,$E8,$G8)=3,$D8*$E8*$G8,"N/D")</f>
        <v>427.78125</v>
      </c>
      <c r="N8" s="20" t="n">
        <f aca="false">IF(COUNT($D8,$E8,$H8)=3,$D8*$E8*$H8,"N/D")</f>
        <v>404.015625</v>
      </c>
      <c r="O8" s="20" t="n">
        <f aca="false">IF(COUNT($D8,$E8,$H8)=3,$D8*$E8*$H8,"N/D")</f>
        <v>404.015625</v>
      </c>
      <c r="P8" s="20" t="n">
        <f aca="false">IF(COUNT($D8,$E8,$H8)=3,$D8*$E8*$H8,"N/D")</f>
        <v>404.015625</v>
      </c>
    </row>
    <row r="9" customFormat="false" ht="19.5" hidden="false" customHeight="true" outlineLevel="0" collapsed="false">
      <c r="C9" s="22" t="n">
        <f aca="false">Supuestos!G18</f>
        <v>46419</v>
      </c>
      <c r="D9" s="23" t="n">
        <f aca="false">Mensual!G23</f>
        <v>0.570375</v>
      </c>
      <c r="E9" s="25" t="n">
        <f aca="false">IF(COUNT(Supuestos!$D$10)=1,Supuestos!$D$10,"N/D")</f>
        <v>2500</v>
      </c>
      <c r="F9" s="26" t="n">
        <f aca="false">Supuestos!G48</f>
        <v>0.95</v>
      </c>
      <c r="G9" s="26" t="n">
        <f aca="false">Supuestos!G53</f>
        <v>0.9</v>
      </c>
      <c r="H9" s="26" t="n">
        <f aca="false">Supuestos!G58</f>
        <v>0.85</v>
      </c>
      <c r="K9" s="20" t="n">
        <f aca="false">0</f>
        <v>0</v>
      </c>
      <c r="L9" s="20" t="n">
        <f aca="false">IF(COUNT($D9,$E9)=2,$D9*$E9,"N/D")</f>
        <v>1425.9375</v>
      </c>
      <c r="M9" s="20" t="n">
        <f aca="false">IF(COUNT($D9,$E9,$F9)=3,$D9*$E9*$F9,"N/D")</f>
        <v>1354.640625</v>
      </c>
      <c r="N9" s="20" t="n">
        <f aca="false">IF(COUNT($D9,$E9,$G9)=3,$D9*$E9*$G9,"N/D")</f>
        <v>1283.34375</v>
      </c>
      <c r="O9" s="20" t="n">
        <f aca="false">IF(COUNT($D9,$E9,$H9)=3,$D9*$E9*$H9,"N/D")</f>
        <v>1212.046875</v>
      </c>
      <c r="P9" s="20" t="n">
        <f aca="false">IF(COUNT($D9,$E9,$H9)=3,$D9*$E9*$H9,"N/D")</f>
        <v>1212.046875</v>
      </c>
    </row>
    <row r="10" customFormat="false" ht="19.5" hidden="false" customHeight="true" outlineLevel="0" collapsed="false">
      <c r="C10" s="22" t="n">
        <f aca="false">Supuestos!H18</f>
        <v>46447</v>
      </c>
      <c r="D10" s="23" t="n">
        <f aca="false">Mensual!H23</f>
        <v>1.330875</v>
      </c>
      <c r="E10" s="25" t="n">
        <f aca="false">IF(COUNT(Supuestos!$D$10)=1,Supuestos!$D$10,"N/D")</f>
        <v>2500</v>
      </c>
      <c r="F10" s="26" t="n">
        <f aca="false">Supuestos!H48</f>
        <v>0.95</v>
      </c>
      <c r="G10" s="26" t="n">
        <f aca="false">Supuestos!H53</f>
        <v>0.9</v>
      </c>
      <c r="H10" s="26" t="n">
        <f aca="false">Supuestos!H58</f>
        <v>0.85</v>
      </c>
      <c r="K10" s="20" t="n">
        <f aca="false">0</f>
        <v>0</v>
      </c>
      <c r="L10" s="20" t="n">
        <f aca="false">0</f>
        <v>0</v>
      </c>
      <c r="M10" s="20" t="n">
        <f aca="false">IF(COUNT($D10,$E10)=2,$D10*$E10,"N/D")</f>
        <v>3327.1875</v>
      </c>
      <c r="N10" s="20" t="n">
        <f aca="false">IF(COUNT($D10,$E10,$F10)=3,$D10*$E10*$F10,"N/D")</f>
        <v>3160.828125</v>
      </c>
      <c r="O10" s="20" t="n">
        <f aca="false">IF(COUNT($D10,$E10,$G10)=3,$D10*$E10*$G10,"N/D")</f>
        <v>2994.46875</v>
      </c>
      <c r="P10" s="20" t="n">
        <f aca="false">IF(COUNT($D10,$E10,$H10)=3,$D10*$E10*$H10,"N/D")</f>
        <v>2828.109375</v>
      </c>
    </row>
    <row r="11" customFormat="false" ht="19.5" hidden="false" customHeight="true" outlineLevel="0" collapsed="false">
      <c r="C11" s="22" t="n">
        <f aca="false">Supuestos!I18</f>
        <v>46478</v>
      </c>
      <c r="D11" s="23" t="n">
        <f aca="false">Mensual!I23</f>
        <v>2.2815</v>
      </c>
      <c r="E11" s="25" t="n">
        <f aca="false">IF(COUNT(Supuestos!$D$10)=1,Supuestos!$D$10,"N/D")</f>
        <v>2500</v>
      </c>
      <c r="F11" s="26" t="n">
        <f aca="false">Supuestos!I48</f>
        <v>0.95</v>
      </c>
      <c r="G11" s="26" t="n">
        <f aca="false">Supuestos!I53</f>
        <v>0.9</v>
      </c>
      <c r="H11" s="26" t="n">
        <f aca="false">Supuestos!I58</f>
        <v>0.85</v>
      </c>
      <c r="K11" s="20" t="n">
        <f aca="false">0</f>
        <v>0</v>
      </c>
      <c r="L11" s="20" t="n">
        <f aca="false">0</f>
        <v>0</v>
      </c>
      <c r="M11" s="20" t="n">
        <f aca="false">0</f>
        <v>0</v>
      </c>
      <c r="N11" s="20" t="n">
        <f aca="false">IF(COUNT($D11,$E11)=2,$D11*$E11,"N/D")</f>
        <v>5703.75</v>
      </c>
      <c r="O11" s="20" t="n">
        <f aca="false">IF(COUNT($D11,$E11,$F11)=3,$D11*$E11*$F11,"N/D")</f>
        <v>5418.5625</v>
      </c>
      <c r="P11" s="20" t="n">
        <f aca="false">IF(COUNT($D11,$E11,$G11)=3,$D11*$E11*$G11,"N/D")</f>
        <v>5133.375</v>
      </c>
    </row>
    <row r="12" customFormat="false" ht="19.5" hidden="false" customHeight="true" outlineLevel="0" collapsed="false">
      <c r="C12" s="22" t="n">
        <f aca="false">Supuestos!J18</f>
        <v>46508</v>
      </c>
      <c r="D12" s="23" t="n">
        <f aca="false">Mensual!J23</f>
        <v>3.8025</v>
      </c>
      <c r="E12" s="25" t="n">
        <f aca="false">IF(COUNT(Supuestos!$D$10)=1,Supuestos!$D$10,"N/D")</f>
        <v>2500</v>
      </c>
      <c r="F12" s="26" t="n">
        <f aca="false">Supuestos!J48</f>
        <v>0.95</v>
      </c>
      <c r="G12" s="26" t="n">
        <f aca="false">Supuestos!J53</f>
        <v>0.9</v>
      </c>
      <c r="H12" s="26" t="n">
        <f aca="false">Supuestos!J58</f>
        <v>0.85</v>
      </c>
      <c r="K12" s="20" t="n">
        <f aca="false">0</f>
        <v>0</v>
      </c>
      <c r="L12" s="20" t="n">
        <f aca="false">0</f>
        <v>0</v>
      </c>
      <c r="M12" s="20" t="n">
        <f aca="false">0</f>
        <v>0</v>
      </c>
      <c r="N12" s="20" t="n">
        <f aca="false">0</f>
        <v>0</v>
      </c>
      <c r="O12" s="20" t="n">
        <f aca="false">IF(COUNT($D12,$E12)=2,$D12*$E12,"N/D")</f>
        <v>9506.25</v>
      </c>
      <c r="P12" s="20" t="n">
        <f aca="false">IF(COUNT($D12,$E12,$F12)=3,$D12*$E12*$F12,"N/D")</f>
        <v>9030.9375</v>
      </c>
    </row>
    <row r="13" customFormat="false" ht="19.5" hidden="false" customHeight="true" outlineLevel="0" collapsed="false">
      <c r="C13" s="22" t="n">
        <f aca="false">Supuestos!K18</f>
        <v>46539</v>
      </c>
      <c r="D13" s="23" t="n">
        <f aca="false">Mensual!K23</f>
        <v>5.70375</v>
      </c>
      <c r="E13" s="25" t="n">
        <f aca="false">IF(COUNT(Supuestos!$D$10)=1,Supuestos!$D$10,"N/D")</f>
        <v>2500</v>
      </c>
      <c r="F13" s="26" t="n">
        <f aca="false">Supuestos!K48</f>
        <v>0.95</v>
      </c>
      <c r="G13" s="26" t="n">
        <f aca="false">Supuestos!K53</f>
        <v>0.9</v>
      </c>
      <c r="H13" s="26" t="n">
        <f aca="false">Supuestos!K58</f>
        <v>0.85</v>
      </c>
      <c r="K13" s="20" t="n">
        <f aca="false">0</f>
        <v>0</v>
      </c>
      <c r="L13" s="20" t="n">
        <f aca="false">0</f>
        <v>0</v>
      </c>
      <c r="M13" s="20" t="n">
        <f aca="false">0</f>
        <v>0</v>
      </c>
      <c r="N13" s="20" t="n">
        <f aca="false">0</f>
        <v>0</v>
      </c>
      <c r="O13" s="20" t="n">
        <f aca="false">0</f>
        <v>0</v>
      </c>
      <c r="P13" s="20" t="n">
        <f aca="false">IF(COUNT($D13,$E13)=2,$D13*$E13,"N/D")</f>
        <v>14259.375</v>
      </c>
    </row>
    <row r="14" customFormat="false" ht="19.5" hidden="false" customHeight="true" outlineLevel="0" collapsed="false"/>
    <row r="15" customFormat="false" ht="19.5" hidden="false" customHeight="true" outlineLevel="0" collapsed="false">
      <c r="C15" s="2" t="s">
        <v>29</v>
      </c>
      <c r="K15" s="20" t="n">
        <f aca="false">IF(COUNT(K8:K13)=6,SUM(K8:K13),"N/D")</f>
        <v>475.3125</v>
      </c>
      <c r="L15" s="20" t="n">
        <f aca="false">IF(COUNT(L8:L13)=6,SUM(L8:L13),"N/D")</f>
        <v>1877.484375</v>
      </c>
      <c r="M15" s="20" t="n">
        <f aca="false">IF(COUNT(M8:M13)=6,SUM(M8:M13),"N/D")</f>
        <v>5109.609375</v>
      </c>
      <c r="N15" s="20" t="n">
        <f aca="false">IF(COUNT(N8:N13)=6,SUM(N8:N13),"N/D")</f>
        <v>10551.9375</v>
      </c>
      <c r="O15" s="20" t="n">
        <f aca="false">IF(COUNT(O8:O13)=6,SUM(O8:O13),"N/D")</f>
        <v>19535.34375</v>
      </c>
      <c r="P15" s="20" t="n">
        <f aca="false">IF(COUNT(P8:P13)=6,SUM(P8:P13),"N/D")</f>
        <v>32867.859375</v>
      </c>
    </row>
    <row r="16" customFormat="false" ht="19.5" hidden="false" customHeight="true" outlineLevel="0" collapsed="false"/>
    <row r="17" customFormat="false" ht="19.5" hidden="false" customHeight="true" outlineLevel="0" collapsed="false"/>
    <row r="18" customFormat="false" ht="30" hidden="false" customHeight="true" outlineLevel="0" collapsed="false">
      <c r="C18" s="4" t="s">
        <v>117</v>
      </c>
      <c r="D18" s="4"/>
      <c r="E18" s="4"/>
      <c r="F18" s="4"/>
      <c r="G18" s="4"/>
      <c r="H18" s="4"/>
      <c r="I18" s="4"/>
      <c r="J18" s="4"/>
      <c r="K18" s="4"/>
    </row>
    <row r="19" customFormat="false" ht="19.5" hidden="false" customHeight="true" outlineLevel="0" collapsed="false"/>
    <row r="20" customFormat="false" ht="19.5" hidden="false" customHeight="true" outlineLevel="0" collapsed="false"/>
    <row r="21" customFormat="false" ht="30" hidden="false" customHeight="true" outlineLevel="0" collapsed="false">
      <c r="C21" s="5" t="s">
        <v>105</v>
      </c>
      <c r="D21" s="5" t="s">
        <v>118</v>
      </c>
      <c r="E21" s="5" t="s">
        <v>119</v>
      </c>
      <c r="F21" s="5" t="s">
        <v>120</v>
      </c>
      <c r="G21" s="5" t="s">
        <v>121</v>
      </c>
    </row>
    <row r="22" customFormat="false" ht="19.5" hidden="false" customHeight="true" outlineLevel="0" collapsed="false">
      <c r="C22" s="19" t="n">
        <f aca="false">C8</f>
        <v>46388</v>
      </c>
      <c r="D22" s="18" t="n">
        <f aca="false">D8</f>
        <v>0.190125</v>
      </c>
      <c r="E22" s="20" t="n">
        <f aca="false">IF(COUNT($D8,$E8,$F8)=3,$D8*$E8*$F8,"N/D")</f>
        <v>451.546875</v>
      </c>
      <c r="F22" s="20" t="n">
        <f aca="false">IF(COUNT($D8,$E8,$G8)=3,$D8*$E8*$G8,"N/D")</f>
        <v>427.78125</v>
      </c>
      <c r="G22" s="20" t="n">
        <f aca="false">IF(COUNT($D8,$E8,$H8)=3,$D8*$E8*$H8,"N/D")</f>
        <v>404.015625</v>
      </c>
    </row>
    <row r="23" customFormat="false" ht="19.5" hidden="false" customHeight="true" outlineLevel="0" collapsed="false">
      <c r="C23" s="19" t="n">
        <f aca="false">C9</f>
        <v>46419</v>
      </c>
      <c r="D23" s="18" t="n">
        <f aca="false">D9</f>
        <v>0.570375</v>
      </c>
      <c r="E23" s="20" t="n">
        <f aca="false">IF(COUNT($D9,$E9,$F9)=3,$D9*$E9*$F9,"N/D")</f>
        <v>1354.640625</v>
      </c>
      <c r="F23" s="20" t="n">
        <f aca="false">IF(COUNT($D9,$E9,$G9)=3,$D9*$E9*$G9,"N/D")</f>
        <v>1283.34375</v>
      </c>
      <c r="G23" s="20" t="n">
        <f aca="false">IF(COUNT($D9,$E9,$H9)=3,$D9*$E9*$H9,"N/D")</f>
        <v>1212.046875</v>
      </c>
    </row>
    <row r="24" customFormat="false" ht="19.5" hidden="false" customHeight="true" outlineLevel="0" collapsed="false">
      <c r="C24" s="19" t="n">
        <f aca="false">C10</f>
        <v>46447</v>
      </c>
      <c r="D24" s="18" t="n">
        <f aca="false">D10</f>
        <v>1.330875</v>
      </c>
      <c r="E24" s="20" t="n">
        <f aca="false">IF(COUNT($D10,$E10,$F10)=3,$D10*$E10*$F10,"N/D")</f>
        <v>3160.828125</v>
      </c>
      <c r="F24" s="20" t="n">
        <f aca="false">IF(COUNT($D10,$E10,$G10)=3,$D10*$E10*$G10,"N/D")</f>
        <v>2994.46875</v>
      </c>
      <c r="G24" s="20" t="n">
        <f aca="false">IF(COUNT($D10,$E10,$H10)=3,$D10*$E10*$H10,"N/D")</f>
        <v>2828.109375</v>
      </c>
    </row>
    <row r="25" customFormat="false" ht="19.5" hidden="false" customHeight="true" outlineLevel="0" collapsed="false">
      <c r="C25" s="19" t="n">
        <f aca="false">C11</f>
        <v>46478</v>
      </c>
      <c r="D25" s="18" t="n">
        <f aca="false">D11</f>
        <v>2.2815</v>
      </c>
      <c r="E25" s="20" t="n">
        <f aca="false">IF(COUNT($D11,$E11,$F11)=3,$D11*$E11*$F11,"N/D")</f>
        <v>5418.5625</v>
      </c>
      <c r="F25" s="20" t="n">
        <f aca="false">IF(COUNT($D11,$E11,$G11)=3,$D11*$E11*$G11,"N/D")</f>
        <v>5133.375</v>
      </c>
      <c r="G25" s="20" t="s">
        <v>122</v>
      </c>
    </row>
    <row r="26" customFormat="false" ht="19.5" hidden="false" customHeight="true" outlineLevel="0" collapsed="false">
      <c r="C26" s="19" t="n">
        <f aca="false">C12</f>
        <v>46508</v>
      </c>
      <c r="D26" s="18" t="n">
        <f aca="false">D12</f>
        <v>3.8025</v>
      </c>
      <c r="E26" s="20" t="n">
        <f aca="false">IF(COUNT($D12,$E12,$F12)=3,$D12*$E12*$F12,"N/D")</f>
        <v>9030.9375</v>
      </c>
      <c r="F26" s="20" t="s">
        <v>122</v>
      </c>
      <c r="G26" s="20" t="s">
        <v>122</v>
      </c>
    </row>
    <row r="27" customFormat="false" ht="19.5" hidden="false" customHeight="true" outlineLevel="0" collapsed="false">
      <c r="C27" s="19" t="n">
        <f aca="false">C13</f>
        <v>46539</v>
      </c>
      <c r="D27" s="18" t="n">
        <f aca="false">D13</f>
        <v>5.70375</v>
      </c>
      <c r="E27" s="20" t="s">
        <v>122</v>
      </c>
      <c r="F27" s="20" t="s">
        <v>122</v>
      </c>
      <c r="G27" s="20" t="s">
        <v>122</v>
      </c>
    </row>
    <row r="28" customFormat="false" ht="19.5" hidden="false" customHeight="true" outlineLevel="0" collapsed="false"/>
    <row r="29" customFormat="false" ht="30" hidden="false" customHeight="true" outlineLevel="0" collapsed="false">
      <c r="C29" s="4" t="s">
        <v>123</v>
      </c>
      <c r="D29" s="4"/>
      <c r="E29" s="4"/>
      <c r="F29" s="4"/>
      <c r="G29" s="4"/>
      <c r="H29" s="4"/>
      <c r="I29" s="4"/>
      <c r="J29" s="4"/>
      <c r="K29" s="4"/>
    </row>
    <row r="30" customFormat="false" ht="30" hidden="false" customHeight="true" outlineLevel="0" collapsed="false">
      <c r="C30" s="4" t="s">
        <v>124</v>
      </c>
      <c r="D30" s="4"/>
      <c r="E30" s="4"/>
      <c r="F30" s="4"/>
      <c r="G30" s="4"/>
      <c r="H30" s="4"/>
      <c r="I30" s="4"/>
      <c r="J30" s="4"/>
      <c r="K30" s="4"/>
    </row>
    <row r="31" customFormat="false" ht="30" hidden="false" customHeight="true" outlineLevel="0" collapsed="false">
      <c r="C31" s="4" t="s">
        <v>125</v>
      </c>
      <c r="D31" s="4"/>
      <c r="E31" s="4"/>
      <c r="F31" s="4"/>
      <c r="G31" s="4"/>
      <c r="H31" s="4"/>
      <c r="I31" s="4"/>
      <c r="J31" s="4"/>
      <c r="K31" s="4"/>
    </row>
    <row r="32" customFormat="false" ht="19.5" hidden="false" customHeight="true" outlineLevel="0" collapsed="false"/>
    <row r="33" customFormat="false" ht="19.5" hidden="false" customHeight="true" outlineLevel="0" collapsed="false"/>
    <row r="34" customFormat="false" ht="19.5" hidden="false" customHeight="true" outlineLevel="0" collapsed="false"/>
  </sheetData>
  <mergeCells count="4">
    <mergeCell ref="C18:K18"/>
    <mergeCell ref="C29:K29"/>
    <mergeCell ref="C30:K30"/>
    <mergeCell ref="C31:K31"/>
  </mergeCells>
  <printOptions headings="false" gridLines="false" gridLinesSet="true" horizontalCentered="true" verticalCentered="false"/>
  <pageMargins left="0.25" right="0.25" top="0.3" bottom="0.3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C2:K5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2"/>
    <col collapsed="false" customWidth="true" hidden="false" outlineLevel="0" max="3" min="3" style="0" width="40"/>
    <col collapsed="false" customWidth="true" hidden="false" outlineLevel="0" max="4" min="4" style="0" width="18"/>
    <col collapsed="false" customWidth="true" hidden="false" outlineLevel="0" max="5" min="5" style="0" width="20"/>
    <col collapsed="false" customWidth="true" hidden="false" outlineLevel="0" max="11" min="6" style="0" width="15"/>
  </cols>
  <sheetData>
    <row r="2" customFormat="false" ht="24.75" hidden="false" customHeight="true" outlineLevel="0" collapsed="false">
      <c r="C2" s="1" t="s">
        <v>126</v>
      </c>
    </row>
    <row r="4" customFormat="false" ht="15" hidden="false" customHeight="false" outlineLevel="0" collapsed="false">
      <c r="C4" s="2" t="s">
        <v>1</v>
      </c>
      <c r="D4" s="3" t="str">
        <f aca="false">Supuestos!D5</f>
        <v>Base</v>
      </c>
    </row>
    <row r="5" customFormat="false" ht="19.5" hidden="false" customHeight="true" outlineLevel="0" collapsed="false"/>
    <row r="6" customFormat="false" ht="19.5" hidden="false" customHeight="true" outlineLevel="0" collapsed="false"/>
    <row r="7" customFormat="false" ht="30" hidden="false" customHeight="true" outlineLevel="0" collapsed="false">
      <c r="C7" s="5" t="s">
        <v>127</v>
      </c>
      <c r="D7" s="5" t="s">
        <v>128</v>
      </c>
      <c r="E7" s="5" t="s">
        <v>129</v>
      </c>
      <c r="F7" s="5" t="s">
        <v>130</v>
      </c>
    </row>
    <row r="8" customFormat="false" ht="19.5" hidden="false" customHeight="true" outlineLevel="0" collapsed="false">
      <c r="C8" s="15" t="n">
        <v>0.01</v>
      </c>
      <c r="D8" s="23" t="n">
        <f aca="false">C8*Supuestos!$D$8</f>
        <v>152</v>
      </c>
      <c r="E8" s="23" t="n">
        <f aca="false">IF(COUNT(Supuestos!$F$33,Supuestos!$F$38)=2,IF(Supuestos!$F$33*Supuestos!$F$38&gt;0,D8/(Supuestos!$F$33*Supuestos!$F$38),"N/D"),"N/D")</f>
        <v>11692.3076923077</v>
      </c>
      <c r="F8" s="25" t="n">
        <f aca="false">D8*Supuestos!$D$10</f>
        <v>380000</v>
      </c>
    </row>
    <row r="9" customFormat="false" ht="19.5" hidden="false" customHeight="true" outlineLevel="0" collapsed="false">
      <c r="C9" s="15" t="n">
        <v>0.05</v>
      </c>
      <c r="D9" s="23" t="n">
        <f aca="false">C9*Supuestos!$D$8</f>
        <v>760</v>
      </c>
      <c r="E9" s="23" t="n">
        <f aca="false">IF(COUNT(Supuestos!$F$33,Supuestos!$F$38)=2,IF(Supuestos!$F$33*Supuestos!$F$38&gt;0,D9/(Supuestos!$F$33*Supuestos!$F$38),"N/D"),"N/D")</f>
        <v>58461.5384615385</v>
      </c>
      <c r="F9" s="25" t="n">
        <f aca="false">D9*Supuestos!$D$10</f>
        <v>1900000</v>
      </c>
    </row>
    <row r="10" customFormat="false" ht="19.5" hidden="false" customHeight="true" outlineLevel="0" collapsed="false">
      <c r="C10" s="15" t="n">
        <v>0.1</v>
      </c>
      <c r="D10" s="23" t="n">
        <f aca="false">C10*Supuestos!$D$8</f>
        <v>1520</v>
      </c>
      <c r="E10" s="23" t="n">
        <f aca="false">IF(COUNT(Supuestos!$F$33,Supuestos!$F$38)=2,IF(Supuestos!$F$33*Supuestos!$F$38&gt;0,D10/(Supuestos!$F$33*Supuestos!$F$38),"N/D"),"N/D")</f>
        <v>116923.076923077</v>
      </c>
      <c r="F10" s="25" t="n">
        <f aca="false">D10*Supuestos!$D$10</f>
        <v>3800000</v>
      </c>
    </row>
    <row r="11" customFormat="false" ht="19.5" hidden="false" customHeight="true" outlineLevel="0" collapsed="false"/>
    <row r="12" customFormat="false" ht="30" hidden="false" customHeight="true" outlineLevel="0" collapsed="false">
      <c r="C12" s="4" t="s">
        <v>131</v>
      </c>
      <c r="D12" s="4"/>
      <c r="E12" s="4"/>
      <c r="F12" s="4"/>
      <c r="G12" s="4"/>
      <c r="H12" s="4"/>
      <c r="I12" s="4"/>
      <c r="J12" s="4"/>
      <c r="K12" s="4"/>
    </row>
    <row r="13" customFormat="false" ht="19.5" hidden="false" customHeight="true" outlineLevel="0" collapsed="false"/>
    <row r="14" customFormat="false" ht="30" hidden="false" customHeight="true" outlineLevel="0" collapsed="false">
      <c r="C14" s="4" t="s">
        <v>132</v>
      </c>
      <c r="D14" s="4"/>
      <c r="E14" s="4"/>
      <c r="F14" s="4"/>
      <c r="G14" s="4"/>
      <c r="H14" s="4"/>
      <c r="I14" s="4"/>
      <c r="J14" s="4"/>
      <c r="K14" s="4"/>
    </row>
    <row r="15" customFormat="false" ht="19.5" hidden="false" customHeight="true" outlineLevel="0" collapsed="false"/>
    <row r="16" customFormat="false" ht="30" hidden="false" customHeight="true" outlineLevel="0" collapsed="false">
      <c r="C16" s="5" t="s">
        <v>133</v>
      </c>
      <c r="D16" s="5"/>
      <c r="E16" s="5"/>
      <c r="F16" s="27" t="n">
        <v>0.4</v>
      </c>
      <c r="G16" s="27" t="n">
        <v>0.5</v>
      </c>
      <c r="H16" s="27" t="n">
        <v>0.65</v>
      </c>
      <c r="I16" s="27" t="n">
        <v>0.75</v>
      </c>
      <c r="J16" s="27" t="n">
        <v>0.85</v>
      </c>
    </row>
    <row r="17" customFormat="false" ht="19.5" hidden="false" customHeight="true" outlineLevel="0" collapsed="false">
      <c r="C17" s="15" t="n">
        <v>0.01</v>
      </c>
      <c r="F17" s="23" t="n">
        <f aca="false">IF(COUNT(Mensual!$F$13:$K$13)=6,SUM(Mensual!$F$13:$K$13)*$C17*F$16,"N/D")</f>
        <v>4.2705</v>
      </c>
      <c r="G17" s="23" t="n">
        <f aca="false">IF(COUNT(Mensual!$F$13:$K$13)=6,SUM(Mensual!$F$13:$K$13)*$C17*G$16,"N/D")</f>
        <v>5.338125</v>
      </c>
      <c r="H17" s="23" t="n">
        <f aca="false">IF(COUNT(Mensual!$F$13:$K$13)=6,SUM(Mensual!$F$13:$K$13)*$C17*H$16,"N/D")</f>
        <v>6.9395625</v>
      </c>
      <c r="I17" s="23" t="n">
        <f aca="false">IF(COUNT(Mensual!$F$13:$K$13)=6,SUM(Mensual!$F$13:$K$13)*$C17*I$16,"N/D")</f>
        <v>8.0071875</v>
      </c>
      <c r="J17" s="23" t="n">
        <f aca="false">IF(COUNT(Mensual!$F$13:$K$13)=6,SUM(Mensual!$F$13:$K$13)*$C17*J$16,"N/D")</f>
        <v>9.0748125</v>
      </c>
    </row>
    <row r="18" customFormat="false" ht="19.5" hidden="false" customHeight="true" outlineLevel="0" collapsed="false">
      <c r="C18" s="15" t="n">
        <v>0.015</v>
      </c>
      <c r="F18" s="23" t="n">
        <f aca="false">IF(COUNT(Mensual!$F$13:$K$13)=6,SUM(Mensual!$F$13:$K$13)*$C18*F$16,"N/D")</f>
        <v>6.40575</v>
      </c>
      <c r="G18" s="23" t="n">
        <f aca="false">IF(COUNT(Mensual!$F$13:$K$13)=6,SUM(Mensual!$F$13:$K$13)*$C18*G$16,"N/D")</f>
        <v>8.0071875</v>
      </c>
      <c r="H18" s="23" t="n">
        <f aca="false">IF(COUNT(Mensual!$F$13:$K$13)=6,SUM(Mensual!$F$13:$K$13)*$C18*H$16,"N/D")</f>
        <v>10.40934375</v>
      </c>
      <c r="I18" s="23" t="n">
        <f aca="false">IF(COUNT(Mensual!$F$13:$K$13)=6,SUM(Mensual!$F$13:$K$13)*$C18*I$16,"N/D")</f>
        <v>12.01078125</v>
      </c>
      <c r="J18" s="23" t="n">
        <f aca="false">IF(COUNT(Mensual!$F$13:$K$13)=6,SUM(Mensual!$F$13:$K$13)*$C18*J$16,"N/D")</f>
        <v>13.61221875</v>
      </c>
    </row>
    <row r="19" customFormat="false" ht="19.5" hidden="false" customHeight="true" outlineLevel="0" collapsed="false">
      <c r="C19" s="15" t="n">
        <v>0.02</v>
      </c>
      <c r="F19" s="23" t="n">
        <f aca="false">IF(COUNT(Mensual!$F$13:$K$13)=6,SUM(Mensual!$F$13:$K$13)*$C19*F$16,"N/D")</f>
        <v>8.541</v>
      </c>
      <c r="G19" s="23" t="n">
        <f aca="false">IF(COUNT(Mensual!$F$13:$K$13)=6,SUM(Mensual!$F$13:$K$13)*$C19*G$16,"N/D")</f>
        <v>10.67625</v>
      </c>
      <c r="H19" s="23" t="n">
        <f aca="false">IF(COUNT(Mensual!$F$13:$K$13)=6,SUM(Mensual!$F$13:$K$13)*$C19*H$16,"N/D")</f>
        <v>13.879125</v>
      </c>
      <c r="I19" s="23" t="n">
        <f aca="false">IF(COUNT(Mensual!$F$13:$K$13)=6,SUM(Mensual!$F$13:$K$13)*$C19*I$16,"N/D")</f>
        <v>16.014375</v>
      </c>
      <c r="J19" s="23" t="n">
        <f aca="false">IF(COUNT(Mensual!$F$13:$K$13)=6,SUM(Mensual!$F$13:$K$13)*$C19*J$16,"N/D")</f>
        <v>18.149625</v>
      </c>
    </row>
    <row r="20" customFormat="false" ht="19.5" hidden="false" customHeight="true" outlineLevel="0" collapsed="false">
      <c r="C20" s="15" t="n">
        <v>0.025</v>
      </c>
      <c r="F20" s="23" t="n">
        <f aca="false">IF(COUNT(Mensual!$F$13:$K$13)=6,SUM(Mensual!$F$13:$K$13)*$C20*F$16,"N/D")</f>
        <v>10.67625</v>
      </c>
      <c r="G20" s="23" t="n">
        <f aca="false">IF(COUNT(Mensual!$F$13:$K$13)=6,SUM(Mensual!$F$13:$K$13)*$C20*G$16,"N/D")</f>
        <v>13.3453125</v>
      </c>
      <c r="H20" s="23" t="n">
        <f aca="false">IF(COUNT(Mensual!$F$13:$K$13)=6,SUM(Mensual!$F$13:$K$13)*$C20*H$16,"N/D")</f>
        <v>17.34890625</v>
      </c>
      <c r="I20" s="23" t="n">
        <f aca="false">IF(COUNT(Mensual!$F$13:$K$13)=6,SUM(Mensual!$F$13:$K$13)*$C20*I$16,"N/D")</f>
        <v>20.01796875</v>
      </c>
      <c r="J20" s="23" t="n">
        <f aca="false">IF(COUNT(Mensual!$F$13:$K$13)=6,SUM(Mensual!$F$13:$K$13)*$C20*J$16,"N/D")</f>
        <v>22.68703125</v>
      </c>
    </row>
    <row r="21" customFormat="false" ht="19.5" hidden="false" customHeight="true" outlineLevel="0" collapsed="false">
      <c r="C21" s="15" t="n">
        <v>0.03</v>
      </c>
      <c r="F21" s="23" t="n">
        <f aca="false">IF(COUNT(Mensual!$F$13:$K$13)=6,SUM(Mensual!$F$13:$K$13)*$C21*F$16,"N/D")</f>
        <v>12.8115</v>
      </c>
      <c r="G21" s="23" t="n">
        <f aca="false">IF(COUNT(Mensual!$F$13:$K$13)=6,SUM(Mensual!$F$13:$K$13)*$C21*G$16,"N/D")</f>
        <v>16.014375</v>
      </c>
      <c r="H21" s="23" t="n">
        <f aca="false">IF(COUNT(Mensual!$F$13:$K$13)=6,SUM(Mensual!$F$13:$K$13)*$C21*H$16,"N/D")</f>
        <v>20.8186875</v>
      </c>
      <c r="I21" s="23" t="n">
        <f aca="false">IF(COUNT(Mensual!$F$13:$K$13)=6,SUM(Mensual!$F$13:$K$13)*$C21*I$16,"N/D")</f>
        <v>24.0215625</v>
      </c>
      <c r="J21" s="23" t="n">
        <f aca="false">IF(COUNT(Mensual!$F$13:$K$13)=6,SUM(Mensual!$F$13:$K$13)*$C21*J$16,"N/D")</f>
        <v>27.2244375</v>
      </c>
    </row>
    <row r="22" customFormat="false" ht="19.5" hidden="false" customHeight="true" outlineLevel="0" collapsed="false"/>
    <row r="23" customFormat="false" ht="19.5" hidden="false" customHeight="true" outlineLevel="0" collapsed="false"/>
    <row r="24" customFormat="false" ht="30" hidden="false" customHeight="true" outlineLevel="0" collapsed="false">
      <c r="C24" s="5" t="s">
        <v>134</v>
      </c>
      <c r="D24" s="5" t="s">
        <v>135</v>
      </c>
      <c r="E24" s="5" t="s">
        <v>136</v>
      </c>
    </row>
    <row r="25" customFormat="false" ht="19.5" hidden="false" customHeight="true" outlineLevel="0" collapsed="false">
      <c r="C25" s="16" t="n">
        <v>0</v>
      </c>
      <c r="D25" s="23" t="n">
        <f aca="false">IF(AND(C25&gt;=0,C25&lt;6,COUNT(Mensual!$F$13:INDEX(Mensual!$F$13:$K$13,1,6-C25))=6-C25),SUM(Mensual!$F$13:INDEX(Mensual!$F$13:$K$13,1,6-C25)),"N/D")</f>
        <v>1067.625</v>
      </c>
      <c r="E25" s="23" t="n">
        <f aca="false">IF(COUNT(D25,Supuestos!$F$33,Supuestos!$F$38)=3,D25*Supuestos!$F$33*Supuestos!$F$38,"N/D")</f>
        <v>13.879125</v>
      </c>
    </row>
    <row r="26" customFormat="false" ht="19.5" hidden="false" customHeight="true" outlineLevel="0" collapsed="false">
      <c r="C26" s="16" t="n">
        <v>1</v>
      </c>
      <c r="D26" s="23" t="n">
        <f aca="false">IF(AND(C26&gt;=0,C26&lt;6,COUNT(Mensual!$F$13:INDEX(Mensual!$F$13:$K$13,1,6-C26))=6-C26),SUM(Mensual!$F$13:INDEX(Mensual!$F$13:$K$13,1,6-C26)),"N/D")</f>
        <v>628.875</v>
      </c>
      <c r="E26" s="23" t="n">
        <f aca="false">IF(COUNT(D26,Supuestos!$F$33,Supuestos!$F$38)=3,D26*Supuestos!$F$33*Supuestos!$F$38,"N/D")</f>
        <v>8.175375</v>
      </c>
    </row>
    <row r="27" customFormat="false" ht="19.5" hidden="false" customHeight="true" outlineLevel="0" collapsed="false">
      <c r="C27" s="16" t="n">
        <v>2</v>
      </c>
      <c r="D27" s="23" t="n">
        <f aca="false">IF(AND(C27&gt;=0,C27&lt;6,COUNT(Mensual!$F$13:INDEX(Mensual!$F$13:$K$13,1,6-C27))=6-C27),SUM(Mensual!$F$13:INDEX(Mensual!$F$13:$K$13,1,6-C27)),"N/D")</f>
        <v>336.375</v>
      </c>
      <c r="E27" s="23" t="n">
        <f aca="false">IF(COUNT(D27,Supuestos!$F$33,Supuestos!$F$38)=3,D27*Supuestos!$F$33*Supuestos!$F$38,"N/D")</f>
        <v>4.372875</v>
      </c>
    </row>
    <row r="28" customFormat="false" ht="19.5" hidden="false" customHeight="true" outlineLevel="0" collapsed="false"/>
    <row r="29" customFormat="false" ht="30" hidden="false" customHeight="true" outlineLevel="0" collapsed="false">
      <c r="C29" s="4" t="s">
        <v>137</v>
      </c>
      <c r="D29" s="4"/>
      <c r="E29" s="4"/>
      <c r="F29" s="4"/>
      <c r="G29" s="4"/>
      <c r="H29" s="4"/>
      <c r="I29" s="4"/>
      <c r="J29" s="4"/>
      <c r="K29" s="4"/>
    </row>
    <row r="30" customFormat="false" ht="19.5" hidden="false" customHeight="true" outlineLevel="0" collapsed="false"/>
    <row r="31" customFormat="false" ht="19.5" hidden="false" customHeight="true" outlineLevel="0" collapsed="false"/>
    <row r="32" customFormat="false" ht="30" hidden="false" customHeight="true" outlineLevel="0" collapsed="false">
      <c r="C32" s="5" t="s">
        <v>138</v>
      </c>
      <c r="D32" s="5" t="s">
        <v>139</v>
      </c>
    </row>
    <row r="33" customFormat="false" ht="19.5" hidden="false" customHeight="true" outlineLevel="0" collapsed="false">
      <c r="C33" s="15" t="n">
        <v>0.4</v>
      </c>
      <c r="D33" s="25" t="n">
        <f aca="false">IF(COUNT(Mensual!$K$25)=1,Mensual!$K$25*C33,"N/D")</f>
        <v>13147.14375</v>
      </c>
    </row>
    <row r="34" customFormat="false" ht="19.5" hidden="false" customHeight="true" outlineLevel="0" collapsed="false">
      <c r="C34" s="15" t="n">
        <v>0.7</v>
      </c>
      <c r="D34" s="25" t="n">
        <f aca="false">IF(COUNT(Mensual!$K$25)=1,Mensual!$K$25*C34,"N/D")</f>
        <v>23007.5015625</v>
      </c>
    </row>
    <row r="35" customFormat="false" ht="19.5" hidden="false" customHeight="true" outlineLevel="0" collapsed="false">
      <c r="C35" s="15" t="n">
        <v>1</v>
      </c>
      <c r="D35" s="25" t="n">
        <f aca="false">IF(COUNT(Mensual!$K$25)=1,Mensual!$K$25*C35,"N/D")</f>
        <v>32867.859375</v>
      </c>
    </row>
    <row r="36" customFormat="false" ht="19.5" hidden="false" customHeight="true" outlineLevel="0" collapsed="false"/>
    <row r="37" customFormat="false" ht="30" hidden="false" customHeight="true" outlineLevel="0" collapsed="false">
      <c r="C37" s="4" t="s">
        <v>140</v>
      </c>
      <c r="D37" s="4"/>
      <c r="E37" s="4"/>
      <c r="F37" s="4"/>
      <c r="G37" s="4"/>
      <c r="H37" s="4"/>
      <c r="I37" s="4"/>
      <c r="J37" s="4"/>
      <c r="K37" s="4"/>
    </row>
    <row r="38" customFormat="false" ht="19.5" hidden="false" customHeight="true" outlineLevel="0" collapsed="false"/>
    <row r="39" customFormat="false" ht="19.5" hidden="false" customHeight="true" outlineLevel="0" collapsed="false"/>
    <row r="40" customFormat="false" ht="30" hidden="false" customHeight="true" outlineLevel="0" collapsed="false">
      <c r="C40" s="5" t="s">
        <v>141</v>
      </c>
      <c r="D40" s="5" t="s">
        <v>142</v>
      </c>
      <c r="E40" s="5" t="s">
        <v>143</v>
      </c>
    </row>
    <row r="41" customFormat="false" ht="19.5" hidden="false" customHeight="true" outlineLevel="0" collapsed="false">
      <c r="C41" s="13" t="n">
        <v>10000</v>
      </c>
      <c r="D41" s="25" t="n">
        <f aca="false">IF(AND(COUNT(Resumen!$D$10)=1,Resumen!$D$10&gt;0),C41/Resumen!$D$10,"N/D")</f>
        <v>720.506516080805</v>
      </c>
      <c r="E41" s="2" t="s">
        <v>144</v>
      </c>
    </row>
    <row r="42" customFormat="false" ht="19.5" hidden="false" customHeight="true" outlineLevel="0" collapsed="false">
      <c r="C42" s="13" t="n">
        <v>25000</v>
      </c>
      <c r="D42" s="25" t="n">
        <f aca="false">IF(AND(COUNT(Resumen!$D$10)=1,Resumen!$D$10&gt;0),C42/Resumen!$D$10,"N/D")</f>
        <v>1801.26629020201</v>
      </c>
      <c r="E42" s="2" t="s">
        <v>144</v>
      </c>
    </row>
    <row r="43" customFormat="false" ht="19.5" hidden="false" customHeight="true" outlineLevel="0" collapsed="false">
      <c r="C43" s="13" t="n">
        <v>50000</v>
      </c>
      <c r="D43" s="25" t="n">
        <f aca="false">IF(AND(COUNT(Resumen!$D$10)=1,Resumen!$D$10&gt;0),C43/Resumen!$D$10,"N/D")</f>
        <v>3602.53258040402</v>
      </c>
      <c r="E43" s="2" t="s">
        <v>144</v>
      </c>
    </row>
    <row r="44" customFormat="false" ht="19.5" hidden="false" customHeight="true" outlineLevel="0" collapsed="false"/>
    <row r="45" customFormat="false" ht="30" hidden="false" customHeight="true" outlineLevel="0" collapsed="false">
      <c r="C45" s="4" t="s">
        <v>145</v>
      </c>
      <c r="D45" s="4"/>
      <c r="E45" s="4"/>
      <c r="F45" s="4"/>
      <c r="G45" s="4"/>
      <c r="H45" s="4"/>
      <c r="I45" s="4"/>
      <c r="J45" s="4"/>
      <c r="K45" s="4"/>
    </row>
    <row r="46" customFormat="false" ht="30" hidden="false" customHeight="true" outlineLevel="0" collapsed="false">
      <c r="C46" s="4" t="s">
        <v>146</v>
      </c>
      <c r="D46" s="4"/>
      <c r="E46" s="4"/>
      <c r="F46" s="4"/>
      <c r="G46" s="4"/>
      <c r="H46" s="4"/>
      <c r="I46" s="4"/>
      <c r="J46" s="4"/>
      <c r="K46" s="4"/>
    </row>
    <row r="47" customFormat="false" ht="19.5" hidden="false" customHeight="true" outlineLevel="0" collapsed="false"/>
    <row r="48" customFormat="false" ht="19.5" hidden="false" customHeight="true" outlineLevel="0" collapsed="false"/>
    <row r="49" customFormat="false" ht="30" hidden="false" customHeight="true" outlineLevel="0" collapsed="false">
      <c r="C49" s="5" t="s">
        <v>147</v>
      </c>
      <c r="D49" s="5" t="s">
        <v>148</v>
      </c>
      <c r="E49" s="5" t="s">
        <v>149</v>
      </c>
    </row>
    <row r="50" customFormat="false" ht="19.5" hidden="false" customHeight="true" outlineLevel="0" collapsed="false">
      <c r="C50" s="15" t="n">
        <v>0</v>
      </c>
      <c r="D50" s="23" t="n">
        <f aca="false">IF(COUNT(Supuestos!$D$13)=1,1600*C50*Supuestos!$D$13,"N/D")</f>
        <v>0</v>
      </c>
      <c r="E50" s="23" t="n">
        <f aca="false">IF(COUNT(D50,Supuestos!$F$23:$K$23,Supuestos!$F$33,Supuestos!$F$38)=9,D50*SUM(Supuestos!$F$23:$K$23)*Supuestos!$F$33*Supuestos!$F$38,"N/D")</f>
        <v>0</v>
      </c>
    </row>
    <row r="51" customFormat="false" ht="19.5" hidden="false" customHeight="true" outlineLevel="0" collapsed="false">
      <c r="C51" s="15" t="n">
        <v>0.5</v>
      </c>
      <c r="D51" s="23" t="n">
        <f aca="false">IF(COUNT(Supuestos!$D$13)=1,1600*C51*Supuestos!$D$13,"N/D")</f>
        <v>600</v>
      </c>
      <c r="E51" s="23" t="n">
        <f aca="false">IF(COUNT(D51,Supuestos!$F$23:$K$23,Supuestos!$F$33,Supuestos!$F$38)=9,D51*SUM(Supuestos!$F$23:$K$23)*Supuestos!$F$33*Supuestos!$F$38,"N/D")</f>
        <v>2.847</v>
      </c>
    </row>
    <row r="52" customFormat="false" ht="19.5" hidden="false" customHeight="true" outlineLevel="0" collapsed="false">
      <c r="C52" s="15" t="n">
        <v>1</v>
      </c>
      <c r="D52" s="23" t="n">
        <f aca="false">IF(COUNT(Supuestos!$D$13)=1,1600*C52*Supuestos!$D$13,"N/D")</f>
        <v>1200</v>
      </c>
      <c r="E52" s="23" t="n">
        <f aca="false">IF(COUNT(D52,Supuestos!$F$23:$K$23,Supuestos!$F$33,Supuestos!$F$38)=9,D52*SUM(Supuestos!$F$23:$K$23)*Supuestos!$F$33*Supuestos!$F$38,"N/D")</f>
        <v>5.694</v>
      </c>
    </row>
    <row r="53" customFormat="false" ht="19.5" hidden="false" customHeight="true" outlineLevel="0" collapsed="false"/>
    <row r="54" customFormat="false" ht="30" hidden="false" customHeight="true" outlineLevel="0" collapsed="false">
      <c r="C54" s="4" t="s">
        <v>150</v>
      </c>
      <c r="D54" s="4"/>
      <c r="E54" s="4"/>
      <c r="F54" s="4"/>
      <c r="G54" s="4"/>
      <c r="H54" s="4"/>
      <c r="I54" s="4"/>
      <c r="J54" s="4"/>
      <c r="K54" s="4"/>
    </row>
    <row r="55" customFormat="false" ht="19.5" hidden="false" customHeight="true" outlineLevel="0" collapsed="false"/>
  </sheetData>
  <mergeCells count="7">
    <mergeCell ref="C12:K12"/>
    <mergeCell ref="C14:K14"/>
    <mergeCell ref="C29:K29"/>
    <mergeCell ref="C37:K37"/>
    <mergeCell ref="C45:K45"/>
    <mergeCell ref="C46:K46"/>
    <mergeCell ref="C54:K54"/>
  </mergeCells>
  <printOptions headings="false" gridLines="false" gridLinesSet="true" horizontalCentered="true" verticalCentered="false"/>
  <pageMargins left="0.25" right="0.25" top="0.3" bottom="0.3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C2:K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2"/>
    <col collapsed="false" customWidth="true" hidden="false" outlineLevel="0" max="3" min="3" style="0" width="18"/>
    <col collapsed="false" customWidth="true" hidden="false" outlineLevel="0" max="4" min="4" style="0" width="32"/>
    <col collapsed="false" customWidth="true" hidden="false" outlineLevel="0" max="5" min="5" style="0" width="60"/>
    <col collapsed="false" customWidth="true" hidden="false" outlineLevel="0" max="6" min="6" style="0" width="68"/>
    <col collapsed="false" customWidth="true" hidden="false" outlineLevel="0" max="7" min="7" style="0" width="16"/>
    <col collapsed="false" customWidth="true" hidden="false" outlineLevel="0" max="8" min="8" style="0" width="38"/>
    <col collapsed="false" customWidth="true" hidden="false" outlineLevel="0" max="11" min="9" style="0" width="15"/>
  </cols>
  <sheetData>
    <row r="2" customFormat="false" ht="24.75" hidden="false" customHeight="true" outlineLevel="0" collapsed="false">
      <c r="C2" s="1" t="s">
        <v>151</v>
      </c>
    </row>
    <row r="4" customFormat="false" ht="15" hidden="false" customHeight="false" outlineLevel="0" collapsed="false">
      <c r="C4" s="2" t="s">
        <v>1</v>
      </c>
      <c r="D4" s="3" t="str">
        <f aca="false">Supuestos!D5</f>
        <v>Base</v>
      </c>
    </row>
    <row r="5" customFormat="false" ht="19.5" hidden="false" customHeight="true" outlineLevel="0" collapsed="false"/>
    <row r="6" customFormat="false" ht="19.5" hidden="false" customHeight="true" outlineLevel="0" collapsed="false"/>
    <row r="7" customFormat="false" ht="30" hidden="false" customHeight="true" outlineLevel="0" collapsed="false">
      <c r="C7" s="5" t="s">
        <v>152</v>
      </c>
      <c r="D7" s="5" t="s">
        <v>143</v>
      </c>
      <c r="E7" s="5" t="s">
        <v>153</v>
      </c>
      <c r="F7" s="5" t="s">
        <v>154</v>
      </c>
      <c r="G7" s="5" t="s">
        <v>155</v>
      </c>
      <c r="H7" s="5" t="s">
        <v>156</v>
      </c>
    </row>
    <row r="8" customFormat="false" ht="51.75" hidden="false" customHeight="true" outlineLevel="0" collapsed="false">
      <c r="C8" s="28" t="s">
        <v>157</v>
      </c>
      <c r="D8" s="28" t="s">
        <v>158</v>
      </c>
      <c r="E8" s="28" t="s">
        <v>159</v>
      </c>
      <c r="F8" s="28" t="s">
        <v>160</v>
      </c>
      <c r="G8" s="28" t="s">
        <v>161</v>
      </c>
      <c r="H8" s="28" t="s">
        <v>162</v>
      </c>
    </row>
    <row r="9" customFormat="false" ht="51.75" hidden="false" customHeight="true" outlineLevel="0" collapsed="false">
      <c r="C9" s="28" t="s">
        <v>163</v>
      </c>
      <c r="D9" s="28" t="s">
        <v>164</v>
      </c>
      <c r="E9" s="28" t="s">
        <v>165</v>
      </c>
      <c r="F9" s="28" t="s">
        <v>166</v>
      </c>
      <c r="G9" s="28" t="s">
        <v>161</v>
      </c>
      <c r="H9" s="28" t="s">
        <v>167</v>
      </c>
    </row>
    <row r="10" customFormat="false" ht="51.75" hidden="false" customHeight="true" outlineLevel="0" collapsed="false">
      <c r="C10" s="28" t="s">
        <v>168</v>
      </c>
      <c r="D10" s="28" t="s">
        <v>169</v>
      </c>
      <c r="E10" s="28" t="s">
        <v>170</v>
      </c>
      <c r="F10" s="28" t="s">
        <v>171</v>
      </c>
      <c r="G10" s="28" t="s">
        <v>161</v>
      </c>
      <c r="H10" s="28" t="s">
        <v>172</v>
      </c>
    </row>
    <row r="11" customFormat="false" ht="51.75" hidden="false" customHeight="true" outlineLevel="0" collapsed="false">
      <c r="C11" s="28" t="s">
        <v>173</v>
      </c>
      <c r="D11" s="28" t="s">
        <v>169</v>
      </c>
      <c r="E11" s="28" t="s">
        <v>174</v>
      </c>
      <c r="F11" s="28" t="s">
        <v>175</v>
      </c>
      <c r="G11" s="28" t="s">
        <v>161</v>
      </c>
      <c r="H11" s="28" t="s">
        <v>176</v>
      </c>
    </row>
    <row r="12" customFormat="false" ht="51.75" hidden="false" customHeight="true" outlineLevel="0" collapsed="false">
      <c r="C12" s="28" t="s">
        <v>177</v>
      </c>
      <c r="D12" s="28" t="s">
        <v>178</v>
      </c>
      <c r="E12" s="28" t="s">
        <v>179</v>
      </c>
      <c r="F12" s="28" t="s">
        <v>180</v>
      </c>
      <c r="G12" s="28" t="s">
        <v>161</v>
      </c>
      <c r="H12" s="28" t="s">
        <v>181</v>
      </c>
    </row>
    <row r="13" customFormat="false" ht="51.75" hidden="false" customHeight="true" outlineLevel="0" collapsed="false">
      <c r="C13" s="28" t="s">
        <v>182</v>
      </c>
      <c r="D13" s="28" t="s">
        <v>183</v>
      </c>
      <c r="E13" s="28" t="s">
        <v>184</v>
      </c>
      <c r="F13" s="28" t="s">
        <v>185</v>
      </c>
      <c r="G13" s="28" t="s">
        <v>161</v>
      </c>
      <c r="H13" s="28" t="s">
        <v>186</v>
      </c>
    </row>
    <row r="14" customFormat="false" ht="51.75" hidden="false" customHeight="true" outlineLevel="0" collapsed="false">
      <c r="C14" s="28" t="s">
        <v>187</v>
      </c>
      <c r="D14" s="28" t="s">
        <v>188</v>
      </c>
      <c r="E14" s="28" t="s">
        <v>189</v>
      </c>
      <c r="F14" s="28" t="s">
        <v>190</v>
      </c>
      <c r="G14" s="28" t="s">
        <v>161</v>
      </c>
      <c r="H14" s="28" t="s">
        <v>191</v>
      </c>
    </row>
    <row r="15" customFormat="false" ht="51.75" hidden="false" customHeight="true" outlineLevel="0" collapsed="false">
      <c r="C15" s="28" t="s">
        <v>192</v>
      </c>
      <c r="D15" s="28" t="s">
        <v>193</v>
      </c>
      <c r="E15" s="28" t="s">
        <v>194</v>
      </c>
      <c r="F15" s="28" t="s">
        <v>195</v>
      </c>
      <c r="G15" s="28" t="s">
        <v>161</v>
      </c>
      <c r="H15" s="28" t="s">
        <v>186</v>
      </c>
    </row>
    <row r="16" customFormat="false" ht="51.75" hidden="false" customHeight="true" outlineLevel="0" collapsed="false">
      <c r="C16" s="28" t="s">
        <v>196</v>
      </c>
      <c r="D16" s="28" t="s">
        <v>197</v>
      </c>
      <c r="E16" s="28" t="s">
        <v>198</v>
      </c>
      <c r="F16" s="28" t="s">
        <v>199</v>
      </c>
      <c r="G16" s="28" t="s">
        <v>161</v>
      </c>
      <c r="H16" s="28" t="s">
        <v>200</v>
      </c>
    </row>
    <row r="17" customFormat="false" ht="51.75" hidden="false" customHeight="true" outlineLevel="0" collapsed="false">
      <c r="C17" s="28" t="s">
        <v>201</v>
      </c>
      <c r="D17" s="28" t="s">
        <v>202</v>
      </c>
      <c r="E17" s="28" t="s">
        <v>203</v>
      </c>
      <c r="F17" s="28" t="s">
        <v>204</v>
      </c>
      <c r="G17" s="28" t="s">
        <v>161</v>
      </c>
      <c r="H17" s="28" t="s">
        <v>205</v>
      </c>
    </row>
    <row r="18" customFormat="false" ht="19.5" hidden="false" customHeight="true" outlineLevel="0" collapsed="false"/>
    <row r="19" customFormat="false" ht="19.5" hidden="false" customHeight="true" outlineLevel="0" collapsed="false"/>
    <row r="20" customFormat="false" ht="30" hidden="false" customHeight="true" outlineLevel="0" collapsed="false">
      <c r="C20" s="4" t="s">
        <v>206</v>
      </c>
      <c r="D20" s="4"/>
      <c r="E20" s="4"/>
      <c r="F20" s="4"/>
      <c r="G20" s="4"/>
      <c r="H20" s="4"/>
      <c r="I20" s="4"/>
      <c r="J20" s="4"/>
      <c r="K20" s="4"/>
    </row>
    <row r="21" customFormat="false" ht="19.5" hidden="false" customHeight="true" outlineLevel="0" collapsed="false"/>
    <row r="22" customFormat="false" ht="30" hidden="false" customHeight="true" outlineLevel="0" collapsed="false">
      <c r="C22" s="4" t="s">
        <v>207</v>
      </c>
      <c r="D22" s="4"/>
      <c r="E22" s="4"/>
      <c r="F22" s="4"/>
      <c r="G22" s="4"/>
      <c r="H22" s="4"/>
      <c r="I22" s="4"/>
      <c r="J22" s="4"/>
      <c r="K22" s="4"/>
    </row>
    <row r="23" customFormat="false" ht="19.5" hidden="false" customHeight="true" outlineLevel="0" collapsed="false"/>
    <row r="24" customFormat="false" ht="19.5" hidden="false" customHeight="true" outlineLevel="0" collapsed="false"/>
    <row r="25" customFormat="false" ht="19.5" hidden="false" customHeight="true" outlineLevel="0" collapsed="false"/>
    <row r="26" customFormat="false" ht="19.5" hidden="false" customHeight="true" outlineLevel="0" collapsed="false"/>
    <row r="27" customFormat="false" ht="19.5" hidden="false" customHeight="true" outlineLevel="0" collapsed="false"/>
    <row r="28" customFormat="false" ht="19.5" hidden="false" customHeight="true" outlineLevel="0" collapsed="false"/>
    <row r="29" customFormat="false" ht="19.5" hidden="false" customHeight="true" outlineLevel="0" collapsed="false"/>
    <row r="30" customFormat="false" ht="19.5" hidden="false" customHeight="true" outlineLevel="0" collapsed="false"/>
    <row r="31" customFormat="false" ht="19.5" hidden="false" customHeight="true" outlineLevel="0" collapsed="false"/>
    <row r="32" customFormat="false" ht="19.5" hidden="false" customHeight="true" outlineLevel="0" collapsed="false"/>
    <row r="33" customFormat="false" ht="19.5" hidden="false" customHeight="true" outlineLevel="0" collapsed="false"/>
    <row r="34" customFormat="false" ht="19.5" hidden="false" customHeight="true" outlineLevel="0" collapsed="false"/>
    <row r="35" customFormat="false" ht="19.5" hidden="false" customHeight="true" outlineLevel="0" collapsed="false"/>
    <row r="36" customFormat="false" ht="19.5" hidden="false" customHeight="true" outlineLevel="0" collapsed="false"/>
  </sheetData>
  <mergeCells count="2">
    <mergeCell ref="C20:K20"/>
    <mergeCell ref="C22:K22"/>
  </mergeCells>
  <printOptions headings="false" gridLines="false" gridLinesSet="true" horizontalCentered="true" verticalCentered="false"/>
  <pageMargins left="0.25" right="0.25" top="0.3" bottom="0.3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C2:K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2"/>
    <col collapsed="false" customWidth="true" hidden="false" outlineLevel="0" max="3" min="3" style="0" width="25"/>
    <col collapsed="false" customWidth="true" hidden="false" outlineLevel="0" max="4" min="4" style="0" width="56"/>
    <col collapsed="false" customWidth="true" hidden="false" outlineLevel="0" max="5" min="5" style="0" width="18"/>
    <col collapsed="false" customWidth="true" hidden="false" outlineLevel="0" max="6" min="6" style="0" width="12"/>
    <col collapsed="false" customWidth="true" hidden="false" outlineLevel="0" max="7" min="7" style="0" width="18"/>
    <col collapsed="false" customWidth="true" hidden="false" outlineLevel="0" max="11" min="8" style="0" width="15"/>
  </cols>
  <sheetData>
    <row r="2" customFormat="false" ht="24.75" hidden="false" customHeight="true" outlineLevel="0" collapsed="false">
      <c r="C2" s="1" t="s">
        <v>208</v>
      </c>
    </row>
    <row r="4" customFormat="false" ht="15" hidden="false" customHeight="false" outlineLevel="0" collapsed="false">
      <c r="C4" s="2" t="s">
        <v>1</v>
      </c>
      <c r="D4" s="3" t="str">
        <f aca="false">Supuestos!D5</f>
        <v>Base</v>
      </c>
    </row>
    <row r="5" customFormat="false" ht="19.5" hidden="false" customHeight="true" outlineLevel="0" collapsed="false"/>
    <row r="6" customFormat="false" ht="19.5" hidden="false" customHeight="true" outlineLevel="0" collapsed="false"/>
    <row r="7" customFormat="false" ht="30" hidden="false" customHeight="true" outlineLevel="0" collapsed="false">
      <c r="C7" s="5" t="s">
        <v>209</v>
      </c>
      <c r="D7" s="5" t="s">
        <v>210</v>
      </c>
      <c r="E7" s="5" t="s">
        <v>211</v>
      </c>
      <c r="F7" s="5" t="s">
        <v>212</v>
      </c>
      <c r="G7" s="5" t="s">
        <v>213</v>
      </c>
    </row>
    <row r="8" customFormat="false" ht="19.5" hidden="false" customHeight="true" outlineLevel="0" collapsed="false">
      <c r="C8" s="2" t="s">
        <v>214</v>
      </c>
      <c r="D8" s="2" t="s">
        <v>215</v>
      </c>
      <c r="E8" s="18" t="n">
        <v>2900</v>
      </c>
      <c r="F8" s="2" t="s">
        <v>216</v>
      </c>
      <c r="G8" s="18" t="n">
        <f aca="false">IF(F8="Sí",E8,0)</f>
        <v>2900</v>
      </c>
    </row>
    <row r="9" customFormat="false" ht="19.5" hidden="false" customHeight="true" outlineLevel="0" collapsed="false">
      <c r="C9" s="2" t="s">
        <v>217</v>
      </c>
      <c r="D9" s="2" t="s">
        <v>218</v>
      </c>
      <c r="E9" s="18" t="n">
        <v>1600</v>
      </c>
      <c r="F9" s="2" t="s">
        <v>46</v>
      </c>
      <c r="G9" s="18" t="n">
        <f aca="false">IF(F9="Sí",E9,0)</f>
        <v>0</v>
      </c>
    </row>
    <row r="10" customFormat="false" ht="19.5" hidden="false" customHeight="true" outlineLevel="0" collapsed="false">
      <c r="C10" s="2" t="s">
        <v>219</v>
      </c>
      <c r="D10" s="2" t="s">
        <v>220</v>
      </c>
      <c r="E10" s="18" t="n">
        <v>320</v>
      </c>
      <c r="F10" s="2" t="s">
        <v>216</v>
      </c>
      <c r="G10" s="18" t="n">
        <f aca="false">IF(F10="Sí",E10,0)</f>
        <v>320</v>
      </c>
    </row>
    <row r="11" customFormat="false" ht="19.5" hidden="false" customHeight="true" outlineLevel="0" collapsed="false">
      <c r="C11" s="2" t="s">
        <v>221</v>
      </c>
      <c r="D11" s="2" t="s">
        <v>222</v>
      </c>
      <c r="E11" s="18" t="n">
        <v>210</v>
      </c>
      <c r="F11" s="2" t="s">
        <v>216</v>
      </c>
      <c r="G11" s="18" t="n">
        <f aca="false">IF(F11="Sí",E11,0)</f>
        <v>210</v>
      </c>
    </row>
    <row r="12" customFormat="false" ht="19.5" hidden="false" customHeight="true" outlineLevel="0" collapsed="false">
      <c r="C12" s="2" t="s">
        <v>223</v>
      </c>
      <c r="D12" s="2" t="s">
        <v>224</v>
      </c>
      <c r="E12" s="18" t="n">
        <v>210</v>
      </c>
      <c r="F12" s="2" t="s">
        <v>216</v>
      </c>
      <c r="G12" s="18" t="n">
        <f aca="false">IF(F12="Sí",E12,0)</f>
        <v>210</v>
      </c>
    </row>
    <row r="13" customFormat="false" ht="19.5" hidden="false" customHeight="true" outlineLevel="0" collapsed="false">
      <c r="C13" s="2" t="s">
        <v>225</v>
      </c>
      <c r="D13" s="2" t="s">
        <v>226</v>
      </c>
      <c r="E13" s="18" t="n">
        <v>50</v>
      </c>
      <c r="F13" s="2" t="s">
        <v>216</v>
      </c>
      <c r="G13" s="18" t="n">
        <f aca="false">IF(F13="Sí",E13,0)</f>
        <v>50</v>
      </c>
    </row>
    <row r="14" customFormat="false" ht="19.5" hidden="false" customHeight="true" outlineLevel="0" collapsed="false">
      <c r="C14" s="2" t="s">
        <v>227</v>
      </c>
      <c r="D14" s="2" t="s">
        <v>228</v>
      </c>
      <c r="E14" s="18" t="n">
        <v>210</v>
      </c>
      <c r="F14" s="2" t="s">
        <v>216</v>
      </c>
      <c r="G14" s="18" t="n">
        <f aca="false">IF(F14="Sí",E14,0)</f>
        <v>210</v>
      </c>
    </row>
    <row r="15" customFormat="false" ht="19.5" hidden="false" customHeight="true" outlineLevel="0" collapsed="false">
      <c r="C15" s="2" t="s">
        <v>229</v>
      </c>
      <c r="D15" s="2" t="s">
        <v>230</v>
      </c>
      <c r="E15" s="18" t="n">
        <v>210</v>
      </c>
      <c r="F15" s="2" t="s">
        <v>46</v>
      </c>
      <c r="G15" s="18" t="n">
        <f aca="false">IF(F15="Sí",E15,0)</f>
        <v>0</v>
      </c>
    </row>
    <row r="16" customFormat="false" ht="19.5" hidden="false" customHeight="true" outlineLevel="0" collapsed="false">
      <c r="C16" s="2" t="s">
        <v>231</v>
      </c>
      <c r="D16" s="2" t="s">
        <v>232</v>
      </c>
      <c r="E16" s="18" t="n">
        <v>390</v>
      </c>
      <c r="F16" s="2" t="s">
        <v>46</v>
      </c>
      <c r="G16" s="18" t="n">
        <f aca="false">IF(F16="Sí",E16,0)</f>
        <v>0</v>
      </c>
    </row>
    <row r="17" customFormat="false" ht="19.5" hidden="false" customHeight="true" outlineLevel="0" collapsed="false">
      <c r="C17" s="2" t="s">
        <v>233</v>
      </c>
      <c r="D17" s="2" t="s">
        <v>234</v>
      </c>
      <c r="E17" s="18" t="n">
        <v>590</v>
      </c>
      <c r="F17" s="2" t="s">
        <v>46</v>
      </c>
      <c r="G17" s="18" t="n">
        <f aca="false">IF(F17="Sí",E17,0)</f>
        <v>0</v>
      </c>
    </row>
    <row r="18" customFormat="false" ht="19.5" hidden="false" customHeight="true" outlineLevel="0" collapsed="false">
      <c r="C18" s="2" t="s">
        <v>235</v>
      </c>
      <c r="D18" s="2" t="s">
        <v>236</v>
      </c>
      <c r="E18" s="18" t="n">
        <v>1600</v>
      </c>
      <c r="F18" s="2" t="s">
        <v>46</v>
      </c>
      <c r="G18" s="18" t="n">
        <f aca="false">IF(F18="Sí",E18,0)</f>
        <v>0</v>
      </c>
    </row>
    <row r="19" customFormat="false" ht="19.5" hidden="false" customHeight="true" outlineLevel="0" collapsed="false">
      <c r="C19" s="2" t="s">
        <v>237</v>
      </c>
      <c r="D19" s="2" t="s">
        <v>238</v>
      </c>
      <c r="E19" s="18" t="n">
        <v>1600</v>
      </c>
      <c r="F19" s="2" t="s">
        <v>46</v>
      </c>
      <c r="G19" s="18" t="n">
        <f aca="false">IF(F19="Sí",E19,0)</f>
        <v>0</v>
      </c>
    </row>
    <row r="20" customFormat="false" ht="19.5" hidden="false" customHeight="true" outlineLevel="0" collapsed="false">
      <c r="C20" s="2" t="s">
        <v>239</v>
      </c>
      <c r="D20" s="2" t="s">
        <v>240</v>
      </c>
      <c r="E20" s="18" t="n">
        <v>880</v>
      </c>
      <c r="F20" s="2" t="s">
        <v>46</v>
      </c>
      <c r="G20" s="18" t="n">
        <f aca="false">IF(F20="Sí",E20,0)</f>
        <v>0</v>
      </c>
    </row>
    <row r="21" customFormat="false" ht="19.5" hidden="false" customHeight="true" outlineLevel="0" collapsed="false"/>
    <row r="22" customFormat="false" ht="19.5" hidden="false" customHeight="true" outlineLevel="0" collapsed="false">
      <c r="C22" s="2" t="s">
        <v>241</v>
      </c>
      <c r="G22" s="18" t="n">
        <f aca="false">SUM(G8:G20)</f>
        <v>3900</v>
      </c>
    </row>
    <row r="23" customFormat="false" ht="19.5" hidden="false" customHeight="true" outlineLevel="0" collapsed="false"/>
    <row r="24" customFormat="false" ht="30" hidden="false" customHeight="true" outlineLevel="0" collapsed="false">
      <c r="C24" s="4" t="s">
        <v>242</v>
      </c>
      <c r="D24" s="4"/>
      <c r="E24" s="4"/>
      <c r="F24" s="4"/>
      <c r="G24" s="4"/>
      <c r="H24" s="4"/>
      <c r="I24" s="4"/>
      <c r="J24" s="4"/>
      <c r="K24" s="4"/>
    </row>
    <row r="25" customFormat="false" ht="30" hidden="false" customHeight="true" outlineLevel="0" collapsed="false">
      <c r="C25" s="4" t="s">
        <v>243</v>
      </c>
      <c r="D25" s="4"/>
      <c r="E25" s="4"/>
      <c r="F25" s="4"/>
      <c r="G25" s="4"/>
      <c r="H25" s="4"/>
      <c r="I25" s="4"/>
      <c r="J25" s="4"/>
      <c r="K25" s="4"/>
    </row>
    <row r="26" customFormat="false" ht="30" hidden="false" customHeight="true" outlineLevel="0" collapsed="false">
      <c r="C26" s="4" t="s">
        <v>244</v>
      </c>
      <c r="D26" s="4"/>
      <c r="E26" s="4"/>
      <c r="F26" s="4"/>
      <c r="G26" s="4"/>
      <c r="H26" s="4"/>
      <c r="I26" s="4"/>
      <c r="J26" s="4"/>
      <c r="K26" s="4"/>
    </row>
    <row r="27" customFormat="false" ht="30" hidden="false" customHeight="true" outlineLevel="0" collapsed="false">
      <c r="C27" s="4" t="s">
        <v>245</v>
      </c>
      <c r="D27" s="4"/>
      <c r="E27" s="4"/>
      <c r="F27" s="4"/>
      <c r="G27" s="4"/>
      <c r="H27" s="4"/>
      <c r="I27" s="4"/>
      <c r="J27" s="4"/>
      <c r="K27" s="4"/>
    </row>
    <row r="28" customFormat="false" ht="19.5" hidden="false" customHeight="true" outlineLevel="0" collapsed="false"/>
    <row r="29" customFormat="false" ht="19.5" hidden="false" customHeight="true" outlineLevel="0" collapsed="false"/>
    <row r="30" customFormat="false" ht="19.5" hidden="false" customHeight="true" outlineLevel="0" collapsed="false"/>
  </sheetData>
  <mergeCells count="4">
    <mergeCell ref="C24:K24"/>
    <mergeCell ref="C25:K25"/>
    <mergeCell ref="C26:K26"/>
    <mergeCell ref="C27:K27"/>
  </mergeCells>
  <printOptions headings="false" gridLines="false" gridLinesSet="true" horizontalCentered="true" verticalCentered="false"/>
  <pageMargins left="0.25" right="0.25" top="0.3" bottom="0.3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2026-10-06T17:46:43Z</dcterms:created>
  <dc:creator>openpyxl</dc:creator>
  <dc:description/>
  <dc:language>es-ES</dc:language>
  <cp:lastModifiedBy/>
  <dcterms:modified xsi:type="dcterms:W3CDTF">2026-10-06T17:46:43Z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