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Supuestos" sheetId="2" state="visible" r:id="rId4"/>
    <sheet name="Mensual" sheetId="3" state="visible" r:id="rId5"/>
    <sheet name="Cohortes" sheetId="4" state="visible" r:id="rId6"/>
    <sheet name="Sensibilidad" sheetId="5" state="visible" r:id="rId7"/>
    <sheet name="Demanda" sheetId="6" state="visible" r:id="rId8"/>
    <sheet name="Historia" sheetId="7" state="visible" r:id="rId9"/>
    <sheet name="Fuentes" sheetId="8" state="visible" r:id="rId10"/>
  </sheets>
  <definedNames>
    <definedName function="false" hidden="false" localSheetId="3" name="_xlnm.Print_Area" vbProcedure="false">Cohortes!$C$1:$W$145</definedName>
    <definedName function="false" hidden="false" localSheetId="5" name="_xlnm.Print_Area" vbProcedure="false">Demanda!$C$1:$K$42</definedName>
    <definedName function="false" hidden="false" localSheetId="7" name="_xlnm.Print_Area" vbProcedure="false">Fuentes!$C$1:$K$40</definedName>
    <definedName function="false" hidden="false" localSheetId="6" name="_xlnm.Print_Area" vbProcedure="false">Historia!$C$1:$Q$29</definedName>
    <definedName function="false" hidden="false" localSheetId="2" name="_xlnm.Print_Area" vbProcedure="false">Mensual!$C$1:$Q$51</definedName>
    <definedName function="false" hidden="false" localSheetId="0" name="_xlnm.Print_Area" vbProcedure="false">Resumen!$C$1:$K$49</definedName>
    <definedName function="false" hidden="false" localSheetId="4" name="_xlnm.Print_Area" vbProcedure="false">Sensibilidad!$C$1:$K$46</definedName>
    <definedName function="false" hidden="false" localSheetId="1" name="_xlnm.Print_Area" vbProcedure="false">Supuestos!$C$1:$Q$92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<sst xmlns="http://schemas.openxmlformats.org/spreadsheetml/2006/main" count="469" uniqueCount="312">
  <si>
    <t xml:space="preserve">Pibank: programa anual 2027</t>
  </si>
  <si>
    <t xml:space="preserve">Escenario seleccionado</t>
  </si>
  <si>
    <t xml:space="preserve">12 meses 2027. Hipótesis condicionadas para preparar la propuesta; no forecast bancario ni retorno garantizado.</t>
  </si>
  <si>
    <t xml:space="preserve">Resultado anual dentro de 2027</t>
  </si>
  <si>
    <t xml:space="preserve">Caso activo</t>
  </si>
  <si>
    <t xml:space="preserve">Unidad</t>
  </si>
  <si>
    <t xml:space="preserve">Visitas adicionales</t>
  </si>
  <si>
    <t xml:space="preserve">visitas</t>
  </si>
  <si>
    <t xml:space="preserve">Aperturas incrementales</t>
  </si>
  <si>
    <t xml:space="preserve">cuentas</t>
  </si>
  <si>
    <t xml:space="preserve">Primer fondeo incremental dentro de 2027</t>
  </si>
  <si>
    <t xml:space="preserve">Primer fondeo programado después de 2027</t>
  </si>
  <si>
    <t xml:space="preserve">Depósito inicial bruto dentro de 2027</t>
  </si>
  <si>
    <t xml:space="preserve">USD eq.</t>
  </si>
  <si>
    <t xml:space="preserve">Saldo mantenido al cierre 2027</t>
  </si>
  <si>
    <t xml:space="preserve">Saldo externo al cierre 2027</t>
  </si>
  <si>
    <t xml:space="preserve">Saldo medio externo en 2027</t>
  </si>
  <si>
    <t xml:space="preserve">Escala/meta cuentas provisional</t>
  </si>
  <si>
    <t xml:space="preserve">%</t>
  </si>
  <si>
    <t xml:space="preserve">Inversión cliente anual pendiente</t>
  </si>
  <si>
    <t xml:space="preserve">USD</t>
  </si>
  <si>
    <t xml:space="preserve">CAC de cuenta fondeada incremental</t>
  </si>
  <si>
    <t xml:space="preserve">ROI dentro de 2027</t>
  </si>
  <si>
    <t xml:space="preserve">Payback dentro de 2027</t>
  </si>
  <si>
    <t xml:space="preserve">mes</t>
  </si>
  <si>
    <t xml:space="preserve">Saldo no es revenue. ROI/payback requieren inversión y Finance validados. Ninguna cohorte aporta valor después del horizonte.</t>
  </si>
  <si>
    <t xml:space="preserve">Mes</t>
  </si>
  <si>
    <t xml:space="preserve">Primer fondeo inc.</t>
  </si>
  <si>
    <t xml:space="preserve">Saldo cierre USD eq.</t>
  </si>
  <si>
    <t xml:space="preserve">Saldo externo USD eq.</t>
  </si>
  <si>
    <t xml:space="preserve">Saldo medio externo</t>
  </si>
  <si>
    <t xml:space="preserve">M 1: acceso/medición/delivery. M 3/6/9/12: optimización trimestral. No pilotoSEO ni juicio de viabilidad a 3 meses.</t>
  </si>
  <si>
    <t xml:space="preserve">Demanda histórica y alcance de investigación se leen en Demanda/Historia; los drivers 2027 continúan siendo hipótesis.</t>
  </si>
  <si>
    <t xml:space="preserve">US$38 m y ticketUS$2500 provisionales; anualidad de la meta aún no confirmada. USD eq.no significa productoUSD disponible.</t>
  </si>
  <si>
    <t xml:space="preserve">Origen externo fijo por cohorte. Saldo medio pondera días activos; diciembre tiene menos tiempo de contribución que enero.</t>
  </si>
  <si>
    <t xml:space="preserve">Cambiar selector en SupuestosD 4. Cambiar lagD 18/díaD 19 o tasas actualiza el mismo build; fuentes históricas permanecen intactas.</t>
  </si>
  <si>
    <t xml:space="preserve">Controles y drivers 2027</t>
  </si>
  <si>
    <t xml:space="preserve">Selector escenario (1 / 2 / 3)</t>
  </si>
  <si>
    <t xml:space="preserve">1 Conservador, 2 Base, 3 Favorable. Casos de prueba; nombres no representan probabilidades.</t>
  </si>
  <si>
    <t xml:space="preserve">Meta cuentas provisional</t>
  </si>
  <si>
    <t xml:space="preserve">Meta USD provisional</t>
  </si>
  <si>
    <t xml:space="preserve">Ticket USD equivalente provisional</t>
  </si>
  <si>
    <t xml:space="preserve">Inicio ilustrativo</t>
  </si>
  <si>
    <t xml:space="preserve">US$38 m es inferencia provisional. Programa anual 2027 no confirma periodo ni definición de la meta bancaria.</t>
  </si>
  <si>
    <t xml:space="preserve">Relevancia/elegibilidad ilustrativa</t>
  </si>
  <si>
    <t xml:space="preserve">Finance validó método neto</t>
  </si>
  <si>
    <t xml:space="preserve">No</t>
  </si>
  <si>
    <t xml:space="preserve">Valor neto anual / USD saldo externo</t>
  </si>
  <si>
    <t xml:space="preserve">Inversión completa validada</t>
  </si>
  <si>
    <t xml:space="preserve">Capacidad total con reserva (horas)</t>
  </si>
  <si>
    <t xml:space="preserve">Lag apertura a fondeo (meses)</t>
  </si>
  <si>
    <t xml:space="preserve">Día fondeo supuesto (1–28)</t>
  </si>
  <si>
    <t xml:space="preserve">Proxy mensual de fuente histórica</t>
  </si>
  <si>
    <t xml:space="preserve">Inversión cliente por mes USD (pendiente)</t>
  </si>
  <si>
    <t xml:space="preserve">Inversión anual si completa</t>
  </si>
  <si>
    <t xml:space="preserve">Coste interno Efeonce USD (pendiente)</t>
  </si>
  <si>
    <t xml:space="preserve">Multiplicador crecimiento 2027 supuesto</t>
  </si>
  <si>
    <t xml:space="preserve">Estacionalidad usada</t>
  </si>
  <si>
    <t xml:space="preserve">Plano</t>
  </si>
  <si>
    <t xml:space="preserve">Factor histórico observado / promedio</t>
  </si>
  <si>
    <t xml:space="preserve">Factor usado en hipótesis 2027</t>
  </si>
  <si>
    <t xml:space="preserve">Captura adicional activo</t>
  </si>
  <si>
    <t xml:space="preserve">Conservador</t>
  </si>
  <si>
    <t xml:space="preserve">Base</t>
  </si>
  <si>
    <t xml:space="preserve">Favorable</t>
  </si>
  <si>
    <t xml:space="preserve">Captura referencia activo</t>
  </si>
  <si>
    <t xml:space="preserve">Visita a apertura activo</t>
  </si>
  <si>
    <t xml:space="preserve">Apertura a fondeo activo</t>
  </si>
  <si>
    <t xml:space="preserve">Proxy demanda trasladado 2027 activo</t>
  </si>
  <si>
    <t xml:space="preserve">Saldo relativo 30 d activo</t>
  </si>
  <si>
    <t xml:space="preserve">Saldo relativo 60 d activo</t>
  </si>
  <si>
    <t xml:space="preserve">Saldo relativo 90 d activo</t>
  </si>
  <si>
    <t xml:space="preserve">Saldo relativo 180 d activo</t>
  </si>
  <si>
    <t xml:space="preserve">Saldo relativo 365 d activo</t>
  </si>
  <si>
    <t xml:space="preserve">Origen externo de nueva cohorte activo</t>
  </si>
  <si>
    <t xml:space="preserve">M 1 establece accesos, medición y delivery. No evalúa viabilidad SEO por resultados tempranos ni activa un piloto.</t>
  </si>
  <si>
    <t xml:space="preserve">Programa 12 meses; revisiones 3/6/9/12 para priorizar y optimizar. No prometen ROI temprano ni justifican corte a 3 meses.</t>
  </si>
  <si>
    <t xml:space="preserve">Origen externo se fija en cada cohorte desde el mes de apertura. No se repondera todo el saldo por la tasa del mes actual.</t>
  </si>
  <si>
    <t xml:space="preserve">Retenciones son hipótesis por cuenta original y contienen retiros/abandono. Se interpola entre puntos 0/30/60/90/180/365 d.</t>
  </si>
  <si>
    <t xml:space="preserve">Estacionalidad Historia reusa patrón pasado como hipótesis, no forecast 2027. Plano=1 no afirma ausencia de estacionalidad.</t>
  </si>
  <si>
    <t xml:space="preserve">USD es equivalencia de meta/ticket; producto público Soles. Sin FX supuesto ni disponibilidad de cuenta USD inventada.</t>
  </si>
  <si>
    <t xml:space="preserve">Valor Finance es neto por UN método. No sumar FTP y ahorro de fondeo duplicados. Inversión cliente y coste Efeonce separados.</t>
  </si>
  <si>
    <t xml:space="preserve">Adquisición, fondeo y valor mensual</t>
  </si>
  <si>
    <t xml:space="preserve">Indicador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</si>
  <si>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</si>
  <si>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</si>
  <si>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</si>
  <si>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</si>
  <si>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</si>
  <si>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</si>
  <si>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</si>
  <si>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</si>
  <si>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</si>
  <si>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</si>
  <si>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</si>
  <si>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</si>
  <si>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Proxy mensual histórico trasladado</t>
  </si>
  <si>
    <t xml:space="preserve">búsquedas</t>
  </si>
  <si>
    <t xml:space="preserve">factor</t>
  </si>
  <si>
    <t xml:space="preserve">Crecimiento 2027 supuesto</t>
  </si>
  <si>
    <t xml:space="preserve">Demanda tras relevancia</t>
  </si>
  <si>
    <t xml:space="preserve">Captura referencia</t>
  </si>
  <si>
    <t xml:space="preserve">Captura adicional programa</t>
  </si>
  <si>
    <t xml:space="preserve">Visitas referencia</t>
  </si>
  <si>
    <t xml:space="preserve">Visitas incrementales</t>
  </si>
  <si>
    <t xml:space="preserve">Visitas programa</t>
  </si>
  <si>
    <t xml:space="preserve">Visita a apertura</t>
  </si>
  <si>
    <t xml:space="preserve">Aperturas referencia</t>
  </si>
  <si>
    <t xml:space="preserve">Aperturas programa</t>
  </si>
  <si>
    <t xml:space="preserve">Apertura a fondeo</t>
  </si>
  <si>
    <t xml:space="preserve">Fondeo potencial referencia</t>
  </si>
  <si>
    <t xml:space="preserve">Fondeo potencial programa</t>
  </si>
  <si>
    <t xml:space="preserve">Fondeo potencial incremental</t>
  </si>
  <si>
    <t xml:space="preserve">Primer fondeo referencia dentro año</t>
  </si>
  <si>
    <t xml:space="preserve">Primer fondeo programa dentro año</t>
  </si>
  <si>
    <t xml:space="preserve">Primer fondeo incremental dentro año</t>
  </si>
  <si>
    <t xml:space="preserve">Lag retrasa el primer fondeo. Fondeos programados después de diciembre no cuentan para outcome ni saldo/valor 2027.</t>
  </si>
  <si>
    <t xml:space="preserve">Referencia y captura son hipótesis, no baseline post-lanzamiento. La demanda de mercado tampoco equivale a personas.</t>
  </si>
  <si>
    <t xml:space="preserve">Saldo incremental al cierre</t>
  </si>
  <si>
    <t xml:space="preserve">Saldo externo al cierre</t>
  </si>
  <si>
    <t xml:space="preserve">Saldo medio mensual incremental</t>
  </si>
  <si>
    <t xml:space="preserve">Saldo medio mensual externo</t>
  </si>
  <si>
    <t xml:space="preserve">Inversión cliente pendiente</t>
  </si>
  <si>
    <t xml:space="preserve">Inversión acumulada</t>
  </si>
  <si>
    <t xml:space="preserve">Valor neto mensual Finance</t>
  </si>
  <si>
    <t xml:space="preserve">Valor acumulado Finance</t>
  </si>
  <si>
    <t xml:space="preserve">ROI acumulado con gates Finance</t>
  </si>
  <si>
    <t xml:space="preserve">Valor menos inversión acumulada</t>
  </si>
  <si>
    <t xml:space="preserve">Recuperación alcanzada</t>
  </si>
  <si>
    <t xml:space="preserve">0/1</t>
  </si>
  <si>
    <t xml:space="preserve">Finance aplica tasa neta anual /12 al saldo medio mensual externo. Nueva cohorte se pondera por días activa dentro del mes.</t>
  </si>
  <si>
    <t xml:space="preserve">La cuenta creada en diciembre no aporta doce meses de valor. Valor 2028 no se contabiliza automáticamente.</t>
  </si>
  <si>
    <t xml:space="preserve">Revisiones trimestrales optimizan el programa anual; la ejecución y los accesos se comprueban desdeM 1.</t>
  </si>
  <si>
    <t xml:space="preserve">Cohortes: saldo, origen externo y maduración</t>
  </si>
  <si>
    <t xml:space="preserve">Escenario</t>
  </si>
  <si>
    <t xml:space="preserve">Primer fondeo</t>
  </si>
  <si>
    <t xml:space="preserve">Cuentas potenciales</t>
  </si>
  <si>
    <t xml:space="preserve">Ticket USD eq.</t>
  </si>
  <si>
    <t xml:space="preserve">Origen externo</t>
  </si>
  <si>
    <t xml:space="preserve">Ret 30 d</t>
  </si>
  <si>
    <t xml:space="preserve">Ret 60 d</t>
  </si>
  <si>
    <t xml:space="preserve">Ret 90 d</t>
  </si>
  <si>
    <t xml:space="preserve">Ret 180 d</t>
  </si>
  <si>
    <t xml:space="preserve">Ret 365 d</t>
  </si>
  <si>
    <t xml:space="preserve">M 1</t>
  </si>
  <si>
    <t xml:space="preserve">M 2</t>
  </si>
  <si>
    <t xml:space="preserve">M 3</t>
  </si>
  <si>
    <t xml:space="preserve">M 4</t>
  </si>
  <si>
    <t xml:space="preserve">M 5</t>
  </si>
  <si>
    <t xml:space="preserve">M 6</t>
  </si>
  <si>
    <t xml:space="preserve">M 7</t>
  </si>
  <si>
    <t xml:space="preserve">M 8</t>
  </si>
  <si>
    <t xml:space="preserve">M 9</t>
  </si>
  <si>
    <t xml:space="preserve">M 10</t>
  </si>
  <si>
    <t xml:space="preserve">M 11</t>
  </si>
  <si>
    <t xml:space="preserve">M 12</t>
  </si>
  <si>
    <t xml:space="preserve">Saldo externo al cierre, por cohorte</t>
  </si>
  <si>
    <t xml:space="preserve">Saldo externo cierre</t>
  </si>
  <si>
    <t xml:space="preserve">Saldo medio mensual, por cohorte</t>
  </si>
  <si>
    <t xml:space="preserve">Saldo medio mensual</t>
  </si>
  <si>
    <t xml:space="preserve">Saldo medio externo mensual, por cohorte</t>
  </si>
  <si>
    <t xml:space="preserve">Saldo medio externo mensual</t>
  </si>
  <si>
    <t xml:space="preserve">Saldo 30 d</t>
  </si>
  <si>
    <t xml:space="preserve">Saldo 60 d</t>
  </si>
  <si>
    <t xml:space="preserve">Saldo 90 d</t>
  </si>
  <si>
    <t xml:space="preserve">Saldo 180 d</t>
  </si>
  <si>
    <t xml:space="preserve">Saldo 365 d</t>
  </si>
  <si>
    <t xml:space="preserve">365 d se muestra Fuera 2027 si el aniversario cae en 2028. El knot 365 d sólo ayuda a interpolar la curva hipotética dentro del año.</t>
  </si>
  <si>
    <t xml:space="preserve">Día 15 y lag son supuestos de calendario. Saldo medio usa media de extremos con ponderación de días del primer mes; no dato bancario.</t>
  </si>
  <si>
    <t xml:space="preserve">La proporción externa de cada fila se conserva en toda su vida. Cambiar el driver de diciembre no repondera cohortes anteriores.</t>
  </si>
  <si>
    <t xml:space="preserve">Edad de cohorte en días al cierre</t>
  </si>
  <si>
    <t xml:space="preserve">Saldo relativo interpolado, por cohorte</t>
  </si>
  <si>
    <t xml:space="preserve">Escala y sensibilidad anual</t>
  </si>
  <si>
    <t xml:space="preserve">Banda meta provisional</t>
  </si>
  <si>
    <t xml:space="preserve">Cuentas requeridas</t>
  </si>
  <si>
    <t xml:space="preserve">Visitas requeridas</t>
  </si>
  <si>
    <t xml:space="preserve">Depósito inicial USD eq.</t>
  </si>
  <si>
    <t xml:space="preserve">Bandas son escala aritmética, no compromiso. Usa tasasM 1 constantes; lag y variaciones posteriores se revisan en build anual.</t>
  </si>
  <si>
    <t xml:space="preserve">Apertura / Fondeo</t>
  </si>
  <si>
    <t xml:space="preserve">Lag a primer fondeo (meses)</t>
  </si>
  <si>
    <t xml:space="preserve">Fondeadas dentro de 2027</t>
  </si>
  <si>
    <t xml:space="preserve">Fondeadas después de 2027</t>
  </si>
  <si>
    <t xml:space="preserve">Inversión hipotética anual USD</t>
  </si>
  <si>
    <t xml:space="preserve">Valor/cuenta mínimo para equilibrio</t>
  </si>
  <si>
    <t xml:space="preserve">Naturaleza</t>
  </si>
  <si>
    <t xml:space="preserve">Sensibilidad; no fee</t>
  </si>
  <si>
    <t xml:space="preserve">Inversión 10 k/25 k/50 k es sensibilidad hipotética. No es oferta ni costo Efeonce. ROI sigue N/D hasta inversión y Finance validados.</t>
  </si>
  <si>
    <t xml:space="preserve">Todas cohortes con origen externo</t>
  </si>
  <si>
    <t xml:space="preserve">Saldo externo cierre hipotético</t>
  </si>
  <si>
    <t xml:space="preserve">Sensibilidad uniforme externa es prueba aparte. El build real conserva proporción de origen de cada cohorte.</t>
  </si>
  <si>
    <t xml:space="preserve">Retención y ticket se editan en Supuestos y recalculan todos los cierres/valores. Datos ausentes se propaganN/D.</t>
  </si>
  <si>
    <t xml:space="preserve">Demanda de mercado: fuente y cobertura</t>
  </si>
  <si>
    <t xml:space="preserve">Proxy directo</t>
  </si>
  <si>
    <t xml:space="preserve">Grupo</t>
  </si>
  <si>
    <t xml:space="preserve">Consulta / territorio</t>
  </si>
  <si>
    <t xml:space="preserve">Proxy por mes</t>
  </si>
  <si>
    <t xml:space="preserve">Carril</t>
  </si>
  <si>
    <t xml:space="preserve">Incluido directo</t>
  </si>
  <si>
    <t xml:space="preserve">D 01</t>
  </si>
  <si>
    <t xml:space="preserve">cuenta de ahorros</t>
  </si>
  <si>
    <t xml:space="preserve">Directa</t>
  </si>
  <si>
    <t xml:space="preserve">D 02</t>
  </si>
  <si>
    <t xml:space="preserve">mejores cuentas de ahorro peru</t>
  </si>
  <si>
    <t xml:space="preserve">D 03</t>
  </si>
  <si>
    <t xml:space="preserve">abrir cuenta de ahorros</t>
  </si>
  <si>
    <t xml:space="preserve">D 04</t>
  </si>
  <si>
    <t xml:space="preserve">interés de cuenta de ahorro</t>
  </si>
  <si>
    <t xml:space="preserve">D 05</t>
  </si>
  <si>
    <t xml:space="preserve">cuenta de ahorros sin mantenimiento</t>
  </si>
  <si>
    <t xml:space="preserve">C 01</t>
  </si>
  <si>
    <t xml:space="preserve">cuenta digital</t>
  </si>
  <si>
    <t xml:space="preserve">Condicional</t>
  </si>
  <si>
    <t xml:space="preserve">C 02</t>
  </si>
  <si>
    <t xml:space="preserve">cuentas de alto rendimiento peru</t>
  </si>
  <si>
    <t xml:space="preserve">E 01</t>
  </si>
  <si>
    <t xml:space="preserve">fondo de seguro de depositos</t>
  </si>
  <si>
    <t xml:space="preserve">Educación asistida</t>
  </si>
  <si>
    <t xml:space="preserve">E 02</t>
  </si>
  <si>
    <t xml:space="preserve">que es trea</t>
  </si>
  <si>
    <t xml:space="preserve">E 03</t>
  </si>
  <si>
    <t xml:space="preserve">transferencia bancaria</t>
  </si>
  <si>
    <t xml:space="preserve">E 04</t>
  </si>
  <si>
    <t xml:space="preserve">como ahorrar dinero</t>
  </si>
  <si>
    <t xml:space="preserve">F 01</t>
  </si>
  <si>
    <t xml:space="preserve">cuenta en dolares</t>
  </si>
  <si>
    <t xml:space="preserve">USD futuro</t>
  </si>
  <si>
    <t xml:space="preserve">Proxy adquisición directa mensual</t>
  </si>
  <si>
    <t xml:space="preserve">Market estimates historical; no GSC. Model panel chosen for intent and product fit, not maximal volume; additional clusters remain research backlog.</t>
  </si>
  <si>
    <t xml:space="preserve">Exact-query dedup plus provider core families and manual model representatives. Panel subtotal is a working proxy with residual cross-intent overlap; not unique people, total market or actual traffic. No blanket MAX universe.</t>
  </si>
  <si>
    <t xml:space="preserve">Historical last 12 months per row; mapping shape to 2027 is illustrative, no trend/growth projection. Prefer flat sensitivity plus observed historical shape, not automatic repeated-growth curve.</t>
  </si>
  <si>
    <t xml:space="preserve">Panel directo 3690/mes; media histórica 4015. Condicional 1690 y educación 4070 separados; no sumados a adquisición.</t>
  </si>
  <si>
    <t xml:space="preserve">No demanda total, personas únicas ni forecast 2027. Baseline marca actual, conversiones y AEO: ausentes.</t>
  </si>
  <si>
    <t xml:space="preserve">M 1 son controles de acceso/medición/delivery. El servicio propuesto dura todo 2027; no es piloto de 3/6 meses.</t>
  </si>
  <si>
    <t xml:space="preserve">Serie histórica separada de hipótesis 2027</t>
  </si>
  <si>
    <t xml:space="preserve">Observación histórica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</si>
  <si>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</si>
  <si>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</si>
  <si>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</si>
  <si>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</si>
  <si>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</si>
  <si>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</si>
  <si>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</si>
  <si>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</si>
  <si>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</si>
  <si>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</si>
  <si>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</si>
  <si>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</si>
  <si>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Demanda observada por mes calendario</t>
  </si>
  <si>
    <t xml:space="preserve">Periodo representativo de la muestra</t>
  </si>
  <si>
    <t xml:space="preserve">sep 2025–ago 2026</t>
  </si>
  <si>
    <t xml:space="preserve">Factor / media histórica disponible</t>
  </si>
  <si>
    <t xml:space="preserve">Historia conserva serie de mercado; no es demanda Pibank post-lanzamiento ni forecast 2027. Plano=1 es hipótesis neutral.</t>
  </si>
  <si>
    <t xml:space="preserve">Sólo se habilita Historia cuando los 12 meses de la misma canasta tienen evidencia. No rellenar meses ausentes con cero.</t>
  </si>
  <si>
    <t xml:space="preserve">La selección de representantes manuales, variantes y cobertura están en source-demand.json. Queda solapamiento entre grupos.</t>
  </si>
  <si>
    <t xml:space="preserve">Ledger de evidencia y supuestos</t>
  </si>
  <si>
    <t xml:space="preserve">ID</t>
  </si>
  <si>
    <t xml:space="preserve">Fuente</t>
  </si>
  <si>
    <t xml:space="preserve">Alcance / condición</t>
  </si>
  <si>
    <t xml:space="preserve">Estado</t>
  </si>
  <si>
    <t xml:space="preserve">META</t>
  </si>
  <si>
    <t xml:space="preserve">Inferencia provisional</t>
  </si>
  <si>
    <t xml:space="preserve">Reunión 06/10 + operador</t>
  </si>
  <si>
    <t xml:space="preserve">15200×2500=US 38 m. Año exacto/meta cuenta fondeada no confirmados</t>
  </si>
  <si>
    <t xml:space="preserve">Provisional</t>
  </si>
  <si>
    <t xml:space="preserve">DEMANDA</t>
  </si>
  <si>
    <t xml:space="preserve">Estimación de mercado</t>
  </si>
  <si>
    <t xml:space="preserve">source-demand.json; DataForSEO</t>
  </si>
  <si>
    <t xml:space="preserve">País/idioma, cobertura y periodo en metadata. NoTAM ni usuarios únicos</t>
  </si>
  <si>
    <t xml:space="preserve">Observado con límites</t>
  </si>
  <si>
    <t xml:space="preserve">HISTORIA</t>
  </si>
  <si>
    <t xml:space="preserve">Serie histórica de mercado</t>
  </si>
  <si>
    <t xml:space="preserve">source-demand.json</t>
  </si>
  <si>
    <t xml:space="preserve">No 2027 ni Pibank analytics. No crecimiento 2 x automático</t>
  </si>
  <si>
    <t xml:space="preserve">Historia separada</t>
  </si>
  <si>
    <t xml:space="preserve">SIM</t>
  </si>
  <si>
    <t xml:space="preserve">Hipótesis aritméticas</t>
  </si>
  <si>
    <t xml:space="preserve">inputs.json</t>
  </si>
  <si>
    <t xml:space="preserve">Captura, referencia, apertura, fondeo, relevancia y retención no medidos</t>
  </si>
  <si>
    <t xml:space="preserve">Ilustrativo</t>
  </si>
  <si>
    <t xml:space="preserve">CALENDARIO</t>
  </si>
  <si>
    <t xml:space="preserve">Hipótesis de ejecución</t>
  </si>
  <si>
    <t xml:space="preserve">Enero 2027,12 meses,día 15+lag. Inicio y fondeo se validan al implementar</t>
  </si>
  <si>
    <t xml:space="preserve">ORIGEN</t>
  </si>
  <si>
    <t xml:space="preserve">Hipótesis por cohorte</t>
  </si>
  <si>
    <t xml:space="preserve">Supuestos filas 80-83</t>
  </si>
  <si>
    <t xml:space="preserve">Dinero externo se fija por cohorte; traslado interno no fondeo nuevo grupo</t>
  </si>
  <si>
    <t xml:space="preserve">Pendiente banco</t>
  </si>
  <si>
    <t xml:space="preserve">FINANCE</t>
  </si>
  <si>
    <t xml:space="preserve">Autoridad banco</t>
  </si>
  <si>
    <t xml:space="preserve">Método neto por definir</t>
  </si>
  <si>
    <t xml:space="preserve">Tasa anual neta por USD de saldo medio externo. Un único método, sin dobleFTP</t>
  </si>
  <si>
    <t xml:space="preserve">N/D</t>
  </si>
  <si>
    <t xml:space="preserve">INVERSIÓN</t>
  </si>
  <si>
    <t xml:space="preserve">Propuesta no aprobada</t>
  </si>
  <si>
    <t xml:space="preserve">Supuestos filas 22-24</t>
  </si>
  <si>
    <t xml:space="preserve">Inversión cliente vacía. CosteEfeonce vacío. Matriz inversión separada</t>
  </si>
  <si>
    <t xml:space="preserve">CAPACIDAD</t>
  </si>
  <si>
    <t xml:space="preserve">Estimación planificación</t>
  </si>
  <si>
    <t xml:space="preserve">../propuesta-anual/CAPACIDAD-Y-COSTEO-INTERNO.md</t>
  </si>
  <si>
    <t xml:space="preserve">2560 h+336 hreserva=2896 h. No fee, roster ni capacidad comprometida</t>
  </si>
  <si>
    <t xml:space="preserve">Operations/Finance pendiente</t>
  </si>
  <si>
    <t xml:space="preserve">GOOGLE</t>
  </si>
  <si>
    <t xml:space="preserve">Fuente técnica primaria</t>
  </si>
  <si>
    <t xml:space="preserve">https://developers.google.com/search/docs/appearance/ai-features</t>
  </si>
  <si>
    <t xml:space="preserve">FundamentosSEO, sin requisitos extra ni garantía; sóloGoogle</t>
  </si>
  <si>
    <t xml:space="preserve">Consultada 06/10</t>
  </si>
  <si>
    <t xml:space="preserve">PIBANK</t>
  </si>
  <si>
    <t xml:space="preserve">Fuente producto primaria</t>
  </si>
  <si>
    <t xml:space="preserve">https://pibank.pe/cuenta-soles-pibank/</t>
  </si>
  <si>
    <t xml:space="preserve">CuentaSoles pública. USD eq.modelado no confirma cuentaUSD</t>
  </si>
  <si>
    <t xml:space="preserve">M 1 revisa accesos/datos/delivery; no valida fracaso o éxitoSEO. Programa 2027 anual con optimización trimestral.</t>
  </si>
  <si>
    <t xml:space="preserve">El contrafactual no demuestra pérdidas históricas. CitasIA no se multiplican para fabricar conversiones.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</si>
</sst>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;\(#,##0.0\);\—"/>
    <numFmt numFmtId="166" formatCode="&quot;US$&quot;#,##0;&quot;(US$&quot;#,##0\);\—"/>
    <numFmt numFmtId="167" formatCode="0.00%;\(0.00%\);\—"/>
    <numFmt numFmtId="168" formatCode="0.0%;\(0.0%\);\—"/>
    <numFmt numFmtId="169" formatCode="mm/yy"/>
    <numFmt numFmtId="170" formatCode="0"/>
    <numFmt numFmtId="171" formatCode="0.00"/>
    <numFmt numFmtId="172" formatCode="dd/mm/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8294A"/>
      <name val="Arial"/>
      <family val="0"/>
      <charset val="1"/>
    </font>
    <font>
      <sz val="10"/>
      <color rgb="FF18294A"/>
      <name val="Arial"/>
      <family val="0"/>
      <charset val="1"/>
    </font>
    <font>
      <sz val="10"/>
      <color rgb="FF00805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C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0385F"/>
        <bgColor rgb="FF18294A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dotted">
        <color rgb="FF7E8A9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8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0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1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1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2" fontId="6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50"/>
      <rgbColor rgb="FFC0C0C0"/>
      <rgbColor rgb="FF7E8A9E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87DA0"/>
      <rgbColor rgb="FF969696"/>
      <rgbColor rgb="FF18294A"/>
      <rgbColor rgb="FF339966"/>
      <rgbColor rgb="FF003300"/>
      <rgbColor rgb="FF333300"/>
      <rgbColor rgb="FF993300"/>
      <rgbColor rgb="FF993366"/>
      <rgbColor rgb="FF333399"/>
      <rgbColor rgb="FF2038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385F"/>
    <pageSetUpPr fitToPage="true"/>
  </sheetPr>
  <dimension ref="C2:K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9"/>
    <col collapsed="false" customWidth="true" hidden="false" outlineLevel="0" max="5" min="4" style="0" width="17"/>
    <col collapsed="false" customWidth="true" hidden="false" outlineLevel="0" max="11" min="6" style="0" width="14"/>
  </cols>
  <sheetData>
    <row r="2" customFormat="false" ht="24.75" hidden="false" customHeight="true" outlineLevel="0" collapsed="false">
      <c r="C2" s="1" t="s">
        <v>0</v>
      </c>
    </row>
    <row r="4" customFormat="false" ht="15" hidden="false" customHeight="false" outlineLevel="0" collapsed="false">
      <c r="C4" s="2" t="s">
        <v>1</v>
      </c>
      <c r="D4" s="3" t="str">
        <f aca="false">Supuestos!D5</f>
        <v>Base</v>
      </c>
    </row>
    <row r="5" customFormat="false" ht="30" hidden="false" customHeight="true" outlineLevel="0" collapsed="false">
      <c r="C5" s="4" t="s">
        <v>2</v>
      </c>
      <c r="D5" s="4"/>
      <c r="E5" s="4"/>
      <c r="F5" s="4"/>
      <c r="G5" s="4"/>
      <c r="H5" s="4"/>
      <c r="I5" s="4"/>
      <c r="J5" s="4"/>
      <c r="K5" s="4"/>
    </row>
    <row r="6" customFormat="false" ht="19.5" hidden="false" customHeight="true" outlineLevel="0" collapsed="false"/>
    <row r="7" customFormat="false" ht="30" hidden="false" customHeight="true" outlineLevel="0" collapsed="false">
      <c r="C7" s="5" t="s">
        <v>3</v>
      </c>
      <c r="D7" s="5" t="s">
        <v>4</v>
      </c>
      <c r="E7" s="5" t="s">
        <v>5</v>
      </c>
    </row>
    <row r="8" customFormat="false" ht="19.5" hidden="false" customHeight="true" outlineLevel="0" collapsed="false">
      <c r="C8" s="2" t="s">
        <v>6</v>
      </c>
      <c r="D8" s="6" t="n">
        <f aca="false">IF(COUNT(Mensual!F16:Q16)=12,SUM(Mensual!F16:Q16),"N/D")</f>
        <v>3874.5</v>
      </c>
      <c r="E8" s="7" t="s">
        <v>7</v>
      </c>
    </row>
    <row r="9" customFormat="false" ht="19.5" hidden="false" customHeight="true" outlineLevel="0" collapsed="false">
      <c r="C9" s="2" t="s">
        <v>8</v>
      </c>
      <c r="D9" s="6" t="n">
        <f aca="false">IF(COUNT(Mensual!F21:Q21)=12,SUM(Mensual!F21:Q21),"N/D")</f>
        <v>77.49</v>
      </c>
      <c r="E9" s="7" t="s">
        <v>9</v>
      </c>
    </row>
    <row r="10" customFormat="false" ht="19.5" hidden="false" customHeight="true" outlineLevel="0" collapsed="false">
      <c r="C10" s="2" t="s">
        <v>10</v>
      </c>
      <c r="D10" s="6" t="n">
        <f aca="false">IF(COUNT(Mensual!F28:Q28)=12,SUM(Mensual!F28:Q28),"N/D")</f>
        <v>50.3685</v>
      </c>
      <c r="E10" s="7" t="s">
        <v>9</v>
      </c>
    </row>
    <row r="11" customFormat="false" ht="19.5" hidden="false" customHeight="true" outlineLevel="0" collapsed="false">
      <c r="C11" s="2" t="s">
        <v>11</v>
      </c>
      <c r="D11" s="6" t="n">
        <f aca="false">IF(COUNT(Mensual!F25:Q25,Mensual!F28:Q28)=24,SUM(Mensual!F25:Q25)-SUM(Mensual!F28:Q28),"N/D")</f>
        <v>0</v>
      </c>
      <c r="E11" s="7" t="s">
        <v>9</v>
      </c>
    </row>
    <row r="12" customFormat="false" ht="19.5" hidden="false" customHeight="true" outlineLevel="0" collapsed="false">
      <c r="C12" s="2" t="s">
        <v>12</v>
      </c>
      <c r="D12" s="8" t="n">
        <f aca="false">IF(COUNT(D10,Supuestos!D10)=2,D10*Supuestos!D10,"N/D")</f>
        <v>125921.25</v>
      </c>
      <c r="E12" s="7" t="s">
        <v>13</v>
      </c>
    </row>
    <row r="13" customFormat="false" ht="19.5" hidden="false" customHeight="true" outlineLevel="0" collapsed="false">
      <c r="C13" s="2" t="s">
        <v>14</v>
      </c>
      <c r="D13" s="8" t="n">
        <f aca="false">Mensual!Q35</f>
        <v>109054.676579392</v>
      </c>
      <c r="E13" s="7" t="s">
        <v>13</v>
      </c>
    </row>
    <row r="14" customFormat="false" ht="19.5" hidden="false" customHeight="true" outlineLevel="0" collapsed="false">
      <c r="C14" s="2" t="s">
        <v>15</v>
      </c>
      <c r="D14" s="8" t="n">
        <f aca="false">Mensual!Q36</f>
        <v>76338.2736055743</v>
      </c>
      <c r="E14" s="7" t="s">
        <v>13</v>
      </c>
    </row>
    <row r="15" customFormat="false" ht="19.5" hidden="false" customHeight="true" outlineLevel="0" collapsed="false">
      <c r="C15" s="2" t="s">
        <v>16</v>
      </c>
      <c r="D15" s="8" t="n">
        <f aca="false">IF(COUNT(Mensual!F38:Q38)=12,AVERAGE(Mensual!F38:Q38),"N/D")</f>
        <v>23973.8724001957</v>
      </c>
      <c r="E15" s="7" t="s">
        <v>13</v>
      </c>
    </row>
    <row r="16" customFormat="false" ht="19.5" hidden="false" customHeight="true" outlineLevel="0" collapsed="false">
      <c r="C16" s="2" t="s">
        <v>17</v>
      </c>
      <c r="D16" s="9" t="n">
        <f aca="false">IF(AND(COUNT(D10,Supuestos!D8)=2,Supuestos!D8&gt;0),D10/Supuestos!D8,"N/D")</f>
        <v>0.00331371710526316</v>
      </c>
      <c r="E16" s="7" t="s">
        <v>18</v>
      </c>
    </row>
    <row r="17" customFormat="false" ht="19.5" hidden="false" customHeight="true" outlineLevel="0" collapsed="false"/>
    <row r="18" customFormat="false" ht="19.5" hidden="false" customHeight="true" outlineLevel="0" collapsed="false">
      <c r="C18" s="2" t="s">
        <v>19</v>
      </c>
      <c r="D18" s="8" t="str">
        <f aca="false">Supuestos!D23</f>
        <v>N/D</v>
      </c>
      <c r="E18" s="7" t="s">
        <v>20</v>
      </c>
    </row>
    <row r="19" customFormat="false" ht="19.5" hidden="false" customHeight="true" outlineLevel="0" collapsed="false">
      <c r="C19" s="2" t="s">
        <v>21</v>
      </c>
      <c r="D19" s="8" t="str">
        <f aca="false">IF(AND(Supuestos!D16="Sí",COUNT(D18,D10)=2,D18&gt;0,D10&gt;0),D18/D10,"N/D")</f>
        <v>N/D</v>
      </c>
      <c r="E19" s="7" t="s">
        <v>20</v>
      </c>
    </row>
    <row r="20" customFormat="false" ht="19.5" hidden="false" customHeight="true" outlineLevel="0" collapsed="false">
      <c r="C20" s="2" t="s">
        <v>22</v>
      </c>
      <c r="D20" s="10" t="str">
        <f aca="false">Mensual!Q44</f>
        <v>N/D</v>
      </c>
      <c r="E20" s="7" t="s">
        <v>18</v>
      </c>
    </row>
    <row r="21" customFormat="false" ht="19.5" hidden="false" customHeight="true" outlineLevel="0" collapsed="false">
      <c r="C21" s="2" t="s">
        <v>23</v>
      </c>
      <c r="D21" s="6" t="str">
        <f aca="false">IF(COUNT(Mensual!F46:Q46)=12,IFERROR(MATCH(1,Mensual!F46:Q46,0),"No en2027"),"N/D")</f>
        <v>N/D</v>
      </c>
      <c r="E21" s="7" t="s">
        <v>24</v>
      </c>
    </row>
    <row r="22" customFormat="false" ht="19.5" hidden="false" customHeight="true" outlineLevel="0" collapsed="false"/>
    <row r="23" customFormat="false" ht="30" hidden="false" customHeight="true" outlineLevel="0" collapsed="false">
      <c r="C23" s="4" t="s">
        <v>25</v>
      </c>
      <c r="D23" s="4"/>
      <c r="E23" s="4"/>
      <c r="F23" s="4"/>
      <c r="G23" s="4"/>
      <c r="H23" s="4"/>
      <c r="I23" s="4"/>
      <c r="J23" s="4"/>
      <c r="K23" s="4"/>
    </row>
    <row r="24" customFormat="false" ht="19.5" hidden="false" customHeight="true" outlineLevel="0" collapsed="false"/>
    <row r="25" customFormat="false" ht="30" hidden="false" customHeight="true" outlineLevel="0" collapsed="false">
      <c r="C25" s="5" t="s">
        <v>26</v>
      </c>
      <c r="D25" s="5" t="s">
        <v>6</v>
      </c>
      <c r="E25" s="5" t="s">
        <v>27</v>
      </c>
      <c r="F25" s="5" t="s">
        <v>28</v>
      </c>
      <c r="G25" s="5" t="s">
        <v>29</v>
      </c>
      <c r="H25" s="5" t="s">
        <v>30</v>
      </c>
    </row>
    <row r="26" customFormat="false" ht="19.5" hidden="false" customHeight="true" outlineLevel="0" collapsed="false">
      <c r="C26" s="11" t="n">
        <f aca="false">Mensual!F8</f>
        <v>46388</v>
      </c>
      <c r="D26" s="6" t="n">
        <f aca="false">Mensual!F16</f>
        <v>13.8375</v>
      </c>
      <c r="E26" s="6" t="n">
        <f aca="false">Mensual!F28</f>
        <v>0.1798875</v>
      </c>
      <c r="F26" s="8" t="n">
        <f aca="false">Mensual!F35</f>
        <v>437.72625</v>
      </c>
      <c r="G26" s="8" t="n">
        <f aca="false">Mensual!F36</f>
        <v>306.408375</v>
      </c>
      <c r="H26" s="8" t="n">
        <f aca="false">Mensual!F38</f>
        <v>170.332185483871</v>
      </c>
    </row>
    <row r="27" customFormat="false" ht="19.5" hidden="false" customHeight="true" outlineLevel="0" collapsed="false">
      <c r="C27" s="11" t="n">
        <f aca="false">Mensual!G8</f>
        <v>46419</v>
      </c>
      <c r="D27" s="6" t="n">
        <f aca="false">Mensual!G16</f>
        <v>41.5125</v>
      </c>
      <c r="E27" s="6" t="n">
        <f aca="false">Mensual!G28</f>
        <v>0.5396625</v>
      </c>
      <c r="F27" s="8" t="n">
        <f aca="false">Mensual!G35</f>
        <v>1736.66390625</v>
      </c>
      <c r="G27" s="8" t="n">
        <f aca="false">Mensual!G36</f>
        <v>1215.664734375</v>
      </c>
      <c r="H27" s="8" t="n">
        <f aca="false">Mensual!G38</f>
        <v>766.15210546875</v>
      </c>
    </row>
    <row r="28" customFormat="false" ht="19.5" hidden="false" customHeight="true" outlineLevel="0" collapsed="false">
      <c r="C28" s="11" t="n">
        <f aca="false">Mensual!H8</f>
        <v>46447</v>
      </c>
      <c r="D28" s="6" t="n">
        <f aca="false">Mensual!H16</f>
        <v>83.025</v>
      </c>
      <c r="E28" s="6" t="n">
        <f aca="false">Mensual!H28</f>
        <v>1.079325</v>
      </c>
      <c r="F28" s="8" t="n">
        <f aca="false">Mensual!H35</f>
        <v>4270.07953125</v>
      </c>
      <c r="G28" s="8" t="n">
        <f aca="false">Mensual!H36</f>
        <v>2989.055671875</v>
      </c>
      <c r="H28" s="8" t="n">
        <f aca="false">Mensual!H38</f>
        <v>2205.12819102823</v>
      </c>
    </row>
    <row r="29" customFormat="false" ht="19.5" hidden="false" customHeight="true" outlineLevel="0" collapsed="false">
      <c r="C29" s="11" t="n">
        <f aca="false">Mensual!I8</f>
        <v>46478</v>
      </c>
      <c r="D29" s="6" t="n">
        <f aca="false">Mensual!I16</f>
        <v>138.375</v>
      </c>
      <c r="E29" s="6" t="n">
        <f aca="false">Mensual!I28</f>
        <v>1.798875</v>
      </c>
      <c r="F29" s="8" t="n">
        <f aca="false">Mensual!I35</f>
        <v>8437.47328125</v>
      </c>
      <c r="G29" s="8" t="n">
        <f aca="false">Mensual!I36</f>
        <v>5906.231296875</v>
      </c>
      <c r="H29" s="8" t="n">
        <f aca="false">Mensual!I38</f>
        <v>4570.941375</v>
      </c>
    </row>
    <row r="30" customFormat="false" ht="19.5" hidden="false" customHeight="true" outlineLevel="0" collapsed="false">
      <c r="C30" s="11" t="n">
        <f aca="false">Mensual!J8</f>
        <v>46508</v>
      </c>
      <c r="D30" s="6" t="n">
        <f aca="false">Mensual!J16</f>
        <v>207.5625</v>
      </c>
      <c r="E30" s="6" t="n">
        <f aca="false">Mensual!J28</f>
        <v>2.6983125</v>
      </c>
      <c r="F30" s="8" t="n">
        <f aca="false">Mensual!J35</f>
        <v>14576.63390625</v>
      </c>
      <c r="G30" s="8" t="n">
        <f aca="false">Mensual!J36</f>
        <v>10203.643734375</v>
      </c>
      <c r="H30" s="8" t="n">
        <f aca="false">Mensual!J38</f>
        <v>8311.85748538307</v>
      </c>
    </row>
    <row r="31" customFormat="false" ht="19.5" hidden="false" customHeight="true" outlineLevel="0" collapsed="false">
      <c r="C31" s="11" t="n">
        <f aca="false">Mensual!K8</f>
        <v>46539</v>
      </c>
      <c r="D31" s="6" t="n">
        <f aca="false">Mensual!K16</f>
        <v>276.75</v>
      </c>
      <c r="E31" s="6" t="n">
        <f aca="false">Mensual!K28</f>
        <v>3.59775</v>
      </c>
      <c r="F31" s="8" t="n">
        <f aca="false">Mensual!K35</f>
        <v>22670.07234375</v>
      </c>
      <c r="G31" s="8" t="n">
        <f aca="false">Mensual!K36</f>
        <v>15869.050640625</v>
      </c>
      <c r="H31" s="8" t="n">
        <f aca="false">Mensual!K38</f>
        <v>13282.94296875</v>
      </c>
    </row>
    <row r="32" customFormat="false" ht="19.5" hidden="false" customHeight="true" outlineLevel="0" collapsed="false">
      <c r="C32" s="11" t="n">
        <f aca="false">Mensual!L8</f>
        <v>46569</v>
      </c>
      <c r="D32" s="6" t="n">
        <f aca="false">Mensual!L16</f>
        <v>345.9375</v>
      </c>
      <c r="E32" s="6" t="n">
        <f aca="false">Mensual!L28</f>
        <v>4.4971875</v>
      </c>
      <c r="F32" s="8" t="n">
        <f aca="false">Mensual!L35</f>
        <v>32577.3088809122</v>
      </c>
      <c r="G32" s="8" t="n">
        <f aca="false">Mensual!L36</f>
        <v>22804.1162166385</v>
      </c>
      <c r="H32" s="8" t="n">
        <f aca="false">Mensual!L38</f>
        <v>19764.7833782285</v>
      </c>
    </row>
    <row r="33" customFormat="false" ht="19.5" hidden="false" customHeight="true" outlineLevel="0" collapsed="false">
      <c r="C33" s="11" t="n">
        <f aca="false">Mensual!M8</f>
        <v>46600</v>
      </c>
      <c r="D33" s="6" t="n">
        <f aca="false">Mensual!M16</f>
        <v>415.125</v>
      </c>
      <c r="E33" s="6" t="n">
        <f aca="false">Mensual!M28</f>
        <v>5.396625</v>
      </c>
      <c r="F33" s="8" t="n">
        <f aca="false">Mensual!M35</f>
        <v>44305.5012035473</v>
      </c>
      <c r="G33" s="8" t="n">
        <f aca="false">Mensual!M36</f>
        <v>31013.8508424831</v>
      </c>
      <c r="H33" s="8" t="n">
        <f aca="false">Mensual!M38</f>
        <v>27422.8234690769</v>
      </c>
    </row>
    <row r="34" customFormat="false" ht="19.5" hidden="false" customHeight="true" outlineLevel="0" collapsed="false">
      <c r="C34" s="11" t="n">
        <f aca="false">Mensual!N8</f>
        <v>46631</v>
      </c>
      <c r="D34" s="6" t="n">
        <f aca="false">Mensual!N16</f>
        <v>484.3125</v>
      </c>
      <c r="E34" s="6" t="n">
        <f aca="false">Mensual!N28</f>
        <v>6.2960625</v>
      </c>
      <c r="F34" s="8" t="n">
        <f aca="false">Mensual!N35</f>
        <v>57903.2878125</v>
      </c>
      <c r="G34" s="8" t="n">
        <f aca="false">Mensual!N36</f>
        <v>40532.30146875</v>
      </c>
      <c r="H34" s="8" t="n">
        <f aca="false">Mensual!N38</f>
        <v>36204.6187728041</v>
      </c>
    </row>
    <row r="35" customFormat="false" ht="19.5" hidden="false" customHeight="true" outlineLevel="0" collapsed="false">
      <c r="C35" s="11" t="n">
        <f aca="false">Mensual!O8</f>
        <v>46661</v>
      </c>
      <c r="D35" s="6" t="n">
        <f aca="false">Mensual!O16</f>
        <v>553.5</v>
      </c>
      <c r="E35" s="6" t="n">
        <f aca="false">Mensual!O28</f>
        <v>7.1955</v>
      </c>
      <c r="F35" s="8" t="n">
        <f aca="false">Mensual!O35</f>
        <v>73184.170477196</v>
      </c>
      <c r="G35" s="8" t="n">
        <f aca="false">Mensual!O36</f>
        <v>51228.9193340372</v>
      </c>
      <c r="H35" s="8" t="n">
        <f aca="false">Mensual!O38</f>
        <v>46565.7303207484</v>
      </c>
    </row>
    <row r="36" customFormat="false" ht="19.5" hidden="false" customHeight="true" outlineLevel="0" collapsed="false">
      <c r="C36" s="11" t="n">
        <f aca="false">Mensual!P8</f>
        <v>46692</v>
      </c>
      <c r="D36" s="6" t="n">
        <f aca="false">Mensual!P16</f>
        <v>622.6875</v>
      </c>
      <c r="E36" s="6" t="n">
        <f aca="false">Mensual!P28</f>
        <v>8.0949375</v>
      </c>
      <c r="F36" s="8" t="n">
        <f aca="false">Mensual!P35</f>
        <v>90323.3166765203</v>
      </c>
      <c r="G36" s="8" t="n">
        <f aca="false">Mensual!P36</f>
        <v>63226.3216735642</v>
      </c>
      <c r="H36" s="8" t="n">
        <f aca="false">Mensual!P38</f>
        <v>57782.4610116132</v>
      </c>
    </row>
    <row r="37" customFormat="false" ht="19.5" hidden="false" customHeight="true" outlineLevel="0" collapsed="false">
      <c r="C37" s="11" t="n">
        <f aca="false">Mensual!Q8</f>
        <v>46722</v>
      </c>
      <c r="D37" s="6" t="n">
        <f aca="false">Mensual!Q16</f>
        <v>691.875</v>
      </c>
      <c r="E37" s="6" t="n">
        <f aca="false">Mensual!Q28</f>
        <v>8.994375</v>
      </c>
      <c r="F37" s="8" t="n">
        <f aca="false">Mensual!Q35</f>
        <v>109054.676579392</v>
      </c>
      <c r="G37" s="8" t="n">
        <f aca="false">Mensual!Q36</f>
        <v>76338.2736055743</v>
      </c>
      <c r="H37" s="8" t="n">
        <f aca="false">Mensual!Q38</f>
        <v>70638.6975387628</v>
      </c>
    </row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30" hidden="false" customHeight="true" outlineLevel="0" collapsed="false">
      <c r="C40" s="4" t="s">
        <v>31</v>
      </c>
      <c r="D40" s="4"/>
      <c r="E40" s="4"/>
      <c r="F40" s="4"/>
      <c r="G40" s="4"/>
      <c r="H40" s="4"/>
      <c r="I40" s="4"/>
      <c r="J40" s="4"/>
      <c r="K40" s="4"/>
    </row>
    <row r="41" customFormat="false" ht="30" hidden="false" customHeight="true" outlineLevel="0" collapsed="false">
      <c r="C41" s="4" t="s">
        <v>32</v>
      </c>
      <c r="D41" s="4"/>
      <c r="E41" s="4"/>
      <c r="F41" s="4"/>
      <c r="G41" s="4"/>
      <c r="H41" s="4"/>
      <c r="I41" s="4"/>
      <c r="J41" s="4"/>
      <c r="K41" s="4"/>
    </row>
    <row r="42" customFormat="false" ht="30" hidden="false" customHeight="true" outlineLevel="0" collapsed="false">
      <c r="C42" s="4" t="s">
        <v>33</v>
      </c>
      <c r="D42" s="4"/>
      <c r="E42" s="4"/>
      <c r="F42" s="4"/>
      <c r="G42" s="4"/>
      <c r="H42" s="4"/>
      <c r="I42" s="4"/>
      <c r="J42" s="4"/>
      <c r="K42" s="4"/>
    </row>
    <row r="43" customFormat="false" ht="30" hidden="false" customHeight="true" outlineLevel="0" collapsed="false">
      <c r="C43" s="4" t="s">
        <v>34</v>
      </c>
      <c r="D43" s="4"/>
      <c r="E43" s="4"/>
      <c r="F43" s="4"/>
      <c r="G43" s="4"/>
      <c r="H43" s="4"/>
      <c r="I43" s="4"/>
      <c r="J43" s="4"/>
      <c r="K43" s="4"/>
    </row>
    <row r="44" customFormat="false" ht="19.5" hidden="false" customHeight="true" outlineLevel="0" collapsed="false"/>
    <row r="45" customFormat="false" ht="30" hidden="false" customHeight="true" outlineLevel="0" collapsed="false">
      <c r="C45" s="4" t="s">
        <v>35</v>
      </c>
      <c r="D45" s="4"/>
      <c r="E45" s="4"/>
      <c r="F45" s="4"/>
      <c r="G45" s="4"/>
      <c r="H45" s="4"/>
      <c r="I45" s="4"/>
      <c r="J45" s="4"/>
      <c r="K45" s="4"/>
    </row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</sheetData>
  <mergeCells count="7">
    <mergeCell ref="C5:K5"/>
    <mergeCell ref="C23:K23"/>
    <mergeCell ref="C40:K40"/>
    <mergeCell ref="C41:K41"/>
    <mergeCell ref="C42:K42"/>
    <mergeCell ref="C43:K43"/>
    <mergeCell ref="C45:K45"/>
  </mergeCells>
  <printOptions headings="false" gridLines="false" gridLinesSet="true" horizontalCentered="tru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87DA0"/>
    <pageSetUpPr fitToPage="true"/>
  </sheetPr>
  <dimension ref="C2:Q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9"/>
    <col collapsed="false" customWidth="true" hidden="false" outlineLevel="0" max="4" min="4" style="0" width="17"/>
    <col collapsed="false" customWidth="true" hidden="false" outlineLevel="0" max="5" min="5" style="0" width="3"/>
    <col collapsed="false" customWidth="true" hidden="false" outlineLevel="0" max="17" min="6" style="0" width="14"/>
  </cols>
  <sheetData>
    <row r="2" customFormat="false" ht="24.75" hidden="false" customHeight="true" outlineLevel="0" collapsed="false">
      <c r="C2" s="1" t="s">
        <v>36</v>
      </c>
    </row>
    <row r="4" customFormat="false" ht="15" hidden="false" customHeight="false" outlineLevel="0" collapsed="false">
      <c r="C4" s="2" t="s">
        <v>37</v>
      </c>
      <c r="D4" s="12" t="n">
        <v>2</v>
      </c>
    </row>
    <row r="5" customFormat="false" ht="19.5" hidden="false" customHeight="true" outlineLevel="0" collapsed="false">
      <c r="C5" s="2" t="s">
        <v>4</v>
      </c>
      <c r="D5" s="2" t="str">
        <f aca="false">CHOOSE(D4,"Conservador","Base","Favorable")</f>
        <v>Base</v>
      </c>
    </row>
    <row r="6" customFormat="false" ht="30" hidden="false" customHeight="true" outlineLevel="0" collapsed="false">
      <c r="C6" s="4" t="s">
        <v>38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customFormat="false" ht="19.5" hidden="false" customHeight="true" outlineLevel="0" collapsed="false"/>
    <row r="8" customFormat="false" ht="19.5" hidden="false" customHeight="true" outlineLevel="0" collapsed="false">
      <c r="C8" s="2" t="s">
        <v>39</v>
      </c>
      <c r="D8" s="13" t="n">
        <v>15200</v>
      </c>
    </row>
    <row r="9" customFormat="false" ht="19.5" hidden="false" customHeight="true" outlineLevel="0" collapsed="false">
      <c r="C9" s="2" t="s">
        <v>40</v>
      </c>
      <c r="D9" s="14" t="n">
        <v>38000000</v>
      </c>
    </row>
    <row r="10" customFormat="false" ht="19.5" hidden="false" customHeight="true" outlineLevel="0" collapsed="false">
      <c r="C10" s="2" t="s">
        <v>41</v>
      </c>
      <c r="D10" s="14" t="n">
        <v>2500</v>
      </c>
    </row>
    <row r="11" customFormat="false" ht="19.5" hidden="false" customHeight="true" outlineLevel="0" collapsed="false">
      <c r="C11" s="2" t="s">
        <v>42</v>
      </c>
      <c r="D11" s="15" t="n">
        <v>46388</v>
      </c>
    </row>
    <row r="12" customFormat="false" ht="30" hidden="false" customHeight="true" outlineLevel="0" collapsed="false">
      <c r="C12" s="4" t="s">
        <v>43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customFormat="false" ht="19.5" hidden="false" customHeight="true" outlineLevel="0" collapsed="false">
      <c r="C13" s="2" t="s">
        <v>44</v>
      </c>
      <c r="D13" s="16" t="n">
        <v>0.75</v>
      </c>
    </row>
    <row r="14" customFormat="false" ht="19.5" hidden="false" customHeight="true" outlineLevel="0" collapsed="false">
      <c r="C14" s="2" t="s">
        <v>45</v>
      </c>
      <c r="D14" s="17" t="s">
        <v>46</v>
      </c>
    </row>
    <row r="15" customFormat="false" ht="19.5" hidden="false" customHeight="true" outlineLevel="0" collapsed="false">
      <c r="C15" s="2" t="s">
        <v>47</v>
      </c>
      <c r="D15" s="18"/>
    </row>
    <row r="16" customFormat="false" ht="19.5" hidden="false" customHeight="true" outlineLevel="0" collapsed="false">
      <c r="C16" s="2" t="s">
        <v>48</v>
      </c>
      <c r="D16" s="17" t="s">
        <v>46</v>
      </c>
    </row>
    <row r="17" customFormat="false" ht="19.5" hidden="false" customHeight="true" outlineLevel="0" collapsed="false">
      <c r="C17" s="2" t="s">
        <v>49</v>
      </c>
      <c r="D17" s="6" t="n">
        <v>2896</v>
      </c>
    </row>
    <row r="18" customFormat="false" ht="19.5" hidden="false" customHeight="true" outlineLevel="0" collapsed="false">
      <c r="C18" s="2" t="s">
        <v>50</v>
      </c>
      <c r="D18" s="19" t="n">
        <v>0</v>
      </c>
    </row>
    <row r="19" customFormat="false" ht="19.5" hidden="false" customHeight="true" outlineLevel="0" collapsed="false">
      <c r="C19" s="2" t="s">
        <v>51</v>
      </c>
      <c r="D19" s="19" t="n">
        <v>15</v>
      </c>
    </row>
    <row r="20" customFormat="false" ht="19.5" hidden="false" customHeight="true" outlineLevel="0" collapsed="false">
      <c r="C20" s="2" t="s">
        <v>52</v>
      </c>
      <c r="D20" s="20" t="n">
        <f aca="false">Demanda!J5</f>
        <v>3690</v>
      </c>
    </row>
    <row r="21" customFormat="false" ht="19.5" hidden="false" customHeight="true" outlineLevel="0" collapsed="false">
      <c r="F21" s="11" t="n">
        <f aca="false">EDATE($D$11,0)</f>
        <v>46388</v>
      </c>
      <c r="G21" s="11" t="n">
        <f aca="false">EDATE($D$11,1)</f>
        <v>46419</v>
      </c>
      <c r="H21" s="11" t="n">
        <f aca="false">EDATE($D$11,2)</f>
        <v>46447</v>
      </c>
      <c r="I21" s="11" t="n">
        <f aca="false">EDATE($D$11,3)</f>
        <v>46478</v>
      </c>
      <c r="J21" s="11" t="n">
        <f aca="false">EDATE($D$11,4)</f>
        <v>46508</v>
      </c>
      <c r="K21" s="11" t="n">
        <f aca="false">EDATE($D$11,5)</f>
        <v>46539</v>
      </c>
      <c r="L21" s="11" t="n">
        <f aca="false">EDATE($D$11,6)</f>
        <v>46569</v>
      </c>
      <c r="M21" s="11" t="n">
        <f aca="false">EDATE($D$11,7)</f>
        <v>46600</v>
      </c>
      <c r="N21" s="11" t="n">
        <f aca="false">EDATE($D$11,8)</f>
        <v>46631</v>
      </c>
      <c r="O21" s="11" t="n">
        <f aca="false">EDATE($D$11,9)</f>
        <v>46661</v>
      </c>
      <c r="P21" s="11" t="n">
        <f aca="false">EDATE($D$11,10)</f>
        <v>46692</v>
      </c>
      <c r="Q21" s="11" t="n">
        <f aca="false">EDATE($D$11,11)</f>
        <v>46722</v>
      </c>
    </row>
    <row r="22" customFormat="false" ht="19.5" hidden="false" customHeight="true" outlineLevel="0" collapsed="false">
      <c r="C22" s="2" t="s">
        <v>53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customFormat="false" ht="19.5" hidden="false" customHeight="true" outlineLevel="0" collapsed="false">
      <c r="C23" s="2" t="s">
        <v>54</v>
      </c>
      <c r="D23" s="8" t="str">
        <f aca="false">IF(COUNT(F22:Q22)=12,IF(MIN(F22:Q22)&gt;=0,SUM(F22:Q22),"N/D"),"N/D")</f>
        <v>N/D</v>
      </c>
    </row>
    <row r="24" customFormat="false" ht="19.5" hidden="false" customHeight="true" outlineLevel="0" collapsed="false">
      <c r="C24" s="2" t="s">
        <v>55</v>
      </c>
      <c r="D24" s="14"/>
    </row>
    <row r="25" customFormat="false" ht="19.5" hidden="false" customHeight="true" outlineLevel="0" collapsed="false">
      <c r="C25" s="2" t="s">
        <v>56</v>
      </c>
      <c r="D25" s="21" t="n">
        <v>1</v>
      </c>
    </row>
    <row r="26" customFormat="false" ht="19.5" hidden="false" customHeight="true" outlineLevel="0" collapsed="false">
      <c r="C26" s="2" t="s">
        <v>57</v>
      </c>
      <c r="D26" s="17" t="s">
        <v>58</v>
      </c>
    </row>
    <row r="27" customFormat="false" ht="19.5" hidden="false" customHeight="true" outlineLevel="0" collapsed="false">
      <c r="C27" s="2" t="s">
        <v>59</v>
      </c>
      <c r="F27" s="22" t="n">
        <f aca="false">IF(COUNT(Historia!F11)=1,Historia!F11,"N/D")</f>
        <v>1.08841843088418</v>
      </c>
      <c r="G27" s="22" t="n">
        <f aca="false">IF(COUNT(Historia!G11)=1,Historia!G11,"N/D")</f>
        <v>0.919053549190536</v>
      </c>
      <c r="H27" s="22" t="n">
        <f aca="false">IF(COUNT(Historia!H11)=1,Historia!H11,"N/D")</f>
        <v>1.21046077210461</v>
      </c>
      <c r="I27" s="22" t="n">
        <f aca="false">IF(COUNT(Historia!I11)=1,Historia!I11,"N/D")</f>
        <v>1.10585305105853</v>
      </c>
      <c r="J27" s="22" t="n">
        <f aca="false">IF(COUNT(Historia!J11)=1,Historia!J11,"N/D")</f>
        <v>0.924034869240349</v>
      </c>
      <c r="K27" s="22" t="n">
        <f aca="false">IF(COUNT(Historia!K11)=1,Historia!K11,"N/D")</f>
        <v>0.737235367372354</v>
      </c>
      <c r="L27" s="22" t="n">
        <f aca="false">IF(COUNT(Historia!L11)=1,Historia!L11,"N/D")</f>
        <v>0.87920298879203</v>
      </c>
      <c r="M27" s="22" t="n">
        <f aca="false">IF(COUNT(Historia!M11)=1,Historia!M11,"N/D")</f>
        <v>0.869240348692404</v>
      </c>
      <c r="N27" s="22" t="n">
        <f aca="false">IF(COUNT(Historia!N11)=1,Historia!N11,"N/D")</f>
        <v>1.15317559153176</v>
      </c>
      <c r="O27" s="22" t="n">
        <f aca="false">IF(COUNT(Historia!O11)=1,Historia!O11,"N/D")</f>
        <v>1.1332503113325</v>
      </c>
      <c r="P27" s="22" t="n">
        <f aca="false">IF(COUNT(Historia!P11)=1,Historia!P11,"N/D")</f>
        <v>1.07845579078456</v>
      </c>
      <c r="Q27" s="22" t="n">
        <f aca="false">IF(COUNT(Historia!Q11)=1,Historia!Q11,"N/D")</f>
        <v>0.901618929016189</v>
      </c>
    </row>
    <row r="28" customFormat="false" ht="19.5" hidden="false" customHeight="true" outlineLevel="0" collapsed="false">
      <c r="C28" s="2" t="s">
        <v>60</v>
      </c>
      <c r="F28" s="23" t="n">
        <f aca="false">IF($D$26="Plano",1,F27)</f>
        <v>1</v>
      </c>
      <c r="G28" s="23" t="n">
        <f aca="false">IF($D$26="Plano",1,G27)</f>
        <v>1</v>
      </c>
      <c r="H28" s="23" t="n">
        <f aca="false">IF($D$26="Plano",1,H27)</f>
        <v>1</v>
      </c>
      <c r="I28" s="23" t="n">
        <f aca="false">IF($D$26="Plano",1,I27)</f>
        <v>1</v>
      </c>
      <c r="J28" s="23" t="n">
        <f aca="false">IF($D$26="Plano",1,J27)</f>
        <v>1</v>
      </c>
      <c r="K28" s="23" t="n">
        <f aca="false">IF($D$26="Plano",1,K27)</f>
        <v>1</v>
      </c>
      <c r="L28" s="23" t="n">
        <f aca="false">IF($D$26="Plano",1,L27)</f>
        <v>1</v>
      </c>
      <c r="M28" s="23" t="n">
        <f aca="false">IF($D$26="Plano",1,M27)</f>
        <v>1</v>
      </c>
      <c r="N28" s="23" t="n">
        <f aca="false">IF($D$26="Plano",1,N27)</f>
        <v>1</v>
      </c>
      <c r="O28" s="23" t="n">
        <f aca="false">IF($D$26="Plano",1,O27)</f>
        <v>1</v>
      </c>
      <c r="P28" s="23" t="n">
        <f aca="false">IF($D$26="Plano",1,P27)</f>
        <v>1</v>
      </c>
      <c r="Q28" s="23" t="n">
        <f aca="false">IF($D$26="Plano",1,Q27)</f>
        <v>1</v>
      </c>
    </row>
    <row r="29" customFormat="false" ht="19.5" hidden="false" customHeight="true" outlineLevel="0" collapsed="false"/>
    <row r="30" customFormat="false" ht="19.5" hidden="false" customHeight="true" outlineLevel="0" collapsed="false">
      <c r="C30" s="2" t="s">
        <v>61</v>
      </c>
      <c r="F30" s="9" t="n">
        <f aca="false">IF(CHOOSE($D$4,COUNT(F31),COUNT(F32),COUNT(F33))=1,CHOOSE($D$4,F31,F32,F33),"N/D")</f>
        <v>0.005</v>
      </c>
      <c r="G30" s="9" t="n">
        <f aca="false">IF(CHOOSE($D$4,COUNT(G31),COUNT(G32),COUNT(G33))=1,CHOOSE($D$4,G31,G32,G33),"N/D")</f>
        <v>0.015</v>
      </c>
      <c r="H30" s="9" t="n">
        <f aca="false">IF(CHOOSE($D$4,COUNT(H31),COUNT(H32),COUNT(H33))=1,CHOOSE($D$4,H31,H32,H33),"N/D")</f>
        <v>0.03</v>
      </c>
      <c r="I30" s="9" t="n">
        <f aca="false">IF(CHOOSE($D$4,COUNT(I31),COUNT(I32),COUNT(I33))=1,CHOOSE($D$4,I31,I32,I33),"N/D")</f>
        <v>0.05</v>
      </c>
      <c r="J30" s="9" t="n">
        <f aca="false">IF(CHOOSE($D$4,COUNT(J31),COUNT(J32),COUNT(J33))=1,CHOOSE($D$4,J31,J32,J33),"N/D")</f>
        <v>0.075</v>
      </c>
      <c r="K30" s="9" t="n">
        <f aca="false">IF(CHOOSE($D$4,COUNT(K31),COUNT(K32),COUNT(K33))=1,CHOOSE($D$4,K31,K32,K33),"N/D")</f>
        <v>0.1</v>
      </c>
      <c r="L30" s="9" t="n">
        <f aca="false">IF(CHOOSE($D$4,COUNT(L31),COUNT(L32),COUNT(L33))=1,CHOOSE($D$4,L31,L32,L33),"N/D")</f>
        <v>0.125</v>
      </c>
      <c r="M30" s="9" t="n">
        <f aca="false">IF(CHOOSE($D$4,COUNT(M31),COUNT(M32),COUNT(M33))=1,CHOOSE($D$4,M31,M32,M33),"N/D")</f>
        <v>0.15</v>
      </c>
      <c r="N30" s="9" t="n">
        <f aca="false">IF(CHOOSE($D$4,COUNT(N31),COUNT(N32),COUNT(N33))=1,CHOOSE($D$4,N31,N32,N33),"N/D")</f>
        <v>0.175</v>
      </c>
      <c r="O30" s="9" t="n">
        <f aca="false">IF(CHOOSE($D$4,COUNT(O31),COUNT(O32),COUNT(O33))=1,CHOOSE($D$4,O31,O32,O33),"N/D")</f>
        <v>0.2</v>
      </c>
      <c r="P30" s="9" t="n">
        <f aca="false">IF(CHOOSE($D$4,COUNT(P31),COUNT(P32),COUNT(P33))=1,CHOOSE($D$4,P31,P32,P33),"N/D")</f>
        <v>0.225</v>
      </c>
      <c r="Q30" s="9" t="n">
        <f aca="false">IF(CHOOSE($D$4,COUNT(Q31),COUNT(Q32),COUNT(Q33))=1,CHOOSE($D$4,Q31,Q32,Q33),"N/D")</f>
        <v>0.25</v>
      </c>
    </row>
    <row r="31" customFormat="false" ht="19.5" hidden="false" customHeight="true" outlineLevel="0" collapsed="false">
      <c r="C31" s="2" t="s">
        <v>62</v>
      </c>
      <c r="F31" s="18" t="n">
        <v>0.0025</v>
      </c>
      <c r="G31" s="18" t="n">
        <v>0.005</v>
      </c>
      <c r="H31" s="18" t="n">
        <v>0.01</v>
      </c>
      <c r="I31" s="18" t="n">
        <v>0.02</v>
      </c>
      <c r="J31" s="18" t="n">
        <v>0.035</v>
      </c>
      <c r="K31" s="18" t="n">
        <v>0.05</v>
      </c>
      <c r="L31" s="18" t="n">
        <v>0.065</v>
      </c>
      <c r="M31" s="18" t="n">
        <v>0.08</v>
      </c>
      <c r="N31" s="18" t="n">
        <v>0.095</v>
      </c>
      <c r="O31" s="18" t="n">
        <v>0.11</v>
      </c>
      <c r="P31" s="18" t="n">
        <v>0.12</v>
      </c>
      <c r="Q31" s="18" t="n">
        <v>0.13</v>
      </c>
    </row>
    <row r="32" customFormat="false" ht="19.5" hidden="false" customHeight="true" outlineLevel="0" collapsed="false">
      <c r="C32" s="2" t="s">
        <v>63</v>
      </c>
      <c r="F32" s="18" t="n">
        <v>0.005</v>
      </c>
      <c r="G32" s="18" t="n">
        <v>0.015</v>
      </c>
      <c r="H32" s="18" t="n">
        <v>0.03</v>
      </c>
      <c r="I32" s="18" t="n">
        <v>0.05</v>
      </c>
      <c r="J32" s="18" t="n">
        <v>0.075</v>
      </c>
      <c r="K32" s="18" t="n">
        <v>0.1</v>
      </c>
      <c r="L32" s="18" t="n">
        <v>0.125</v>
      </c>
      <c r="M32" s="18" t="n">
        <v>0.15</v>
      </c>
      <c r="N32" s="18" t="n">
        <v>0.175</v>
      </c>
      <c r="O32" s="18" t="n">
        <v>0.2</v>
      </c>
      <c r="P32" s="18" t="n">
        <v>0.225</v>
      </c>
      <c r="Q32" s="18" t="n">
        <v>0.25</v>
      </c>
    </row>
    <row r="33" customFormat="false" ht="19.5" hidden="false" customHeight="true" outlineLevel="0" collapsed="false">
      <c r="C33" s="2" t="s">
        <v>64</v>
      </c>
      <c r="F33" s="18" t="n">
        <v>0.01</v>
      </c>
      <c r="G33" s="18" t="n">
        <v>0.025</v>
      </c>
      <c r="H33" s="18" t="n">
        <v>0.05</v>
      </c>
      <c r="I33" s="18" t="n">
        <v>0.075</v>
      </c>
      <c r="J33" s="18" t="n">
        <v>0.1</v>
      </c>
      <c r="K33" s="18" t="n">
        <v>0.15</v>
      </c>
      <c r="L33" s="18" t="n">
        <v>0.2</v>
      </c>
      <c r="M33" s="18" t="n">
        <v>0.25</v>
      </c>
      <c r="N33" s="18" t="n">
        <v>0.3</v>
      </c>
      <c r="O33" s="18" t="n">
        <v>0.35</v>
      </c>
      <c r="P33" s="18" t="n">
        <v>0.4</v>
      </c>
      <c r="Q33" s="18" t="n">
        <v>0.45</v>
      </c>
    </row>
    <row r="34" customFormat="false" ht="19.5" hidden="false" customHeight="true" outlineLevel="0" collapsed="false"/>
    <row r="35" customFormat="false" ht="19.5" hidden="false" customHeight="true" outlineLevel="0" collapsed="false">
      <c r="C35" s="2" t="s">
        <v>65</v>
      </c>
      <c r="F35" s="9" t="n">
        <f aca="false">IF(CHOOSE($D$4,COUNT(F36),COUNT(F37),COUNT(F38))=1,CHOOSE($D$4,F36,F37,F38),"N/D")</f>
        <v>0.01</v>
      </c>
      <c r="G35" s="9" t="n">
        <f aca="false">IF(CHOOSE($D$4,COUNT(G36),COUNT(G37),COUNT(G38))=1,CHOOSE($D$4,G36,G37,G38),"N/D")</f>
        <v>0.01</v>
      </c>
      <c r="H35" s="9" t="n">
        <f aca="false">IF(CHOOSE($D$4,COUNT(H36),COUNT(H37),COUNT(H38))=1,CHOOSE($D$4,H36,H37,H38),"N/D")</f>
        <v>0.01</v>
      </c>
      <c r="I35" s="9" t="n">
        <f aca="false">IF(CHOOSE($D$4,COUNT(I36),COUNT(I37),COUNT(I38))=1,CHOOSE($D$4,I36,I37,I38),"N/D")</f>
        <v>0.01</v>
      </c>
      <c r="J35" s="9" t="n">
        <f aca="false">IF(CHOOSE($D$4,COUNT(J36),COUNT(J37),COUNT(J38))=1,CHOOSE($D$4,J36,J37,J38),"N/D")</f>
        <v>0.01</v>
      </c>
      <c r="K35" s="9" t="n">
        <f aca="false">IF(CHOOSE($D$4,COUNT(K36),COUNT(K37),COUNT(K38))=1,CHOOSE($D$4,K36,K37,K38),"N/D")</f>
        <v>0.01</v>
      </c>
      <c r="L35" s="9" t="n">
        <f aca="false">IF(CHOOSE($D$4,COUNT(L36),COUNT(L37),COUNT(L38))=1,CHOOSE($D$4,L36,L37,L38),"N/D")</f>
        <v>0.01</v>
      </c>
      <c r="M35" s="9" t="n">
        <f aca="false">IF(CHOOSE($D$4,COUNT(M36),COUNT(M37),COUNT(M38))=1,CHOOSE($D$4,M36,M37,M38),"N/D")</f>
        <v>0.01</v>
      </c>
      <c r="N35" s="9" t="n">
        <f aca="false">IF(CHOOSE($D$4,COUNT(N36),COUNT(N37),COUNT(N38))=1,CHOOSE($D$4,N36,N37,N38),"N/D")</f>
        <v>0.01</v>
      </c>
      <c r="O35" s="9" t="n">
        <f aca="false">IF(CHOOSE($D$4,COUNT(O36),COUNT(O37),COUNT(O38))=1,CHOOSE($D$4,O36,O37,O38),"N/D")</f>
        <v>0.01</v>
      </c>
      <c r="P35" s="9" t="n">
        <f aca="false">IF(CHOOSE($D$4,COUNT(P36),COUNT(P37),COUNT(P38))=1,CHOOSE($D$4,P36,P37,P38),"N/D")</f>
        <v>0.01</v>
      </c>
      <c r="Q35" s="9" t="n">
        <f aca="false">IF(CHOOSE($D$4,COUNT(Q36),COUNT(Q37),COUNT(Q38))=1,CHOOSE($D$4,Q36,Q37,Q38),"N/D")</f>
        <v>0.01</v>
      </c>
    </row>
    <row r="36" customFormat="false" ht="19.5" hidden="false" customHeight="true" outlineLevel="0" collapsed="false">
      <c r="C36" s="2" t="s">
        <v>62</v>
      </c>
      <c r="F36" s="18" t="n">
        <v>0.01</v>
      </c>
      <c r="G36" s="18" t="n">
        <v>0.01</v>
      </c>
      <c r="H36" s="18" t="n">
        <v>0.01</v>
      </c>
      <c r="I36" s="18" t="n">
        <v>0.01</v>
      </c>
      <c r="J36" s="18" t="n">
        <v>0.01</v>
      </c>
      <c r="K36" s="18" t="n">
        <v>0.01</v>
      </c>
      <c r="L36" s="18" t="n">
        <v>0.01</v>
      </c>
      <c r="M36" s="18" t="n">
        <v>0.01</v>
      </c>
      <c r="N36" s="18" t="n">
        <v>0.01</v>
      </c>
      <c r="O36" s="18" t="n">
        <v>0.01</v>
      </c>
      <c r="P36" s="18" t="n">
        <v>0.01</v>
      </c>
      <c r="Q36" s="18" t="n">
        <v>0.01</v>
      </c>
    </row>
    <row r="37" customFormat="false" ht="19.5" hidden="false" customHeight="true" outlineLevel="0" collapsed="false">
      <c r="C37" s="2" t="s">
        <v>63</v>
      </c>
      <c r="F37" s="18" t="n">
        <v>0.01</v>
      </c>
      <c r="G37" s="18" t="n">
        <v>0.01</v>
      </c>
      <c r="H37" s="18" t="n">
        <v>0.01</v>
      </c>
      <c r="I37" s="18" t="n">
        <v>0.01</v>
      </c>
      <c r="J37" s="18" t="n">
        <v>0.01</v>
      </c>
      <c r="K37" s="18" t="n">
        <v>0.01</v>
      </c>
      <c r="L37" s="18" t="n">
        <v>0.01</v>
      </c>
      <c r="M37" s="18" t="n">
        <v>0.01</v>
      </c>
      <c r="N37" s="18" t="n">
        <v>0.01</v>
      </c>
      <c r="O37" s="18" t="n">
        <v>0.01</v>
      </c>
      <c r="P37" s="18" t="n">
        <v>0.01</v>
      </c>
      <c r="Q37" s="18" t="n">
        <v>0.01</v>
      </c>
    </row>
    <row r="38" customFormat="false" ht="19.5" hidden="false" customHeight="true" outlineLevel="0" collapsed="false">
      <c r="C38" s="2" t="s">
        <v>64</v>
      </c>
      <c r="F38" s="18" t="n">
        <v>0.01</v>
      </c>
      <c r="G38" s="18" t="n">
        <v>0.01</v>
      </c>
      <c r="H38" s="18" t="n">
        <v>0.01</v>
      </c>
      <c r="I38" s="18" t="n">
        <v>0.01</v>
      </c>
      <c r="J38" s="18" t="n">
        <v>0.01</v>
      </c>
      <c r="K38" s="18" t="n">
        <v>0.01</v>
      </c>
      <c r="L38" s="18" t="n">
        <v>0.01</v>
      </c>
      <c r="M38" s="18" t="n">
        <v>0.01</v>
      </c>
      <c r="N38" s="18" t="n">
        <v>0.01</v>
      </c>
      <c r="O38" s="18" t="n">
        <v>0.01</v>
      </c>
      <c r="P38" s="18" t="n">
        <v>0.01</v>
      </c>
      <c r="Q38" s="18" t="n">
        <v>0.01</v>
      </c>
    </row>
    <row r="39" customFormat="false" ht="19.5" hidden="false" customHeight="true" outlineLevel="0" collapsed="false"/>
    <row r="40" customFormat="false" ht="19.5" hidden="false" customHeight="true" outlineLevel="0" collapsed="false">
      <c r="C40" s="2" t="s">
        <v>66</v>
      </c>
      <c r="F40" s="9" t="n">
        <f aca="false">IF(CHOOSE($D$4,COUNT(F41),COUNT(F42),COUNT(F43))=1,CHOOSE($D$4,F41,F42,F43),"N/D")</f>
        <v>0.02</v>
      </c>
      <c r="G40" s="9" t="n">
        <f aca="false">IF(CHOOSE($D$4,COUNT(G41),COUNT(G42),COUNT(G43))=1,CHOOSE($D$4,G41,G42,G43),"N/D")</f>
        <v>0.02</v>
      </c>
      <c r="H40" s="9" t="n">
        <f aca="false">IF(CHOOSE($D$4,COUNT(H41),COUNT(H42),COUNT(H43))=1,CHOOSE($D$4,H41,H42,H43),"N/D")</f>
        <v>0.02</v>
      </c>
      <c r="I40" s="9" t="n">
        <f aca="false">IF(CHOOSE($D$4,COUNT(I41),COUNT(I42),COUNT(I43))=1,CHOOSE($D$4,I41,I42,I43),"N/D")</f>
        <v>0.02</v>
      </c>
      <c r="J40" s="9" t="n">
        <f aca="false">IF(CHOOSE($D$4,COUNT(J41),COUNT(J42),COUNT(J43))=1,CHOOSE($D$4,J41,J42,J43),"N/D")</f>
        <v>0.02</v>
      </c>
      <c r="K40" s="9" t="n">
        <f aca="false">IF(CHOOSE($D$4,COUNT(K41),COUNT(K42),COUNT(K43))=1,CHOOSE($D$4,K41,K42,K43),"N/D")</f>
        <v>0.02</v>
      </c>
      <c r="L40" s="9" t="n">
        <f aca="false">IF(CHOOSE($D$4,COUNT(L41),COUNT(L42),COUNT(L43))=1,CHOOSE($D$4,L41,L42,L43),"N/D")</f>
        <v>0.02</v>
      </c>
      <c r="M40" s="9" t="n">
        <f aca="false">IF(CHOOSE($D$4,COUNT(M41),COUNT(M42),COUNT(M43))=1,CHOOSE($D$4,M41,M42,M43),"N/D")</f>
        <v>0.02</v>
      </c>
      <c r="N40" s="9" t="n">
        <f aca="false">IF(CHOOSE($D$4,COUNT(N41),COUNT(N42),COUNT(N43))=1,CHOOSE($D$4,N41,N42,N43),"N/D")</f>
        <v>0.02</v>
      </c>
      <c r="O40" s="9" t="n">
        <f aca="false">IF(CHOOSE($D$4,COUNT(O41),COUNT(O42),COUNT(O43))=1,CHOOSE($D$4,O41,O42,O43),"N/D")</f>
        <v>0.02</v>
      </c>
      <c r="P40" s="9" t="n">
        <f aca="false">IF(CHOOSE($D$4,COUNT(P41),COUNT(P42),COUNT(P43))=1,CHOOSE($D$4,P41,P42,P43),"N/D")</f>
        <v>0.02</v>
      </c>
      <c r="Q40" s="9" t="n">
        <f aca="false">IF(CHOOSE($D$4,COUNT(Q41),COUNT(Q42),COUNT(Q43))=1,CHOOSE($D$4,Q41,Q42,Q43),"N/D")</f>
        <v>0.02</v>
      </c>
    </row>
    <row r="41" customFormat="false" ht="19.5" hidden="false" customHeight="true" outlineLevel="0" collapsed="false">
      <c r="C41" s="2" t="s">
        <v>62</v>
      </c>
      <c r="F41" s="18" t="n">
        <v>0.01</v>
      </c>
      <c r="G41" s="18" t="n">
        <v>0.01</v>
      </c>
      <c r="H41" s="18" t="n">
        <v>0.01</v>
      </c>
      <c r="I41" s="18" t="n">
        <v>0.01</v>
      </c>
      <c r="J41" s="18" t="n">
        <v>0.01</v>
      </c>
      <c r="K41" s="18" t="n">
        <v>0.01</v>
      </c>
      <c r="L41" s="18" t="n">
        <v>0.01</v>
      </c>
      <c r="M41" s="18" t="n">
        <v>0.01</v>
      </c>
      <c r="N41" s="18" t="n">
        <v>0.01</v>
      </c>
      <c r="O41" s="18" t="n">
        <v>0.01</v>
      </c>
      <c r="P41" s="18" t="n">
        <v>0.01</v>
      </c>
      <c r="Q41" s="18" t="n">
        <v>0.01</v>
      </c>
    </row>
    <row r="42" customFormat="false" ht="19.5" hidden="false" customHeight="true" outlineLevel="0" collapsed="false">
      <c r="C42" s="2" t="s">
        <v>63</v>
      </c>
      <c r="F42" s="18" t="n">
        <v>0.02</v>
      </c>
      <c r="G42" s="18" t="n">
        <v>0.02</v>
      </c>
      <c r="H42" s="18" t="n">
        <v>0.02</v>
      </c>
      <c r="I42" s="18" t="n">
        <v>0.02</v>
      </c>
      <c r="J42" s="18" t="n">
        <v>0.02</v>
      </c>
      <c r="K42" s="18" t="n">
        <v>0.02</v>
      </c>
      <c r="L42" s="18" t="n">
        <v>0.02</v>
      </c>
      <c r="M42" s="18" t="n">
        <v>0.02</v>
      </c>
      <c r="N42" s="18" t="n">
        <v>0.02</v>
      </c>
      <c r="O42" s="18" t="n">
        <v>0.02</v>
      </c>
      <c r="P42" s="18" t="n">
        <v>0.02</v>
      </c>
      <c r="Q42" s="18" t="n">
        <v>0.02</v>
      </c>
    </row>
    <row r="43" customFormat="false" ht="19.5" hidden="false" customHeight="true" outlineLevel="0" collapsed="false">
      <c r="C43" s="2" t="s">
        <v>64</v>
      </c>
      <c r="F43" s="18" t="n">
        <v>0.03</v>
      </c>
      <c r="G43" s="18" t="n">
        <v>0.03</v>
      </c>
      <c r="H43" s="18" t="n">
        <v>0.03</v>
      </c>
      <c r="I43" s="18" t="n">
        <v>0.03</v>
      </c>
      <c r="J43" s="18" t="n">
        <v>0.03</v>
      </c>
      <c r="K43" s="18" t="n">
        <v>0.03</v>
      </c>
      <c r="L43" s="18" t="n">
        <v>0.03</v>
      </c>
      <c r="M43" s="18" t="n">
        <v>0.03</v>
      </c>
      <c r="N43" s="18" t="n">
        <v>0.03</v>
      </c>
      <c r="O43" s="18" t="n">
        <v>0.03</v>
      </c>
      <c r="P43" s="18" t="n">
        <v>0.03</v>
      </c>
      <c r="Q43" s="18" t="n">
        <v>0.03</v>
      </c>
    </row>
    <row r="44" customFormat="false" ht="19.5" hidden="false" customHeight="true" outlineLevel="0" collapsed="false"/>
    <row r="45" customFormat="false" ht="19.5" hidden="false" customHeight="true" outlineLevel="0" collapsed="false">
      <c r="C45" s="2" t="s">
        <v>67</v>
      </c>
      <c r="F45" s="9" t="n">
        <f aca="false">IF(CHOOSE($D$4,COUNT(F46),COUNT(F47),COUNT(F48))=1,CHOOSE($D$4,F46,F47,F48),"N/D")</f>
        <v>0.65</v>
      </c>
      <c r="G45" s="9" t="n">
        <f aca="false">IF(CHOOSE($D$4,COUNT(G46),COUNT(G47),COUNT(G48))=1,CHOOSE($D$4,G46,G47,G48),"N/D")</f>
        <v>0.65</v>
      </c>
      <c r="H45" s="9" t="n">
        <f aca="false">IF(CHOOSE($D$4,COUNT(H46),COUNT(H47),COUNT(H48))=1,CHOOSE($D$4,H46,H47,H48),"N/D")</f>
        <v>0.65</v>
      </c>
      <c r="I45" s="9" t="n">
        <f aca="false">IF(CHOOSE($D$4,COUNT(I46),COUNT(I47),COUNT(I48))=1,CHOOSE($D$4,I46,I47,I48),"N/D")</f>
        <v>0.65</v>
      </c>
      <c r="J45" s="9" t="n">
        <f aca="false">IF(CHOOSE($D$4,COUNT(J46),COUNT(J47),COUNT(J48))=1,CHOOSE($D$4,J46,J47,J48),"N/D")</f>
        <v>0.65</v>
      </c>
      <c r="K45" s="9" t="n">
        <f aca="false">IF(CHOOSE($D$4,COUNT(K46),COUNT(K47),COUNT(K48))=1,CHOOSE($D$4,K46,K47,K48),"N/D")</f>
        <v>0.65</v>
      </c>
      <c r="L45" s="9" t="n">
        <f aca="false">IF(CHOOSE($D$4,COUNT(L46),COUNT(L47),COUNT(L48))=1,CHOOSE($D$4,L46,L47,L48),"N/D")</f>
        <v>0.65</v>
      </c>
      <c r="M45" s="9" t="n">
        <f aca="false">IF(CHOOSE($D$4,COUNT(M46),COUNT(M47),COUNT(M48))=1,CHOOSE($D$4,M46,M47,M48),"N/D")</f>
        <v>0.65</v>
      </c>
      <c r="N45" s="9" t="n">
        <f aca="false">IF(CHOOSE($D$4,COUNT(N46),COUNT(N47),COUNT(N48))=1,CHOOSE($D$4,N46,N47,N48),"N/D")</f>
        <v>0.65</v>
      </c>
      <c r="O45" s="9" t="n">
        <f aca="false">IF(CHOOSE($D$4,COUNT(O46),COUNT(O47),COUNT(O48))=1,CHOOSE($D$4,O46,O47,O48),"N/D")</f>
        <v>0.65</v>
      </c>
      <c r="P45" s="9" t="n">
        <f aca="false">IF(CHOOSE($D$4,COUNT(P46),COUNT(P47),COUNT(P48))=1,CHOOSE($D$4,P46,P47,P48),"N/D")</f>
        <v>0.65</v>
      </c>
      <c r="Q45" s="9" t="n">
        <f aca="false">IF(CHOOSE($D$4,COUNT(Q46),COUNT(Q47),COUNT(Q48))=1,CHOOSE($D$4,Q46,Q47,Q48),"N/D")</f>
        <v>0.65</v>
      </c>
    </row>
    <row r="46" customFormat="false" ht="19.5" hidden="false" customHeight="true" outlineLevel="0" collapsed="false">
      <c r="C46" s="2" t="s">
        <v>62</v>
      </c>
      <c r="F46" s="18" t="n">
        <v>0.5</v>
      </c>
      <c r="G46" s="18" t="n">
        <v>0.5</v>
      </c>
      <c r="H46" s="18" t="n">
        <v>0.5</v>
      </c>
      <c r="I46" s="18" t="n">
        <v>0.5</v>
      </c>
      <c r="J46" s="18" t="n">
        <v>0.5</v>
      </c>
      <c r="K46" s="18" t="n">
        <v>0.5</v>
      </c>
      <c r="L46" s="18" t="n">
        <v>0.5</v>
      </c>
      <c r="M46" s="18" t="n">
        <v>0.5</v>
      </c>
      <c r="N46" s="18" t="n">
        <v>0.5</v>
      </c>
      <c r="O46" s="18" t="n">
        <v>0.5</v>
      </c>
      <c r="P46" s="18" t="n">
        <v>0.5</v>
      </c>
      <c r="Q46" s="18" t="n">
        <v>0.5</v>
      </c>
    </row>
    <row r="47" customFormat="false" ht="19.5" hidden="false" customHeight="true" outlineLevel="0" collapsed="false">
      <c r="C47" s="2" t="s">
        <v>63</v>
      </c>
      <c r="F47" s="18" t="n">
        <v>0.65</v>
      </c>
      <c r="G47" s="18" t="n">
        <v>0.65</v>
      </c>
      <c r="H47" s="18" t="n">
        <v>0.65</v>
      </c>
      <c r="I47" s="18" t="n">
        <v>0.65</v>
      </c>
      <c r="J47" s="18" t="n">
        <v>0.65</v>
      </c>
      <c r="K47" s="18" t="n">
        <v>0.65</v>
      </c>
      <c r="L47" s="18" t="n">
        <v>0.65</v>
      </c>
      <c r="M47" s="18" t="n">
        <v>0.65</v>
      </c>
      <c r="N47" s="18" t="n">
        <v>0.65</v>
      </c>
      <c r="O47" s="18" t="n">
        <v>0.65</v>
      </c>
      <c r="P47" s="18" t="n">
        <v>0.65</v>
      </c>
      <c r="Q47" s="18" t="n">
        <v>0.65</v>
      </c>
    </row>
    <row r="48" customFormat="false" ht="19.5" hidden="false" customHeight="true" outlineLevel="0" collapsed="false">
      <c r="C48" s="2" t="s">
        <v>64</v>
      </c>
      <c r="F48" s="18" t="n">
        <v>0.75</v>
      </c>
      <c r="G48" s="18" t="n">
        <v>0.75</v>
      </c>
      <c r="H48" s="18" t="n">
        <v>0.75</v>
      </c>
      <c r="I48" s="18" t="n">
        <v>0.75</v>
      </c>
      <c r="J48" s="18" t="n">
        <v>0.75</v>
      </c>
      <c r="K48" s="18" t="n">
        <v>0.75</v>
      </c>
      <c r="L48" s="18" t="n">
        <v>0.75</v>
      </c>
      <c r="M48" s="18" t="n">
        <v>0.75</v>
      </c>
      <c r="N48" s="18" t="n">
        <v>0.75</v>
      </c>
      <c r="O48" s="18" t="n">
        <v>0.75</v>
      </c>
      <c r="P48" s="18" t="n">
        <v>0.75</v>
      </c>
      <c r="Q48" s="18" t="n">
        <v>0.75</v>
      </c>
    </row>
    <row r="49" customFormat="false" ht="19.5" hidden="false" customHeight="true" outlineLevel="0" collapsed="false"/>
    <row r="50" customFormat="false" ht="19.5" hidden="false" customHeight="true" outlineLevel="0" collapsed="false">
      <c r="C50" s="2" t="s">
        <v>68</v>
      </c>
      <c r="F50" s="6" t="n">
        <f aca="false">IF(CHOOSE($D$4,COUNT(F51),COUNT(F52),COUNT(F53))=1,CHOOSE($D$4,F51,F52,F53),"N/D")</f>
        <v>3690</v>
      </c>
      <c r="G50" s="6" t="n">
        <f aca="false">IF(CHOOSE($D$4,COUNT(G51),COUNT(G52),COUNT(G53))=1,CHOOSE($D$4,G51,G52,G53),"N/D")</f>
        <v>3690</v>
      </c>
      <c r="H50" s="6" t="n">
        <f aca="false">IF(CHOOSE($D$4,COUNT(H51),COUNT(H52),COUNT(H53))=1,CHOOSE($D$4,H51,H52,H53),"N/D")</f>
        <v>3690</v>
      </c>
      <c r="I50" s="6" t="n">
        <f aca="false">IF(CHOOSE($D$4,COUNT(I51),COUNT(I52),COUNT(I53))=1,CHOOSE($D$4,I51,I52,I53),"N/D")</f>
        <v>3690</v>
      </c>
      <c r="J50" s="6" t="n">
        <f aca="false">IF(CHOOSE($D$4,COUNT(J51),COUNT(J52),COUNT(J53))=1,CHOOSE($D$4,J51,J52,J53),"N/D")</f>
        <v>3690</v>
      </c>
      <c r="K50" s="6" t="n">
        <f aca="false">IF(CHOOSE($D$4,COUNT(K51),COUNT(K52),COUNT(K53))=1,CHOOSE($D$4,K51,K52,K53),"N/D")</f>
        <v>3690</v>
      </c>
      <c r="L50" s="6" t="n">
        <f aca="false">IF(CHOOSE($D$4,COUNT(L51),COUNT(L52),COUNT(L53))=1,CHOOSE($D$4,L51,L52,L53),"N/D")</f>
        <v>3690</v>
      </c>
      <c r="M50" s="6" t="n">
        <f aca="false">IF(CHOOSE($D$4,COUNT(M51),COUNT(M52),COUNT(M53))=1,CHOOSE($D$4,M51,M52,M53),"N/D")</f>
        <v>3690</v>
      </c>
      <c r="N50" s="6" t="n">
        <f aca="false">IF(CHOOSE($D$4,COUNT(N51),COUNT(N52),COUNT(N53))=1,CHOOSE($D$4,N51,N52,N53),"N/D")</f>
        <v>3690</v>
      </c>
      <c r="O50" s="6" t="n">
        <f aca="false">IF(CHOOSE($D$4,COUNT(O51),COUNT(O52),COUNT(O53))=1,CHOOSE($D$4,O51,O52,O53),"N/D")</f>
        <v>3690</v>
      </c>
      <c r="P50" s="6" t="n">
        <f aca="false">IF(CHOOSE($D$4,COUNT(P51),COUNT(P52),COUNT(P53))=1,CHOOSE($D$4,P51,P52,P53),"N/D")</f>
        <v>3690</v>
      </c>
      <c r="Q50" s="6" t="n">
        <f aca="false">IF(CHOOSE($D$4,COUNT(Q51),COUNT(Q52),COUNT(Q53))=1,CHOOSE($D$4,Q51,Q52,Q53),"N/D")</f>
        <v>3690</v>
      </c>
    </row>
    <row r="51" customFormat="false" ht="19.5" hidden="false" customHeight="true" outlineLevel="0" collapsed="false">
      <c r="C51" s="2" t="s">
        <v>62</v>
      </c>
      <c r="F51" s="13" t="n">
        <v>3690</v>
      </c>
      <c r="G51" s="13" t="n">
        <v>3690</v>
      </c>
      <c r="H51" s="13" t="n">
        <v>3690</v>
      </c>
      <c r="I51" s="13" t="n">
        <v>3690</v>
      </c>
      <c r="J51" s="13" t="n">
        <v>3690</v>
      </c>
      <c r="K51" s="13" t="n">
        <v>3690</v>
      </c>
      <c r="L51" s="13" t="n">
        <v>3690</v>
      </c>
      <c r="M51" s="13" t="n">
        <v>3690</v>
      </c>
      <c r="N51" s="13" t="n">
        <v>3690</v>
      </c>
      <c r="O51" s="13" t="n">
        <v>3690</v>
      </c>
      <c r="P51" s="13" t="n">
        <v>3690</v>
      </c>
      <c r="Q51" s="13" t="n">
        <v>3690</v>
      </c>
    </row>
    <row r="52" customFormat="false" ht="19.5" hidden="false" customHeight="true" outlineLevel="0" collapsed="false">
      <c r="C52" s="2" t="s">
        <v>63</v>
      </c>
      <c r="F52" s="13" t="n">
        <v>3690</v>
      </c>
      <c r="G52" s="13" t="n">
        <v>3690</v>
      </c>
      <c r="H52" s="13" t="n">
        <v>3690</v>
      </c>
      <c r="I52" s="13" t="n">
        <v>3690</v>
      </c>
      <c r="J52" s="13" t="n">
        <v>3690</v>
      </c>
      <c r="K52" s="13" t="n">
        <v>3690</v>
      </c>
      <c r="L52" s="13" t="n">
        <v>3690</v>
      </c>
      <c r="M52" s="13" t="n">
        <v>3690</v>
      </c>
      <c r="N52" s="13" t="n">
        <v>3690</v>
      </c>
      <c r="O52" s="13" t="n">
        <v>3690</v>
      </c>
      <c r="P52" s="13" t="n">
        <v>3690</v>
      </c>
      <c r="Q52" s="13" t="n">
        <v>3690</v>
      </c>
    </row>
    <row r="53" customFormat="false" ht="19.5" hidden="false" customHeight="true" outlineLevel="0" collapsed="false">
      <c r="C53" s="2" t="s">
        <v>64</v>
      </c>
      <c r="F53" s="13" t="n">
        <v>3690</v>
      </c>
      <c r="G53" s="13" t="n">
        <v>3690</v>
      </c>
      <c r="H53" s="13" t="n">
        <v>3690</v>
      </c>
      <c r="I53" s="13" t="n">
        <v>3690</v>
      </c>
      <c r="J53" s="13" t="n">
        <v>3690</v>
      </c>
      <c r="K53" s="13" t="n">
        <v>3690</v>
      </c>
      <c r="L53" s="13" t="n">
        <v>3690</v>
      </c>
      <c r="M53" s="13" t="n">
        <v>3690</v>
      </c>
      <c r="N53" s="13" t="n">
        <v>3690</v>
      </c>
      <c r="O53" s="13" t="n">
        <v>3690</v>
      </c>
      <c r="P53" s="13" t="n">
        <v>3690</v>
      </c>
      <c r="Q53" s="13" t="n">
        <v>3690</v>
      </c>
    </row>
    <row r="54" customFormat="false" ht="19.5" hidden="false" customHeight="true" outlineLevel="0" collapsed="false"/>
    <row r="55" customFormat="false" ht="19.5" hidden="false" customHeight="true" outlineLevel="0" collapsed="false">
      <c r="C55" s="2" t="s">
        <v>69</v>
      </c>
      <c r="F55" s="9" t="n">
        <f aca="false">IF(CHOOSE($D$4,COUNT(F56),COUNT(F57),COUNT(F58))=1,CHOOSE($D$4,F56,F57,F58),"N/D")</f>
        <v>0.95</v>
      </c>
      <c r="G55" s="9" t="n">
        <f aca="false">IF(CHOOSE($D$4,COUNT(G56),COUNT(G57),COUNT(G58))=1,CHOOSE($D$4,G56,G57,G58),"N/D")</f>
        <v>0.95</v>
      </c>
      <c r="H55" s="9" t="n">
        <f aca="false">IF(CHOOSE($D$4,COUNT(H56),COUNT(H57),COUNT(H58))=1,CHOOSE($D$4,H56,H57,H58),"N/D")</f>
        <v>0.95</v>
      </c>
      <c r="I55" s="9" t="n">
        <f aca="false">IF(CHOOSE($D$4,COUNT(I56),COUNT(I57),COUNT(I58))=1,CHOOSE($D$4,I56,I57,I58),"N/D")</f>
        <v>0.95</v>
      </c>
      <c r="J55" s="9" t="n">
        <f aca="false">IF(CHOOSE($D$4,COUNT(J56),COUNT(J57),COUNT(J58))=1,CHOOSE($D$4,J56,J57,J58),"N/D")</f>
        <v>0.95</v>
      </c>
      <c r="K55" s="9" t="n">
        <f aca="false">IF(CHOOSE($D$4,COUNT(K56),COUNT(K57),COUNT(K58))=1,CHOOSE($D$4,K56,K57,K58),"N/D")</f>
        <v>0.95</v>
      </c>
      <c r="L55" s="9" t="n">
        <f aca="false">IF(CHOOSE($D$4,COUNT(L56),COUNT(L57),COUNT(L58))=1,CHOOSE($D$4,L56,L57,L58),"N/D")</f>
        <v>0.95</v>
      </c>
      <c r="M55" s="9" t="n">
        <f aca="false">IF(CHOOSE($D$4,COUNT(M56),COUNT(M57),COUNT(M58))=1,CHOOSE($D$4,M56,M57,M58),"N/D")</f>
        <v>0.95</v>
      </c>
      <c r="N55" s="9" t="n">
        <f aca="false">IF(CHOOSE($D$4,COUNT(N56),COUNT(N57),COUNT(N58))=1,CHOOSE($D$4,N56,N57,N58),"N/D")</f>
        <v>0.95</v>
      </c>
      <c r="O55" s="9" t="n">
        <f aca="false">IF(CHOOSE($D$4,COUNT(O56),COUNT(O57),COUNT(O58))=1,CHOOSE($D$4,O56,O57,O58),"N/D")</f>
        <v>0.95</v>
      </c>
      <c r="P55" s="9" t="n">
        <f aca="false">IF(CHOOSE($D$4,COUNT(P56),COUNT(P57),COUNT(P58))=1,CHOOSE($D$4,P56,P57,P58),"N/D")</f>
        <v>0.95</v>
      </c>
      <c r="Q55" s="9" t="n">
        <f aca="false">IF(CHOOSE($D$4,COUNT(Q56),COUNT(Q57),COUNT(Q58))=1,CHOOSE($D$4,Q56,Q57,Q58),"N/D")</f>
        <v>0.95</v>
      </c>
    </row>
    <row r="56" customFormat="false" ht="19.5" hidden="false" customHeight="true" outlineLevel="0" collapsed="false">
      <c r="C56" s="2" t="s">
        <v>62</v>
      </c>
      <c r="F56" s="18" t="n">
        <v>0.9</v>
      </c>
      <c r="G56" s="18" t="n">
        <v>0.9</v>
      </c>
      <c r="H56" s="18" t="n">
        <v>0.9</v>
      </c>
      <c r="I56" s="18" t="n">
        <v>0.9</v>
      </c>
      <c r="J56" s="18" t="n">
        <v>0.9</v>
      </c>
      <c r="K56" s="18" t="n">
        <v>0.9</v>
      </c>
      <c r="L56" s="18" t="n">
        <v>0.9</v>
      </c>
      <c r="M56" s="18" t="n">
        <v>0.9</v>
      </c>
      <c r="N56" s="18" t="n">
        <v>0.9</v>
      </c>
      <c r="O56" s="18" t="n">
        <v>0.9</v>
      </c>
      <c r="P56" s="18" t="n">
        <v>0.9</v>
      </c>
      <c r="Q56" s="18" t="n">
        <v>0.9</v>
      </c>
    </row>
    <row r="57" customFormat="false" ht="19.5" hidden="false" customHeight="true" outlineLevel="0" collapsed="false">
      <c r="C57" s="2" t="s">
        <v>63</v>
      </c>
      <c r="F57" s="18" t="n">
        <v>0.95</v>
      </c>
      <c r="G57" s="18" t="n">
        <v>0.95</v>
      </c>
      <c r="H57" s="18" t="n">
        <v>0.95</v>
      </c>
      <c r="I57" s="18" t="n">
        <v>0.95</v>
      </c>
      <c r="J57" s="18" t="n">
        <v>0.95</v>
      </c>
      <c r="K57" s="18" t="n">
        <v>0.95</v>
      </c>
      <c r="L57" s="18" t="n">
        <v>0.95</v>
      </c>
      <c r="M57" s="18" t="n">
        <v>0.95</v>
      </c>
      <c r="N57" s="18" t="n">
        <v>0.95</v>
      </c>
      <c r="O57" s="18" t="n">
        <v>0.95</v>
      </c>
      <c r="P57" s="18" t="n">
        <v>0.95</v>
      </c>
      <c r="Q57" s="18" t="n">
        <v>0.95</v>
      </c>
    </row>
    <row r="58" customFormat="false" ht="19.5" hidden="false" customHeight="true" outlineLevel="0" collapsed="false">
      <c r="C58" s="2" t="s">
        <v>64</v>
      </c>
      <c r="F58" s="18" t="n">
        <v>0.97</v>
      </c>
      <c r="G58" s="18" t="n">
        <v>0.97</v>
      </c>
      <c r="H58" s="18" t="n">
        <v>0.97</v>
      </c>
      <c r="I58" s="18" t="n">
        <v>0.97</v>
      </c>
      <c r="J58" s="18" t="n">
        <v>0.97</v>
      </c>
      <c r="K58" s="18" t="n">
        <v>0.97</v>
      </c>
      <c r="L58" s="18" t="n">
        <v>0.97</v>
      </c>
      <c r="M58" s="18" t="n">
        <v>0.97</v>
      </c>
      <c r="N58" s="18" t="n">
        <v>0.97</v>
      </c>
      <c r="O58" s="18" t="n">
        <v>0.97</v>
      </c>
      <c r="P58" s="18" t="n">
        <v>0.97</v>
      </c>
      <c r="Q58" s="18" t="n">
        <v>0.97</v>
      </c>
    </row>
    <row r="59" customFormat="false" ht="19.5" hidden="false" customHeight="true" outlineLevel="0" collapsed="false"/>
    <row r="60" customFormat="false" ht="19.5" hidden="false" customHeight="true" outlineLevel="0" collapsed="false">
      <c r="C60" s="2" t="s">
        <v>70</v>
      </c>
      <c r="F60" s="9" t="n">
        <f aca="false">IF(CHOOSE($D$4,COUNT(F61),COUNT(F62),COUNT(F63))=1,CHOOSE($D$4,F61,F62,F63),"N/D")</f>
        <v>0.9</v>
      </c>
      <c r="G60" s="9" t="n">
        <f aca="false">IF(CHOOSE($D$4,COUNT(G61),COUNT(G62),COUNT(G63))=1,CHOOSE($D$4,G61,G62,G63),"N/D")</f>
        <v>0.9</v>
      </c>
      <c r="H60" s="9" t="n">
        <f aca="false">IF(CHOOSE($D$4,COUNT(H61),COUNT(H62),COUNT(H63))=1,CHOOSE($D$4,H61,H62,H63),"N/D")</f>
        <v>0.9</v>
      </c>
      <c r="I60" s="9" t="n">
        <f aca="false">IF(CHOOSE($D$4,COUNT(I61),COUNT(I62),COUNT(I63))=1,CHOOSE($D$4,I61,I62,I63),"N/D")</f>
        <v>0.9</v>
      </c>
      <c r="J60" s="9" t="n">
        <f aca="false">IF(CHOOSE($D$4,COUNT(J61),COUNT(J62),COUNT(J63))=1,CHOOSE($D$4,J61,J62,J63),"N/D")</f>
        <v>0.9</v>
      </c>
      <c r="K60" s="9" t="n">
        <f aca="false">IF(CHOOSE($D$4,COUNT(K61),COUNT(K62),COUNT(K63))=1,CHOOSE($D$4,K61,K62,K63),"N/D")</f>
        <v>0.9</v>
      </c>
      <c r="L60" s="9" t="n">
        <f aca="false">IF(CHOOSE($D$4,COUNT(L61),COUNT(L62),COUNT(L63))=1,CHOOSE($D$4,L61,L62,L63),"N/D")</f>
        <v>0.9</v>
      </c>
      <c r="M60" s="9" t="n">
        <f aca="false">IF(CHOOSE($D$4,COUNT(M61),COUNT(M62),COUNT(M63))=1,CHOOSE($D$4,M61,M62,M63),"N/D")</f>
        <v>0.9</v>
      </c>
      <c r="N60" s="9" t="n">
        <f aca="false">IF(CHOOSE($D$4,COUNT(N61),COUNT(N62),COUNT(N63))=1,CHOOSE($D$4,N61,N62,N63),"N/D")</f>
        <v>0.9</v>
      </c>
      <c r="O60" s="9" t="n">
        <f aca="false">IF(CHOOSE($D$4,COUNT(O61),COUNT(O62),COUNT(O63))=1,CHOOSE($D$4,O61,O62,O63),"N/D")</f>
        <v>0.9</v>
      </c>
      <c r="P60" s="9" t="n">
        <f aca="false">IF(CHOOSE($D$4,COUNT(P61),COUNT(P62),COUNT(P63))=1,CHOOSE($D$4,P61,P62,P63),"N/D")</f>
        <v>0.9</v>
      </c>
      <c r="Q60" s="9" t="n">
        <f aca="false">IF(CHOOSE($D$4,COUNT(Q61),COUNT(Q62),COUNT(Q63))=1,CHOOSE($D$4,Q61,Q62,Q63),"N/D")</f>
        <v>0.9</v>
      </c>
    </row>
    <row r="61" customFormat="false" ht="19.5" hidden="false" customHeight="true" outlineLevel="0" collapsed="false">
      <c r="C61" s="2" t="s">
        <v>62</v>
      </c>
      <c r="F61" s="18" t="n">
        <v>0.8</v>
      </c>
      <c r="G61" s="18" t="n">
        <v>0.8</v>
      </c>
      <c r="H61" s="18" t="n">
        <v>0.8</v>
      </c>
      <c r="I61" s="18" t="n">
        <v>0.8</v>
      </c>
      <c r="J61" s="18" t="n">
        <v>0.8</v>
      </c>
      <c r="K61" s="18" t="n">
        <v>0.8</v>
      </c>
      <c r="L61" s="18" t="n">
        <v>0.8</v>
      </c>
      <c r="M61" s="18" t="n">
        <v>0.8</v>
      </c>
      <c r="N61" s="18" t="n">
        <v>0.8</v>
      </c>
      <c r="O61" s="18" t="n">
        <v>0.8</v>
      </c>
      <c r="P61" s="18" t="n">
        <v>0.8</v>
      </c>
      <c r="Q61" s="18" t="n">
        <v>0.8</v>
      </c>
    </row>
    <row r="62" customFormat="false" ht="19.5" hidden="false" customHeight="true" outlineLevel="0" collapsed="false">
      <c r="C62" s="2" t="s">
        <v>63</v>
      </c>
      <c r="F62" s="18" t="n">
        <v>0.9</v>
      </c>
      <c r="G62" s="18" t="n">
        <v>0.9</v>
      </c>
      <c r="H62" s="18" t="n">
        <v>0.9</v>
      </c>
      <c r="I62" s="18" t="n">
        <v>0.9</v>
      </c>
      <c r="J62" s="18" t="n">
        <v>0.9</v>
      </c>
      <c r="K62" s="18" t="n">
        <v>0.9</v>
      </c>
      <c r="L62" s="18" t="n">
        <v>0.9</v>
      </c>
      <c r="M62" s="18" t="n">
        <v>0.9</v>
      </c>
      <c r="N62" s="18" t="n">
        <v>0.9</v>
      </c>
      <c r="O62" s="18" t="n">
        <v>0.9</v>
      </c>
      <c r="P62" s="18" t="n">
        <v>0.9</v>
      </c>
      <c r="Q62" s="18" t="n">
        <v>0.9</v>
      </c>
    </row>
    <row r="63" customFormat="false" ht="19.5" hidden="false" customHeight="true" outlineLevel="0" collapsed="false">
      <c r="C63" s="2" t="s">
        <v>64</v>
      </c>
      <c r="F63" s="18" t="n">
        <v>0.95</v>
      </c>
      <c r="G63" s="18" t="n">
        <v>0.95</v>
      </c>
      <c r="H63" s="18" t="n">
        <v>0.95</v>
      </c>
      <c r="I63" s="18" t="n">
        <v>0.95</v>
      </c>
      <c r="J63" s="18" t="n">
        <v>0.95</v>
      </c>
      <c r="K63" s="18" t="n">
        <v>0.95</v>
      </c>
      <c r="L63" s="18" t="n">
        <v>0.95</v>
      </c>
      <c r="M63" s="18" t="n">
        <v>0.95</v>
      </c>
      <c r="N63" s="18" t="n">
        <v>0.95</v>
      </c>
      <c r="O63" s="18" t="n">
        <v>0.95</v>
      </c>
      <c r="P63" s="18" t="n">
        <v>0.95</v>
      </c>
      <c r="Q63" s="18" t="n">
        <v>0.95</v>
      </c>
    </row>
    <row r="64" customFormat="false" ht="19.5" hidden="false" customHeight="true" outlineLevel="0" collapsed="false"/>
    <row r="65" customFormat="false" ht="19.5" hidden="false" customHeight="true" outlineLevel="0" collapsed="false">
      <c r="C65" s="2" t="s">
        <v>71</v>
      </c>
      <c r="F65" s="9" t="n">
        <f aca="false">IF(CHOOSE($D$4,COUNT(F66),COUNT(F67),COUNT(F68))=1,CHOOSE($D$4,F66,F67,F68),"N/D")</f>
        <v>0.85</v>
      </c>
      <c r="G65" s="9" t="n">
        <f aca="false">IF(CHOOSE($D$4,COUNT(G66),COUNT(G67),COUNT(G68))=1,CHOOSE($D$4,G66,G67,G68),"N/D")</f>
        <v>0.85</v>
      </c>
      <c r="H65" s="9" t="n">
        <f aca="false">IF(CHOOSE($D$4,COUNT(H66),COUNT(H67),COUNT(H68))=1,CHOOSE($D$4,H66,H67,H68),"N/D")</f>
        <v>0.85</v>
      </c>
      <c r="I65" s="9" t="n">
        <f aca="false">IF(CHOOSE($D$4,COUNT(I66),COUNT(I67),COUNT(I68))=1,CHOOSE($D$4,I66,I67,I68),"N/D")</f>
        <v>0.85</v>
      </c>
      <c r="J65" s="9" t="n">
        <f aca="false">IF(CHOOSE($D$4,COUNT(J66),COUNT(J67),COUNT(J68))=1,CHOOSE($D$4,J66,J67,J68),"N/D")</f>
        <v>0.85</v>
      </c>
      <c r="K65" s="9" t="n">
        <f aca="false">IF(CHOOSE($D$4,COUNT(K66),COUNT(K67),COUNT(K68))=1,CHOOSE($D$4,K66,K67,K68),"N/D")</f>
        <v>0.85</v>
      </c>
      <c r="L65" s="9" t="n">
        <f aca="false">IF(CHOOSE($D$4,COUNT(L66),COUNT(L67),COUNT(L68))=1,CHOOSE($D$4,L66,L67,L68),"N/D")</f>
        <v>0.85</v>
      </c>
      <c r="M65" s="9" t="n">
        <f aca="false">IF(CHOOSE($D$4,COUNT(M66),COUNT(M67),COUNT(M68))=1,CHOOSE($D$4,M66,M67,M68),"N/D")</f>
        <v>0.85</v>
      </c>
      <c r="N65" s="9" t="n">
        <f aca="false">IF(CHOOSE($D$4,COUNT(N66),COUNT(N67),COUNT(N68))=1,CHOOSE($D$4,N66,N67,N68),"N/D")</f>
        <v>0.85</v>
      </c>
      <c r="O65" s="9" t="n">
        <f aca="false">IF(CHOOSE($D$4,COUNT(O66),COUNT(O67),COUNT(O68))=1,CHOOSE($D$4,O66,O67,O68),"N/D")</f>
        <v>0.85</v>
      </c>
      <c r="P65" s="9" t="n">
        <f aca="false">IF(CHOOSE($D$4,COUNT(P66),COUNT(P67),COUNT(P68))=1,CHOOSE($D$4,P66,P67,P68),"N/D")</f>
        <v>0.85</v>
      </c>
      <c r="Q65" s="9" t="n">
        <f aca="false">IF(CHOOSE($D$4,COUNT(Q66),COUNT(Q67),COUNT(Q68))=1,CHOOSE($D$4,Q66,Q67,Q68),"N/D")</f>
        <v>0.85</v>
      </c>
    </row>
    <row r="66" customFormat="false" ht="19.5" hidden="false" customHeight="true" outlineLevel="0" collapsed="false">
      <c r="C66" s="2" t="s">
        <v>62</v>
      </c>
      <c r="F66" s="18" t="n">
        <v>0.7</v>
      </c>
      <c r="G66" s="18" t="n">
        <v>0.7</v>
      </c>
      <c r="H66" s="18" t="n">
        <v>0.7</v>
      </c>
      <c r="I66" s="18" t="n">
        <v>0.7</v>
      </c>
      <c r="J66" s="18" t="n">
        <v>0.7</v>
      </c>
      <c r="K66" s="18" t="n">
        <v>0.7</v>
      </c>
      <c r="L66" s="18" t="n">
        <v>0.7</v>
      </c>
      <c r="M66" s="18" t="n">
        <v>0.7</v>
      </c>
      <c r="N66" s="18" t="n">
        <v>0.7</v>
      </c>
      <c r="O66" s="18" t="n">
        <v>0.7</v>
      </c>
      <c r="P66" s="18" t="n">
        <v>0.7</v>
      </c>
      <c r="Q66" s="18" t="n">
        <v>0.7</v>
      </c>
    </row>
    <row r="67" customFormat="false" ht="19.5" hidden="false" customHeight="true" outlineLevel="0" collapsed="false">
      <c r="C67" s="2" t="s">
        <v>63</v>
      </c>
      <c r="F67" s="18" t="n">
        <v>0.85</v>
      </c>
      <c r="G67" s="18" t="n">
        <v>0.85</v>
      </c>
      <c r="H67" s="18" t="n">
        <v>0.85</v>
      </c>
      <c r="I67" s="18" t="n">
        <v>0.85</v>
      </c>
      <c r="J67" s="18" t="n">
        <v>0.85</v>
      </c>
      <c r="K67" s="18" t="n">
        <v>0.85</v>
      </c>
      <c r="L67" s="18" t="n">
        <v>0.85</v>
      </c>
      <c r="M67" s="18" t="n">
        <v>0.85</v>
      </c>
      <c r="N67" s="18" t="n">
        <v>0.85</v>
      </c>
      <c r="O67" s="18" t="n">
        <v>0.85</v>
      </c>
      <c r="P67" s="18" t="n">
        <v>0.85</v>
      </c>
      <c r="Q67" s="18" t="n">
        <v>0.85</v>
      </c>
    </row>
    <row r="68" customFormat="false" ht="19.5" hidden="false" customHeight="true" outlineLevel="0" collapsed="false">
      <c r="C68" s="2" t="s">
        <v>64</v>
      </c>
      <c r="F68" s="18" t="n">
        <v>0.92</v>
      </c>
      <c r="G68" s="18" t="n">
        <v>0.92</v>
      </c>
      <c r="H68" s="18" t="n">
        <v>0.92</v>
      </c>
      <c r="I68" s="18" t="n">
        <v>0.92</v>
      </c>
      <c r="J68" s="18" t="n">
        <v>0.92</v>
      </c>
      <c r="K68" s="18" t="n">
        <v>0.92</v>
      </c>
      <c r="L68" s="18" t="n">
        <v>0.92</v>
      </c>
      <c r="M68" s="18" t="n">
        <v>0.92</v>
      </c>
      <c r="N68" s="18" t="n">
        <v>0.92</v>
      </c>
      <c r="O68" s="18" t="n">
        <v>0.92</v>
      </c>
      <c r="P68" s="18" t="n">
        <v>0.92</v>
      </c>
      <c r="Q68" s="18" t="n">
        <v>0.92</v>
      </c>
    </row>
    <row r="69" customFormat="false" ht="19.5" hidden="false" customHeight="true" outlineLevel="0" collapsed="false"/>
    <row r="70" customFormat="false" ht="19.5" hidden="false" customHeight="true" outlineLevel="0" collapsed="false">
      <c r="C70" s="2" t="s">
        <v>72</v>
      </c>
      <c r="F70" s="9" t="n">
        <f aca="false">IF(CHOOSE($D$4,COUNT(F71),COUNT(F72),COUNT(F73))=1,CHOOSE($D$4,F71,F72,F73),"N/D")</f>
        <v>0.8</v>
      </c>
      <c r="G70" s="9" t="n">
        <f aca="false">IF(CHOOSE($D$4,COUNT(G71),COUNT(G72),COUNT(G73))=1,CHOOSE($D$4,G71,G72,G73),"N/D")</f>
        <v>0.8</v>
      </c>
      <c r="H70" s="9" t="n">
        <f aca="false">IF(CHOOSE($D$4,COUNT(H71),COUNT(H72),COUNT(H73))=1,CHOOSE($D$4,H71,H72,H73),"N/D")</f>
        <v>0.8</v>
      </c>
      <c r="I70" s="9" t="n">
        <f aca="false">IF(CHOOSE($D$4,COUNT(I71),COUNT(I72),COUNT(I73))=1,CHOOSE($D$4,I71,I72,I73),"N/D")</f>
        <v>0.8</v>
      </c>
      <c r="J70" s="9" t="n">
        <f aca="false">IF(CHOOSE($D$4,COUNT(J71),COUNT(J72),COUNT(J73))=1,CHOOSE($D$4,J71,J72,J73),"N/D")</f>
        <v>0.8</v>
      </c>
      <c r="K70" s="9" t="n">
        <f aca="false">IF(CHOOSE($D$4,COUNT(K71),COUNT(K72),COUNT(K73))=1,CHOOSE($D$4,K71,K72,K73),"N/D")</f>
        <v>0.8</v>
      </c>
      <c r="L70" s="9" t="n">
        <f aca="false">IF(CHOOSE($D$4,COUNT(L71),COUNT(L72),COUNT(L73))=1,CHOOSE($D$4,L71,L72,L73),"N/D")</f>
        <v>0.8</v>
      </c>
      <c r="M70" s="9" t="n">
        <f aca="false">IF(CHOOSE($D$4,COUNT(M71),COUNT(M72),COUNT(M73))=1,CHOOSE($D$4,M71,M72,M73),"N/D")</f>
        <v>0.8</v>
      </c>
      <c r="N70" s="9" t="n">
        <f aca="false">IF(CHOOSE($D$4,COUNT(N71),COUNT(N72),COUNT(N73))=1,CHOOSE($D$4,N71,N72,N73),"N/D")</f>
        <v>0.8</v>
      </c>
      <c r="O70" s="9" t="n">
        <f aca="false">IF(CHOOSE($D$4,COUNT(O71),COUNT(O72),COUNT(O73))=1,CHOOSE($D$4,O71,O72,O73),"N/D")</f>
        <v>0.8</v>
      </c>
      <c r="P70" s="9" t="n">
        <f aca="false">IF(CHOOSE($D$4,COUNT(P71),COUNT(P72),COUNT(P73))=1,CHOOSE($D$4,P71,P72,P73),"N/D")</f>
        <v>0.8</v>
      </c>
      <c r="Q70" s="9" t="n">
        <f aca="false">IF(CHOOSE($D$4,COUNT(Q71),COUNT(Q72),COUNT(Q73))=1,CHOOSE($D$4,Q71,Q72,Q73),"N/D")</f>
        <v>0.8</v>
      </c>
    </row>
    <row r="71" customFormat="false" ht="19.5" hidden="false" customHeight="true" outlineLevel="0" collapsed="false">
      <c r="C71" s="2" t="s">
        <v>62</v>
      </c>
      <c r="F71" s="18" t="n">
        <v>0.65</v>
      </c>
      <c r="G71" s="18" t="n">
        <v>0.65</v>
      </c>
      <c r="H71" s="18" t="n">
        <v>0.65</v>
      </c>
      <c r="I71" s="18" t="n">
        <v>0.65</v>
      </c>
      <c r="J71" s="18" t="n">
        <v>0.65</v>
      </c>
      <c r="K71" s="18" t="n">
        <v>0.65</v>
      </c>
      <c r="L71" s="18" t="n">
        <v>0.65</v>
      </c>
      <c r="M71" s="18" t="n">
        <v>0.65</v>
      </c>
      <c r="N71" s="18" t="n">
        <v>0.65</v>
      </c>
      <c r="O71" s="18" t="n">
        <v>0.65</v>
      </c>
      <c r="P71" s="18" t="n">
        <v>0.65</v>
      </c>
      <c r="Q71" s="18" t="n">
        <v>0.65</v>
      </c>
    </row>
    <row r="72" customFormat="false" ht="19.5" hidden="false" customHeight="true" outlineLevel="0" collapsed="false">
      <c r="C72" s="2" t="s">
        <v>63</v>
      </c>
      <c r="F72" s="18" t="n">
        <v>0.8</v>
      </c>
      <c r="G72" s="18" t="n">
        <v>0.8</v>
      </c>
      <c r="H72" s="18" t="n">
        <v>0.8</v>
      </c>
      <c r="I72" s="18" t="n">
        <v>0.8</v>
      </c>
      <c r="J72" s="18" t="n">
        <v>0.8</v>
      </c>
      <c r="K72" s="18" t="n">
        <v>0.8</v>
      </c>
      <c r="L72" s="18" t="n">
        <v>0.8</v>
      </c>
      <c r="M72" s="18" t="n">
        <v>0.8</v>
      </c>
      <c r="N72" s="18" t="n">
        <v>0.8</v>
      </c>
      <c r="O72" s="18" t="n">
        <v>0.8</v>
      </c>
      <c r="P72" s="18" t="n">
        <v>0.8</v>
      </c>
      <c r="Q72" s="18" t="n">
        <v>0.8</v>
      </c>
    </row>
    <row r="73" customFormat="false" ht="19.5" hidden="false" customHeight="true" outlineLevel="0" collapsed="false">
      <c r="C73" s="2" t="s">
        <v>64</v>
      </c>
      <c r="F73" s="18" t="n">
        <v>0.9</v>
      </c>
      <c r="G73" s="18" t="n">
        <v>0.9</v>
      </c>
      <c r="H73" s="18" t="n">
        <v>0.9</v>
      </c>
      <c r="I73" s="18" t="n">
        <v>0.9</v>
      </c>
      <c r="J73" s="18" t="n">
        <v>0.9</v>
      </c>
      <c r="K73" s="18" t="n">
        <v>0.9</v>
      </c>
      <c r="L73" s="18" t="n">
        <v>0.9</v>
      </c>
      <c r="M73" s="18" t="n">
        <v>0.9</v>
      </c>
      <c r="N73" s="18" t="n">
        <v>0.9</v>
      </c>
      <c r="O73" s="18" t="n">
        <v>0.9</v>
      </c>
      <c r="P73" s="18" t="n">
        <v>0.9</v>
      </c>
      <c r="Q73" s="18" t="n">
        <v>0.9</v>
      </c>
    </row>
    <row r="74" customFormat="false" ht="19.5" hidden="false" customHeight="true" outlineLevel="0" collapsed="false"/>
    <row r="75" customFormat="false" ht="19.5" hidden="false" customHeight="true" outlineLevel="0" collapsed="false">
      <c r="C75" s="2" t="s">
        <v>73</v>
      </c>
      <c r="F75" s="9" t="n">
        <f aca="false">IF(CHOOSE($D$4,COUNT(F76),COUNT(F77),COUNT(F78))=1,CHOOSE($D$4,F76,F77,F78),"N/D")</f>
        <v>0.75</v>
      </c>
      <c r="G75" s="9" t="n">
        <f aca="false">IF(CHOOSE($D$4,COUNT(G76),COUNT(G77),COUNT(G78))=1,CHOOSE($D$4,G76,G77,G78),"N/D")</f>
        <v>0.75</v>
      </c>
      <c r="H75" s="9" t="n">
        <f aca="false">IF(CHOOSE($D$4,COUNT(H76),COUNT(H77),COUNT(H78))=1,CHOOSE($D$4,H76,H77,H78),"N/D")</f>
        <v>0.75</v>
      </c>
      <c r="I75" s="9" t="n">
        <f aca="false">IF(CHOOSE($D$4,COUNT(I76),COUNT(I77),COUNT(I78))=1,CHOOSE($D$4,I76,I77,I78),"N/D")</f>
        <v>0.75</v>
      </c>
      <c r="J75" s="9" t="n">
        <f aca="false">IF(CHOOSE($D$4,COUNT(J76),COUNT(J77),COUNT(J78))=1,CHOOSE($D$4,J76,J77,J78),"N/D")</f>
        <v>0.75</v>
      </c>
      <c r="K75" s="9" t="n">
        <f aca="false">IF(CHOOSE($D$4,COUNT(K76),COUNT(K77),COUNT(K78))=1,CHOOSE($D$4,K76,K77,K78),"N/D")</f>
        <v>0.75</v>
      </c>
      <c r="L75" s="9" t="n">
        <f aca="false">IF(CHOOSE($D$4,COUNT(L76),COUNT(L77),COUNT(L78))=1,CHOOSE($D$4,L76,L77,L78),"N/D")</f>
        <v>0.75</v>
      </c>
      <c r="M75" s="9" t="n">
        <f aca="false">IF(CHOOSE($D$4,COUNT(M76),COUNT(M77),COUNT(M78))=1,CHOOSE($D$4,M76,M77,M78),"N/D")</f>
        <v>0.75</v>
      </c>
      <c r="N75" s="9" t="n">
        <f aca="false">IF(CHOOSE($D$4,COUNT(N76),COUNT(N77),COUNT(N78))=1,CHOOSE($D$4,N76,N77,N78),"N/D")</f>
        <v>0.75</v>
      </c>
      <c r="O75" s="9" t="n">
        <f aca="false">IF(CHOOSE($D$4,COUNT(O76),COUNT(O77),COUNT(O78))=1,CHOOSE($D$4,O76,O77,O78),"N/D")</f>
        <v>0.75</v>
      </c>
      <c r="P75" s="9" t="n">
        <f aca="false">IF(CHOOSE($D$4,COUNT(P76),COUNT(P77),COUNT(P78))=1,CHOOSE($D$4,P76,P77,P78),"N/D")</f>
        <v>0.75</v>
      </c>
      <c r="Q75" s="9" t="n">
        <f aca="false">IF(CHOOSE($D$4,COUNT(Q76),COUNT(Q77),COUNT(Q78))=1,CHOOSE($D$4,Q76,Q77,Q78),"N/D")</f>
        <v>0.75</v>
      </c>
    </row>
    <row r="76" customFormat="false" ht="19.5" hidden="false" customHeight="true" outlineLevel="0" collapsed="false">
      <c r="C76" s="2" t="s">
        <v>62</v>
      </c>
      <c r="F76" s="18" t="n">
        <v>0.55</v>
      </c>
      <c r="G76" s="18" t="n">
        <v>0.55</v>
      </c>
      <c r="H76" s="18" t="n">
        <v>0.55</v>
      </c>
      <c r="I76" s="18" t="n">
        <v>0.55</v>
      </c>
      <c r="J76" s="18" t="n">
        <v>0.55</v>
      </c>
      <c r="K76" s="18" t="n">
        <v>0.55</v>
      </c>
      <c r="L76" s="18" t="n">
        <v>0.55</v>
      </c>
      <c r="M76" s="18" t="n">
        <v>0.55</v>
      </c>
      <c r="N76" s="18" t="n">
        <v>0.55</v>
      </c>
      <c r="O76" s="18" t="n">
        <v>0.55</v>
      </c>
      <c r="P76" s="18" t="n">
        <v>0.55</v>
      </c>
      <c r="Q76" s="18" t="n">
        <v>0.55</v>
      </c>
    </row>
    <row r="77" customFormat="false" ht="19.5" hidden="false" customHeight="true" outlineLevel="0" collapsed="false">
      <c r="C77" s="2" t="s">
        <v>63</v>
      </c>
      <c r="F77" s="18" t="n">
        <v>0.75</v>
      </c>
      <c r="G77" s="18" t="n">
        <v>0.75</v>
      </c>
      <c r="H77" s="18" t="n">
        <v>0.75</v>
      </c>
      <c r="I77" s="18" t="n">
        <v>0.75</v>
      </c>
      <c r="J77" s="18" t="n">
        <v>0.75</v>
      </c>
      <c r="K77" s="18" t="n">
        <v>0.75</v>
      </c>
      <c r="L77" s="18" t="n">
        <v>0.75</v>
      </c>
      <c r="M77" s="18" t="n">
        <v>0.75</v>
      </c>
      <c r="N77" s="18" t="n">
        <v>0.75</v>
      </c>
      <c r="O77" s="18" t="n">
        <v>0.75</v>
      </c>
      <c r="P77" s="18" t="n">
        <v>0.75</v>
      </c>
      <c r="Q77" s="18" t="n">
        <v>0.75</v>
      </c>
    </row>
    <row r="78" customFormat="false" ht="19.5" hidden="false" customHeight="true" outlineLevel="0" collapsed="false">
      <c r="C78" s="2" t="s">
        <v>64</v>
      </c>
      <c r="F78" s="18" t="n">
        <v>0.88</v>
      </c>
      <c r="G78" s="18" t="n">
        <v>0.88</v>
      </c>
      <c r="H78" s="18" t="n">
        <v>0.88</v>
      </c>
      <c r="I78" s="18" t="n">
        <v>0.88</v>
      </c>
      <c r="J78" s="18" t="n">
        <v>0.88</v>
      </c>
      <c r="K78" s="18" t="n">
        <v>0.88</v>
      </c>
      <c r="L78" s="18" t="n">
        <v>0.88</v>
      </c>
      <c r="M78" s="18" t="n">
        <v>0.88</v>
      </c>
      <c r="N78" s="18" t="n">
        <v>0.88</v>
      </c>
      <c r="O78" s="18" t="n">
        <v>0.88</v>
      </c>
      <c r="P78" s="18" t="n">
        <v>0.88</v>
      </c>
      <c r="Q78" s="18" t="n">
        <v>0.88</v>
      </c>
    </row>
    <row r="79" customFormat="false" ht="19.5" hidden="false" customHeight="true" outlineLevel="0" collapsed="false"/>
    <row r="80" customFormat="false" ht="19.5" hidden="false" customHeight="true" outlineLevel="0" collapsed="false">
      <c r="C80" s="2" t="s">
        <v>74</v>
      </c>
      <c r="F80" s="9" t="n">
        <f aca="false">IF(CHOOSE($D$4,COUNT(F81),COUNT(F82),COUNT(F83))=1,CHOOSE($D$4,F81,F82,F83),"N/D")</f>
        <v>0.7</v>
      </c>
      <c r="G80" s="9" t="n">
        <f aca="false">IF(CHOOSE($D$4,COUNT(G81),COUNT(G82),COUNT(G83))=1,CHOOSE($D$4,G81,G82,G83),"N/D")</f>
        <v>0.7</v>
      </c>
      <c r="H80" s="9" t="n">
        <f aca="false">IF(CHOOSE($D$4,COUNT(H81),COUNT(H82),COUNT(H83))=1,CHOOSE($D$4,H81,H82,H83),"N/D")</f>
        <v>0.7</v>
      </c>
      <c r="I80" s="9" t="n">
        <f aca="false">IF(CHOOSE($D$4,COUNT(I81),COUNT(I82),COUNT(I83))=1,CHOOSE($D$4,I81,I82,I83),"N/D")</f>
        <v>0.7</v>
      </c>
      <c r="J80" s="9" t="n">
        <f aca="false">IF(CHOOSE($D$4,COUNT(J81),COUNT(J82),COUNT(J83))=1,CHOOSE($D$4,J81,J82,J83),"N/D")</f>
        <v>0.7</v>
      </c>
      <c r="K80" s="9" t="n">
        <f aca="false">IF(CHOOSE($D$4,COUNT(K81),COUNT(K82),COUNT(K83))=1,CHOOSE($D$4,K81,K82,K83),"N/D")</f>
        <v>0.7</v>
      </c>
      <c r="L80" s="9" t="n">
        <f aca="false">IF(CHOOSE($D$4,COUNT(L81),COUNT(L82),COUNT(L83))=1,CHOOSE($D$4,L81,L82,L83),"N/D")</f>
        <v>0.7</v>
      </c>
      <c r="M80" s="9" t="n">
        <f aca="false">IF(CHOOSE($D$4,COUNT(M81),COUNT(M82),COUNT(M83))=1,CHOOSE($D$4,M81,M82,M83),"N/D")</f>
        <v>0.7</v>
      </c>
      <c r="N80" s="9" t="n">
        <f aca="false">IF(CHOOSE($D$4,COUNT(N81),COUNT(N82),COUNT(N83))=1,CHOOSE($D$4,N81,N82,N83),"N/D")</f>
        <v>0.7</v>
      </c>
      <c r="O80" s="9" t="n">
        <f aca="false">IF(CHOOSE($D$4,COUNT(O81),COUNT(O82),COUNT(O83))=1,CHOOSE($D$4,O81,O82,O83),"N/D")</f>
        <v>0.7</v>
      </c>
      <c r="P80" s="9" t="n">
        <f aca="false">IF(CHOOSE($D$4,COUNT(P81),COUNT(P82),COUNT(P83))=1,CHOOSE($D$4,P81,P82,P83),"N/D")</f>
        <v>0.7</v>
      </c>
      <c r="Q80" s="9" t="n">
        <f aca="false">IF(CHOOSE($D$4,COUNT(Q81),COUNT(Q82),COUNT(Q83))=1,CHOOSE($D$4,Q81,Q82,Q83),"N/D")</f>
        <v>0.7</v>
      </c>
    </row>
    <row r="81" customFormat="false" ht="19.5" hidden="false" customHeight="true" outlineLevel="0" collapsed="false">
      <c r="C81" s="2" t="s">
        <v>62</v>
      </c>
      <c r="F81" s="18" t="n">
        <v>0.7</v>
      </c>
      <c r="G81" s="18" t="n">
        <v>0.7</v>
      </c>
      <c r="H81" s="18" t="n">
        <v>0.7</v>
      </c>
      <c r="I81" s="18" t="n">
        <v>0.7</v>
      </c>
      <c r="J81" s="18" t="n">
        <v>0.7</v>
      </c>
      <c r="K81" s="18" t="n">
        <v>0.7</v>
      </c>
      <c r="L81" s="18" t="n">
        <v>0.7</v>
      </c>
      <c r="M81" s="18" t="n">
        <v>0.7</v>
      </c>
      <c r="N81" s="18" t="n">
        <v>0.7</v>
      </c>
      <c r="O81" s="18" t="n">
        <v>0.7</v>
      </c>
      <c r="P81" s="18" t="n">
        <v>0.7</v>
      </c>
      <c r="Q81" s="18" t="n">
        <v>0.7</v>
      </c>
    </row>
    <row r="82" customFormat="false" ht="19.5" hidden="false" customHeight="true" outlineLevel="0" collapsed="false">
      <c r="C82" s="2" t="s">
        <v>63</v>
      </c>
      <c r="F82" s="18" t="n">
        <v>0.7</v>
      </c>
      <c r="G82" s="18" t="n">
        <v>0.7</v>
      </c>
      <c r="H82" s="18" t="n">
        <v>0.7</v>
      </c>
      <c r="I82" s="18" t="n">
        <v>0.7</v>
      </c>
      <c r="J82" s="18" t="n">
        <v>0.7</v>
      </c>
      <c r="K82" s="18" t="n">
        <v>0.7</v>
      </c>
      <c r="L82" s="18" t="n">
        <v>0.7</v>
      </c>
      <c r="M82" s="18" t="n">
        <v>0.7</v>
      </c>
      <c r="N82" s="18" t="n">
        <v>0.7</v>
      </c>
      <c r="O82" s="18" t="n">
        <v>0.7</v>
      </c>
      <c r="P82" s="18" t="n">
        <v>0.7</v>
      </c>
      <c r="Q82" s="18" t="n">
        <v>0.7</v>
      </c>
    </row>
    <row r="83" customFormat="false" ht="19.5" hidden="false" customHeight="true" outlineLevel="0" collapsed="false">
      <c r="C83" s="2" t="s">
        <v>64</v>
      </c>
      <c r="F83" s="18" t="n">
        <v>0.7</v>
      </c>
      <c r="G83" s="18" t="n">
        <v>0.7</v>
      </c>
      <c r="H83" s="18" t="n">
        <v>0.7</v>
      </c>
      <c r="I83" s="18" t="n">
        <v>0.7</v>
      </c>
      <c r="J83" s="18" t="n">
        <v>0.7</v>
      </c>
      <c r="K83" s="18" t="n">
        <v>0.7</v>
      </c>
      <c r="L83" s="18" t="n">
        <v>0.7</v>
      </c>
      <c r="M83" s="18" t="n">
        <v>0.7</v>
      </c>
      <c r="N83" s="18" t="n">
        <v>0.7</v>
      </c>
      <c r="O83" s="18" t="n">
        <v>0.7</v>
      </c>
      <c r="P83" s="18" t="n">
        <v>0.7</v>
      </c>
      <c r="Q83" s="18" t="n">
        <v>0.7</v>
      </c>
    </row>
    <row r="84" customFormat="false" ht="19.5" hidden="false" customHeight="true" outlineLevel="0" collapsed="false"/>
    <row r="85" customFormat="false" ht="30" hidden="false" customHeight="true" outlineLevel="0" collapsed="false">
      <c r="C85" s="4" t="s">
        <v>75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customFormat="false" ht="30" hidden="false" customHeight="true" outlineLevel="0" collapsed="false">
      <c r="C86" s="4" t="s">
        <v>76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customFormat="false" ht="30" hidden="false" customHeight="true" outlineLevel="0" collapsed="false">
      <c r="C87" s="4" t="s">
        <v>77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customFormat="false" ht="30" hidden="false" customHeight="true" outlineLevel="0" collapsed="false">
      <c r="C88" s="4" t="s">
        <v>78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customFormat="false" ht="30" hidden="false" customHeight="true" outlineLevel="0" collapsed="false">
      <c r="C89" s="4" t="s">
        <v>79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customFormat="false" ht="30" hidden="false" customHeight="true" outlineLevel="0" collapsed="false">
      <c r="C90" s="4" t="s">
        <v>80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customFormat="false" ht="30" hidden="false" customHeight="true" outlineLevel="0" collapsed="false">
      <c r="C91" s="4" t="s">
        <v>81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customFormat="false" ht="19.5" hidden="false" customHeight="true" outlineLevel="0" collapsed="false"/>
  </sheetData>
  <mergeCells count="9">
    <mergeCell ref="C6:Q6"/>
    <mergeCell ref="C12:Q12"/>
    <mergeCell ref="C85:Q85"/>
    <mergeCell ref="C86:Q86"/>
    <mergeCell ref="C87:Q87"/>
    <mergeCell ref="C88:Q88"/>
    <mergeCell ref="C89:Q89"/>
    <mergeCell ref="C90:Q90"/>
    <mergeCell ref="C91:Q91"/>
  </mergeCells>
  <dataValidations count="18">
    <dataValidation allowBlank="false" errorStyle="stop" operator="between" showDropDown="false" showErrorMessage="true" showInputMessage="false" sqref="D4" type="whole">
      <formula1>1</formula1>
      <formula2>3</formula2>
    </dataValidation>
    <dataValidation allowBlank="false" errorStyle="stop" operator="between" showDropDown="false" showErrorMessage="false" showInputMessage="false" sqref="D14" type="list">
      <formula1>"Sí,No"</formula1>
      <formula2>0</formula2>
    </dataValidation>
    <dataValidation allowBlank="false" errorStyle="stop" operator="between" showDropDown="false" showErrorMessage="false" showInputMessage="false" sqref="D16" type="list">
      <formula1>"Sí,No"</formula1>
      <formula2>0</formula2>
    </dataValidation>
    <dataValidation allowBlank="false" errorStyle="stop" operator="between" showDropDown="false" showErrorMessage="true" showInputMessage="false" sqref="D18" type="whole">
      <formula1>0</formula1>
      <formula2>12</formula2>
    </dataValidation>
    <dataValidation allowBlank="false" errorStyle="stop" operator="between" showDropDown="false" showErrorMessage="true" showInputMessage="false" sqref="D19" type="whole">
      <formula1>1</formula1>
      <formula2>28</formula2>
    </dataValidation>
    <dataValidation allowBlank="false" errorStyle="stop" operator="between" showDropDown="false" showErrorMessage="false" showInputMessage="false" sqref="D26" type="list">
      <formula1>"Plano,Historia"</formula1>
      <formula2>0</formula2>
    </dataValidation>
    <dataValidation allowBlank="true" errorStyle="stop" operator="greaterThanOrEqual" showDropDown="false" showErrorMessage="true" showInputMessage="false" sqref="F22:Q22" type="decimal">
      <formula1>0</formula1>
      <formula2>0</formula2>
    </dataValidation>
    <dataValidation allowBlank="true" errorStyle="stop" operator="between" showDropDown="false" showErrorMessage="true" showInputMessage="false" sqref="F31:Q33" type="decimal">
      <formula1>0</formula1>
      <formula2>1</formula2>
    </dataValidation>
    <dataValidation allowBlank="true" errorStyle="stop" operator="between" showDropDown="false" showErrorMessage="true" showInputMessage="false" sqref="F36:Q38" type="decimal">
      <formula1>0</formula1>
      <formula2>1</formula2>
    </dataValidation>
    <dataValidation allowBlank="true" errorStyle="stop" operator="between" showDropDown="false" showErrorMessage="true" showInputMessage="false" sqref="F41:Q43" type="decimal">
      <formula1>0</formula1>
      <formula2>1</formula2>
    </dataValidation>
    <dataValidation allowBlank="true" errorStyle="stop" operator="between" showDropDown="false" showErrorMessage="true" showInputMessage="false" sqref="F46:Q48" type="decimal">
      <formula1>0</formula1>
      <formula2>1</formula2>
    </dataValidation>
    <dataValidation allowBlank="true" errorStyle="stop" operator="greaterThanOrEqual" showDropDown="false" showErrorMessage="true" showInputMessage="false" sqref="F51:Q53" type="decimal">
      <formula1>0</formula1>
      <formula2>0</formula2>
    </dataValidation>
    <dataValidation allowBlank="true" errorStyle="stop" operator="between" showDropDown="false" showErrorMessage="true" showInputMessage="false" sqref="F56:Q58" type="decimal">
      <formula1>0</formula1>
      <formula2>1</formula2>
    </dataValidation>
    <dataValidation allowBlank="true" errorStyle="stop" operator="between" showDropDown="false" showErrorMessage="true" showInputMessage="false" sqref="F61:Q63" type="decimal">
      <formula1>0</formula1>
      <formula2>1</formula2>
    </dataValidation>
    <dataValidation allowBlank="true" errorStyle="stop" operator="between" showDropDown="false" showErrorMessage="true" showInputMessage="false" sqref="F66:Q68" type="decimal">
      <formula1>0</formula1>
      <formula2>1</formula2>
    </dataValidation>
    <dataValidation allowBlank="true" errorStyle="stop" operator="between" showDropDown="false" showErrorMessage="true" showInputMessage="false" sqref="F71:Q73" type="decimal">
      <formula1>0</formula1>
      <formula2>1</formula2>
    </dataValidation>
    <dataValidation allowBlank="true" errorStyle="stop" operator="between" showDropDown="false" showErrorMessage="true" showInputMessage="false" sqref="F76:Q78" type="decimal">
      <formula1>0</formula1>
      <formula2>1</formula2>
    </dataValidation>
    <dataValidation allowBlank="true" errorStyle="stop" operator="between" showDropDown="false" showErrorMessage="true" showInputMessage="false" sqref="F81:Q83" type="decimal">
      <formula1>0</formula1>
      <formula2>1</formula2>
    </dataValidation>
  </dataValidations>
  <printOptions headings="false" gridLines="false" gridLinesSet="true" horizontalCentered="true" verticalCentered="false"/>
  <pageMargins left="0.2" right="0.2" top="0.25" bottom="0.25" header="0.511811023622047" footer="0.511811023622047"/>
  <pageSetup paperSize="8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Q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9"/>
    <col collapsed="false" customWidth="true" hidden="false" outlineLevel="0" max="4" min="4" style="0" width="17"/>
    <col collapsed="false" customWidth="true" hidden="false" outlineLevel="0" max="5" min="5" style="0" width="3"/>
    <col collapsed="false" customWidth="true" hidden="false" outlineLevel="0" max="17" min="6" style="0" width="14"/>
  </cols>
  <sheetData>
    <row r="2" customFormat="false" ht="24.75" hidden="false" customHeight="true" outlineLevel="0" collapsed="false">
      <c r="C2" s="1" t="s">
        <v>82</v>
      </c>
    </row>
    <row r="4" customFormat="false" ht="15" hidden="false" customHeight="false" outlineLevel="0" collapsed="false">
      <c r="C4" s="2" t="s">
        <v>1</v>
      </c>
      <c r="D4" s="3" t="str">
        <f aca="false">Supuestos!D5</f>
        <v>Base</v>
      </c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30" hidden="false" customHeight="true" outlineLevel="0" collapsed="false">
      <c r="C7" s="5" t="s">
        <v>83</v>
      </c>
      <c r="D7" s="5" t="s">
        <v>5</v>
      </c>
      <c r="E7" s="5"/>
      <c r="F7" s="5" t="s">
        <v>84</v>
      </c>
      <c r="G7" s="5" t="s">
        <v>85</v>
      </c>
      <c r="H7" s="5" t="s">
        <v>86</v>
      </c>
      <c r="I7" s="5" t="s">
        <v>87</v>
      </c>
      <c r="J7" s="5" t="s">
        <v>88</v>
      </c>
      <c r="K7" s="5" t="s">
        <v>89</v>
      </c>
      <c r="L7" s="5" t="s">
        <v>90</v>
      </c>
      <c r="M7" s="5" t="s">
        <v>91</v>
      </c>
      <c r="N7" s="5" t="s">
        <v>92</v>
      </c>
      <c r="O7" s="5" t="s">
        <v>93</v>
      </c>
      <c r="P7" s="5" t="s">
        <v>94</v>
      </c>
      <c r="Q7" s="5" t="s">
        <v>95</v>
      </c>
    </row>
    <row r="8" customFormat="false" ht="19.5" hidden="false" customHeight="true" outlineLevel="0" collapsed="false">
      <c r="F8" s="24" t="n">
        <f aca="false">Supuestos!F21</f>
        <v>46388</v>
      </c>
      <c r="G8" s="24" t="n">
        <f aca="false">Supuestos!G21</f>
        <v>46419</v>
      </c>
      <c r="H8" s="24" t="n">
        <f aca="false">Supuestos!H21</f>
        <v>46447</v>
      </c>
      <c r="I8" s="24" t="n">
        <f aca="false">Supuestos!I21</f>
        <v>46478</v>
      </c>
      <c r="J8" s="24" t="n">
        <f aca="false">Supuestos!J21</f>
        <v>46508</v>
      </c>
      <c r="K8" s="24" t="n">
        <f aca="false">Supuestos!K21</f>
        <v>46539</v>
      </c>
      <c r="L8" s="24" t="n">
        <f aca="false">Supuestos!L21</f>
        <v>46569</v>
      </c>
      <c r="M8" s="24" t="n">
        <f aca="false">Supuestos!M21</f>
        <v>46600</v>
      </c>
      <c r="N8" s="24" t="n">
        <f aca="false">Supuestos!N21</f>
        <v>46631</v>
      </c>
      <c r="O8" s="24" t="n">
        <f aca="false">Supuestos!O21</f>
        <v>46661</v>
      </c>
      <c r="P8" s="24" t="n">
        <f aca="false">Supuestos!P21</f>
        <v>46692</v>
      </c>
      <c r="Q8" s="24" t="n">
        <f aca="false">Supuestos!Q21</f>
        <v>46722</v>
      </c>
    </row>
    <row r="9" customFormat="false" ht="19.5" hidden="false" customHeight="true" outlineLevel="0" collapsed="false">
      <c r="C9" s="2" t="s">
        <v>96</v>
      </c>
      <c r="D9" s="2" t="s">
        <v>97</v>
      </c>
      <c r="F9" s="20" t="n">
        <f aca="false">Supuestos!F50</f>
        <v>3690</v>
      </c>
      <c r="G9" s="20" t="n">
        <f aca="false">Supuestos!G50</f>
        <v>3690</v>
      </c>
      <c r="H9" s="20" t="n">
        <f aca="false">Supuestos!H50</f>
        <v>3690</v>
      </c>
      <c r="I9" s="20" t="n">
        <f aca="false">Supuestos!I50</f>
        <v>3690</v>
      </c>
      <c r="J9" s="20" t="n">
        <f aca="false">Supuestos!J50</f>
        <v>3690</v>
      </c>
      <c r="K9" s="20" t="n">
        <f aca="false">Supuestos!K50</f>
        <v>3690</v>
      </c>
      <c r="L9" s="20" t="n">
        <f aca="false">Supuestos!L50</f>
        <v>3690</v>
      </c>
      <c r="M9" s="20" t="n">
        <f aca="false">Supuestos!M50</f>
        <v>3690</v>
      </c>
      <c r="N9" s="20" t="n">
        <f aca="false">Supuestos!N50</f>
        <v>3690</v>
      </c>
      <c r="O9" s="20" t="n">
        <f aca="false">Supuestos!O50</f>
        <v>3690</v>
      </c>
      <c r="P9" s="20" t="n">
        <f aca="false">Supuestos!P50</f>
        <v>3690</v>
      </c>
      <c r="Q9" s="20" t="n">
        <f aca="false">Supuestos!Q50</f>
        <v>3690</v>
      </c>
    </row>
    <row r="10" customFormat="false" ht="19.5" hidden="false" customHeight="true" outlineLevel="0" collapsed="false">
      <c r="C10" s="2" t="s">
        <v>57</v>
      </c>
      <c r="D10" s="2" t="s">
        <v>98</v>
      </c>
      <c r="F10" s="22" t="n">
        <f aca="false">Supuestos!F28</f>
        <v>1</v>
      </c>
      <c r="G10" s="22" t="n">
        <f aca="false">Supuestos!G28</f>
        <v>1</v>
      </c>
      <c r="H10" s="22" t="n">
        <f aca="false">Supuestos!H28</f>
        <v>1</v>
      </c>
      <c r="I10" s="22" t="n">
        <f aca="false">Supuestos!I28</f>
        <v>1</v>
      </c>
      <c r="J10" s="22" t="n">
        <f aca="false">Supuestos!J28</f>
        <v>1</v>
      </c>
      <c r="K10" s="22" t="n">
        <f aca="false">Supuestos!K28</f>
        <v>1</v>
      </c>
      <c r="L10" s="22" t="n">
        <f aca="false">Supuestos!L28</f>
        <v>1</v>
      </c>
      <c r="M10" s="22" t="n">
        <f aca="false">Supuestos!M28</f>
        <v>1</v>
      </c>
      <c r="N10" s="22" t="n">
        <f aca="false">Supuestos!N28</f>
        <v>1</v>
      </c>
      <c r="O10" s="22" t="n">
        <f aca="false">Supuestos!O28</f>
        <v>1</v>
      </c>
      <c r="P10" s="22" t="n">
        <f aca="false">Supuestos!P28</f>
        <v>1</v>
      </c>
      <c r="Q10" s="22" t="n">
        <f aca="false">Supuestos!Q28</f>
        <v>1</v>
      </c>
    </row>
    <row r="11" customFormat="false" ht="19.5" hidden="false" customHeight="true" outlineLevel="0" collapsed="false">
      <c r="C11" s="2" t="s">
        <v>99</v>
      </c>
      <c r="D11" s="2" t="s">
        <v>98</v>
      </c>
      <c r="F11" s="22" t="n">
        <f aca="false">IF(COUNT(Supuestos!$D$25)=1,Supuestos!$D$25,"N/D")</f>
        <v>1</v>
      </c>
      <c r="G11" s="22" t="n">
        <f aca="false">IF(COUNT(Supuestos!$D$25)=1,Supuestos!$D$25,"N/D")</f>
        <v>1</v>
      </c>
      <c r="H11" s="22" t="n">
        <f aca="false">IF(COUNT(Supuestos!$D$25)=1,Supuestos!$D$25,"N/D")</f>
        <v>1</v>
      </c>
      <c r="I11" s="22" t="n">
        <f aca="false">IF(COUNT(Supuestos!$D$25)=1,Supuestos!$D$25,"N/D")</f>
        <v>1</v>
      </c>
      <c r="J11" s="22" t="n">
        <f aca="false">IF(COUNT(Supuestos!$D$25)=1,Supuestos!$D$25,"N/D")</f>
        <v>1</v>
      </c>
      <c r="K11" s="22" t="n">
        <f aca="false">IF(COUNT(Supuestos!$D$25)=1,Supuestos!$D$25,"N/D")</f>
        <v>1</v>
      </c>
      <c r="L11" s="22" t="n">
        <f aca="false">IF(COUNT(Supuestos!$D$25)=1,Supuestos!$D$25,"N/D")</f>
        <v>1</v>
      </c>
      <c r="M11" s="22" t="n">
        <f aca="false">IF(COUNT(Supuestos!$D$25)=1,Supuestos!$D$25,"N/D")</f>
        <v>1</v>
      </c>
      <c r="N11" s="22" t="n">
        <f aca="false">IF(COUNT(Supuestos!$D$25)=1,Supuestos!$D$25,"N/D")</f>
        <v>1</v>
      </c>
      <c r="O11" s="22" t="n">
        <f aca="false">IF(COUNT(Supuestos!$D$25)=1,Supuestos!$D$25,"N/D")</f>
        <v>1</v>
      </c>
      <c r="P11" s="22" t="n">
        <f aca="false">IF(COUNT(Supuestos!$D$25)=1,Supuestos!$D$25,"N/D")</f>
        <v>1</v>
      </c>
      <c r="Q11" s="22" t="n">
        <f aca="false">IF(COUNT(Supuestos!$D$25)=1,Supuestos!$D$25,"N/D")</f>
        <v>1</v>
      </c>
    </row>
    <row r="12" customFormat="false" ht="19.5" hidden="false" customHeight="true" outlineLevel="0" collapsed="false">
      <c r="C12" s="2" t="s">
        <v>100</v>
      </c>
      <c r="D12" s="2" t="s">
        <v>97</v>
      </c>
      <c r="F12" s="20" t="n">
        <f aca="false">IF(COUNT(F9,F10,F11,Supuestos!$D$13)=4,F9*F10*F11*Supuestos!$D$13,"N/D")</f>
        <v>2767.5</v>
      </c>
      <c r="G12" s="20" t="n">
        <f aca="false">IF(COUNT(G9,G10,G11,Supuestos!$D$13)=4,G9*G10*G11*Supuestos!$D$13,"N/D")</f>
        <v>2767.5</v>
      </c>
      <c r="H12" s="20" t="n">
        <f aca="false">IF(COUNT(H9,H10,H11,Supuestos!$D$13)=4,H9*H10*H11*Supuestos!$D$13,"N/D")</f>
        <v>2767.5</v>
      </c>
      <c r="I12" s="20" t="n">
        <f aca="false">IF(COUNT(I9,I10,I11,Supuestos!$D$13)=4,I9*I10*I11*Supuestos!$D$13,"N/D")</f>
        <v>2767.5</v>
      </c>
      <c r="J12" s="20" t="n">
        <f aca="false">IF(COUNT(J9,J10,J11,Supuestos!$D$13)=4,J9*J10*J11*Supuestos!$D$13,"N/D")</f>
        <v>2767.5</v>
      </c>
      <c r="K12" s="20" t="n">
        <f aca="false">IF(COUNT(K9,K10,K11,Supuestos!$D$13)=4,K9*K10*K11*Supuestos!$D$13,"N/D")</f>
        <v>2767.5</v>
      </c>
      <c r="L12" s="20" t="n">
        <f aca="false">IF(COUNT(L9,L10,L11,Supuestos!$D$13)=4,L9*L10*L11*Supuestos!$D$13,"N/D")</f>
        <v>2767.5</v>
      </c>
      <c r="M12" s="20" t="n">
        <f aca="false">IF(COUNT(M9,M10,M11,Supuestos!$D$13)=4,M9*M10*M11*Supuestos!$D$13,"N/D")</f>
        <v>2767.5</v>
      </c>
      <c r="N12" s="20" t="n">
        <f aca="false">IF(COUNT(N9,N10,N11,Supuestos!$D$13)=4,N9*N10*N11*Supuestos!$D$13,"N/D")</f>
        <v>2767.5</v>
      </c>
      <c r="O12" s="20" t="n">
        <f aca="false">IF(COUNT(O9,O10,O11,Supuestos!$D$13)=4,O9*O10*O11*Supuestos!$D$13,"N/D")</f>
        <v>2767.5</v>
      </c>
      <c r="P12" s="20" t="n">
        <f aca="false">IF(COUNT(P9,P10,P11,Supuestos!$D$13)=4,P9*P10*P11*Supuestos!$D$13,"N/D")</f>
        <v>2767.5</v>
      </c>
      <c r="Q12" s="20" t="n">
        <f aca="false">IF(COUNT(Q9,Q10,Q11,Supuestos!$D$13)=4,Q9*Q10*Q11*Supuestos!$D$13,"N/D")</f>
        <v>2767.5</v>
      </c>
    </row>
    <row r="13" customFormat="false" ht="19.5" hidden="false" customHeight="true" outlineLevel="0" collapsed="false">
      <c r="C13" s="2" t="s">
        <v>101</v>
      </c>
      <c r="D13" s="2" t="s">
        <v>18</v>
      </c>
      <c r="F13" s="25" t="n">
        <f aca="false">Supuestos!F35</f>
        <v>0.01</v>
      </c>
      <c r="G13" s="25" t="n">
        <f aca="false">Supuestos!G35</f>
        <v>0.01</v>
      </c>
      <c r="H13" s="25" t="n">
        <f aca="false">Supuestos!H35</f>
        <v>0.01</v>
      </c>
      <c r="I13" s="25" t="n">
        <f aca="false">Supuestos!I35</f>
        <v>0.01</v>
      </c>
      <c r="J13" s="25" t="n">
        <f aca="false">Supuestos!J35</f>
        <v>0.01</v>
      </c>
      <c r="K13" s="25" t="n">
        <f aca="false">Supuestos!K35</f>
        <v>0.01</v>
      </c>
      <c r="L13" s="25" t="n">
        <f aca="false">Supuestos!L35</f>
        <v>0.01</v>
      </c>
      <c r="M13" s="25" t="n">
        <f aca="false">Supuestos!M35</f>
        <v>0.01</v>
      </c>
      <c r="N13" s="25" t="n">
        <f aca="false">Supuestos!N35</f>
        <v>0.01</v>
      </c>
      <c r="O13" s="25" t="n">
        <f aca="false">Supuestos!O35</f>
        <v>0.01</v>
      </c>
      <c r="P13" s="25" t="n">
        <f aca="false">Supuestos!P35</f>
        <v>0.01</v>
      </c>
      <c r="Q13" s="25" t="n">
        <f aca="false">Supuestos!Q35</f>
        <v>0.01</v>
      </c>
    </row>
    <row r="14" customFormat="false" ht="19.5" hidden="false" customHeight="true" outlineLevel="0" collapsed="false">
      <c r="C14" s="2" t="s">
        <v>102</v>
      </c>
      <c r="D14" s="2" t="s">
        <v>18</v>
      </c>
      <c r="F14" s="25" t="n">
        <f aca="false">Supuestos!F30</f>
        <v>0.005</v>
      </c>
      <c r="G14" s="25" t="n">
        <f aca="false">Supuestos!G30</f>
        <v>0.015</v>
      </c>
      <c r="H14" s="25" t="n">
        <f aca="false">Supuestos!H30</f>
        <v>0.03</v>
      </c>
      <c r="I14" s="25" t="n">
        <f aca="false">Supuestos!I30</f>
        <v>0.05</v>
      </c>
      <c r="J14" s="25" t="n">
        <f aca="false">Supuestos!J30</f>
        <v>0.075</v>
      </c>
      <c r="K14" s="25" t="n">
        <f aca="false">Supuestos!K30</f>
        <v>0.1</v>
      </c>
      <c r="L14" s="25" t="n">
        <f aca="false">Supuestos!L30</f>
        <v>0.125</v>
      </c>
      <c r="M14" s="25" t="n">
        <f aca="false">Supuestos!M30</f>
        <v>0.15</v>
      </c>
      <c r="N14" s="25" t="n">
        <f aca="false">Supuestos!N30</f>
        <v>0.175</v>
      </c>
      <c r="O14" s="25" t="n">
        <f aca="false">Supuestos!O30</f>
        <v>0.2</v>
      </c>
      <c r="P14" s="25" t="n">
        <f aca="false">Supuestos!P30</f>
        <v>0.225</v>
      </c>
      <c r="Q14" s="25" t="n">
        <f aca="false">Supuestos!Q30</f>
        <v>0.25</v>
      </c>
    </row>
    <row r="15" customFormat="false" ht="19.5" hidden="false" customHeight="true" outlineLevel="0" collapsed="false">
      <c r="C15" s="2" t="s">
        <v>103</v>
      </c>
      <c r="D15" s="2" t="s">
        <v>7</v>
      </c>
      <c r="F15" s="6" t="n">
        <f aca="false">IF(COUNT(F12,F13)=2,F12*F13,"N/D")</f>
        <v>27.675</v>
      </c>
      <c r="G15" s="6" t="n">
        <f aca="false">IF(COUNT(G12,G13)=2,G12*G13,"N/D")</f>
        <v>27.675</v>
      </c>
      <c r="H15" s="6" t="n">
        <f aca="false">IF(COUNT(H12,H13)=2,H12*H13,"N/D")</f>
        <v>27.675</v>
      </c>
      <c r="I15" s="6" t="n">
        <f aca="false">IF(COUNT(I12,I13)=2,I12*I13,"N/D")</f>
        <v>27.675</v>
      </c>
      <c r="J15" s="6" t="n">
        <f aca="false">IF(COUNT(J12,J13)=2,J12*J13,"N/D")</f>
        <v>27.675</v>
      </c>
      <c r="K15" s="6" t="n">
        <f aca="false">IF(COUNT(K12,K13)=2,K12*K13,"N/D")</f>
        <v>27.675</v>
      </c>
      <c r="L15" s="6" t="n">
        <f aca="false">IF(COUNT(L12,L13)=2,L12*L13,"N/D")</f>
        <v>27.675</v>
      </c>
      <c r="M15" s="6" t="n">
        <f aca="false">IF(COUNT(M12,M13)=2,M12*M13,"N/D")</f>
        <v>27.675</v>
      </c>
      <c r="N15" s="6" t="n">
        <f aca="false">IF(COUNT(N12,N13)=2,N12*N13,"N/D")</f>
        <v>27.675</v>
      </c>
      <c r="O15" s="6" t="n">
        <f aca="false">IF(COUNT(O12,O13)=2,O12*O13,"N/D")</f>
        <v>27.675</v>
      </c>
      <c r="P15" s="6" t="n">
        <f aca="false">IF(COUNT(P12,P13)=2,P12*P13,"N/D")</f>
        <v>27.675</v>
      </c>
      <c r="Q15" s="6" t="n">
        <f aca="false">IF(COUNT(Q12,Q13)=2,Q12*Q13,"N/D")</f>
        <v>27.675</v>
      </c>
    </row>
    <row r="16" customFormat="false" ht="19.5" hidden="false" customHeight="true" outlineLevel="0" collapsed="false">
      <c r="C16" s="2" t="s">
        <v>104</v>
      </c>
      <c r="D16" s="2" t="s">
        <v>7</v>
      </c>
      <c r="F16" s="6" t="n">
        <f aca="false">IF(COUNT(F12,F14)=2,F12*F14,"N/D")</f>
        <v>13.8375</v>
      </c>
      <c r="G16" s="6" t="n">
        <f aca="false">IF(COUNT(G12,G14)=2,G12*G14,"N/D")</f>
        <v>41.5125</v>
      </c>
      <c r="H16" s="6" t="n">
        <f aca="false">IF(COUNT(H12,H14)=2,H12*H14,"N/D")</f>
        <v>83.025</v>
      </c>
      <c r="I16" s="6" t="n">
        <f aca="false">IF(COUNT(I12,I14)=2,I12*I14,"N/D")</f>
        <v>138.375</v>
      </c>
      <c r="J16" s="6" t="n">
        <f aca="false">IF(COUNT(J12,J14)=2,J12*J14,"N/D")</f>
        <v>207.5625</v>
      </c>
      <c r="K16" s="6" t="n">
        <f aca="false">IF(COUNT(K12,K14)=2,K12*K14,"N/D")</f>
        <v>276.75</v>
      </c>
      <c r="L16" s="6" t="n">
        <f aca="false">IF(COUNT(L12,L14)=2,L12*L14,"N/D")</f>
        <v>345.9375</v>
      </c>
      <c r="M16" s="6" t="n">
        <f aca="false">IF(COUNT(M12,M14)=2,M12*M14,"N/D")</f>
        <v>415.125</v>
      </c>
      <c r="N16" s="6" t="n">
        <f aca="false">IF(COUNT(N12,N14)=2,N12*N14,"N/D")</f>
        <v>484.3125</v>
      </c>
      <c r="O16" s="6" t="n">
        <f aca="false">IF(COUNT(O12,O14)=2,O12*O14,"N/D")</f>
        <v>553.5</v>
      </c>
      <c r="P16" s="6" t="n">
        <f aca="false">IF(COUNT(P12,P14)=2,P12*P14,"N/D")</f>
        <v>622.6875</v>
      </c>
      <c r="Q16" s="6" t="n">
        <f aca="false">IF(COUNT(Q12,Q14)=2,Q12*Q14,"N/D")</f>
        <v>691.875</v>
      </c>
    </row>
    <row r="17" customFormat="false" ht="19.5" hidden="false" customHeight="true" outlineLevel="0" collapsed="false">
      <c r="C17" s="2" t="s">
        <v>105</v>
      </c>
      <c r="D17" s="2" t="s">
        <v>7</v>
      </c>
      <c r="F17" s="6" t="n">
        <f aca="false">IF(COUNT(F15:F16)=2,SUM(F15:F16),"N/D")</f>
        <v>41.5125</v>
      </c>
      <c r="G17" s="6" t="n">
        <f aca="false">IF(COUNT(G15:G16)=2,SUM(G15:G16),"N/D")</f>
        <v>69.1875</v>
      </c>
      <c r="H17" s="6" t="n">
        <f aca="false">IF(COUNT(H15:H16)=2,SUM(H15:H16),"N/D")</f>
        <v>110.7</v>
      </c>
      <c r="I17" s="6" t="n">
        <f aca="false">IF(COUNT(I15:I16)=2,SUM(I15:I16),"N/D")</f>
        <v>166.05</v>
      </c>
      <c r="J17" s="6" t="n">
        <f aca="false">IF(COUNT(J15:J16)=2,SUM(J15:J16),"N/D")</f>
        <v>235.2375</v>
      </c>
      <c r="K17" s="6" t="n">
        <f aca="false">IF(COUNT(K15:K16)=2,SUM(K15:K16),"N/D")</f>
        <v>304.425</v>
      </c>
      <c r="L17" s="6" t="n">
        <f aca="false">IF(COUNT(L15:L16)=2,SUM(L15:L16),"N/D")</f>
        <v>373.6125</v>
      </c>
      <c r="M17" s="6" t="n">
        <f aca="false">IF(COUNT(M15:M16)=2,SUM(M15:M16),"N/D")</f>
        <v>442.8</v>
      </c>
      <c r="N17" s="6" t="n">
        <f aca="false">IF(COUNT(N15:N16)=2,SUM(N15:N16),"N/D")</f>
        <v>511.9875</v>
      </c>
      <c r="O17" s="6" t="n">
        <f aca="false">IF(COUNT(O15:O16)=2,SUM(O15:O16),"N/D")</f>
        <v>581.175</v>
      </c>
      <c r="P17" s="6" t="n">
        <f aca="false">IF(COUNT(P15:P16)=2,SUM(P15:P16),"N/D")</f>
        <v>650.3625</v>
      </c>
      <c r="Q17" s="6" t="n">
        <f aca="false">IF(COUNT(Q15:Q16)=2,SUM(Q15:Q16),"N/D")</f>
        <v>719.55</v>
      </c>
    </row>
    <row r="18" customFormat="false" ht="19.5" hidden="false" customHeight="true" outlineLevel="0" collapsed="false">
      <c r="C18" s="2" t="s">
        <v>106</v>
      </c>
      <c r="D18" s="2" t="s">
        <v>18</v>
      </c>
      <c r="F18" s="25" t="n">
        <f aca="false">Supuestos!F40</f>
        <v>0.02</v>
      </c>
      <c r="G18" s="25" t="n">
        <f aca="false">Supuestos!G40</f>
        <v>0.02</v>
      </c>
      <c r="H18" s="25" t="n">
        <f aca="false">Supuestos!H40</f>
        <v>0.02</v>
      </c>
      <c r="I18" s="25" t="n">
        <f aca="false">Supuestos!I40</f>
        <v>0.02</v>
      </c>
      <c r="J18" s="25" t="n">
        <f aca="false">Supuestos!J40</f>
        <v>0.02</v>
      </c>
      <c r="K18" s="25" t="n">
        <f aca="false">Supuestos!K40</f>
        <v>0.02</v>
      </c>
      <c r="L18" s="25" t="n">
        <f aca="false">Supuestos!L40</f>
        <v>0.02</v>
      </c>
      <c r="M18" s="25" t="n">
        <f aca="false">Supuestos!M40</f>
        <v>0.02</v>
      </c>
      <c r="N18" s="25" t="n">
        <f aca="false">Supuestos!N40</f>
        <v>0.02</v>
      </c>
      <c r="O18" s="25" t="n">
        <f aca="false">Supuestos!O40</f>
        <v>0.02</v>
      </c>
      <c r="P18" s="25" t="n">
        <f aca="false">Supuestos!P40</f>
        <v>0.02</v>
      </c>
      <c r="Q18" s="25" t="n">
        <f aca="false">Supuestos!Q40</f>
        <v>0.02</v>
      </c>
    </row>
    <row r="19" customFormat="false" ht="19.5" hidden="false" customHeight="true" outlineLevel="0" collapsed="false">
      <c r="C19" s="2" t="s">
        <v>107</v>
      </c>
      <c r="D19" s="2" t="s">
        <v>9</v>
      </c>
      <c r="F19" s="6" t="n">
        <f aca="false">IF(COUNT(F15,F18)=2,F15*F18,"N/D")</f>
        <v>0.5535</v>
      </c>
      <c r="G19" s="6" t="n">
        <f aca="false">IF(COUNT(G15,G18)=2,G15*G18,"N/D")</f>
        <v>0.5535</v>
      </c>
      <c r="H19" s="6" t="n">
        <f aca="false">IF(COUNT(H15,H18)=2,H15*H18,"N/D")</f>
        <v>0.5535</v>
      </c>
      <c r="I19" s="6" t="n">
        <f aca="false">IF(COUNT(I15,I18)=2,I15*I18,"N/D")</f>
        <v>0.5535</v>
      </c>
      <c r="J19" s="6" t="n">
        <f aca="false">IF(COUNT(J15,J18)=2,J15*J18,"N/D")</f>
        <v>0.5535</v>
      </c>
      <c r="K19" s="6" t="n">
        <f aca="false">IF(COUNT(K15,K18)=2,K15*K18,"N/D")</f>
        <v>0.5535</v>
      </c>
      <c r="L19" s="6" t="n">
        <f aca="false">IF(COUNT(L15,L18)=2,L15*L18,"N/D")</f>
        <v>0.5535</v>
      </c>
      <c r="M19" s="6" t="n">
        <f aca="false">IF(COUNT(M15,M18)=2,M15*M18,"N/D")</f>
        <v>0.5535</v>
      </c>
      <c r="N19" s="6" t="n">
        <f aca="false">IF(COUNT(N15,N18)=2,N15*N18,"N/D")</f>
        <v>0.5535</v>
      </c>
      <c r="O19" s="6" t="n">
        <f aca="false">IF(COUNT(O15,O18)=2,O15*O18,"N/D")</f>
        <v>0.5535</v>
      </c>
      <c r="P19" s="6" t="n">
        <f aca="false">IF(COUNT(P15,P18)=2,P15*P18,"N/D")</f>
        <v>0.5535</v>
      </c>
      <c r="Q19" s="6" t="n">
        <f aca="false">IF(COUNT(Q15,Q18)=2,Q15*Q18,"N/D")</f>
        <v>0.5535</v>
      </c>
    </row>
    <row r="20" customFormat="false" ht="19.5" hidden="false" customHeight="true" outlineLevel="0" collapsed="false">
      <c r="C20" s="2" t="s">
        <v>108</v>
      </c>
      <c r="D20" s="2" t="s">
        <v>9</v>
      </c>
      <c r="F20" s="6" t="n">
        <f aca="false">IF(COUNT(F17,F18)=2,F17*F18,"N/D")</f>
        <v>0.83025</v>
      </c>
      <c r="G20" s="6" t="n">
        <f aca="false">IF(COUNT(G17,G18)=2,G17*G18,"N/D")</f>
        <v>1.38375</v>
      </c>
      <c r="H20" s="6" t="n">
        <f aca="false">IF(COUNT(H17,H18)=2,H17*H18,"N/D")</f>
        <v>2.214</v>
      </c>
      <c r="I20" s="6" t="n">
        <f aca="false">IF(COUNT(I17,I18)=2,I17*I18,"N/D")</f>
        <v>3.321</v>
      </c>
      <c r="J20" s="6" t="n">
        <f aca="false">IF(COUNT(J17,J18)=2,J17*J18,"N/D")</f>
        <v>4.70475</v>
      </c>
      <c r="K20" s="6" t="n">
        <f aca="false">IF(COUNT(K17,K18)=2,K17*K18,"N/D")</f>
        <v>6.0885</v>
      </c>
      <c r="L20" s="6" t="n">
        <f aca="false">IF(COUNT(L17,L18)=2,L17*L18,"N/D")</f>
        <v>7.47225</v>
      </c>
      <c r="M20" s="6" t="n">
        <f aca="false">IF(COUNT(M17,M18)=2,M17*M18,"N/D")</f>
        <v>8.856</v>
      </c>
      <c r="N20" s="6" t="n">
        <f aca="false">IF(COUNT(N17,N18)=2,N17*N18,"N/D")</f>
        <v>10.23975</v>
      </c>
      <c r="O20" s="6" t="n">
        <f aca="false">IF(COUNT(O17,O18)=2,O17*O18,"N/D")</f>
        <v>11.6235</v>
      </c>
      <c r="P20" s="6" t="n">
        <f aca="false">IF(COUNT(P17,P18)=2,P17*P18,"N/D")</f>
        <v>13.00725</v>
      </c>
      <c r="Q20" s="6" t="n">
        <f aca="false">IF(COUNT(Q17,Q18)=2,Q17*Q18,"N/D")</f>
        <v>14.391</v>
      </c>
    </row>
    <row r="21" customFormat="false" ht="19.5" hidden="false" customHeight="true" outlineLevel="0" collapsed="false">
      <c r="C21" s="2" t="s">
        <v>8</v>
      </c>
      <c r="D21" s="2" t="s">
        <v>9</v>
      </c>
      <c r="F21" s="6" t="n">
        <f aca="false">IF(COUNT(F19:F20)=2,F20-F19,"N/D")</f>
        <v>0.27675</v>
      </c>
      <c r="G21" s="6" t="n">
        <f aca="false">IF(COUNT(G19:G20)=2,G20-G19,"N/D")</f>
        <v>0.83025</v>
      </c>
      <c r="H21" s="6" t="n">
        <f aca="false">IF(COUNT(H19:H20)=2,H20-H19,"N/D")</f>
        <v>1.6605</v>
      </c>
      <c r="I21" s="6" t="n">
        <f aca="false">IF(COUNT(I19:I20)=2,I20-I19,"N/D")</f>
        <v>2.7675</v>
      </c>
      <c r="J21" s="6" t="n">
        <f aca="false">IF(COUNT(J19:J20)=2,J20-J19,"N/D")</f>
        <v>4.15125</v>
      </c>
      <c r="K21" s="6" t="n">
        <f aca="false">IF(COUNT(K19:K20)=2,K20-K19,"N/D")</f>
        <v>5.535</v>
      </c>
      <c r="L21" s="6" t="n">
        <f aca="false">IF(COUNT(L19:L20)=2,L20-L19,"N/D")</f>
        <v>6.91875</v>
      </c>
      <c r="M21" s="6" t="n">
        <f aca="false">IF(COUNT(M19:M20)=2,M20-M19,"N/D")</f>
        <v>8.3025</v>
      </c>
      <c r="N21" s="6" t="n">
        <f aca="false">IF(COUNT(N19:N20)=2,N20-N19,"N/D")</f>
        <v>9.68625</v>
      </c>
      <c r="O21" s="6" t="n">
        <f aca="false">IF(COUNT(O19:O20)=2,O20-O19,"N/D")</f>
        <v>11.07</v>
      </c>
      <c r="P21" s="6" t="n">
        <f aca="false">IF(COUNT(P19:P20)=2,P20-P19,"N/D")</f>
        <v>12.45375</v>
      </c>
      <c r="Q21" s="6" t="n">
        <f aca="false">IF(COUNT(Q19:Q20)=2,Q20-Q19,"N/D")</f>
        <v>13.8375</v>
      </c>
    </row>
    <row r="22" customFormat="false" ht="19.5" hidden="false" customHeight="true" outlineLevel="0" collapsed="false">
      <c r="C22" s="2" t="s">
        <v>109</v>
      </c>
      <c r="D22" s="2" t="s">
        <v>18</v>
      </c>
      <c r="F22" s="25" t="n">
        <f aca="false">Supuestos!F45</f>
        <v>0.65</v>
      </c>
      <c r="G22" s="25" t="n">
        <f aca="false">Supuestos!G45</f>
        <v>0.65</v>
      </c>
      <c r="H22" s="25" t="n">
        <f aca="false">Supuestos!H45</f>
        <v>0.65</v>
      </c>
      <c r="I22" s="25" t="n">
        <f aca="false">Supuestos!I45</f>
        <v>0.65</v>
      </c>
      <c r="J22" s="25" t="n">
        <f aca="false">Supuestos!J45</f>
        <v>0.65</v>
      </c>
      <c r="K22" s="25" t="n">
        <f aca="false">Supuestos!K45</f>
        <v>0.65</v>
      </c>
      <c r="L22" s="25" t="n">
        <f aca="false">Supuestos!L45</f>
        <v>0.65</v>
      </c>
      <c r="M22" s="25" t="n">
        <f aca="false">Supuestos!M45</f>
        <v>0.65</v>
      </c>
      <c r="N22" s="25" t="n">
        <f aca="false">Supuestos!N45</f>
        <v>0.65</v>
      </c>
      <c r="O22" s="25" t="n">
        <f aca="false">Supuestos!O45</f>
        <v>0.65</v>
      </c>
      <c r="P22" s="25" t="n">
        <f aca="false">Supuestos!P45</f>
        <v>0.65</v>
      </c>
      <c r="Q22" s="25" t="n">
        <f aca="false">Supuestos!Q45</f>
        <v>0.65</v>
      </c>
    </row>
    <row r="23" customFormat="false" ht="19.5" hidden="false" customHeight="true" outlineLevel="0" collapsed="false">
      <c r="C23" s="2" t="s">
        <v>110</v>
      </c>
      <c r="D23" s="2" t="s">
        <v>9</v>
      </c>
      <c r="F23" s="6" t="n">
        <f aca="false">IF(COUNT(F19,F22)=2,F19*F22,"N/D")</f>
        <v>0.359775</v>
      </c>
      <c r="G23" s="6" t="n">
        <f aca="false">IF(COUNT(G19,G22)=2,G19*G22,"N/D")</f>
        <v>0.359775</v>
      </c>
      <c r="H23" s="6" t="n">
        <f aca="false">IF(COUNT(H19,H22)=2,H19*H22,"N/D")</f>
        <v>0.359775</v>
      </c>
      <c r="I23" s="6" t="n">
        <f aca="false">IF(COUNT(I19,I22)=2,I19*I22,"N/D")</f>
        <v>0.359775</v>
      </c>
      <c r="J23" s="6" t="n">
        <f aca="false">IF(COUNT(J19,J22)=2,J19*J22,"N/D")</f>
        <v>0.359775</v>
      </c>
      <c r="K23" s="6" t="n">
        <f aca="false">IF(COUNT(K19,K22)=2,K19*K22,"N/D")</f>
        <v>0.359775</v>
      </c>
      <c r="L23" s="6" t="n">
        <f aca="false">IF(COUNT(L19,L22)=2,L19*L22,"N/D")</f>
        <v>0.359775</v>
      </c>
      <c r="M23" s="6" t="n">
        <f aca="false">IF(COUNT(M19,M22)=2,M19*M22,"N/D")</f>
        <v>0.359775</v>
      </c>
      <c r="N23" s="6" t="n">
        <f aca="false">IF(COUNT(N19,N22)=2,N19*N22,"N/D")</f>
        <v>0.359775</v>
      </c>
      <c r="O23" s="6" t="n">
        <f aca="false">IF(COUNT(O19,O22)=2,O19*O22,"N/D")</f>
        <v>0.359775</v>
      </c>
      <c r="P23" s="6" t="n">
        <f aca="false">IF(COUNT(P19,P22)=2,P19*P22,"N/D")</f>
        <v>0.359775</v>
      </c>
      <c r="Q23" s="6" t="n">
        <f aca="false">IF(COUNT(Q19,Q22)=2,Q19*Q22,"N/D")</f>
        <v>0.359775</v>
      </c>
    </row>
    <row r="24" customFormat="false" ht="19.5" hidden="false" customHeight="true" outlineLevel="0" collapsed="false">
      <c r="C24" s="2" t="s">
        <v>111</v>
      </c>
      <c r="D24" s="2" t="s">
        <v>9</v>
      </c>
      <c r="F24" s="6" t="n">
        <f aca="false">IF(COUNT(F20,F22)=2,F20*F22,"N/D")</f>
        <v>0.5396625</v>
      </c>
      <c r="G24" s="6" t="n">
        <f aca="false">IF(COUNT(G20,G22)=2,G20*G22,"N/D")</f>
        <v>0.8994375</v>
      </c>
      <c r="H24" s="6" t="n">
        <f aca="false">IF(COUNT(H20,H22)=2,H20*H22,"N/D")</f>
        <v>1.4391</v>
      </c>
      <c r="I24" s="6" t="n">
        <f aca="false">IF(COUNT(I20,I22)=2,I20*I22,"N/D")</f>
        <v>2.15865</v>
      </c>
      <c r="J24" s="6" t="n">
        <f aca="false">IF(COUNT(J20,J22)=2,J20*J22,"N/D")</f>
        <v>3.0580875</v>
      </c>
      <c r="K24" s="6" t="n">
        <f aca="false">IF(COUNT(K20,K22)=2,K20*K22,"N/D")</f>
        <v>3.957525</v>
      </c>
      <c r="L24" s="6" t="n">
        <f aca="false">IF(COUNT(L20,L22)=2,L20*L22,"N/D")</f>
        <v>4.8569625</v>
      </c>
      <c r="M24" s="6" t="n">
        <f aca="false">IF(COUNT(M20,M22)=2,M20*M22,"N/D")</f>
        <v>5.7564</v>
      </c>
      <c r="N24" s="6" t="n">
        <f aca="false">IF(COUNT(N20,N22)=2,N20*N22,"N/D")</f>
        <v>6.6558375</v>
      </c>
      <c r="O24" s="6" t="n">
        <f aca="false">IF(COUNT(O20,O22)=2,O20*O22,"N/D")</f>
        <v>7.555275</v>
      </c>
      <c r="P24" s="6" t="n">
        <f aca="false">IF(COUNT(P20,P22)=2,P20*P22,"N/D")</f>
        <v>8.4547125</v>
      </c>
      <c r="Q24" s="6" t="n">
        <f aca="false">IF(COUNT(Q20,Q22)=2,Q20*Q22,"N/D")</f>
        <v>9.35415</v>
      </c>
    </row>
    <row r="25" customFormat="false" ht="19.5" hidden="false" customHeight="true" outlineLevel="0" collapsed="false">
      <c r="C25" s="2" t="s">
        <v>112</v>
      </c>
      <c r="D25" s="2" t="s">
        <v>9</v>
      </c>
      <c r="F25" s="6" t="n">
        <f aca="false">IF(COUNT(F23:F24)=2,F24-F23,"N/D")</f>
        <v>0.1798875</v>
      </c>
      <c r="G25" s="6" t="n">
        <f aca="false">IF(COUNT(G23:G24)=2,G24-G23,"N/D")</f>
        <v>0.5396625</v>
      </c>
      <c r="H25" s="6" t="n">
        <f aca="false">IF(COUNT(H23:H24)=2,H24-H23,"N/D")</f>
        <v>1.079325</v>
      </c>
      <c r="I25" s="6" t="n">
        <f aca="false">IF(COUNT(I23:I24)=2,I24-I23,"N/D")</f>
        <v>1.798875</v>
      </c>
      <c r="J25" s="6" t="n">
        <f aca="false">IF(COUNT(J23:J24)=2,J24-J23,"N/D")</f>
        <v>2.6983125</v>
      </c>
      <c r="K25" s="6" t="n">
        <f aca="false">IF(COUNT(K23:K24)=2,K24-K23,"N/D")</f>
        <v>3.59775</v>
      </c>
      <c r="L25" s="6" t="n">
        <f aca="false">IF(COUNT(L23:L24)=2,L24-L23,"N/D")</f>
        <v>4.4971875</v>
      </c>
      <c r="M25" s="6" t="n">
        <f aca="false">IF(COUNT(M23:M24)=2,M24-M23,"N/D")</f>
        <v>5.396625</v>
      </c>
      <c r="N25" s="6" t="n">
        <f aca="false">IF(COUNT(N23:N24)=2,N24-N23,"N/D")</f>
        <v>6.2960625</v>
      </c>
      <c r="O25" s="6" t="n">
        <f aca="false">IF(COUNT(O23:O24)=2,O24-O23,"N/D")</f>
        <v>7.1955</v>
      </c>
      <c r="P25" s="6" t="n">
        <f aca="false">IF(COUNT(P23:P24)=2,P24-P23,"N/D")</f>
        <v>8.0949375</v>
      </c>
      <c r="Q25" s="6" t="n">
        <f aca="false">IF(COUNT(Q23:Q24)=2,Q24-Q23,"N/D")</f>
        <v>8.994375</v>
      </c>
    </row>
    <row r="26" customFormat="false" ht="19.5" hidden="false" customHeight="true" outlineLevel="0" collapsed="false">
      <c r="C26" s="2" t="s">
        <v>113</v>
      </c>
      <c r="D26" s="2" t="s">
        <v>9</v>
      </c>
      <c r="F26" s="20" t="n">
        <f aca="false">IF(COUNT(Supuestos!$D$18)=1,IF(Supuestos!$D$18&lt;=0,INDEX($F$23:$Q$23,1,1-Supuestos!$D$18),0),"N/D")</f>
        <v>0.359775</v>
      </c>
      <c r="G26" s="20" t="n">
        <f aca="false">IF(COUNT(Supuestos!$D$18)=1,IF(Supuestos!$D$18&lt;=1,INDEX($F$23:$Q$23,1,2-Supuestos!$D$18),0),"N/D")</f>
        <v>0.359775</v>
      </c>
      <c r="H26" s="20" t="n">
        <f aca="false">IF(COUNT(Supuestos!$D$18)=1,IF(Supuestos!$D$18&lt;=2,INDEX($F$23:$Q$23,1,3-Supuestos!$D$18),0),"N/D")</f>
        <v>0.359775</v>
      </c>
      <c r="I26" s="20" t="n">
        <f aca="false">IF(COUNT(Supuestos!$D$18)=1,IF(Supuestos!$D$18&lt;=3,INDEX($F$23:$Q$23,1,4-Supuestos!$D$18),0),"N/D")</f>
        <v>0.359775</v>
      </c>
      <c r="J26" s="20" t="n">
        <f aca="false">IF(COUNT(Supuestos!$D$18)=1,IF(Supuestos!$D$18&lt;=4,INDEX($F$23:$Q$23,1,5-Supuestos!$D$18),0),"N/D")</f>
        <v>0.359775</v>
      </c>
      <c r="K26" s="20" t="n">
        <f aca="false">IF(COUNT(Supuestos!$D$18)=1,IF(Supuestos!$D$18&lt;=5,INDEX($F$23:$Q$23,1,6-Supuestos!$D$18),0),"N/D")</f>
        <v>0.359775</v>
      </c>
      <c r="L26" s="20" t="n">
        <f aca="false">IF(COUNT(Supuestos!$D$18)=1,IF(Supuestos!$D$18&lt;=6,INDEX($F$23:$Q$23,1,7-Supuestos!$D$18),0),"N/D")</f>
        <v>0.359775</v>
      </c>
      <c r="M26" s="20" t="n">
        <f aca="false">IF(COUNT(Supuestos!$D$18)=1,IF(Supuestos!$D$18&lt;=7,INDEX($F$23:$Q$23,1,8-Supuestos!$D$18),0),"N/D")</f>
        <v>0.359775</v>
      </c>
      <c r="N26" s="20" t="n">
        <f aca="false">IF(COUNT(Supuestos!$D$18)=1,IF(Supuestos!$D$18&lt;=8,INDEX($F$23:$Q$23,1,9-Supuestos!$D$18),0),"N/D")</f>
        <v>0.359775</v>
      </c>
      <c r="O26" s="20" t="n">
        <f aca="false">IF(COUNT(Supuestos!$D$18)=1,IF(Supuestos!$D$18&lt;=9,INDEX($F$23:$Q$23,1,10-Supuestos!$D$18),0),"N/D")</f>
        <v>0.359775</v>
      </c>
      <c r="P26" s="20" t="n">
        <f aca="false">IF(COUNT(Supuestos!$D$18)=1,IF(Supuestos!$D$18&lt;=10,INDEX($F$23:$Q$23,1,11-Supuestos!$D$18),0),"N/D")</f>
        <v>0.359775</v>
      </c>
      <c r="Q26" s="20" t="n">
        <f aca="false">IF(COUNT(Supuestos!$D$18)=1,IF(Supuestos!$D$18&lt;=11,INDEX($F$23:$Q$23,1,12-Supuestos!$D$18),0),"N/D")</f>
        <v>0.359775</v>
      </c>
    </row>
    <row r="27" customFormat="false" ht="19.5" hidden="false" customHeight="true" outlineLevel="0" collapsed="false">
      <c r="C27" s="2" t="s">
        <v>114</v>
      </c>
      <c r="D27" s="2" t="s">
        <v>9</v>
      </c>
      <c r="F27" s="20" t="n">
        <f aca="false">IF(COUNT(Supuestos!$D$18)=1,IF(Supuestos!$D$18&lt;=0,INDEX($F$24:$Q$24,1,1-Supuestos!$D$18),0),"N/D")</f>
        <v>0.5396625</v>
      </c>
      <c r="G27" s="20" t="n">
        <f aca="false">IF(COUNT(Supuestos!$D$18)=1,IF(Supuestos!$D$18&lt;=1,INDEX($F$24:$Q$24,1,2-Supuestos!$D$18),0),"N/D")</f>
        <v>0.8994375</v>
      </c>
      <c r="H27" s="20" t="n">
        <f aca="false">IF(COUNT(Supuestos!$D$18)=1,IF(Supuestos!$D$18&lt;=2,INDEX($F$24:$Q$24,1,3-Supuestos!$D$18),0),"N/D")</f>
        <v>1.4391</v>
      </c>
      <c r="I27" s="20" t="n">
        <f aca="false">IF(COUNT(Supuestos!$D$18)=1,IF(Supuestos!$D$18&lt;=3,INDEX($F$24:$Q$24,1,4-Supuestos!$D$18),0),"N/D")</f>
        <v>2.15865</v>
      </c>
      <c r="J27" s="20" t="n">
        <f aca="false">IF(COUNT(Supuestos!$D$18)=1,IF(Supuestos!$D$18&lt;=4,INDEX($F$24:$Q$24,1,5-Supuestos!$D$18),0),"N/D")</f>
        <v>3.0580875</v>
      </c>
      <c r="K27" s="20" t="n">
        <f aca="false">IF(COUNT(Supuestos!$D$18)=1,IF(Supuestos!$D$18&lt;=5,INDEX($F$24:$Q$24,1,6-Supuestos!$D$18),0),"N/D")</f>
        <v>3.957525</v>
      </c>
      <c r="L27" s="20" t="n">
        <f aca="false">IF(COUNT(Supuestos!$D$18)=1,IF(Supuestos!$D$18&lt;=6,INDEX($F$24:$Q$24,1,7-Supuestos!$D$18),0),"N/D")</f>
        <v>4.8569625</v>
      </c>
      <c r="M27" s="20" t="n">
        <f aca="false">IF(COUNT(Supuestos!$D$18)=1,IF(Supuestos!$D$18&lt;=7,INDEX($F$24:$Q$24,1,8-Supuestos!$D$18),0),"N/D")</f>
        <v>5.7564</v>
      </c>
      <c r="N27" s="20" t="n">
        <f aca="false">IF(COUNT(Supuestos!$D$18)=1,IF(Supuestos!$D$18&lt;=8,INDEX($F$24:$Q$24,1,9-Supuestos!$D$18),0),"N/D")</f>
        <v>6.6558375</v>
      </c>
      <c r="O27" s="20" t="n">
        <f aca="false">IF(COUNT(Supuestos!$D$18)=1,IF(Supuestos!$D$18&lt;=9,INDEX($F$24:$Q$24,1,10-Supuestos!$D$18),0),"N/D")</f>
        <v>7.555275</v>
      </c>
      <c r="P27" s="20" t="n">
        <f aca="false">IF(COUNT(Supuestos!$D$18)=1,IF(Supuestos!$D$18&lt;=10,INDEX($F$24:$Q$24,1,11-Supuestos!$D$18),0),"N/D")</f>
        <v>8.4547125</v>
      </c>
      <c r="Q27" s="20" t="n">
        <f aca="false">IF(COUNT(Supuestos!$D$18)=1,IF(Supuestos!$D$18&lt;=11,INDEX($F$24:$Q$24,1,12-Supuestos!$D$18),0),"N/D")</f>
        <v>9.35415</v>
      </c>
    </row>
    <row r="28" customFormat="false" ht="19.5" hidden="false" customHeight="true" outlineLevel="0" collapsed="false">
      <c r="C28" s="2" t="s">
        <v>115</v>
      </c>
      <c r="D28" s="2" t="s">
        <v>9</v>
      </c>
      <c r="F28" s="6" t="n">
        <f aca="false">IF(COUNT(F26:F27)=2,F27-F26,"N/D")</f>
        <v>0.1798875</v>
      </c>
      <c r="G28" s="6" t="n">
        <f aca="false">IF(COUNT(G26:G27)=2,G27-G26,"N/D")</f>
        <v>0.5396625</v>
      </c>
      <c r="H28" s="6" t="n">
        <f aca="false">IF(COUNT(H26:H27)=2,H27-H26,"N/D")</f>
        <v>1.079325</v>
      </c>
      <c r="I28" s="6" t="n">
        <f aca="false">IF(COUNT(I26:I27)=2,I27-I26,"N/D")</f>
        <v>1.798875</v>
      </c>
      <c r="J28" s="6" t="n">
        <f aca="false">IF(COUNT(J26:J27)=2,J27-J26,"N/D")</f>
        <v>2.6983125</v>
      </c>
      <c r="K28" s="6" t="n">
        <f aca="false">IF(COUNT(K26:K27)=2,K27-K26,"N/D")</f>
        <v>3.59775</v>
      </c>
      <c r="L28" s="6" t="n">
        <f aca="false">IF(COUNT(L26:L27)=2,L27-L26,"N/D")</f>
        <v>4.4971875</v>
      </c>
      <c r="M28" s="6" t="n">
        <f aca="false">IF(COUNT(M26:M27)=2,M27-M26,"N/D")</f>
        <v>5.396625</v>
      </c>
      <c r="N28" s="6" t="n">
        <f aca="false">IF(COUNT(N26:N27)=2,N27-N26,"N/D")</f>
        <v>6.2960625</v>
      </c>
      <c r="O28" s="6" t="n">
        <f aca="false">IF(COUNT(O26:O27)=2,O27-O26,"N/D")</f>
        <v>7.1955</v>
      </c>
      <c r="P28" s="6" t="n">
        <f aca="false">IF(COUNT(P26:P27)=2,P27-P26,"N/D")</f>
        <v>8.0949375</v>
      </c>
      <c r="Q28" s="6" t="n">
        <f aca="false">IF(COUNT(Q26:Q27)=2,Q27-Q26,"N/D")</f>
        <v>8.994375</v>
      </c>
    </row>
    <row r="29" customFormat="false" ht="19.5" hidden="false" customHeight="true" outlineLevel="0" collapsed="false"/>
    <row r="30" customFormat="false" ht="30" hidden="false" customHeight="true" outlineLevel="0" collapsed="false">
      <c r="C30" s="4" t="s">
        <v>116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customFormat="false" ht="30" hidden="false" customHeight="true" outlineLevel="0" collapsed="false">
      <c r="C31" s="4" t="s">
        <v>117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>
      <c r="C35" s="2" t="s">
        <v>118</v>
      </c>
      <c r="D35" s="2" t="s">
        <v>13</v>
      </c>
      <c r="F35" s="26" t="n">
        <f aca="false">Cohortes!L22</f>
        <v>437.72625</v>
      </c>
      <c r="G35" s="26" t="n">
        <f aca="false">Cohortes!M22</f>
        <v>1736.66390625</v>
      </c>
      <c r="H35" s="26" t="n">
        <f aca="false">Cohortes!N22</f>
        <v>4270.07953125</v>
      </c>
      <c r="I35" s="26" t="n">
        <f aca="false">Cohortes!O22</f>
        <v>8437.47328125</v>
      </c>
      <c r="J35" s="26" t="n">
        <f aca="false">Cohortes!P22</f>
        <v>14576.63390625</v>
      </c>
      <c r="K35" s="26" t="n">
        <f aca="false">Cohortes!Q22</f>
        <v>22670.07234375</v>
      </c>
      <c r="L35" s="26" t="n">
        <f aca="false">Cohortes!R22</f>
        <v>32577.3088809122</v>
      </c>
      <c r="M35" s="26" t="n">
        <f aca="false">Cohortes!S22</f>
        <v>44305.5012035473</v>
      </c>
      <c r="N35" s="26" t="n">
        <f aca="false">Cohortes!T22</f>
        <v>57903.2878125</v>
      </c>
      <c r="O35" s="26" t="n">
        <f aca="false">Cohortes!U22</f>
        <v>73184.170477196</v>
      </c>
      <c r="P35" s="26" t="n">
        <f aca="false">Cohortes!V22</f>
        <v>90323.3166765203</v>
      </c>
      <c r="Q35" s="26" t="n">
        <f aca="false">Cohortes!W22</f>
        <v>109054.676579392</v>
      </c>
    </row>
    <row r="36" customFormat="false" ht="19.5" hidden="false" customHeight="true" outlineLevel="0" collapsed="false">
      <c r="C36" s="2" t="s">
        <v>119</v>
      </c>
      <c r="D36" s="2" t="s">
        <v>13</v>
      </c>
      <c r="F36" s="26" t="n">
        <f aca="false">Cohortes!L43</f>
        <v>306.408375</v>
      </c>
      <c r="G36" s="26" t="n">
        <f aca="false">Cohortes!M43</f>
        <v>1215.664734375</v>
      </c>
      <c r="H36" s="26" t="n">
        <f aca="false">Cohortes!N43</f>
        <v>2989.055671875</v>
      </c>
      <c r="I36" s="26" t="n">
        <f aca="false">Cohortes!O43</f>
        <v>5906.231296875</v>
      </c>
      <c r="J36" s="26" t="n">
        <f aca="false">Cohortes!P43</f>
        <v>10203.643734375</v>
      </c>
      <c r="K36" s="26" t="n">
        <f aca="false">Cohortes!Q43</f>
        <v>15869.050640625</v>
      </c>
      <c r="L36" s="26" t="n">
        <f aca="false">Cohortes!R43</f>
        <v>22804.1162166385</v>
      </c>
      <c r="M36" s="26" t="n">
        <f aca="false">Cohortes!S43</f>
        <v>31013.8508424831</v>
      </c>
      <c r="N36" s="26" t="n">
        <f aca="false">Cohortes!T43</f>
        <v>40532.30146875</v>
      </c>
      <c r="O36" s="26" t="n">
        <f aca="false">Cohortes!U43</f>
        <v>51228.9193340372</v>
      </c>
      <c r="P36" s="26" t="n">
        <f aca="false">Cohortes!V43</f>
        <v>63226.3216735642</v>
      </c>
      <c r="Q36" s="26" t="n">
        <f aca="false">Cohortes!W43</f>
        <v>76338.2736055743</v>
      </c>
    </row>
    <row r="37" customFormat="false" ht="19.5" hidden="false" customHeight="true" outlineLevel="0" collapsed="false">
      <c r="C37" s="2" t="s">
        <v>120</v>
      </c>
      <c r="D37" s="2" t="s">
        <v>13</v>
      </c>
      <c r="F37" s="26" t="n">
        <f aca="false">Cohortes!L63</f>
        <v>243.331693548387</v>
      </c>
      <c r="G37" s="26" t="n">
        <f aca="false">Cohortes!M63</f>
        <v>1094.5030078125</v>
      </c>
      <c r="H37" s="26" t="n">
        <f aca="false">Cohortes!N63</f>
        <v>3150.18313004032</v>
      </c>
      <c r="I37" s="26" t="n">
        <f aca="false">Cohortes!O63</f>
        <v>6529.91625</v>
      </c>
      <c r="J37" s="26" t="n">
        <f aca="false">Cohortes!P63</f>
        <v>11874.0821219758</v>
      </c>
      <c r="K37" s="26" t="n">
        <f aca="false">Cohortes!Q63</f>
        <v>18975.6328125</v>
      </c>
      <c r="L37" s="26" t="n">
        <f aca="false">Cohortes!R63</f>
        <v>28235.4048260408</v>
      </c>
      <c r="M37" s="26" t="n">
        <f aca="false">Cohortes!S63</f>
        <v>39175.4620986813</v>
      </c>
      <c r="N37" s="26" t="n">
        <f aca="false">Cohortes!T63</f>
        <v>51720.8839611487</v>
      </c>
      <c r="O37" s="26" t="n">
        <f aca="false">Cohortes!U63</f>
        <v>66522.4718867835</v>
      </c>
      <c r="P37" s="26" t="n">
        <f aca="false">Cohortes!V63</f>
        <v>82546.3728737331</v>
      </c>
      <c r="Q37" s="26" t="n">
        <f aca="false">Cohortes!W63</f>
        <v>100912.425055375</v>
      </c>
    </row>
    <row r="38" customFormat="false" ht="19.5" hidden="false" customHeight="true" outlineLevel="0" collapsed="false">
      <c r="C38" s="2" t="s">
        <v>121</v>
      </c>
      <c r="D38" s="2" t="s">
        <v>13</v>
      </c>
      <c r="F38" s="26" t="n">
        <f aca="false">Cohortes!L83</f>
        <v>170.332185483871</v>
      </c>
      <c r="G38" s="26" t="n">
        <f aca="false">Cohortes!M83</f>
        <v>766.15210546875</v>
      </c>
      <c r="H38" s="26" t="n">
        <f aca="false">Cohortes!N83</f>
        <v>2205.12819102823</v>
      </c>
      <c r="I38" s="26" t="n">
        <f aca="false">Cohortes!O83</f>
        <v>4570.941375</v>
      </c>
      <c r="J38" s="26" t="n">
        <f aca="false">Cohortes!P83</f>
        <v>8311.85748538307</v>
      </c>
      <c r="K38" s="26" t="n">
        <f aca="false">Cohortes!Q83</f>
        <v>13282.94296875</v>
      </c>
      <c r="L38" s="26" t="n">
        <f aca="false">Cohortes!R83</f>
        <v>19764.7833782285</v>
      </c>
      <c r="M38" s="26" t="n">
        <f aca="false">Cohortes!S83</f>
        <v>27422.8234690769</v>
      </c>
      <c r="N38" s="26" t="n">
        <f aca="false">Cohortes!T83</f>
        <v>36204.6187728041</v>
      </c>
      <c r="O38" s="26" t="n">
        <f aca="false">Cohortes!U83</f>
        <v>46565.7303207484</v>
      </c>
      <c r="P38" s="26" t="n">
        <f aca="false">Cohortes!V83</f>
        <v>57782.4610116132</v>
      </c>
      <c r="Q38" s="26" t="n">
        <f aca="false">Cohortes!W83</f>
        <v>70638.6975387628</v>
      </c>
    </row>
    <row r="39" customFormat="false" ht="19.5" hidden="false" customHeight="true" outlineLevel="0" collapsed="false"/>
    <row r="40" customFormat="false" ht="19.5" hidden="false" customHeight="true" outlineLevel="0" collapsed="false">
      <c r="C40" s="2" t="s">
        <v>122</v>
      </c>
      <c r="D40" s="2" t="s">
        <v>20</v>
      </c>
      <c r="F40" s="26" t="str">
        <f aca="false">IF(COUNT(Supuestos!F22)=1,IF(Supuestos!F22&gt;=0,Supuestos!F22,"N/D"),"N/D")</f>
        <v>N/D</v>
      </c>
      <c r="G40" s="26" t="str">
        <f aca="false">IF(COUNT(Supuestos!G22)=1,IF(Supuestos!G22&gt;=0,Supuestos!G22,"N/D"),"N/D")</f>
        <v>N/D</v>
      </c>
      <c r="H40" s="26" t="str">
        <f aca="false">IF(COUNT(Supuestos!H22)=1,IF(Supuestos!H22&gt;=0,Supuestos!H22,"N/D"),"N/D")</f>
        <v>N/D</v>
      </c>
      <c r="I40" s="26" t="str">
        <f aca="false">IF(COUNT(Supuestos!I22)=1,IF(Supuestos!I22&gt;=0,Supuestos!I22,"N/D"),"N/D")</f>
        <v>N/D</v>
      </c>
      <c r="J40" s="26" t="str">
        <f aca="false">IF(COUNT(Supuestos!J22)=1,IF(Supuestos!J22&gt;=0,Supuestos!J22,"N/D"),"N/D")</f>
        <v>N/D</v>
      </c>
      <c r="K40" s="26" t="str">
        <f aca="false">IF(COUNT(Supuestos!K22)=1,IF(Supuestos!K22&gt;=0,Supuestos!K22,"N/D"),"N/D")</f>
        <v>N/D</v>
      </c>
      <c r="L40" s="26" t="str">
        <f aca="false">IF(COUNT(Supuestos!L22)=1,IF(Supuestos!L22&gt;=0,Supuestos!L22,"N/D"),"N/D")</f>
        <v>N/D</v>
      </c>
      <c r="M40" s="26" t="str">
        <f aca="false">IF(COUNT(Supuestos!M22)=1,IF(Supuestos!M22&gt;=0,Supuestos!M22,"N/D"),"N/D")</f>
        <v>N/D</v>
      </c>
      <c r="N40" s="26" t="str">
        <f aca="false">IF(COUNT(Supuestos!N22)=1,IF(Supuestos!N22&gt;=0,Supuestos!N22,"N/D"),"N/D")</f>
        <v>N/D</v>
      </c>
      <c r="O40" s="26" t="str">
        <f aca="false">IF(COUNT(Supuestos!O22)=1,IF(Supuestos!O22&gt;=0,Supuestos!O22,"N/D"),"N/D")</f>
        <v>N/D</v>
      </c>
      <c r="P40" s="26" t="str">
        <f aca="false">IF(COUNT(Supuestos!P22)=1,IF(Supuestos!P22&gt;=0,Supuestos!P22,"N/D"),"N/D")</f>
        <v>N/D</v>
      </c>
      <c r="Q40" s="26" t="str">
        <f aca="false">IF(COUNT(Supuestos!Q22)=1,IF(Supuestos!Q22&gt;=0,Supuestos!Q22,"N/D"),"N/D")</f>
        <v>N/D</v>
      </c>
    </row>
    <row r="41" customFormat="false" ht="19.5" hidden="false" customHeight="true" outlineLevel="0" collapsed="false">
      <c r="C41" s="2" t="s">
        <v>123</v>
      </c>
      <c r="D41" s="2" t="s">
        <v>20</v>
      </c>
      <c r="F41" s="8" t="str">
        <f aca="false">IF(COUNT($F40:F40)=1,SUM($F40:F40),"N/D")</f>
        <v>N/D</v>
      </c>
      <c r="G41" s="8" t="str">
        <f aca="false">IF(COUNT($F40:G40)=2,SUM($F40:G40),"N/D")</f>
        <v>N/D</v>
      </c>
      <c r="H41" s="8" t="str">
        <f aca="false">IF(COUNT($F40:H40)=3,SUM($F40:H40),"N/D")</f>
        <v>N/D</v>
      </c>
      <c r="I41" s="8" t="str">
        <f aca="false">IF(COUNT($F40:I40)=4,SUM($F40:I40),"N/D")</f>
        <v>N/D</v>
      </c>
      <c r="J41" s="8" t="str">
        <f aca="false">IF(COUNT($F40:J40)=5,SUM($F40:J40),"N/D")</f>
        <v>N/D</v>
      </c>
      <c r="K41" s="8" t="str">
        <f aca="false">IF(COUNT($F40:K40)=6,SUM($F40:K40),"N/D")</f>
        <v>N/D</v>
      </c>
      <c r="L41" s="8" t="str">
        <f aca="false">IF(COUNT($F40:L40)=7,SUM($F40:L40),"N/D")</f>
        <v>N/D</v>
      </c>
      <c r="M41" s="8" t="str">
        <f aca="false">IF(COUNT($F40:M40)=8,SUM($F40:M40),"N/D")</f>
        <v>N/D</v>
      </c>
      <c r="N41" s="8" t="str">
        <f aca="false">IF(COUNT($F40:N40)=9,SUM($F40:N40),"N/D")</f>
        <v>N/D</v>
      </c>
      <c r="O41" s="8" t="str">
        <f aca="false">IF(COUNT($F40:O40)=10,SUM($F40:O40),"N/D")</f>
        <v>N/D</v>
      </c>
      <c r="P41" s="8" t="str">
        <f aca="false">IF(COUNT($F40:P40)=11,SUM($F40:P40),"N/D")</f>
        <v>N/D</v>
      </c>
      <c r="Q41" s="8" t="str">
        <f aca="false">IF(COUNT($F40:Q40)=12,SUM($F40:Q40),"N/D")</f>
        <v>N/D</v>
      </c>
    </row>
    <row r="42" customFormat="false" ht="19.5" hidden="false" customHeight="true" outlineLevel="0" collapsed="false">
      <c r="C42" s="2" t="s">
        <v>124</v>
      </c>
      <c r="D42" s="2" t="s">
        <v>20</v>
      </c>
      <c r="F42" s="26" t="str">
        <f aca="false">IF(AND(Supuestos!$D$14="Sí",COUNT(Supuestos!$D$15,F38)=2),F38*Supuestos!$D$15/12,"N/D")</f>
        <v>N/D</v>
      </c>
      <c r="G42" s="26" t="str">
        <f aca="false">IF(AND(Supuestos!$D$14="Sí",COUNT(Supuestos!$D$15,G38)=2),G38*Supuestos!$D$15/12,"N/D")</f>
        <v>N/D</v>
      </c>
      <c r="H42" s="26" t="str">
        <f aca="false">IF(AND(Supuestos!$D$14="Sí",COUNT(Supuestos!$D$15,H38)=2),H38*Supuestos!$D$15/12,"N/D")</f>
        <v>N/D</v>
      </c>
      <c r="I42" s="26" t="str">
        <f aca="false">IF(AND(Supuestos!$D$14="Sí",COUNT(Supuestos!$D$15,I38)=2),I38*Supuestos!$D$15/12,"N/D")</f>
        <v>N/D</v>
      </c>
      <c r="J42" s="26" t="str">
        <f aca="false">IF(AND(Supuestos!$D$14="Sí",COUNT(Supuestos!$D$15,J38)=2),J38*Supuestos!$D$15/12,"N/D")</f>
        <v>N/D</v>
      </c>
      <c r="K42" s="26" t="str">
        <f aca="false">IF(AND(Supuestos!$D$14="Sí",COUNT(Supuestos!$D$15,K38)=2),K38*Supuestos!$D$15/12,"N/D")</f>
        <v>N/D</v>
      </c>
      <c r="L42" s="26" t="str">
        <f aca="false">IF(AND(Supuestos!$D$14="Sí",COUNT(Supuestos!$D$15,L38)=2),L38*Supuestos!$D$15/12,"N/D")</f>
        <v>N/D</v>
      </c>
      <c r="M42" s="26" t="str">
        <f aca="false">IF(AND(Supuestos!$D$14="Sí",COUNT(Supuestos!$D$15,M38)=2),M38*Supuestos!$D$15/12,"N/D")</f>
        <v>N/D</v>
      </c>
      <c r="N42" s="26" t="str">
        <f aca="false">IF(AND(Supuestos!$D$14="Sí",COUNT(Supuestos!$D$15,N38)=2),N38*Supuestos!$D$15/12,"N/D")</f>
        <v>N/D</v>
      </c>
      <c r="O42" s="26" t="str">
        <f aca="false">IF(AND(Supuestos!$D$14="Sí",COUNT(Supuestos!$D$15,O38)=2),O38*Supuestos!$D$15/12,"N/D")</f>
        <v>N/D</v>
      </c>
      <c r="P42" s="26" t="str">
        <f aca="false">IF(AND(Supuestos!$D$14="Sí",COUNT(Supuestos!$D$15,P38)=2),P38*Supuestos!$D$15/12,"N/D")</f>
        <v>N/D</v>
      </c>
      <c r="Q42" s="26" t="str">
        <f aca="false">IF(AND(Supuestos!$D$14="Sí",COUNT(Supuestos!$D$15,Q38)=2),Q38*Supuestos!$D$15/12,"N/D")</f>
        <v>N/D</v>
      </c>
    </row>
    <row r="43" customFormat="false" ht="19.5" hidden="false" customHeight="true" outlineLevel="0" collapsed="false">
      <c r="C43" s="2" t="s">
        <v>125</v>
      </c>
      <c r="D43" s="2" t="s">
        <v>20</v>
      </c>
      <c r="F43" s="8" t="str">
        <f aca="false">IF(COUNT($F42:F42)=1,SUM($F42:F42),"N/D")</f>
        <v>N/D</v>
      </c>
      <c r="G43" s="8" t="str">
        <f aca="false">IF(COUNT($F42:G42)=2,SUM($F42:G42),"N/D")</f>
        <v>N/D</v>
      </c>
      <c r="H43" s="8" t="str">
        <f aca="false">IF(COUNT($F42:H42)=3,SUM($F42:H42),"N/D")</f>
        <v>N/D</v>
      </c>
      <c r="I43" s="8" t="str">
        <f aca="false">IF(COUNT($F42:I42)=4,SUM($F42:I42),"N/D")</f>
        <v>N/D</v>
      </c>
      <c r="J43" s="8" t="str">
        <f aca="false">IF(COUNT($F42:J42)=5,SUM($F42:J42),"N/D")</f>
        <v>N/D</v>
      </c>
      <c r="K43" s="8" t="str">
        <f aca="false">IF(COUNT($F42:K42)=6,SUM($F42:K42),"N/D")</f>
        <v>N/D</v>
      </c>
      <c r="L43" s="8" t="str">
        <f aca="false">IF(COUNT($F42:L42)=7,SUM($F42:L42),"N/D")</f>
        <v>N/D</v>
      </c>
      <c r="M43" s="8" t="str">
        <f aca="false">IF(COUNT($F42:M42)=8,SUM($F42:M42),"N/D")</f>
        <v>N/D</v>
      </c>
      <c r="N43" s="8" t="str">
        <f aca="false">IF(COUNT($F42:N42)=9,SUM($F42:N42),"N/D")</f>
        <v>N/D</v>
      </c>
      <c r="O43" s="8" t="str">
        <f aca="false">IF(COUNT($F42:O42)=10,SUM($F42:O42),"N/D")</f>
        <v>N/D</v>
      </c>
      <c r="P43" s="8" t="str">
        <f aca="false">IF(COUNT($F42:P42)=11,SUM($F42:P42),"N/D")</f>
        <v>N/D</v>
      </c>
      <c r="Q43" s="8" t="str">
        <f aca="false">IF(COUNT($F42:Q42)=12,SUM($F42:Q42),"N/D")</f>
        <v>N/D</v>
      </c>
    </row>
    <row r="44" customFormat="false" ht="19.5" hidden="false" customHeight="true" outlineLevel="0" collapsed="false">
      <c r="C44" s="2" t="s">
        <v>126</v>
      </c>
      <c r="D44" s="2" t="s">
        <v>18</v>
      </c>
      <c r="F44" s="27" t="str">
        <f aca="false">IF(AND(Supuestos!$D$14="Sí",Supuestos!$D$16="Sí",COUNT(F41,F43)=2,F41&gt;0),(F43-F41)/F41,"N/D")</f>
        <v>N/D</v>
      </c>
      <c r="G44" s="27" t="str">
        <f aca="false">IF(AND(Supuestos!$D$14="Sí",Supuestos!$D$16="Sí",COUNT(G41,G43)=2,G41&gt;0),(G43-G41)/G41,"N/D")</f>
        <v>N/D</v>
      </c>
      <c r="H44" s="27" t="str">
        <f aca="false">IF(AND(Supuestos!$D$14="Sí",Supuestos!$D$16="Sí",COUNT(H41,H43)=2,H41&gt;0),(H43-H41)/H41,"N/D")</f>
        <v>N/D</v>
      </c>
      <c r="I44" s="27" t="str">
        <f aca="false">IF(AND(Supuestos!$D$14="Sí",Supuestos!$D$16="Sí",COUNT(I41,I43)=2,I41&gt;0),(I43-I41)/I41,"N/D")</f>
        <v>N/D</v>
      </c>
      <c r="J44" s="27" t="str">
        <f aca="false">IF(AND(Supuestos!$D$14="Sí",Supuestos!$D$16="Sí",COUNT(J41,J43)=2,J41&gt;0),(J43-J41)/J41,"N/D")</f>
        <v>N/D</v>
      </c>
      <c r="K44" s="27" t="str">
        <f aca="false">IF(AND(Supuestos!$D$14="Sí",Supuestos!$D$16="Sí",COUNT(K41,K43)=2,K41&gt;0),(K43-K41)/K41,"N/D")</f>
        <v>N/D</v>
      </c>
      <c r="L44" s="27" t="str">
        <f aca="false">IF(AND(Supuestos!$D$14="Sí",Supuestos!$D$16="Sí",COUNT(L41,L43)=2,L41&gt;0),(L43-L41)/L41,"N/D")</f>
        <v>N/D</v>
      </c>
      <c r="M44" s="27" t="str">
        <f aca="false">IF(AND(Supuestos!$D$14="Sí",Supuestos!$D$16="Sí",COUNT(M41,M43)=2,M41&gt;0),(M43-M41)/M41,"N/D")</f>
        <v>N/D</v>
      </c>
      <c r="N44" s="27" t="str">
        <f aca="false">IF(AND(Supuestos!$D$14="Sí",Supuestos!$D$16="Sí",COUNT(N41,N43)=2,N41&gt;0),(N43-N41)/N41,"N/D")</f>
        <v>N/D</v>
      </c>
      <c r="O44" s="27" t="str">
        <f aca="false">IF(AND(Supuestos!$D$14="Sí",Supuestos!$D$16="Sí",COUNT(O41,O43)=2,O41&gt;0),(O43-O41)/O41,"N/D")</f>
        <v>N/D</v>
      </c>
      <c r="P44" s="27" t="str">
        <f aca="false">IF(AND(Supuestos!$D$14="Sí",Supuestos!$D$16="Sí",COUNT(P41,P43)=2,P41&gt;0),(P43-P41)/P41,"N/D")</f>
        <v>N/D</v>
      </c>
      <c r="Q44" s="27" t="str">
        <f aca="false">IF(AND(Supuestos!$D$14="Sí",Supuestos!$D$16="Sí",COUNT(Q41,Q43)=2,Q41&gt;0),(Q43-Q41)/Q41,"N/D")</f>
        <v>N/D</v>
      </c>
    </row>
    <row r="45" customFormat="false" ht="19.5" hidden="false" customHeight="true" outlineLevel="0" collapsed="false">
      <c r="C45" s="2" t="s">
        <v>127</v>
      </c>
      <c r="D45" s="2" t="s">
        <v>20</v>
      </c>
      <c r="F45" s="26" t="str">
        <f aca="false">IF(AND(Supuestos!$D$14="Sí",Supuestos!$D$16="Sí",COUNT(F41,F43)=2,F41&gt;0),F43-F41,"N/D")</f>
        <v>N/D</v>
      </c>
      <c r="G45" s="26" t="str">
        <f aca="false">IF(AND(Supuestos!$D$14="Sí",Supuestos!$D$16="Sí",COUNT(G41,G43)=2,G41&gt;0),G43-G41,"N/D")</f>
        <v>N/D</v>
      </c>
      <c r="H45" s="26" t="str">
        <f aca="false">IF(AND(Supuestos!$D$14="Sí",Supuestos!$D$16="Sí",COUNT(H41,H43)=2,H41&gt;0),H43-H41,"N/D")</f>
        <v>N/D</v>
      </c>
      <c r="I45" s="26" t="str">
        <f aca="false">IF(AND(Supuestos!$D$14="Sí",Supuestos!$D$16="Sí",COUNT(I41,I43)=2,I41&gt;0),I43-I41,"N/D")</f>
        <v>N/D</v>
      </c>
      <c r="J45" s="26" t="str">
        <f aca="false">IF(AND(Supuestos!$D$14="Sí",Supuestos!$D$16="Sí",COUNT(J41,J43)=2,J41&gt;0),J43-J41,"N/D")</f>
        <v>N/D</v>
      </c>
      <c r="K45" s="26" t="str">
        <f aca="false">IF(AND(Supuestos!$D$14="Sí",Supuestos!$D$16="Sí",COUNT(K41,K43)=2,K41&gt;0),K43-K41,"N/D")</f>
        <v>N/D</v>
      </c>
      <c r="L45" s="26" t="str">
        <f aca="false">IF(AND(Supuestos!$D$14="Sí",Supuestos!$D$16="Sí",COUNT(L41,L43)=2,L41&gt;0),L43-L41,"N/D")</f>
        <v>N/D</v>
      </c>
      <c r="M45" s="26" t="str">
        <f aca="false">IF(AND(Supuestos!$D$14="Sí",Supuestos!$D$16="Sí",COUNT(M41,M43)=2,M41&gt;0),M43-M41,"N/D")</f>
        <v>N/D</v>
      </c>
      <c r="N45" s="26" t="str">
        <f aca="false">IF(AND(Supuestos!$D$14="Sí",Supuestos!$D$16="Sí",COUNT(N41,N43)=2,N41&gt;0),N43-N41,"N/D")</f>
        <v>N/D</v>
      </c>
      <c r="O45" s="26" t="str">
        <f aca="false">IF(AND(Supuestos!$D$14="Sí",Supuestos!$D$16="Sí",COUNT(O41,O43)=2,O41&gt;0),O43-O41,"N/D")</f>
        <v>N/D</v>
      </c>
      <c r="P45" s="26" t="str">
        <f aca="false">IF(AND(Supuestos!$D$14="Sí",Supuestos!$D$16="Sí",COUNT(P41,P43)=2,P41&gt;0),P43-P41,"N/D")</f>
        <v>N/D</v>
      </c>
      <c r="Q45" s="26" t="str">
        <f aca="false">IF(AND(Supuestos!$D$14="Sí",Supuestos!$D$16="Sí",COUNT(Q41,Q43)=2,Q41&gt;0),Q43-Q41,"N/D")</f>
        <v>N/D</v>
      </c>
    </row>
    <row r="46" customFormat="false" ht="19.5" hidden="false" customHeight="true" outlineLevel="0" collapsed="false">
      <c r="C46" s="2" t="s">
        <v>128</v>
      </c>
      <c r="D46" s="2" t="s">
        <v>129</v>
      </c>
      <c r="F46" s="28" t="str">
        <f aca="false">IF(COUNT(F45)=1,IF(F45&gt;=0,1,0),"N/D")</f>
        <v>N/D</v>
      </c>
      <c r="G46" s="28" t="str">
        <f aca="false">IF(COUNT(G45)=1,IF(G45&gt;=0,1,0),"N/D")</f>
        <v>N/D</v>
      </c>
      <c r="H46" s="28" t="str">
        <f aca="false">IF(COUNT(H45)=1,IF(H45&gt;=0,1,0),"N/D")</f>
        <v>N/D</v>
      </c>
      <c r="I46" s="28" t="str">
        <f aca="false">IF(COUNT(I45)=1,IF(I45&gt;=0,1,0),"N/D")</f>
        <v>N/D</v>
      </c>
      <c r="J46" s="28" t="str">
        <f aca="false">IF(COUNT(J45)=1,IF(J45&gt;=0,1,0),"N/D")</f>
        <v>N/D</v>
      </c>
      <c r="K46" s="28" t="str">
        <f aca="false">IF(COUNT(K45)=1,IF(K45&gt;=0,1,0),"N/D")</f>
        <v>N/D</v>
      </c>
      <c r="L46" s="28" t="str">
        <f aca="false">IF(COUNT(L45)=1,IF(L45&gt;=0,1,0),"N/D")</f>
        <v>N/D</v>
      </c>
      <c r="M46" s="28" t="str">
        <f aca="false">IF(COUNT(M45)=1,IF(M45&gt;=0,1,0),"N/D")</f>
        <v>N/D</v>
      </c>
      <c r="N46" s="28" t="str">
        <f aca="false">IF(COUNT(N45)=1,IF(N45&gt;=0,1,0),"N/D")</f>
        <v>N/D</v>
      </c>
      <c r="O46" s="28" t="str">
        <f aca="false">IF(COUNT(O45)=1,IF(O45&gt;=0,1,0),"N/D")</f>
        <v>N/D</v>
      </c>
      <c r="P46" s="28" t="str">
        <f aca="false">IF(COUNT(P45)=1,IF(P45&gt;=0,1,0),"N/D")</f>
        <v>N/D</v>
      </c>
      <c r="Q46" s="28" t="str">
        <f aca="false">IF(COUNT(Q45)=1,IF(Q45&gt;=0,1,0),"N/D")</f>
        <v>N/D</v>
      </c>
    </row>
    <row r="47" customFormat="false" ht="19.5" hidden="false" customHeight="true" outlineLevel="0" collapsed="false"/>
    <row r="48" customFormat="false" ht="30" hidden="false" customHeight="true" outlineLevel="0" collapsed="false">
      <c r="C48" s="4" t="s">
        <v>130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customFormat="false" ht="30" hidden="false" customHeight="true" outlineLevel="0" collapsed="false">
      <c r="C49" s="4" t="s">
        <v>131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customFormat="false" ht="30" hidden="false" customHeight="true" outlineLevel="0" collapsed="false">
      <c r="C50" s="4" t="s">
        <v>132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customFormat="false" ht="19.5" hidden="false" customHeight="true" outlineLevel="0" collapsed="false"/>
  </sheetData>
  <mergeCells count="5">
    <mergeCell ref="C30:Q30"/>
    <mergeCell ref="C31:Q31"/>
    <mergeCell ref="C48:Q48"/>
    <mergeCell ref="C49:Q49"/>
    <mergeCell ref="C50:Q50"/>
  </mergeCells>
  <printOptions headings="false" gridLines="false" gridLinesSet="true" horizontalCentered="tru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W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11" min="3" style="0" width="15"/>
    <col collapsed="false" customWidth="true" hidden="false" outlineLevel="0" max="23" min="12" style="0" width="14"/>
  </cols>
  <sheetData>
    <row r="2" customFormat="false" ht="24.75" hidden="false" customHeight="true" outlineLevel="0" collapsed="false">
      <c r="C2" s="1" t="s">
        <v>133</v>
      </c>
    </row>
    <row r="4" customFormat="false" ht="15" hidden="false" customHeight="false" outlineLevel="0" collapsed="false">
      <c r="C4" s="2" t="s">
        <v>134</v>
      </c>
      <c r="D4" s="3" t="str">
        <f aca="false">Supuestos!D5</f>
        <v>Base</v>
      </c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30" hidden="false" customHeight="true" outlineLevel="0" collapsed="false">
      <c r="C7" s="5" t="s">
        <v>135</v>
      </c>
      <c r="D7" s="5" t="s">
        <v>136</v>
      </c>
      <c r="E7" s="5" t="s">
        <v>137</v>
      </c>
      <c r="F7" s="5" t="s">
        <v>138</v>
      </c>
      <c r="G7" s="5" t="s">
        <v>139</v>
      </c>
      <c r="H7" s="5" t="s">
        <v>140</v>
      </c>
      <c r="I7" s="5" t="s">
        <v>141</v>
      </c>
      <c r="J7" s="5" t="s">
        <v>142</v>
      </c>
      <c r="K7" s="5" t="s">
        <v>143</v>
      </c>
      <c r="L7" s="5" t="s">
        <v>144</v>
      </c>
      <c r="M7" s="5" t="s">
        <v>145</v>
      </c>
      <c r="N7" s="5" t="s">
        <v>146</v>
      </c>
      <c r="O7" s="5" t="s">
        <v>147</v>
      </c>
      <c r="P7" s="5" t="s">
        <v>148</v>
      </c>
      <c r="Q7" s="5" t="s">
        <v>149</v>
      </c>
      <c r="R7" s="5" t="s">
        <v>150</v>
      </c>
      <c r="S7" s="5" t="s">
        <v>151</v>
      </c>
      <c r="T7" s="5" t="s">
        <v>152</v>
      </c>
      <c r="U7" s="5" t="s">
        <v>153</v>
      </c>
      <c r="V7" s="5" t="s">
        <v>154</v>
      </c>
      <c r="W7" s="5" t="s">
        <v>155</v>
      </c>
    </row>
    <row r="8" customFormat="false" ht="19.5" hidden="false" customHeight="true" outlineLevel="0" collapsed="false">
      <c r="L8" s="24" t="n">
        <f aca="false">Supuestos!F21</f>
        <v>46388</v>
      </c>
      <c r="M8" s="24" t="n">
        <f aca="false">Supuestos!G21</f>
        <v>46419</v>
      </c>
      <c r="N8" s="24" t="n">
        <f aca="false">Supuestos!H21</f>
        <v>46447</v>
      </c>
      <c r="O8" s="24" t="n">
        <f aca="false">Supuestos!I21</f>
        <v>46478</v>
      </c>
      <c r="P8" s="24" t="n">
        <f aca="false">Supuestos!J21</f>
        <v>46508</v>
      </c>
      <c r="Q8" s="24" t="n">
        <f aca="false">Supuestos!K21</f>
        <v>46539</v>
      </c>
      <c r="R8" s="24" t="n">
        <f aca="false">Supuestos!L21</f>
        <v>46569</v>
      </c>
      <c r="S8" s="24" t="n">
        <f aca="false">Supuestos!M21</f>
        <v>46600</v>
      </c>
      <c r="T8" s="24" t="n">
        <f aca="false">Supuestos!N21</f>
        <v>46631</v>
      </c>
      <c r="U8" s="24" t="n">
        <f aca="false">Supuestos!O21</f>
        <v>46661</v>
      </c>
      <c r="V8" s="24" t="n">
        <f aca="false">Supuestos!P21</f>
        <v>46692</v>
      </c>
      <c r="W8" s="24" t="n">
        <f aca="false">Supuestos!Q21</f>
        <v>46722</v>
      </c>
    </row>
    <row r="9" customFormat="false" ht="19.5" hidden="false" customHeight="true" outlineLevel="0" collapsed="false">
      <c r="C9" s="29" t="n">
        <f aca="false">IF(COUNT(Supuestos!$D$18,Supuestos!$D$19)=2,DATE(YEAR(EDATE(Supuestos!F21,Supuestos!$D$18)),MONTH(EDATE(Supuestos!F21,Supuestos!$D$18)),Supuestos!$D$19),"N/D")</f>
        <v>46402</v>
      </c>
      <c r="D9" s="20" t="n">
        <f aca="false">Mensual!F25</f>
        <v>0.1798875</v>
      </c>
      <c r="E9" s="26" t="n">
        <f aca="false">IF(COUNT(Supuestos!$D$10)=1,Supuestos!$D$10,"N/D")</f>
        <v>2500</v>
      </c>
      <c r="F9" s="27" t="n">
        <f aca="false">Supuestos!F80</f>
        <v>0.7</v>
      </c>
      <c r="G9" s="27" t="n">
        <f aca="false">Supuestos!F55</f>
        <v>0.95</v>
      </c>
      <c r="H9" s="27" t="n">
        <f aca="false">Supuestos!F60</f>
        <v>0.9</v>
      </c>
      <c r="I9" s="27" t="n">
        <f aca="false">Supuestos!F65</f>
        <v>0.85</v>
      </c>
      <c r="J9" s="27" t="n">
        <f aca="false">Supuestos!F70</f>
        <v>0.8</v>
      </c>
      <c r="K9" s="27" t="n">
        <f aca="false">Supuestos!F75</f>
        <v>0.75</v>
      </c>
      <c r="L9" s="8" t="n">
        <f aca="false">IF(COUNT($D9,$E9,L129)=3,$D9*$E9*L129,"N/D")</f>
        <v>437.72625</v>
      </c>
      <c r="M9" s="8" t="n">
        <f aca="false">IF(COUNT($D9,$E9,M129)=3,$D9*$E9*M129,"N/D")</f>
        <v>416.739375</v>
      </c>
      <c r="N9" s="8" t="n">
        <f aca="false">IF(COUNT($D9,$E9,N129)=3,$D9*$E9*N129,"N/D")</f>
        <v>393.50390625</v>
      </c>
      <c r="O9" s="8" t="n">
        <f aca="false">IF(COUNT($D9,$E9,O129)=3,$D9*$E9*O129,"N/D")</f>
        <v>378.51328125</v>
      </c>
      <c r="P9" s="8" t="n">
        <f aca="false">IF(COUNT($D9,$E9,P129)=3,$D9*$E9*P129,"N/D")</f>
        <v>370.768125</v>
      </c>
      <c r="Q9" s="8" t="n">
        <f aca="false">IF(COUNT($D9,$E9,Q129)=3,$D9*$E9*Q129,"N/D")</f>
        <v>363.2728125</v>
      </c>
      <c r="R9" s="8" t="n">
        <f aca="false">IF(COUNT($D9,$E9,R129)=3,$D9*$E9*R129,"N/D")</f>
        <v>357.708724662162</v>
      </c>
      <c r="S9" s="8" t="n">
        <f aca="false">IF(COUNT($D9,$E9,S129)=3,$D9*$E9*S129,"N/D")</f>
        <v>353.940810810811</v>
      </c>
      <c r="T9" s="8" t="n">
        <f aca="false">IF(COUNT($D9,$E9,T129)=3,$D9*$E9*T129,"N/D")</f>
        <v>350.294442567568</v>
      </c>
      <c r="U9" s="8" t="n">
        <f aca="false">IF(COUNT($D9,$E9,U129)=3,$D9*$E9*U129,"N/D")</f>
        <v>346.526528716216</v>
      </c>
      <c r="V9" s="8" t="n">
        <f aca="false">IF(COUNT($D9,$E9,V129)=3,$D9*$E9*V129,"N/D")</f>
        <v>342.880160472973</v>
      </c>
      <c r="W9" s="8" t="n">
        <f aca="false">IF(COUNT($D9,$E9,W129)=3,$D9*$E9*W129,"N/D")</f>
        <v>339.112246621622</v>
      </c>
    </row>
    <row r="10" customFormat="false" ht="19.5" hidden="false" customHeight="true" outlineLevel="0" collapsed="false">
      <c r="C10" s="29" t="n">
        <f aca="false">IF(COUNT(Supuestos!$D$18,Supuestos!$D$19)=2,DATE(YEAR(EDATE(Supuestos!G21,Supuestos!$D$18)),MONTH(EDATE(Supuestos!G21,Supuestos!$D$18)),Supuestos!$D$19),"N/D")</f>
        <v>46433</v>
      </c>
      <c r="D10" s="20" t="n">
        <f aca="false">Mensual!G25</f>
        <v>0.5396625</v>
      </c>
      <c r="E10" s="26" t="n">
        <f aca="false">IF(COUNT(Supuestos!$D$10)=1,Supuestos!$D$10,"N/D")</f>
        <v>2500</v>
      </c>
      <c r="F10" s="27" t="n">
        <f aca="false">Supuestos!G80</f>
        <v>0.7</v>
      </c>
      <c r="G10" s="27" t="n">
        <f aca="false">Supuestos!G55</f>
        <v>0.95</v>
      </c>
      <c r="H10" s="27" t="n">
        <f aca="false">Supuestos!G60</f>
        <v>0.9</v>
      </c>
      <c r="I10" s="27" t="n">
        <f aca="false">Supuestos!G65</f>
        <v>0.85</v>
      </c>
      <c r="J10" s="27" t="n">
        <f aca="false">Supuestos!G70</f>
        <v>0.8</v>
      </c>
      <c r="K10" s="27" t="n">
        <f aca="false">Supuestos!G75</f>
        <v>0.75</v>
      </c>
      <c r="L10" s="8" t="n">
        <f aca="false">IF(COUNT($D10,$E10,L130)=3,$D10*$E10*L130,"N/D")</f>
        <v>0</v>
      </c>
      <c r="M10" s="8" t="n">
        <f aca="false">IF(COUNT($D10,$E10,M130)=3,$D10*$E10*M130,"N/D")</f>
        <v>1319.92453125</v>
      </c>
      <c r="N10" s="8" t="n">
        <f aca="false">IF(COUNT($D10,$E10,N130)=3,$D10*$E10*N130,"N/D")</f>
        <v>1250.218125</v>
      </c>
      <c r="O10" s="8" t="n">
        <f aca="false">IF(COUNT($D10,$E10,O130)=3,$D10*$E10*O130,"N/D")</f>
        <v>1182.7603125</v>
      </c>
      <c r="P10" s="8" t="n">
        <f aca="false">IF(COUNT($D10,$E10,P130)=3,$D10*$E10*P130,"N/D")</f>
        <v>1135.53984375</v>
      </c>
      <c r="Q10" s="8" t="n">
        <f aca="false">IF(COUNT($D10,$E10,Q130)=3,$D10*$E10*Q130,"N/D")</f>
        <v>1113.05390625</v>
      </c>
      <c r="R10" s="8" t="n">
        <f aca="false">IF(COUNT($D10,$E10,R130)=3,$D10*$E10*R130,"N/D")</f>
        <v>1089.8184375</v>
      </c>
      <c r="S10" s="8" t="n">
        <f aca="false">IF(COUNT($D10,$E10,S130)=3,$D10*$E10*S130,"N/D")</f>
        <v>1073.12617398649</v>
      </c>
      <c r="T10" s="8" t="n">
        <f aca="false">IF(COUNT($D10,$E10,T130)=3,$D10*$E10*T130,"N/D")</f>
        <v>1062.18706925676</v>
      </c>
      <c r="U10" s="8" t="n">
        <f aca="false">IF(COUNT($D10,$E10,U130)=3,$D10*$E10*U130,"N/D")</f>
        <v>1050.8833277027</v>
      </c>
      <c r="V10" s="8" t="n">
        <f aca="false">IF(COUNT($D10,$E10,V130)=3,$D10*$E10*V130,"N/D")</f>
        <v>1039.94422297297</v>
      </c>
      <c r="W10" s="8" t="n">
        <f aca="false">IF(COUNT($D10,$E10,W130)=3,$D10*$E10*W130,"N/D")</f>
        <v>1028.64048141892</v>
      </c>
    </row>
    <row r="11" customFormat="false" ht="19.5" hidden="false" customHeight="true" outlineLevel="0" collapsed="false">
      <c r="C11" s="29" t="n">
        <f aca="false">IF(COUNT(Supuestos!$D$18,Supuestos!$D$19)=2,DATE(YEAR(EDATE(Supuestos!H21,Supuestos!$D$18)),MONTH(EDATE(Supuestos!H21,Supuestos!$D$18)),Supuestos!$D$19),"N/D")</f>
        <v>46461</v>
      </c>
      <c r="D11" s="20" t="n">
        <f aca="false">Mensual!H25</f>
        <v>1.079325</v>
      </c>
      <c r="E11" s="26" t="n">
        <f aca="false">IF(COUNT(Supuestos!$D$10)=1,Supuestos!$D$10,"N/D")</f>
        <v>2500</v>
      </c>
      <c r="F11" s="27" t="n">
        <f aca="false">Supuestos!H80</f>
        <v>0.7</v>
      </c>
      <c r="G11" s="27" t="n">
        <f aca="false">Supuestos!H55</f>
        <v>0.95</v>
      </c>
      <c r="H11" s="27" t="n">
        <f aca="false">Supuestos!H60</f>
        <v>0.9</v>
      </c>
      <c r="I11" s="27" t="n">
        <f aca="false">Supuestos!H65</f>
        <v>0.85</v>
      </c>
      <c r="J11" s="27" t="n">
        <f aca="false">Supuestos!H70</f>
        <v>0.8</v>
      </c>
      <c r="K11" s="27" t="n">
        <f aca="false">Supuestos!H75</f>
        <v>0.75</v>
      </c>
      <c r="L11" s="8" t="n">
        <f aca="false">IF(COUNT($D11,$E11,L131)=3,$D11*$E11*L131,"N/D")</f>
        <v>0</v>
      </c>
      <c r="M11" s="8" t="n">
        <f aca="false">IF(COUNT($D11,$E11,M131)=3,$D11*$E11*M131,"N/D")</f>
        <v>0</v>
      </c>
      <c r="N11" s="8" t="n">
        <f aca="false">IF(COUNT($D11,$E11,N131)=3,$D11*$E11*N131,"N/D")</f>
        <v>2626.3575</v>
      </c>
      <c r="O11" s="8" t="n">
        <f aca="false">IF(COUNT($D11,$E11,O131)=3,$D11*$E11*O131,"N/D")</f>
        <v>2491.441875</v>
      </c>
      <c r="P11" s="8" t="n">
        <f aca="false">IF(COUNT($D11,$E11,P131)=3,$D11*$E11*P131,"N/D")</f>
        <v>2352.0290625</v>
      </c>
      <c r="Q11" s="8" t="n">
        <f aca="false">IF(COUNT($D11,$E11,Q131)=3,$D11*$E11*Q131,"N/D")</f>
        <v>2268.0815625</v>
      </c>
      <c r="R11" s="8" t="n">
        <f aca="false">IF(COUNT($D11,$E11,R131)=3,$D11*$E11*R131,"N/D")</f>
        <v>2221.610625</v>
      </c>
      <c r="S11" s="8" t="n">
        <f aca="false">IF(COUNT($D11,$E11,S131)=3,$D11*$E11*S131,"N/D")</f>
        <v>2175.1396875</v>
      </c>
      <c r="T11" s="8" t="n">
        <f aca="false">IF(COUNT($D11,$E11,T131)=3,$D11*$E11*T131,"N/D")</f>
        <v>2144.79380067568</v>
      </c>
      <c r="U11" s="8" t="n">
        <f aca="false">IF(COUNT($D11,$E11,U131)=3,$D11*$E11*U131,"N/D")</f>
        <v>2122.18631756757</v>
      </c>
      <c r="V11" s="8" t="n">
        <f aca="false">IF(COUNT($D11,$E11,V131)=3,$D11*$E11*V131,"N/D")</f>
        <v>2100.30810810811</v>
      </c>
      <c r="W11" s="8" t="n">
        <f aca="false">IF(COUNT($D11,$E11,W131)=3,$D11*$E11*W131,"N/D")</f>
        <v>2077.700625</v>
      </c>
    </row>
    <row r="12" customFormat="false" ht="19.5" hidden="false" customHeight="true" outlineLevel="0" collapsed="false">
      <c r="C12" s="29" t="n">
        <f aca="false">IF(COUNT(Supuestos!$D$18,Supuestos!$D$19)=2,DATE(YEAR(EDATE(Supuestos!I21,Supuestos!$D$18)),MONTH(EDATE(Supuestos!I21,Supuestos!$D$18)),Supuestos!$D$19),"N/D")</f>
        <v>46492</v>
      </c>
      <c r="D12" s="20" t="n">
        <f aca="false">Mensual!I25</f>
        <v>1.798875</v>
      </c>
      <c r="E12" s="26" t="n">
        <f aca="false">IF(COUNT(Supuestos!$D$10)=1,Supuestos!$D$10,"N/D")</f>
        <v>2500</v>
      </c>
      <c r="F12" s="27" t="n">
        <f aca="false">Supuestos!I80</f>
        <v>0.7</v>
      </c>
      <c r="G12" s="27" t="n">
        <f aca="false">Supuestos!I55</f>
        <v>0.95</v>
      </c>
      <c r="H12" s="27" t="n">
        <f aca="false">Supuestos!I60</f>
        <v>0.9</v>
      </c>
      <c r="I12" s="27" t="n">
        <f aca="false">Supuestos!I65</f>
        <v>0.85</v>
      </c>
      <c r="J12" s="27" t="n">
        <f aca="false">Supuestos!I70</f>
        <v>0.8</v>
      </c>
      <c r="K12" s="27" t="n">
        <f aca="false">Supuestos!I75</f>
        <v>0.75</v>
      </c>
      <c r="L12" s="8" t="n">
        <f aca="false">IF(COUNT($D12,$E12,L132)=3,$D12*$E12*L132,"N/D")</f>
        <v>0</v>
      </c>
      <c r="M12" s="8" t="n">
        <f aca="false">IF(COUNT($D12,$E12,M132)=3,$D12*$E12*M132,"N/D")</f>
        <v>0</v>
      </c>
      <c r="N12" s="8" t="n">
        <f aca="false">IF(COUNT($D12,$E12,N132)=3,$D12*$E12*N132,"N/D")</f>
        <v>0</v>
      </c>
      <c r="O12" s="8" t="n">
        <f aca="false">IF(COUNT($D12,$E12,O132)=3,$D12*$E12*O132,"N/D")</f>
        <v>4384.7578125</v>
      </c>
      <c r="P12" s="8" t="n">
        <f aca="false">IF(COUNT($D12,$E12,P132)=3,$D12*$E12*P132,"N/D")</f>
        <v>4152.403125</v>
      </c>
      <c r="Q12" s="8" t="n">
        <f aca="false">IF(COUNT($D12,$E12,Q132)=3,$D12*$E12*Q132,"N/D")</f>
        <v>3927.54375</v>
      </c>
      <c r="R12" s="8" t="n">
        <f aca="false">IF(COUNT($D12,$E12,R132)=3,$D12*$E12*R132,"N/D")</f>
        <v>3780.1359375</v>
      </c>
      <c r="S12" s="8" t="n">
        <f aca="false">IF(COUNT($D12,$E12,S132)=3,$D12*$E12*S132,"N/D")</f>
        <v>3702.684375</v>
      </c>
      <c r="T12" s="8" t="n">
        <f aca="false">IF(COUNT($D12,$E12,T132)=3,$D12*$E12*T132,"N/D")</f>
        <v>3627.73125</v>
      </c>
      <c r="U12" s="8" t="n">
        <f aca="false">IF(COUNT($D12,$E12,U132)=3,$D12*$E12*U132,"N/D")</f>
        <v>3574.65633445946</v>
      </c>
      <c r="V12" s="8" t="n">
        <f aca="false">IF(COUNT($D12,$E12,V132)=3,$D12*$E12*V132,"N/D")</f>
        <v>3538.19265202703</v>
      </c>
      <c r="W12" s="8" t="n">
        <f aca="false">IF(COUNT($D12,$E12,W132)=3,$D12*$E12*W132,"N/D")</f>
        <v>3500.51351351351</v>
      </c>
    </row>
    <row r="13" customFormat="false" ht="19.5" hidden="false" customHeight="true" outlineLevel="0" collapsed="false">
      <c r="C13" s="29" t="n">
        <f aca="false">IF(COUNT(Supuestos!$D$18,Supuestos!$D$19)=2,DATE(YEAR(EDATE(Supuestos!J21,Supuestos!$D$18)),MONTH(EDATE(Supuestos!J21,Supuestos!$D$18)),Supuestos!$D$19),"N/D")</f>
        <v>46522</v>
      </c>
      <c r="D13" s="20" t="n">
        <f aca="false">Mensual!J25</f>
        <v>2.6983125</v>
      </c>
      <c r="E13" s="26" t="n">
        <f aca="false">IF(COUNT(Supuestos!$D$10)=1,Supuestos!$D$10,"N/D")</f>
        <v>2500</v>
      </c>
      <c r="F13" s="27" t="n">
        <f aca="false">Supuestos!J80</f>
        <v>0.7</v>
      </c>
      <c r="G13" s="27" t="n">
        <f aca="false">Supuestos!J55</f>
        <v>0.95</v>
      </c>
      <c r="H13" s="27" t="n">
        <f aca="false">Supuestos!J60</f>
        <v>0.9</v>
      </c>
      <c r="I13" s="27" t="n">
        <f aca="false">Supuestos!J65</f>
        <v>0.85</v>
      </c>
      <c r="J13" s="27" t="n">
        <f aca="false">Supuestos!J70</f>
        <v>0.8</v>
      </c>
      <c r="K13" s="27" t="n">
        <f aca="false">Supuestos!J75</f>
        <v>0.75</v>
      </c>
      <c r="L13" s="8" t="n">
        <f aca="false">IF(COUNT($D13,$E13,L133)=3,$D13*$E13*L133,"N/D")</f>
        <v>0</v>
      </c>
      <c r="M13" s="8" t="n">
        <f aca="false">IF(COUNT($D13,$E13,M133)=3,$D13*$E13*M133,"N/D")</f>
        <v>0</v>
      </c>
      <c r="N13" s="8" t="n">
        <f aca="false">IF(COUNT($D13,$E13,N133)=3,$D13*$E13*N133,"N/D")</f>
        <v>0</v>
      </c>
      <c r="O13" s="8" t="n">
        <f aca="false">IF(COUNT($D13,$E13,O133)=3,$D13*$E13*O133,"N/D")</f>
        <v>0</v>
      </c>
      <c r="P13" s="8" t="n">
        <f aca="false">IF(COUNT($D13,$E13,P133)=3,$D13*$E13*P133,"N/D")</f>
        <v>6565.89375</v>
      </c>
      <c r="Q13" s="8" t="n">
        <f aca="false">IF(COUNT($D13,$E13,Q133)=3,$D13*$E13*Q133,"N/D")</f>
        <v>6228.6046875</v>
      </c>
      <c r="R13" s="8" t="n">
        <f aca="false">IF(COUNT($D13,$E13,R133)=3,$D13*$E13*R133,"N/D")</f>
        <v>5880.07265625</v>
      </c>
      <c r="S13" s="8" t="n">
        <f aca="false">IF(COUNT($D13,$E13,S133)=3,$D13*$E13*S133,"N/D")</f>
        <v>5666.45625</v>
      </c>
      <c r="T13" s="8" t="n">
        <f aca="false">IF(COUNT($D13,$E13,T133)=3,$D13*$E13*T133,"N/D")</f>
        <v>5554.0265625</v>
      </c>
      <c r="U13" s="8" t="n">
        <f aca="false">IF(COUNT($D13,$E13,U133)=3,$D13*$E13*U133,"N/D")</f>
        <v>5437.84921875</v>
      </c>
      <c r="V13" s="8" t="n">
        <f aca="false">IF(COUNT($D13,$E13,V133)=3,$D13*$E13*V133,"N/D")</f>
        <v>5361.98450168919</v>
      </c>
      <c r="W13" s="8" t="n">
        <f aca="false">IF(COUNT($D13,$E13,W133)=3,$D13*$E13*W133,"N/D")</f>
        <v>5305.46579391892</v>
      </c>
    </row>
    <row r="14" customFormat="false" ht="19.5" hidden="false" customHeight="true" outlineLevel="0" collapsed="false">
      <c r="C14" s="29" t="n">
        <f aca="false">IF(COUNT(Supuestos!$D$18,Supuestos!$D$19)=2,DATE(YEAR(EDATE(Supuestos!K21,Supuestos!$D$18)),MONTH(EDATE(Supuestos!K21,Supuestos!$D$18)),Supuestos!$D$19),"N/D")</f>
        <v>46553</v>
      </c>
      <c r="D14" s="20" t="n">
        <f aca="false">Mensual!K25</f>
        <v>3.59775</v>
      </c>
      <c r="E14" s="26" t="n">
        <f aca="false">IF(COUNT(Supuestos!$D$10)=1,Supuestos!$D$10,"N/D")</f>
        <v>2500</v>
      </c>
      <c r="F14" s="27" t="n">
        <f aca="false">Supuestos!K80</f>
        <v>0.7</v>
      </c>
      <c r="G14" s="27" t="n">
        <f aca="false">Supuestos!K55</f>
        <v>0.95</v>
      </c>
      <c r="H14" s="27" t="n">
        <f aca="false">Supuestos!K60</f>
        <v>0.9</v>
      </c>
      <c r="I14" s="27" t="n">
        <f aca="false">Supuestos!K65</f>
        <v>0.85</v>
      </c>
      <c r="J14" s="27" t="n">
        <f aca="false">Supuestos!K70</f>
        <v>0.8</v>
      </c>
      <c r="K14" s="27" t="n">
        <f aca="false">Supuestos!K75</f>
        <v>0.75</v>
      </c>
      <c r="L14" s="8" t="n">
        <f aca="false">IF(COUNT($D14,$E14,L134)=3,$D14*$E14*L134,"N/D")</f>
        <v>0</v>
      </c>
      <c r="M14" s="8" t="n">
        <f aca="false">IF(COUNT($D14,$E14,M134)=3,$D14*$E14*M134,"N/D")</f>
        <v>0</v>
      </c>
      <c r="N14" s="8" t="n">
        <f aca="false">IF(COUNT($D14,$E14,N134)=3,$D14*$E14*N134,"N/D")</f>
        <v>0</v>
      </c>
      <c r="O14" s="8" t="n">
        <f aca="false">IF(COUNT($D14,$E14,O134)=3,$D14*$E14*O134,"N/D")</f>
        <v>0</v>
      </c>
      <c r="P14" s="8" t="n">
        <f aca="false">IF(COUNT($D14,$E14,P134)=3,$D14*$E14*P134,"N/D")</f>
        <v>0</v>
      </c>
      <c r="Q14" s="8" t="n">
        <f aca="false">IF(COUNT($D14,$E14,Q134)=3,$D14*$E14*Q134,"N/D")</f>
        <v>8769.515625</v>
      </c>
      <c r="R14" s="8" t="n">
        <f aca="false">IF(COUNT($D14,$E14,R134)=3,$D14*$E14*R134,"N/D")</f>
        <v>8304.80625</v>
      </c>
      <c r="S14" s="8" t="n">
        <f aca="false">IF(COUNT($D14,$E14,S134)=3,$D14*$E14*S134,"N/D")</f>
        <v>7840.096875</v>
      </c>
      <c r="T14" s="8" t="n">
        <f aca="false">IF(COUNT($D14,$E14,T134)=3,$D14*$E14*T134,"N/D")</f>
        <v>7560.271875</v>
      </c>
      <c r="U14" s="8" t="n">
        <f aca="false">IF(COUNT($D14,$E14,U134)=3,$D14*$E14*U134,"N/D")</f>
        <v>7405.36875</v>
      </c>
      <c r="V14" s="8" t="n">
        <f aca="false">IF(COUNT($D14,$E14,V134)=3,$D14*$E14*V134,"N/D")</f>
        <v>7255.4625</v>
      </c>
      <c r="W14" s="8" t="n">
        <f aca="false">IF(COUNT($D14,$E14,W134)=3,$D14*$E14*W134,"N/D")</f>
        <v>7149.31266891892</v>
      </c>
    </row>
    <row r="15" customFormat="false" ht="19.5" hidden="false" customHeight="true" outlineLevel="0" collapsed="false">
      <c r="C15" s="29" t="n">
        <f aca="false">IF(COUNT(Supuestos!$D$18,Supuestos!$D$19)=2,DATE(YEAR(EDATE(Supuestos!L21,Supuestos!$D$18)),MONTH(EDATE(Supuestos!L21,Supuestos!$D$18)),Supuestos!$D$19),"N/D")</f>
        <v>46583</v>
      </c>
      <c r="D15" s="20" t="n">
        <f aca="false">Mensual!L25</f>
        <v>4.4971875</v>
      </c>
      <c r="E15" s="26" t="n">
        <f aca="false">IF(COUNT(Supuestos!$D$10)=1,Supuestos!$D$10,"N/D")</f>
        <v>2500</v>
      </c>
      <c r="F15" s="27" t="n">
        <f aca="false">Supuestos!L80</f>
        <v>0.7</v>
      </c>
      <c r="G15" s="27" t="n">
        <f aca="false">Supuestos!L55</f>
        <v>0.95</v>
      </c>
      <c r="H15" s="27" t="n">
        <f aca="false">Supuestos!L60</f>
        <v>0.9</v>
      </c>
      <c r="I15" s="27" t="n">
        <f aca="false">Supuestos!L65</f>
        <v>0.85</v>
      </c>
      <c r="J15" s="27" t="n">
        <f aca="false">Supuestos!L70</f>
        <v>0.8</v>
      </c>
      <c r="K15" s="27" t="n">
        <f aca="false">Supuestos!L75</f>
        <v>0.75</v>
      </c>
      <c r="L15" s="8" t="n">
        <f aca="false">IF(COUNT($D15,$E15,L135)=3,$D15*$E15*L135,"N/D")</f>
        <v>0</v>
      </c>
      <c r="M15" s="8" t="n">
        <f aca="false">IF(COUNT($D15,$E15,M135)=3,$D15*$E15*M135,"N/D")</f>
        <v>0</v>
      </c>
      <c r="N15" s="8" t="n">
        <f aca="false">IF(COUNT($D15,$E15,N135)=3,$D15*$E15*N135,"N/D")</f>
        <v>0</v>
      </c>
      <c r="O15" s="8" t="n">
        <f aca="false">IF(COUNT($D15,$E15,O135)=3,$D15*$E15*O135,"N/D")</f>
        <v>0</v>
      </c>
      <c r="P15" s="8" t="n">
        <f aca="false">IF(COUNT($D15,$E15,P135)=3,$D15*$E15*P135,"N/D")</f>
        <v>0</v>
      </c>
      <c r="Q15" s="8" t="n">
        <f aca="false">IF(COUNT($D15,$E15,Q135)=3,$D15*$E15*Q135,"N/D")</f>
        <v>0</v>
      </c>
      <c r="R15" s="8" t="n">
        <f aca="false">IF(COUNT($D15,$E15,R135)=3,$D15*$E15*R135,"N/D")</f>
        <v>10943.15625</v>
      </c>
      <c r="S15" s="8" t="n">
        <f aca="false">IF(COUNT($D15,$E15,S135)=3,$D15*$E15*S135,"N/D")</f>
        <v>10362.26953125</v>
      </c>
      <c r="T15" s="8" t="n">
        <f aca="false">IF(COUNT($D15,$E15,T135)=3,$D15*$E15*T135,"N/D")</f>
        <v>9800.12109375</v>
      </c>
      <c r="U15" s="8" t="n">
        <f aca="false">IF(COUNT($D15,$E15,U135)=3,$D15*$E15*U135,"N/D")</f>
        <v>9444.09375</v>
      </c>
      <c r="V15" s="8" t="n">
        <f aca="false">IF(COUNT($D15,$E15,V135)=3,$D15*$E15*V135,"N/D")</f>
        <v>9256.7109375</v>
      </c>
      <c r="W15" s="8" t="n">
        <f aca="false">IF(COUNT($D15,$E15,W135)=3,$D15*$E15*W135,"N/D")</f>
        <v>9063.08203125</v>
      </c>
    </row>
    <row r="16" customFormat="false" ht="19.5" hidden="false" customHeight="true" outlineLevel="0" collapsed="false">
      <c r="C16" s="29" t="n">
        <f aca="false">IF(COUNT(Supuestos!$D$18,Supuestos!$D$19)=2,DATE(YEAR(EDATE(Supuestos!M21,Supuestos!$D$18)),MONTH(EDATE(Supuestos!M21,Supuestos!$D$18)),Supuestos!$D$19),"N/D")</f>
        <v>46614</v>
      </c>
      <c r="D16" s="20" t="n">
        <f aca="false">Mensual!M25</f>
        <v>5.396625</v>
      </c>
      <c r="E16" s="26" t="n">
        <f aca="false">IF(COUNT(Supuestos!$D$10)=1,Supuestos!$D$10,"N/D")</f>
        <v>2500</v>
      </c>
      <c r="F16" s="27" t="n">
        <f aca="false">Supuestos!M80</f>
        <v>0.7</v>
      </c>
      <c r="G16" s="27" t="n">
        <f aca="false">Supuestos!M55</f>
        <v>0.95</v>
      </c>
      <c r="H16" s="27" t="n">
        <f aca="false">Supuestos!M60</f>
        <v>0.9</v>
      </c>
      <c r="I16" s="27" t="n">
        <f aca="false">Supuestos!M65</f>
        <v>0.85</v>
      </c>
      <c r="J16" s="27" t="n">
        <f aca="false">Supuestos!M70</f>
        <v>0.8</v>
      </c>
      <c r="K16" s="27" t="n">
        <f aca="false">Supuestos!M75</f>
        <v>0.75</v>
      </c>
      <c r="L16" s="8" t="n">
        <f aca="false">IF(COUNT($D16,$E16,L136)=3,$D16*$E16*L136,"N/D")</f>
        <v>0</v>
      </c>
      <c r="M16" s="8" t="n">
        <f aca="false">IF(COUNT($D16,$E16,M136)=3,$D16*$E16*M136,"N/D")</f>
        <v>0</v>
      </c>
      <c r="N16" s="8" t="n">
        <f aca="false">IF(COUNT($D16,$E16,N136)=3,$D16*$E16*N136,"N/D")</f>
        <v>0</v>
      </c>
      <c r="O16" s="8" t="n">
        <f aca="false">IF(COUNT($D16,$E16,O136)=3,$D16*$E16*O136,"N/D")</f>
        <v>0</v>
      </c>
      <c r="P16" s="8" t="n">
        <f aca="false">IF(COUNT($D16,$E16,P136)=3,$D16*$E16*P136,"N/D")</f>
        <v>0</v>
      </c>
      <c r="Q16" s="8" t="n">
        <f aca="false">IF(COUNT($D16,$E16,Q136)=3,$D16*$E16*Q136,"N/D")</f>
        <v>0</v>
      </c>
      <c r="R16" s="8" t="n">
        <f aca="false">IF(COUNT($D16,$E16,R136)=3,$D16*$E16*R136,"N/D")</f>
        <v>0</v>
      </c>
      <c r="S16" s="8" t="n">
        <f aca="false">IF(COUNT($D16,$E16,S136)=3,$D16*$E16*S136,"N/D")</f>
        <v>13131.7875</v>
      </c>
      <c r="T16" s="8" t="n">
        <f aca="false">IF(COUNT($D16,$E16,T136)=3,$D16*$E16*T136,"N/D")</f>
        <v>12457.209375</v>
      </c>
      <c r="U16" s="8" t="n">
        <f aca="false">IF(COUNT($D16,$E16,U136)=3,$D16*$E16*U136,"N/D")</f>
        <v>11760.1453125</v>
      </c>
      <c r="V16" s="8" t="n">
        <f aca="false">IF(COUNT($D16,$E16,V136)=3,$D16*$E16*V136,"N/D")</f>
        <v>11340.4078125</v>
      </c>
      <c r="W16" s="8" t="n">
        <f aca="false">IF(COUNT($D16,$E16,W136)=3,$D16*$E16*W136,"N/D")</f>
        <v>11108.053125</v>
      </c>
    </row>
    <row r="17" customFormat="false" ht="19.5" hidden="false" customHeight="true" outlineLevel="0" collapsed="false">
      <c r="C17" s="29" t="n">
        <f aca="false">IF(COUNT(Supuestos!$D$18,Supuestos!$D$19)=2,DATE(YEAR(EDATE(Supuestos!N21,Supuestos!$D$18)),MONTH(EDATE(Supuestos!N21,Supuestos!$D$18)),Supuestos!$D$19),"N/D")</f>
        <v>46645</v>
      </c>
      <c r="D17" s="20" t="n">
        <f aca="false">Mensual!N25</f>
        <v>6.2960625</v>
      </c>
      <c r="E17" s="26" t="n">
        <f aca="false">IF(COUNT(Supuestos!$D$10)=1,Supuestos!$D$10,"N/D")</f>
        <v>2500</v>
      </c>
      <c r="F17" s="27" t="n">
        <f aca="false">Supuestos!N80</f>
        <v>0.7</v>
      </c>
      <c r="G17" s="27" t="n">
        <f aca="false">Supuestos!N55</f>
        <v>0.95</v>
      </c>
      <c r="H17" s="27" t="n">
        <f aca="false">Supuestos!N60</f>
        <v>0.9</v>
      </c>
      <c r="I17" s="27" t="n">
        <f aca="false">Supuestos!N65</f>
        <v>0.85</v>
      </c>
      <c r="J17" s="27" t="n">
        <f aca="false">Supuestos!N70</f>
        <v>0.8</v>
      </c>
      <c r="K17" s="27" t="n">
        <f aca="false">Supuestos!N75</f>
        <v>0.75</v>
      </c>
      <c r="L17" s="8" t="n">
        <f aca="false">IF(COUNT($D17,$E17,L137)=3,$D17*$E17*L137,"N/D")</f>
        <v>0</v>
      </c>
      <c r="M17" s="8" t="n">
        <f aca="false">IF(COUNT($D17,$E17,M137)=3,$D17*$E17*M137,"N/D")</f>
        <v>0</v>
      </c>
      <c r="N17" s="8" t="n">
        <f aca="false">IF(COUNT($D17,$E17,N137)=3,$D17*$E17*N137,"N/D")</f>
        <v>0</v>
      </c>
      <c r="O17" s="8" t="n">
        <f aca="false">IF(COUNT($D17,$E17,O137)=3,$D17*$E17*O137,"N/D")</f>
        <v>0</v>
      </c>
      <c r="P17" s="8" t="n">
        <f aca="false">IF(COUNT($D17,$E17,P137)=3,$D17*$E17*P137,"N/D")</f>
        <v>0</v>
      </c>
      <c r="Q17" s="8" t="n">
        <f aca="false">IF(COUNT($D17,$E17,Q137)=3,$D17*$E17*Q137,"N/D")</f>
        <v>0</v>
      </c>
      <c r="R17" s="8" t="n">
        <f aca="false">IF(COUNT($D17,$E17,R137)=3,$D17*$E17*R137,"N/D")</f>
        <v>0</v>
      </c>
      <c r="S17" s="8" t="n">
        <f aca="false">IF(COUNT($D17,$E17,S137)=3,$D17*$E17*S137,"N/D")</f>
        <v>0</v>
      </c>
      <c r="T17" s="8" t="n">
        <f aca="false">IF(COUNT($D17,$E17,T137)=3,$D17*$E17*T137,"N/D")</f>
        <v>15346.65234375</v>
      </c>
      <c r="U17" s="8" t="n">
        <f aca="false">IF(COUNT($D17,$E17,U137)=3,$D17*$E17*U137,"N/D")</f>
        <v>14533.4109375</v>
      </c>
      <c r="V17" s="8" t="n">
        <f aca="false">IF(COUNT($D17,$E17,V137)=3,$D17*$E17*V137,"N/D")</f>
        <v>13746.403125</v>
      </c>
      <c r="W17" s="8" t="n">
        <f aca="false">IF(COUNT($D17,$E17,W137)=3,$D17*$E17*W137,"N/D")</f>
        <v>13230.47578125</v>
      </c>
    </row>
    <row r="18" customFormat="false" ht="19.5" hidden="false" customHeight="true" outlineLevel="0" collapsed="false">
      <c r="C18" s="29" t="n">
        <f aca="false">IF(COUNT(Supuestos!$D$18,Supuestos!$D$19)=2,DATE(YEAR(EDATE(Supuestos!O21,Supuestos!$D$18)),MONTH(EDATE(Supuestos!O21,Supuestos!$D$18)),Supuestos!$D$19),"N/D")</f>
        <v>46675</v>
      </c>
      <c r="D18" s="20" t="n">
        <f aca="false">Mensual!O25</f>
        <v>7.1955</v>
      </c>
      <c r="E18" s="26" t="n">
        <f aca="false">IF(COUNT(Supuestos!$D$10)=1,Supuestos!$D$10,"N/D")</f>
        <v>2500</v>
      </c>
      <c r="F18" s="27" t="n">
        <f aca="false">Supuestos!O80</f>
        <v>0.7</v>
      </c>
      <c r="G18" s="27" t="n">
        <f aca="false">Supuestos!O55</f>
        <v>0.95</v>
      </c>
      <c r="H18" s="27" t="n">
        <f aca="false">Supuestos!O60</f>
        <v>0.9</v>
      </c>
      <c r="I18" s="27" t="n">
        <f aca="false">Supuestos!O65</f>
        <v>0.85</v>
      </c>
      <c r="J18" s="27" t="n">
        <f aca="false">Supuestos!O70</f>
        <v>0.8</v>
      </c>
      <c r="K18" s="27" t="n">
        <f aca="false">Supuestos!O75</f>
        <v>0.75</v>
      </c>
      <c r="L18" s="8" t="n">
        <f aca="false">IF(COUNT($D18,$E18,L138)=3,$D18*$E18*L138,"N/D")</f>
        <v>0</v>
      </c>
      <c r="M18" s="8" t="n">
        <f aca="false">IF(COUNT($D18,$E18,M138)=3,$D18*$E18*M138,"N/D")</f>
        <v>0</v>
      </c>
      <c r="N18" s="8" t="n">
        <f aca="false">IF(COUNT($D18,$E18,N138)=3,$D18*$E18*N138,"N/D")</f>
        <v>0</v>
      </c>
      <c r="O18" s="8" t="n">
        <f aca="false">IF(COUNT($D18,$E18,O138)=3,$D18*$E18*O138,"N/D")</f>
        <v>0</v>
      </c>
      <c r="P18" s="8" t="n">
        <f aca="false">IF(COUNT($D18,$E18,P138)=3,$D18*$E18*P138,"N/D")</f>
        <v>0</v>
      </c>
      <c r="Q18" s="8" t="n">
        <f aca="false">IF(COUNT($D18,$E18,Q138)=3,$D18*$E18*Q138,"N/D")</f>
        <v>0</v>
      </c>
      <c r="R18" s="8" t="n">
        <f aca="false">IF(COUNT($D18,$E18,R138)=3,$D18*$E18*R138,"N/D")</f>
        <v>0</v>
      </c>
      <c r="S18" s="8" t="n">
        <f aca="false">IF(COUNT($D18,$E18,S138)=3,$D18*$E18*S138,"N/D")</f>
        <v>0</v>
      </c>
      <c r="T18" s="8" t="n">
        <f aca="false">IF(COUNT($D18,$E18,T138)=3,$D18*$E18*T138,"N/D")</f>
        <v>0</v>
      </c>
      <c r="U18" s="8" t="n">
        <f aca="false">IF(COUNT($D18,$E18,U138)=3,$D18*$E18*U138,"N/D")</f>
        <v>17509.05</v>
      </c>
      <c r="V18" s="8" t="n">
        <f aca="false">IF(COUNT($D18,$E18,V138)=3,$D18*$E18*V138,"N/D")</f>
        <v>16609.6125</v>
      </c>
      <c r="W18" s="8" t="n">
        <f aca="false">IF(COUNT($D18,$E18,W138)=3,$D18*$E18*W138,"N/D")</f>
        <v>15680.19375</v>
      </c>
    </row>
    <row r="19" customFormat="false" ht="19.5" hidden="false" customHeight="true" outlineLevel="0" collapsed="false">
      <c r="C19" s="29" t="n">
        <f aca="false">IF(COUNT(Supuestos!$D$18,Supuestos!$D$19)=2,DATE(YEAR(EDATE(Supuestos!P21,Supuestos!$D$18)),MONTH(EDATE(Supuestos!P21,Supuestos!$D$18)),Supuestos!$D$19),"N/D")</f>
        <v>46706</v>
      </c>
      <c r="D19" s="20" t="n">
        <f aca="false">Mensual!P25</f>
        <v>8.0949375</v>
      </c>
      <c r="E19" s="26" t="n">
        <f aca="false">IF(COUNT(Supuestos!$D$10)=1,Supuestos!$D$10,"N/D")</f>
        <v>2500</v>
      </c>
      <c r="F19" s="27" t="n">
        <f aca="false">Supuestos!P80</f>
        <v>0.7</v>
      </c>
      <c r="G19" s="27" t="n">
        <f aca="false">Supuestos!P55</f>
        <v>0.95</v>
      </c>
      <c r="H19" s="27" t="n">
        <f aca="false">Supuestos!P60</f>
        <v>0.9</v>
      </c>
      <c r="I19" s="27" t="n">
        <f aca="false">Supuestos!P65</f>
        <v>0.85</v>
      </c>
      <c r="J19" s="27" t="n">
        <f aca="false">Supuestos!P70</f>
        <v>0.8</v>
      </c>
      <c r="K19" s="27" t="n">
        <f aca="false">Supuestos!P75</f>
        <v>0.75</v>
      </c>
      <c r="L19" s="8" t="n">
        <f aca="false">IF(COUNT($D19,$E19,L139)=3,$D19*$E19*L139,"N/D")</f>
        <v>0</v>
      </c>
      <c r="M19" s="8" t="n">
        <f aca="false">IF(COUNT($D19,$E19,M139)=3,$D19*$E19*M139,"N/D")</f>
        <v>0</v>
      </c>
      <c r="N19" s="8" t="n">
        <f aca="false">IF(COUNT($D19,$E19,N139)=3,$D19*$E19*N139,"N/D")</f>
        <v>0</v>
      </c>
      <c r="O19" s="8" t="n">
        <f aca="false">IF(COUNT($D19,$E19,O139)=3,$D19*$E19*O139,"N/D")</f>
        <v>0</v>
      </c>
      <c r="P19" s="8" t="n">
        <f aca="false">IF(COUNT($D19,$E19,P139)=3,$D19*$E19*P139,"N/D")</f>
        <v>0</v>
      </c>
      <c r="Q19" s="8" t="n">
        <f aca="false">IF(COUNT($D19,$E19,Q139)=3,$D19*$E19*Q139,"N/D")</f>
        <v>0</v>
      </c>
      <c r="R19" s="8" t="n">
        <f aca="false">IF(COUNT($D19,$E19,R139)=3,$D19*$E19*R139,"N/D")</f>
        <v>0</v>
      </c>
      <c r="S19" s="8" t="n">
        <f aca="false">IF(COUNT($D19,$E19,S139)=3,$D19*$E19*S139,"N/D")</f>
        <v>0</v>
      </c>
      <c r="T19" s="8" t="n">
        <f aca="false">IF(COUNT($D19,$E19,T139)=3,$D19*$E19*T139,"N/D")</f>
        <v>0</v>
      </c>
      <c r="U19" s="8" t="n">
        <f aca="false">IF(COUNT($D19,$E19,U139)=3,$D19*$E19*U139,"N/D")</f>
        <v>0</v>
      </c>
      <c r="V19" s="8" t="n">
        <f aca="false">IF(COUNT($D19,$E19,V139)=3,$D19*$E19*V139,"N/D")</f>
        <v>19731.41015625</v>
      </c>
      <c r="W19" s="8" t="n">
        <f aca="false">IF(COUNT($D19,$E19,W139)=3,$D19*$E19*W139,"N/D")</f>
        <v>18685.8140625</v>
      </c>
    </row>
    <row r="20" customFormat="false" ht="19.5" hidden="false" customHeight="true" outlineLevel="0" collapsed="false">
      <c r="C20" s="29" t="n">
        <f aca="false">IF(COUNT(Supuestos!$D$18,Supuestos!$D$19)=2,DATE(YEAR(EDATE(Supuestos!Q21,Supuestos!$D$18)),MONTH(EDATE(Supuestos!Q21,Supuestos!$D$18)),Supuestos!$D$19),"N/D")</f>
        <v>46736</v>
      </c>
      <c r="D20" s="20" t="n">
        <f aca="false">Mensual!Q25</f>
        <v>8.994375</v>
      </c>
      <c r="E20" s="26" t="n">
        <f aca="false">IF(COUNT(Supuestos!$D$10)=1,Supuestos!$D$10,"N/D")</f>
        <v>2500</v>
      </c>
      <c r="F20" s="27" t="n">
        <f aca="false">Supuestos!Q80</f>
        <v>0.7</v>
      </c>
      <c r="G20" s="27" t="n">
        <f aca="false">Supuestos!Q55</f>
        <v>0.95</v>
      </c>
      <c r="H20" s="27" t="n">
        <f aca="false">Supuestos!Q60</f>
        <v>0.9</v>
      </c>
      <c r="I20" s="27" t="n">
        <f aca="false">Supuestos!Q65</f>
        <v>0.85</v>
      </c>
      <c r="J20" s="27" t="n">
        <f aca="false">Supuestos!Q70</f>
        <v>0.8</v>
      </c>
      <c r="K20" s="27" t="n">
        <f aca="false">Supuestos!Q75</f>
        <v>0.75</v>
      </c>
      <c r="L20" s="8" t="n">
        <f aca="false">IF(COUNT($D20,$E20,L140)=3,$D20*$E20*L140,"N/D")</f>
        <v>0</v>
      </c>
      <c r="M20" s="8" t="n">
        <f aca="false">IF(COUNT($D20,$E20,M140)=3,$D20*$E20*M140,"N/D")</f>
        <v>0</v>
      </c>
      <c r="N20" s="8" t="n">
        <f aca="false">IF(COUNT($D20,$E20,N140)=3,$D20*$E20*N140,"N/D")</f>
        <v>0</v>
      </c>
      <c r="O20" s="8" t="n">
        <f aca="false">IF(COUNT($D20,$E20,O140)=3,$D20*$E20*O140,"N/D")</f>
        <v>0</v>
      </c>
      <c r="P20" s="8" t="n">
        <f aca="false">IF(COUNT($D20,$E20,P140)=3,$D20*$E20*P140,"N/D")</f>
        <v>0</v>
      </c>
      <c r="Q20" s="8" t="n">
        <f aca="false">IF(COUNT($D20,$E20,Q140)=3,$D20*$E20*Q140,"N/D")</f>
        <v>0</v>
      </c>
      <c r="R20" s="8" t="n">
        <f aca="false">IF(COUNT($D20,$E20,R140)=3,$D20*$E20*R140,"N/D")</f>
        <v>0</v>
      </c>
      <c r="S20" s="8" t="n">
        <f aca="false">IF(COUNT($D20,$E20,S140)=3,$D20*$E20*S140,"N/D")</f>
        <v>0</v>
      </c>
      <c r="T20" s="8" t="n">
        <f aca="false">IF(COUNT($D20,$E20,T140)=3,$D20*$E20*T140,"N/D")</f>
        <v>0</v>
      </c>
      <c r="U20" s="8" t="n">
        <f aca="false">IF(COUNT($D20,$E20,U140)=3,$D20*$E20*U140,"N/D")</f>
        <v>0</v>
      </c>
      <c r="V20" s="8" t="n">
        <f aca="false">IF(COUNT($D20,$E20,V140)=3,$D20*$E20*V140,"N/D")</f>
        <v>0</v>
      </c>
      <c r="W20" s="8" t="n">
        <f aca="false">IF(COUNT($D20,$E20,W140)=3,$D20*$E20*W140,"N/D")</f>
        <v>21886.3125</v>
      </c>
    </row>
    <row r="21" customFormat="false" ht="19.5" hidden="false" customHeight="true" outlineLevel="0" collapsed="false"/>
    <row r="22" customFormat="false" ht="19.5" hidden="false" customHeight="true" outlineLevel="0" collapsed="false">
      <c r="C22" s="2" t="s">
        <v>28</v>
      </c>
      <c r="L22" s="8" t="n">
        <f aca="false">IF(COUNT(L9:L20)=12,SUM(L9:L20),"N/D")</f>
        <v>437.72625</v>
      </c>
      <c r="M22" s="8" t="n">
        <f aca="false">IF(COUNT(M9:M20)=12,SUM(M9:M20),"N/D")</f>
        <v>1736.66390625</v>
      </c>
      <c r="N22" s="8" t="n">
        <f aca="false">IF(COUNT(N9:N20)=12,SUM(N9:N20),"N/D")</f>
        <v>4270.07953125</v>
      </c>
      <c r="O22" s="8" t="n">
        <f aca="false">IF(COUNT(O9:O20)=12,SUM(O9:O20),"N/D")</f>
        <v>8437.47328125</v>
      </c>
      <c r="P22" s="8" t="n">
        <f aca="false">IF(COUNT(P9:P20)=12,SUM(P9:P20),"N/D")</f>
        <v>14576.63390625</v>
      </c>
      <c r="Q22" s="8" t="n">
        <f aca="false">IF(COUNT(Q9:Q20)=12,SUM(Q9:Q20),"N/D")</f>
        <v>22670.07234375</v>
      </c>
      <c r="R22" s="8" t="n">
        <f aca="false">IF(COUNT(R9:R20)=12,SUM(R9:R20),"N/D")</f>
        <v>32577.3088809122</v>
      </c>
      <c r="S22" s="8" t="n">
        <f aca="false">IF(COUNT(S9:S20)=12,SUM(S9:S20),"N/D")</f>
        <v>44305.5012035473</v>
      </c>
      <c r="T22" s="8" t="n">
        <f aca="false">IF(COUNT(T9:T20)=12,SUM(T9:T20),"N/D")</f>
        <v>57903.2878125</v>
      </c>
      <c r="U22" s="8" t="n">
        <f aca="false">IF(COUNT(U9:U20)=12,SUM(U9:U20),"N/D")</f>
        <v>73184.170477196</v>
      </c>
      <c r="V22" s="8" t="n">
        <f aca="false">IF(COUNT(V9:V20)=12,SUM(V9:V20),"N/D")</f>
        <v>90323.3166765203</v>
      </c>
      <c r="W22" s="8" t="n">
        <f aca="false">IF(COUNT(W9:W20)=12,SUM(W9:W20),"N/D")</f>
        <v>109054.676579392</v>
      </c>
    </row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30" hidden="false" customHeight="true" outlineLevel="0" collapsed="false">
      <c r="C28" s="30" t="s">
        <v>156</v>
      </c>
      <c r="D28" s="30"/>
      <c r="E28" s="30"/>
      <c r="F28" s="30"/>
      <c r="G28" s="30"/>
      <c r="H28" s="30"/>
      <c r="I28" s="30"/>
      <c r="J28" s="30"/>
      <c r="K28" s="30"/>
      <c r="L28" s="5" t="s">
        <v>144</v>
      </c>
      <c r="M28" s="5" t="s">
        <v>145</v>
      </c>
      <c r="N28" s="5" t="s">
        <v>146</v>
      </c>
      <c r="O28" s="5" t="s">
        <v>147</v>
      </c>
      <c r="P28" s="5" t="s">
        <v>148</v>
      </c>
      <c r="Q28" s="5" t="s">
        <v>149</v>
      </c>
      <c r="R28" s="5" t="s">
        <v>150</v>
      </c>
      <c r="S28" s="5" t="s">
        <v>151</v>
      </c>
      <c r="T28" s="5" t="s">
        <v>152</v>
      </c>
      <c r="U28" s="5" t="s">
        <v>153</v>
      </c>
      <c r="V28" s="5" t="s">
        <v>154</v>
      </c>
      <c r="W28" s="5" t="s">
        <v>155</v>
      </c>
    </row>
    <row r="29" customFormat="false" ht="19.5" hidden="false" customHeight="true" outlineLevel="0" collapsed="false"/>
    <row r="30" customFormat="false" ht="19.5" hidden="false" customHeight="true" outlineLevel="0" collapsed="false">
      <c r="C30" s="31" t="n">
        <f aca="false">C9</f>
        <v>46402</v>
      </c>
      <c r="L30" s="8" t="n">
        <f aca="false">IF(COUNT(L9,$F9)=2,L9*$F9,"N/D")</f>
        <v>306.408375</v>
      </c>
      <c r="M30" s="8" t="n">
        <f aca="false">IF(COUNT(M9,$F9)=2,M9*$F9,"N/D")</f>
        <v>291.7175625</v>
      </c>
      <c r="N30" s="8" t="n">
        <f aca="false">IF(COUNT(N9,$F9)=2,N9*$F9,"N/D")</f>
        <v>275.452734375</v>
      </c>
      <c r="O30" s="8" t="n">
        <f aca="false">IF(COUNT(O9,$F9)=2,O9*$F9,"N/D")</f>
        <v>264.959296875</v>
      </c>
      <c r="P30" s="8" t="n">
        <f aca="false">IF(COUNT(P9,$F9)=2,P9*$F9,"N/D")</f>
        <v>259.5376875</v>
      </c>
      <c r="Q30" s="8" t="n">
        <f aca="false">IF(COUNT(Q9,$F9)=2,Q9*$F9,"N/D")</f>
        <v>254.29096875</v>
      </c>
      <c r="R30" s="8" t="n">
        <f aca="false">IF(COUNT(R9,$F9)=2,R9*$F9,"N/D")</f>
        <v>250.396107263514</v>
      </c>
      <c r="S30" s="8" t="n">
        <f aca="false">IF(COUNT(S9,$F9)=2,S9*$F9,"N/D")</f>
        <v>247.758567567568</v>
      </c>
      <c r="T30" s="8" t="n">
        <f aca="false">IF(COUNT(T9,$F9)=2,T9*$F9,"N/D")</f>
        <v>245.206109797297</v>
      </c>
      <c r="U30" s="8" t="n">
        <f aca="false">IF(COUNT(U9,$F9)=2,U9*$F9,"N/D")</f>
        <v>242.568570101351</v>
      </c>
      <c r="V30" s="8" t="n">
        <f aca="false">IF(COUNT(V9,$F9)=2,V9*$F9,"N/D")</f>
        <v>240.016112331081</v>
      </c>
      <c r="W30" s="8" t="n">
        <f aca="false">IF(COUNT(W9,$F9)=2,W9*$F9,"N/D")</f>
        <v>237.378572635135</v>
      </c>
    </row>
    <row r="31" customFormat="false" ht="19.5" hidden="false" customHeight="true" outlineLevel="0" collapsed="false">
      <c r="C31" s="31" t="n">
        <f aca="false">C10</f>
        <v>46433</v>
      </c>
      <c r="L31" s="8" t="n">
        <f aca="false">IF(COUNT(L10,$F10)=2,L10*$F10,"N/D")</f>
        <v>0</v>
      </c>
      <c r="M31" s="8" t="n">
        <f aca="false">IF(COUNT(M10,$F10)=2,M10*$F10,"N/D")</f>
        <v>923.947171875</v>
      </c>
      <c r="N31" s="8" t="n">
        <f aca="false">IF(COUNT(N10,$F10)=2,N10*$F10,"N/D")</f>
        <v>875.1526875</v>
      </c>
      <c r="O31" s="8" t="n">
        <f aca="false">IF(COUNT(O10,$F10)=2,O10*$F10,"N/D")</f>
        <v>827.93221875</v>
      </c>
      <c r="P31" s="8" t="n">
        <f aca="false">IF(COUNT(P10,$F10)=2,P10*$F10,"N/D")</f>
        <v>794.877890625</v>
      </c>
      <c r="Q31" s="8" t="n">
        <f aca="false">IF(COUNT(Q10,$F10)=2,Q10*$F10,"N/D")</f>
        <v>779.137734375</v>
      </c>
      <c r="R31" s="8" t="n">
        <f aca="false">IF(COUNT(R10,$F10)=2,R10*$F10,"N/D")</f>
        <v>762.87290625</v>
      </c>
      <c r="S31" s="8" t="n">
        <f aca="false">IF(COUNT(S10,$F10)=2,S10*$F10,"N/D")</f>
        <v>751.188321790541</v>
      </c>
      <c r="T31" s="8" t="n">
        <f aca="false">IF(COUNT(T10,$F10)=2,T10*$F10,"N/D")</f>
        <v>743.53094847973</v>
      </c>
      <c r="U31" s="8" t="n">
        <f aca="false">IF(COUNT(U10,$F10)=2,U10*$F10,"N/D")</f>
        <v>735.618329391892</v>
      </c>
      <c r="V31" s="8" t="n">
        <f aca="false">IF(COUNT(V10,$F10)=2,V10*$F10,"N/D")</f>
        <v>727.960956081081</v>
      </c>
      <c r="W31" s="8" t="n">
        <f aca="false">IF(COUNT(W10,$F10)=2,W10*$F10,"N/D")</f>
        <v>720.048336993243</v>
      </c>
    </row>
    <row r="32" customFormat="false" ht="19.5" hidden="false" customHeight="true" outlineLevel="0" collapsed="false">
      <c r="C32" s="31" t="n">
        <f aca="false">C11</f>
        <v>46461</v>
      </c>
      <c r="L32" s="8" t="n">
        <f aca="false">IF(COUNT(L11,$F11)=2,L11*$F11,"N/D")</f>
        <v>0</v>
      </c>
      <c r="M32" s="8" t="n">
        <f aca="false">IF(COUNT(M11,$F11)=2,M11*$F11,"N/D")</f>
        <v>0</v>
      </c>
      <c r="N32" s="8" t="n">
        <f aca="false">IF(COUNT(N11,$F11)=2,N11*$F11,"N/D")</f>
        <v>1838.45025</v>
      </c>
      <c r="O32" s="8" t="n">
        <f aca="false">IF(COUNT(O11,$F11)=2,O11*$F11,"N/D")</f>
        <v>1744.0093125</v>
      </c>
      <c r="P32" s="8" t="n">
        <f aca="false">IF(COUNT(P11,$F11)=2,P11*$F11,"N/D")</f>
        <v>1646.42034375</v>
      </c>
      <c r="Q32" s="8" t="n">
        <f aca="false">IF(COUNT(Q11,$F11)=2,Q11*$F11,"N/D")</f>
        <v>1587.65709375</v>
      </c>
      <c r="R32" s="8" t="n">
        <f aca="false">IF(COUNT(R11,$F11)=2,R11*$F11,"N/D")</f>
        <v>1555.1274375</v>
      </c>
      <c r="S32" s="8" t="n">
        <f aca="false">IF(COUNT(S11,$F11)=2,S11*$F11,"N/D")</f>
        <v>1522.59778125</v>
      </c>
      <c r="T32" s="8" t="n">
        <f aca="false">IF(COUNT(T11,$F11)=2,T11*$F11,"N/D")</f>
        <v>1501.35566047297</v>
      </c>
      <c r="U32" s="8" t="n">
        <f aca="false">IF(COUNT(U11,$F11)=2,U11*$F11,"N/D")</f>
        <v>1485.5304222973</v>
      </c>
      <c r="V32" s="8" t="n">
        <f aca="false">IF(COUNT(V11,$F11)=2,V11*$F11,"N/D")</f>
        <v>1470.21567567568</v>
      </c>
      <c r="W32" s="8" t="n">
        <f aca="false">IF(COUNT(W11,$F11)=2,W11*$F11,"N/D")</f>
        <v>1454.3904375</v>
      </c>
    </row>
    <row r="33" customFormat="false" ht="19.5" hidden="false" customHeight="true" outlineLevel="0" collapsed="false">
      <c r="C33" s="31" t="n">
        <f aca="false">C12</f>
        <v>46492</v>
      </c>
      <c r="L33" s="8" t="n">
        <f aca="false">IF(COUNT(L12,$F12)=2,L12*$F12,"N/D")</f>
        <v>0</v>
      </c>
      <c r="M33" s="8" t="n">
        <f aca="false">IF(COUNT(M12,$F12)=2,M12*$F12,"N/D")</f>
        <v>0</v>
      </c>
      <c r="N33" s="8" t="n">
        <f aca="false">IF(COUNT(N12,$F12)=2,N12*$F12,"N/D")</f>
        <v>0</v>
      </c>
      <c r="O33" s="8" t="n">
        <f aca="false">IF(COUNT(O12,$F12)=2,O12*$F12,"N/D")</f>
        <v>3069.33046875</v>
      </c>
      <c r="P33" s="8" t="n">
        <f aca="false">IF(COUNT(P12,$F12)=2,P12*$F12,"N/D")</f>
        <v>2906.6821875</v>
      </c>
      <c r="Q33" s="8" t="n">
        <f aca="false">IF(COUNT(Q12,$F12)=2,Q12*$F12,"N/D")</f>
        <v>2749.280625</v>
      </c>
      <c r="R33" s="8" t="n">
        <f aca="false">IF(COUNT(R12,$F12)=2,R12*$F12,"N/D")</f>
        <v>2646.09515625</v>
      </c>
      <c r="S33" s="8" t="n">
        <f aca="false">IF(COUNT(S12,$F12)=2,S12*$F12,"N/D")</f>
        <v>2591.8790625</v>
      </c>
      <c r="T33" s="8" t="n">
        <f aca="false">IF(COUNT(T12,$F12)=2,T12*$F12,"N/D")</f>
        <v>2539.411875</v>
      </c>
      <c r="U33" s="8" t="n">
        <f aca="false">IF(COUNT(U12,$F12)=2,U12*$F12,"N/D")</f>
        <v>2502.25943412162</v>
      </c>
      <c r="V33" s="8" t="n">
        <f aca="false">IF(COUNT(V12,$F12)=2,V12*$F12,"N/D")</f>
        <v>2476.73485641892</v>
      </c>
      <c r="W33" s="8" t="n">
        <f aca="false">IF(COUNT(W12,$F12)=2,W12*$F12,"N/D")</f>
        <v>2450.35945945946</v>
      </c>
    </row>
    <row r="34" customFormat="false" ht="19.5" hidden="false" customHeight="true" outlineLevel="0" collapsed="false">
      <c r="C34" s="31" t="n">
        <f aca="false">C13</f>
        <v>46522</v>
      </c>
      <c r="L34" s="8" t="n">
        <f aca="false">IF(COUNT(L13,$F13)=2,L13*$F13,"N/D")</f>
        <v>0</v>
      </c>
      <c r="M34" s="8" t="n">
        <f aca="false">IF(COUNT(M13,$F13)=2,M13*$F13,"N/D")</f>
        <v>0</v>
      </c>
      <c r="N34" s="8" t="n">
        <f aca="false">IF(COUNT(N13,$F13)=2,N13*$F13,"N/D")</f>
        <v>0</v>
      </c>
      <c r="O34" s="8" t="n">
        <f aca="false">IF(COUNT(O13,$F13)=2,O13*$F13,"N/D")</f>
        <v>0</v>
      </c>
      <c r="P34" s="8" t="n">
        <f aca="false">IF(COUNT(P13,$F13)=2,P13*$F13,"N/D")</f>
        <v>4596.125625</v>
      </c>
      <c r="Q34" s="8" t="n">
        <f aca="false">IF(COUNT(Q13,$F13)=2,Q13*$F13,"N/D")</f>
        <v>4360.02328125</v>
      </c>
      <c r="R34" s="8" t="n">
        <f aca="false">IF(COUNT(R13,$F13)=2,R13*$F13,"N/D")</f>
        <v>4116.050859375</v>
      </c>
      <c r="S34" s="8" t="n">
        <f aca="false">IF(COUNT(S13,$F13)=2,S13*$F13,"N/D")</f>
        <v>3966.519375</v>
      </c>
      <c r="T34" s="8" t="n">
        <f aca="false">IF(COUNT(T13,$F13)=2,T13*$F13,"N/D")</f>
        <v>3887.81859375</v>
      </c>
      <c r="U34" s="8" t="n">
        <f aca="false">IF(COUNT(U13,$F13)=2,U13*$F13,"N/D")</f>
        <v>3806.494453125</v>
      </c>
      <c r="V34" s="8" t="n">
        <f aca="false">IF(COUNT(V13,$F13)=2,V13*$F13,"N/D")</f>
        <v>3753.38915118243</v>
      </c>
      <c r="W34" s="8" t="n">
        <f aca="false">IF(COUNT(W13,$F13)=2,W13*$F13,"N/D")</f>
        <v>3713.82605574324</v>
      </c>
    </row>
    <row r="35" customFormat="false" ht="19.5" hidden="false" customHeight="true" outlineLevel="0" collapsed="false">
      <c r="C35" s="31" t="n">
        <f aca="false">C14</f>
        <v>46553</v>
      </c>
      <c r="L35" s="8" t="n">
        <f aca="false">IF(COUNT(L14,$F14)=2,L14*$F14,"N/D")</f>
        <v>0</v>
      </c>
      <c r="M35" s="8" t="n">
        <f aca="false">IF(COUNT(M14,$F14)=2,M14*$F14,"N/D")</f>
        <v>0</v>
      </c>
      <c r="N35" s="8" t="n">
        <f aca="false">IF(COUNT(N14,$F14)=2,N14*$F14,"N/D")</f>
        <v>0</v>
      </c>
      <c r="O35" s="8" t="n">
        <f aca="false">IF(COUNT(O14,$F14)=2,O14*$F14,"N/D")</f>
        <v>0</v>
      </c>
      <c r="P35" s="8" t="n">
        <f aca="false">IF(COUNT(P14,$F14)=2,P14*$F14,"N/D")</f>
        <v>0</v>
      </c>
      <c r="Q35" s="8" t="n">
        <f aca="false">IF(COUNT(Q14,$F14)=2,Q14*$F14,"N/D")</f>
        <v>6138.6609375</v>
      </c>
      <c r="R35" s="8" t="n">
        <f aca="false">IF(COUNT(R14,$F14)=2,R14*$F14,"N/D")</f>
        <v>5813.364375</v>
      </c>
      <c r="S35" s="8" t="n">
        <f aca="false">IF(COUNT(S14,$F14)=2,S14*$F14,"N/D")</f>
        <v>5488.0678125</v>
      </c>
      <c r="T35" s="8" t="n">
        <f aca="false">IF(COUNT(T14,$F14)=2,T14*$F14,"N/D")</f>
        <v>5292.1903125</v>
      </c>
      <c r="U35" s="8" t="n">
        <f aca="false">IF(COUNT(U14,$F14)=2,U14*$F14,"N/D")</f>
        <v>5183.758125</v>
      </c>
      <c r="V35" s="8" t="n">
        <f aca="false">IF(COUNT(V14,$F14)=2,V14*$F14,"N/D")</f>
        <v>5078.82375</v>
      </c>
      <c r="W35" s="8" t="n">
        <f aca="false">IF(COUNT(W14,$F14)=2,W14*$F14,"N/D")</f>
        <v>5004.51886824324</v>
      </c>
    </row>
    <row r="36" customFormat="false" ht="19.5" hidden="false" customHeight="true" outlineLevel="0" collapsed="false">
      <c r="C36" s="31" t="n">
        <f aca="false">C15</f>
        <v>46583</v>
      </c>
      <c r="L36" s="8" t="n">
        <f aca="false">IF(COUNT(L15,$F15)=2,L15*$F15,"N/D")</f>
        <v>0</v>
      </c>
      <c r="M36" s="8" t="n">
        <f aca="false">IF(COUNT(M15,$F15)=2,M15*$F15,"N/D")</f>
        <v>0</v>
      </c>
      <c r="N36" s="8" t="n">
        <f aca="false">IF(COUNT(N15,$F15)=2,N15*$F15,"N/D")</f>
        <v>0</v>
      </c>
      <c r="O36" s="8" t="n">
        <f aca="false">IF(COUNT(O15,$F15)=2,O15*$F15,"N/D")</f>
        <v>0</v>
      </c>
      <c r="P36" s="8" t="n">
        <f aca="false">IF(COUNT(P15,$F15)=2,P15*$F15,"N/D")</f>
        <v>0</v>
      </c>
      <c r="Q36" s="8" t="n">
        <f aca="false">IF(COUNT(Q15,$F15)=2,Q15*$F15,"N/D")</f>
        <v>0</v>
      </c>
      <c r="R36" s="8" t="n">
        <f aca="false">IF(COUNT(R15,$F15)=2,R15*$F15,"N/D")</f>
        <v>7660.209375</v>
      </c>
      <c r="S36" s="8" t="n">
        <f aca="false">IF(COUNT(S15,$F15)=2,S15*$F15,"N/D")</f>
        <v>7253.588671875</v>
      </c>
      <c r="T36" s="8" t="n">
        <f aca="false">IF(COUNT(T15,$F15)=2,T15*$F15,"N/D")</f>
        <v>6860.084765625</v>
      </c>
      <c r="U36" s="8" t="n">
        <f aca="false">IF(COUNT(U15,$F15)=2,U15*$F15,"N/D")</f>
        <v>6610.865625</v>
      </c>
      <c r="V36" s="8" t="n">
        <f aca="false">IF(COUNT(V15,$F15)=2,V15*$F15,"N/D")</f>
        <v>6479.69765625</v>
      </c>
      <c r="W36" s="8" t="n">
        <f aca="false">IF(COUNT(W15,$F15)=2,W15*$F15,"N/D")</f>
        <v>6344.157421875</v>
      </c>
    </row>
    <row r="37" customFormat="false" ht="19.5" hidden="false" customHeight="true" outlineLevel="0" collapsed="false">
      <c r="C37" s="31" t="n">
        <f aca="false">C16</f>
        <v>46614</v>
      </c>
      <c r="L37" s="8" t="n">
        <f aca="false">IF(COUNT(L16,$F16)=2,L16*$F16,"N/D")</f>
        <v>0</v>
      </c>
      <c r="M37" s="8" t="n">
        <f aca="false">IF(COUNT(M16,$F16)=2,M16*$F16,"N/D")</f>
        <v>0</v>
      </c>
      <c r="N37" s="8" t="n">
        <f aca="false">IF(COUNT(N16,$F16)=2,N16*$F16,"N/D")</f>
        <v>0</v>
      </c>
      <c r="O37" s="8" t="n">
        <f aca="false">IF(COUNT(O16,$F16)=2,O16*$F16,"N/D")</f>
        <v>0</v>
      </c>
      <c r="P37" s="8" t="n">
        <f aca="false">IF(COUNT(P16,$F16)=2,P16*$F16,"N/D")</f>
        <v>0</v>
      </c>
      <c r="Q37" s="8" t="n">
        <f aca="false">IF(COUNT(Q16,$F16)=2,Q16*$F16,"N/D")</f>
        <v>0</v>
      </c>
      <c r="R37" s="8" t="n">
        <f aca="false">IF(COUNT(R16,$F16)=2,R16*$F16,"N/D")</f>
        <v>0</v>
      </c>
      <c r="S37" s="8" t="n">
        <f aca="false">IF(COUNT(S16,$F16)=2,S16*$F16,"N/D")</f>
        <v>9192.25125</v>
      </c>
      <c r="T37" s="8" t="n">
        <f aca="false">IF(COUNT(T16,$F16)=2,T16*$F16,"N/D")</f>
        <v>8720.0465625</v>
      </c>
      <c r="U37" s="8" t="n">
        <f aca="false">IF(COUNT(U16,$F16)=2,U16*$F16,"N/D")</f>
        <v>8232.10171875</v>
      </c>
      <c r="V37" s="8" t="n">
        <f aca="false">IF(COUNT(V16,$F16)=2,V16*$F16,"N/D")</f>
        <v>7938.28546875</v>
      </c>
      <c r="W37" s="8" t="n">
        <f aca="false">IF(COUNT(W16,$F16)=2,W16*$F16,"N/D")</f>
        <v>7775.6371875</v>
      </c>
    </row>
    <row r="38" customFormat="false" ht="19.5" hidden="false" customHeight="true" outlineLevel="0" collapsed="false">
      <c r="C38" s="31" t="n">
        <f aca="false">C17</f>
        <v>46645</v>
      </c>
      <c r="L38" s="8" t="n">
        <f aca="false">IF(COUNT(L17,$F17)=2,L17*$F17,"N/D")</f>
        <v>0</v>
      </c>
      <c r="M38" s="8" t="n">
        <f aca="false">IF(COUNT(M17,$F17)=2,M17*$F17,"N/D")</f>
        <v>0</v>
      </c>
      <c r="N38" s="8" t="n">
        <f aca="false">IF(COUNT(N17,$F17)=2,N17*$F17,"N/D")</f>
        <v>0</v>
      </c>
      <c r="O38" s="8" t="n">
        <f aca="false">IF(COUNT(O17,$F17)=2,O17*$F17,"N/D")</f>
        <v>0</v>
      </c>
      <c r="P38" s="8" t="n">
        <f aca="false">IF(COUNT(P17,$F17)=2,P17*$F17,"N/D")</f>
        <v>0</v>
      </c>
      <c r="Q38" s="8" t="n">
        <f aca="false">IF(COUNT(Q17,$F17)=2,Q17*$F17,"N/D")</f>
        <v>0</v>
      </c>
      <c r="R38" s="8" t="n">
        <f aca="false">IF(COUNT(R17,$F17)=2,R17*$F17,"N/D")</f>
        <v>0</v>
      </c>
      <c r="S38" s="8" t="n">
        <f aca="false">IF(COUNT(S17,$F17)=2,S17*$F17,"N/D")</f>
        <v>0</v>
      </c>
      <c r="T38" s="8" t="n">
        <f aca="false">IF(COUNT(T17,$F17)=2,T17*$F17,"N/D")</f>
        <v>10742.656640625</v>
      </c>
      <c r="U38" s="8" t="n">
        <f aca="false">IF(COUNT(U17,$F17)=2,U17*$F17,"N/D")</f>
        <v>10173.38765625</v>
      </c>
      <c r="V38" s="8" t="n">
        <f aca="false">IF(COUNT(V17,$F17)=2,V17*$F17,"N/D")</f>
        <v>9622.4821875</v>
      </c>
      <c r="W38" s="8" t="n">
        <f aca="false">IF(COUNT(W17,$F17)=2,W17*$F17,"N/D")</f>
        <v>9261.333046875</v>
      </c>
    </row>
    <row r="39" customFormat="false" ht="19.5" hidden="false" customHeight="true" outlineLevel="0" collapsed="false">
      <c r="C39" s="31" t="n">
        <f aca="false">C18</f>
        <v>46675</v>
      </c>
      <c r="L39" s="8" t="n">
        <f aca="false">IF(COUNT(L18,$F18)=2,L18*$F18,"N/D")</f>
        <v>0</v>
      </c>
      <c r="M39" s="8" t="n">
        <f aca="false">IF(COUNT(M18,$F18)=2,M18*$F18,"N/D")</f>
        <v>0</v>
      </c>
      <c r="N39" s="8" t="n">
        <f aca="false">IF(COUNT(N18,$F18)=2,N18*$F18,"N/D")</f>
        <v>0</v>
      </c>
      <c r="O39" s="8" t="n">
        <f aca="false">IF(COUNT(O18,$F18)=2,O18*$F18,"N/D")</f>
        <v>0</v>
      </c>
      <c r="P39" s="8" t="n">
        <f aca="false">IF(COUNT(P18,$F18)=2,P18*$F18,"N/D")</f>
        <v>0</v>
      </c>
      <c r="Q39" s="8" t="n">
        <f aca="false">IF(COUNT(Q18,$F18)=2,Q18*$F18,"N/D")</f>
        <v>0</v>
      </c>
      <c r="R39" s="8" t="n">
        <f aca="false">IF(COUNT(R18,$F18)=2,R18*$F18,"N/D")</f>
        <v>0</v>
      </c>
      <c r="S39" s="8" t="n">
        <f aca="false">IF(COUNT(S18,$F18)=2,S18*$F18,"N/D")</f>
        <v>0</v>
      </c>
      <c r="T39" s="8" t="n">
        <f aca="false">IF(COUNT(T18,$F18)=2,T18*$F18,"N/D")</f>
        <v>0</v>
      </c>
      <c r="U39" s="8" t="n">
        <f aca="false">IF(COUNT(U18,$F18)=2,U18*$F18,"N/D")</f>
        <v>12256.335</v>
      </c>
      <c r="V39" s="8" t="n">
        <f aca="false">IF(COUNT(V18,$F18)=2,V18*$F18,"N/D")</f>
        <v>11626.72875</v>
      </c>
      <c r="W39" s="8" t="n">
        <f aca="false">IF(COUNT(W18,$F18)=2,W18*$F18,"N/D")</f>
        <v>10976.135625</v>
      </c>
    </row>
    <row r="40" customFormat="false" ht="19.5" hidden="false" customHeight="true" outlineLevel="0" collapsed="false">
      <c r="C40" s="31" t="n">
        <f aca="false">C19</f>
        <v>46706</v>
      </c>
      <c r="L40" s="8" t="n">
        <f aca="false">IF(COUNT(L19,$F19)=2,L19*$F19,"N/D")</f>
        <v>0</v>
      </c>
      <c r="M40" s="8" t="n">
        <f aca="false">IF(COUNT(M19,$F19)=2,M19*$F19,"N/D")</f>
        <v>0</v>
      </c>
      <c r="N40" s="8" t="n">
        <f aca="false">IF(COUNT(N19,$F19)=2,N19*$F19,"N/D")</f>
        <v>0</v>
      </c>
      <c r="O40" s="8" t="n">
        <f aca="false">IF(COUNT(O19,$F19)=2,O19*$F19,"N/D")</f>
        <v>0</v>
      </c>
      <c r="P40" s="8" t="n">
        <f aca="false">IF(COUNT(P19,$F19)=2,P19*$F19,"N/D")</f>
        <v>0</v>
      </c>
      <c r="Q40" s="8" t="n">
        <f aca="false">IF(COUNT(Q19,$F19)=2,Q19*$F19,"N/D")</f>
        <v>0</v>
      </c>
      <c r="R40" s="8" t="n">
        <f aca="false">IF(COUNT(R19,$F19)=2,R19*$F19,"N/D")</f>
        <v>0</v>
      </c>
      <c r="S40" s="8" t="n">
        <f aca="false">IF(COUNT(S19,$F19)=2,S19*$F19,"N/D")</f>
        <v>0</v>
      </c>
      <c r="T40" s="8" t="n">
        <f aca="false">IF(COUNT(T19,$F19)=2,T19*$F19,"N/D")</f>
        <v>0</v>
      </c>
      <c r="U40" s="8" t="n">
        <f aca="false">IF(COUNT(U19,$F19)=2,U19*$F19,"N/D")</f>
        <v>0</v>
      </c>
      <c r="V40" s="8" t="n">
        <f aca="false">IF(COUNT(V19,$F19)=2,V19*$F19,"N/D")</f>
        <v>13811.987109375</v>
      </c>
      <c r="W40" s="8" t="n">
        <f aca="false">IF(COUNT(W19,$F19)=2,W19*$F19,"N/D")</f>
        <v>13080.06984375</v>
      </c>
    </row>
    <row r="41" customFormat="false" ht="19.5" hidden="false" customHeight="true" outlineLevel="0" collapsed="false">
      <c r="C41" s="31" t="n">
        <f aca="false">C20</f>
        <v>46736</v>
      </c>
      <c r="L41" s="8" t="n">
        <f aca="false">IF(COUNT(L20,$F20)=2,L20*$F20,"N/D")</f>
        <v>0</v>
      </c>
      <c r="M41" s="8" t="n">
        <f aca="false">IF(COUNT(M20,$F20)=2,M20*$F20,"N/D")</f>
        <v>0</v>
      </c>
      <c r="N41" s="8" t="n">
        <f aca="false">IF(COUNT(N20,$F20)=2,N20*$F20,"N/D")</f>
        <v>0</v>
      </c>
      <c r="O41" s="8" t="n">
        <f aca="false">IF(COUNT(O20,$F20)=2,O20*$F20,"N/D")</f>
        <v>0</v>
      </c>
      <c r="P41" s="8" t="n">
        <f aca="false">IF(COUNT(P20,$F20)=2,P20*$F20,"N/D")</f>
        <v>0</v>
      </c>
      <c r="Q41" s="8" t="n">
        <f aca="false">IF(COUNT(Q20,$F20)=2,Q20*$F20,"N/D")</f>
        <v>0</v>
      </c>
      <c r="R41" s="8" t="n">
        <f aca="false">IF(COUNT(R20,$F20)=2,R20*$F20,"N/D")</f>
        <v>0</v>
      </c>
      <c r="S41" s="8" t="n">
        <f aca="false">IF(COUNT(S20,$F20)=2,S20*$F20,"N/D")</f>
        <v>0</v>
      </c>
      <c r="T41" s="8" t="n">
        <f aca="false">IF(COUNT(T20,$F20)=2,T20*$F20,"N/D")</f>
        <v>0</v>
      </c>
      <c r="U41" s="8" t="n">
        <f aca="false">IF(COUNT(U20,$F20)=2,U20*$F20,"N/D")</f>
        <v>0</v>
      </c>
      <c r="V41" s="8" t="n">
        <f aca="false">IF(COUNT(V20,$F20)=2,V20*$F20,"N/D")</f>
        <v>0</v>
      </c>
      <c r="W41" s="8" t="n">
        <f aca="false">IF(COUNT(W20,$F20)=2,W20*$F20,"N/D")</f>
        <v>15320.41875</v>
      </c>
    </row>
    <row r="42" customFormat="false" ht="19.5" hidden="false" customHeight="true" outlineLevel="0" collapsed="false"/>
    <row r="43" customFormat="false" ht="19.5" hidden="false" customHeight="true" outlineLevel="0" collapsed="false">
      <c r="C43" s="2" t="s">
        <v>157</v>
      </c>
      <c r="L43" s="8" t="n">
        <f aca="false">IF(COUNT(L30:L41)=12,SUM(L30:L41),"N/D")</f>
        <v>306.408375</v>
      </c>
      <c r="M43" s="8" t="n">
        <f aca="false">IF(COUNT(M30:M41)=12,SUM(M30:M41),"N/D")</f>
        <v>1215.664734375</v>
      </c>
      <c r="N43" s="8" t="n">
        <f aca="false">IF(COUNT(N30:N41)=12,SUM(N30:N41),"N/D")</f>
        <v>2989.055671875</v>
      </c>
      <c r="O43" s="8" t="n">
        <f aca="false">IF(COUNT(O30:O41)=12,SUM(O30:O41),"N/D")</f>
        <v>5906.231296875</v>
      </c>
      <c r="P43" s="8" t="n">
        <f aca="false">IF(COUNT(P30:P41)=12,SUM(P30:P41),"N/D")</f>
        <v>10203.643734375</v>
      </c>
      <c r="Q43" s="8" t="n">
        <f aca="false">IF(COUNT(Q30:Q41)=12,SUM(Q30:Q41),"N/D")</f>
        <v>15869.050640625</v>
      </c>
      <c r="R43" s="8" t="n">
        <f aca="false">IF(COUNT(R30:R41)=12,SUM(R30:R41),"N/D")</f>
        <v>22804.1162166385</v>
      </c>
      <c r="S43" s="8" t="n">
        <f aca="false">IF(COUNT(S30:S41)=12,SUM(S30:S41),"N/D")</f>
        <v>31013.8508424831</v>
      </c>
      <c r="T43" s="8" t="n">
        <f aca="false">IF(COUNT(T30:T41)=12,SUM(T30:T41),"N/D")</f>
        <v>40532.30146875</v>
      </c>
      <c r="U43" s="8" t="n">
        <f aca="false">IF(COUNT(U30:U41)=12,SUM(U30:U41),"N/D")</f>
        <v>51228.9193340372</v>
      </c>
      <c r="V43" s="8" t="n">
        <f aca="false">IF(COUNT(V30:V41)=12,SUM(V30:V41),"N/D")</f>
        <v>63226.3216735642</v>
      </c>
      <c r="W43" s="8" t="n">
        <f aca="false">IF(COUNT(W30:W41)=12,SUM(W30:W41),"N/D")</f>
        <v>76338.2736055743</v>
      </c>
    </row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30" hidden="false" customHeight="true" outlineLevel="0" collapsed="false">
      <c r="C48" s="30" t="s">
        <v>158</v>
      </c>
      <c r="D48" s="30"/>
      <c r="E48" s="30"/>
      <c r="F48" s="30"/>
      <c r="G48" s="30"/>
      <c r="H48" s="30"/>
      <c r="I48" s="30"/>
      <c r="J48" s="30"/>
      <c r="K48" s="30"/>
      <c r="L48" s="5" t="s">
        <v>144</v>
      </c>
      <c r="M48" s="5" t="s">
        <v>145</v>
      </c>
      <c r="N48" s="5" t="s">
        <v>146</v>
      </c>
      <c r="O48" s="5" t="s">
        <v>147</v>
      </c>
      <c r="P48" s="5" t="s">
        <v>148</v>
      </c>
      <c r="Q48" s="5" t="s">
        <v>149</v>
      </c>
      <c r="R48" s="5" t="s">
        <v>150</v>
      </c>
      <c r="S48" s="5" t="s">
        <v>151</v>
      </c>
      <c r="T48" s="5" t="s">
        <v>152</v>
      </c>
      <c r="U48" s="5" t="s">
        <v>153</v>
      </c>
      <c r="V48" s="5" t="s">
        <v>154</v>
      </c>
      <c r="W48" s="5" t="s">
        <v>155</v>
      </c>
    </row>
    <row r="49" customFormat="false" ht="19.5" hidden="false" customHeight="true" outlineLevel="0" collapsed="false"/>
    <row r="50" customFormat="false" ht="19.5" hidden="false" customHeight="true" outlineLevel="0" collapsed="false">
      <c r="C50" s="31" t="n">
        <f aca="false">C9</f>
        <v>46402</v>
      </c>
      <c r="L50" s="8" t="n">
        <f aca="false">IF(COUNT($C9,$D9,$E9,L9,0)=5,IF($C9&gt;EOMONTH(L$8,0),0,IF($C9&gt;=L$8,($D9*$E9+L9)/2*(EOMONTH(L$8,0)-$C9+1)/DAY(EOMONTH(L$8,0)),(0+L9)/2)),"N/D")</f>
        <v>243.331693548387</v>
      </c>
      <c r="M50" s="8" t="n">
        <f aca="false">IF(COUNT($C9,$D9,$E9,M9,L9)=5,IF($C9&gt;EOMONTH(M$8,0),0,IF($C9&gt;=M$8,($D9*$E9+M9)/2*(EOMONTH(M$8,0)-$C9+1)/DAY(EOMONTH(M$8,0)),(L9+M9)/2)),"N/D")</f>
        <v>427.2328125</v>
      </c>
      <c r="N50" s="8" t="n">
        <f aca="false">IF(COUNT($C9,$D9,$E9,N9,M9)=5,IF($C9&gt;EOMONTH(N$8,0),0,IF($C9&gt;=N$8,($D9*$E9+N9)/2*(EOMONTH(N$8,0)-$C9+1)/DAY(EOMONTH(N$8,0)),(M9+N9)/2)),"N/D")</f>
        <v>405.121640625</v>
      </c>
      <c r="O50" s="8" t="n">
        <f aca="false">IF(COUNT($C9,$D9,$E9,O9,N9)=5,IF($C9&gt;EOMONTH(O$8,0),0,IF($C9&gt;=O$8,($D9*$E9+O9)/2*(EOMONTH(O$8,0)-$C9+1)/DAY(EOMONTH(O$8,0)),(N9+O9)/2)),"N/D")</f>
        <v>386.00859375</v>
      </c>
      <c r="P50" s="8" t="n">
        <f aca="false">IF(COUNT($C9,$D9,$E9,P9,O9)=5,IF($C9&gt;EOMONTH(P$8,0),0,IF($C9&gt;=P$8,($D9*$E9+P9)/2*(EOMONTH(P$8,0)-$C9+1)/DAY(EOMONTH(P$8,0)),(O9+P9)/2)),"N/D")</f>
        <v>374.640703125</v>
      </c>
      <c r="Q50" s="8" t="n">
        <f aca="false">IF(COUNT($C9,$D9,$E9,Q9,P9)=5,IF($C9&gt;EOMONTH(Q$8,0),0,IF($C9&gt;=Q$8,($D9*$E9+Q9)/2*(EOMONTH(Q$8,0)-$C9+1)/DAY(EOMONTH(Q$8,0)),(P9+Q9)/2)),"N/D")</f>
        <v>367.02046875</v>
      </c>
      <c r="R50" s="8" t="n">
        <f aca="false">IF(COUNT($C9,$D9,$E9,R9,Q9)=5,IF($C9&gt;EOMONTH(R$8,0),0,IF($C9&gt;=R$8,($D9*$E9+R9)/2*(EOMONTH(R$8,0)-$C9+1)/DAY(EOMONTH(R$8,0)),(Q9+R9)/2)),"N/D")</f>
        <v>360.490768581081</v>
      </c>
      <c r="S50" s="8" t="n">
        <f aca="false">IF(COUNT($C9,$D9,$E9,S9,R9)=5,IF($C9&gt;EOMONTH(S$8,0),0,IF($C9&gt;=S$8,($D9*$E9+S9)/2*(EOMONTH(S$8,0)-$C9+1)/DAY(EOMONTH(S$8,0)),(R9+S9)/2)),"N/D")</f>
        <v>355.824767736487</v>
      </c>
      <c r="T50" s="8" t="n">
        <f aca="false">IF(COUNT($C9,$D9,$E9,T9,S9)=5,IF($C9&gt;EOMONTH(T$8,0),0,IF($C9&gt;=T$8,($D9*$E9+T9)/2*(EOMONTH(T$8,0)-$C9+1)/DAY(EOMONTH(T$8,0)),(S9+T9)/2)),"N/D")</f>
        <v>352.117626689189</v>
      </c>
      <c r="U50" s="8" t="n">
        <f aca="false">IF(COUNT($C9,$D9,$E9,U9,T9)=5,IF($C9&gt;EOMONTH(U$8,0),0,IF($C9&gt;=U$8,($D9*$E9+U9)/2*(EOMONTH(U$8,0)-$C9+1)/DAY(EOMONTH(U$8,0)),(T9+U9)/2)),"N/D")</f>
        <v>348.410485641892</v>
      </c>
      <c r="V50" s="8" t="n">
        <f aca="false">IF(COUNT($C9,$D9,$E9,V9,U9)=5,IF($C9&gt;EOMONTH(V$8,0),0,IF($C9&gt;=V$8,($D9*$E9+V9)/2*(EOMONTH(V$8,0)-$C9+1)/DAY(EOMONTH(V$8,0)),(U9+V9)/2)),"N/D")</f>
        <v>344.703344594595</v>
      </c>
      <c r="W50" s="8" t="n">
        <f aca="false">IF(COUNT($C9,$D9,$E9,W9,V9)=5,IF($C9&gt;EOMONTH(W$8,0),0,IF($C9&gt;=W$8,($D9*$E9+W9)/2*(EOMONTH(W$8,0)-$C9+1)/DAY(EOMONTH(W$8,0)),(V9+W9)/2)),"N/D")</f>
        <v>340.996203547297</v>
      </c>
    </row>
    <row r="51" customFormat="false" ht="19.5" hidden="false" customHeight="true" outlineLevel="0" collapsed="false">
      <c r="C51" s="31" t="n">
        <f aca="false">C10</f>
        <v>46433</v>
      </c>
      <c r="L51" s="8" t="n">
        <f aca="false">IF(COUNT($C10,$D10,$E10,L10,0)=5,IF($C10&gt;EOMONTH(L$8,0),0,IF($C10&gt;=L$8,($D10*$E10+L10)/2*(EOMONTH(L$8,0)-$C10+1)/DAY(EOMONTH(L$8,0)),(0+L10)/2)),"N/D")</f>
        <v>0</v>
      </c>
      <c r="M51" s="8" t="n">
        <f aca="false">IF(COUNT($C10,$D10,$E10,M10,L10)=5,IF($C10&gt;EOMONTH(M$8,0),0,IF($C10&gt;=M$8,($D10*$E10+M10)/2*(EOMONTH(M$8,0)-$C10+1)/DAY(EOMONTH(M$8,0)),(L10+M10)/2)),"N/D")</f>
        <v>667.2701953125</v>
      </c>
      <c r="N51" s="8" t="n">
        <f aca="false">IF(COUNT($C10,$D10,$E10,N10,M10)=5,IF($C10&gt;EOMONTH(N$8,0),0,IF($C10&gt;=N$8,($D10*$E10+N10)/2*(EOMONTH(N$8,0)-$C10+1)/DAY(EOMONTH(N$8,0)),(M10+N10)/2)),"N/D")</f>
        <v>1285.071328125</v>
      </c>
      <c r="O51" s="8" t="n">
        <f aca="false">IF(COUNT($C10,$D10,$E10,O10,N10)=5,IF($C10&gt;EOMONTH(O$8,0),0,IF($C10&gt;=O$8,($D10*$E10+O10)/2*(EOMONTH(O$8,0)-$C10+1)/DAY(EOMONTH(O$8,0)),(N10+O10)/2)),"N/D")</f>
        <v>1216.48921875</v>
      </c>
      <c r="P51" s="8" t="n">
        <f aca="false">IF(COUNT($C10,$D10,$E10,P10,O10)=5,IF($C10&gt;EOMONTH(P$8,0),0,IF($C10&gt;=P$8,($D10*$E10+P10)/2*(EOMONTH(P$8,0)-$C10+1)/DAY(EOMONTH(P$8,0)),(O10+P10)/2)),"N/D")</f>
        <v>1159.150078125</v>
      </c>
      <c r="Q51" s="8" t="n">
        <f aca="false">IF(COUNT($C10,$D10,$E10,Q10,P10)=5,IF($C10&gt;EOMONTH(Q$8,0),0,IF($C10&gt;=Q$8,($D10*$E10+Q10)/2*(EOMONTH(Q$8,0)-$C10+1)/DAY(EOMONTH(Q$8,0)),(P10+Q10)/2)),"N/D")</f>
        <v>1124.296875</v>
      </c>
      <c r="R51" s="8" t="n">
        <f aca="false">IF(COUNT($C10,$D10,$E10,R10,Q10)=5,IF($C10&gt;EOMONTH(R$8,0),0,IF($C10&gt;=R$8,($D10*$E10+R10)/2*(EOMONTH(R$8,0)-$C10+1)/DAY(EOMONTH(R$8,0)),(Q10+R10)/2)),"N/D")</f>
        <v>1101.436171875</v>
      </c>
      <c r="S51" s="8" t="n">
        <f aca="false">IF(COUNT($C10,$D10,$E10,S10,R10)=5,IF($C10&gt;EOMONTH(S$8,0),0,IF($C10&gt;=S$8,($D10*$E10+S10)/2*(EOMONTH(S$8,0)-$C10+1)/DAY(EOMONTH(S$8,0)),(R10+S10)/2)),"N/D")</f>
        <v>1081.47230574324</v>
      </c>
      <c r="T51" s="8" t="n">
        <f aca="false">IF(COUNT($C10,$D10,$E10,T10,S10)=5,IF($C10&gt;EOMONTH(T$8,0),0,IF($C10&gt;=T$8,($D10*$E10+T10)/2*(EOMONTH(T$8,0)-$C10+1)/DAY(EOMONTH(T$8,0)),(S10+T10)/2)),"N/D")</f>
        <v>1067.65662162162</v>
      </c>
      <c r="U51" s="8" t="n">
        <f aca="false">IF(COUNT($C10,$D10,$E10,U10,T10)=5,IF($C10&gt;EOMONTH(U$8,0),0,IF($C10&gt;=U$8,($D10*$E10+U10)/2*(EOMONTH(U$8,0)-$C10+1)/DAY(EOMONTH(U$8,0)),(T10+U10)/2)),"N/D")</f>
        <v>1056.53519847973</v>
      </c>
      <c r="V51" s="8" t="n">
        <f aca="false">IF(COUNT($C10,$D10,$E10,V10,U10)=5,IF($C10&gt;EOMONTH(V$8,0),0,IF($C10&gt;=V$8,($D10*$E10+V10)/2*(EOMONTH(V$8,0)-$C10+1)/DAY(EOMONTH(V$8,0)),(U10+V10)/2)),"N/D")</f>
        <v>1045.41377533784</v>
      </c>
      <c r="W51" s="8" t="n">
        <f aca="false">IF(COUNT($C10,$D10,$E10,W10,V10)=5,IF($C10&gt;EOMONTH(W$8,0),0,IF($C10&gt;=W$8,($D10*$E10+W10)/2*(EOMONTH(W$8,0)-$C10+1)/DAY(EOMONTH(W$8,0)),(V10+W10)/2)),"N/D")</f>
        <v>1034.29235219595</v>
      </c>
    </row>
    <row r="52" customFormat="false" ht="19.5" hidden="false" customHeight="true" outlineLevel="0" collapsed="false">
      <c r="C52" s="31" t="n">
        <f aca="false">C11</f>
        <v>46461</v>
      </c>
      <c r="L52" s="8" t="n">
        <f aca="false">IF(COUNT($C11,$D11,$E11,L11,0)=5,IF($C11&gt;EOMONTH(L$8,0),0,IF($C11&gt;=L$8,($D11*$E11+L11)/2*(EOMONTH(L$8,0)-$C11+1)/DAY(EOMONTH(L$8,0)),(0+L11)/2)),"N/D")</f>
        <v>0</v>
      </c>
      <c r="M52" s="8" t="n">
        <f aca="false">IF(COUNT($C11,$D11,$E11,M11,L11)=5,IF($C11&gt;EOMONTH(M$8,0),0,IF($C11&gt;=M$8,($D11*$E11+M11)/2*(EOMONTH(M$8,0)-$C11+1)/DAY(EOMONTH(M$8,0)),(L11+M11)/2)),"N/D")</f>
        <v>0</v>
      </c>
      <c r="N52" s="8" t="n">
        <f aca="false">IF(COUNT($C11,$D11,$E11,N11,M11)=5,IF($C11&gt;EOMONTH(N$8,0),0,IF($C11&gt;=N$8,($D11*$E11+N11)/2*(EOMONTH(N$8,0)-$C11+1)/DAY(EOMONTH(N$8,0)),(M11+N11)/2)),"N/D")</f>
        <v>1459.99016129032</v>
      </c>
      <c r="O52" s="8" t="n">
        <f aca="false">IF(COUNT($C11,$D11,$E11,O11,N11)=5,IF($C11&gt;EOMONTH(O$8,0),0,IF($C11&gt;=O$8,($D11*$E11+O11)/2*(EOMONTH(O$8,0)-$C11+1)/DAY(EOMONTH(O$8,0)),(N11+O11)/2)),"N/D")</f>
        <v>2558.8996875</v>
      </c>
      <c r="P52" s="8" t="n">
        <f aca="false">IF(COUNT($C11,$D11,$E11,P11,O11)=5,IF($C11&gt;EOMONTH(P$8,0),0,IF($C11&gt;=P$8,($D11*$E11+P11)/2*(EOMONTH(P$8,0)-$C11+1)/DAY(EOMONTH(P$8,0)),(O11+P11)/2)),"N/D")</f>
        <v>2421.73546875</v>
      </c>
      <c r="Q52" s="8" t="n">
        <f aca="false">IF(COUNT($C11,$D11,$E11,Q11,P11)=5,IF($C11&gt;EOMONTH(Q$8,0),0,IF($C11&gt;=Q$8,($D11*$E11+Q11)/2*(EOMONTH(Q$8,0)-$C11+1)/DAY(EOMONTH(Q$8,0)),(P11+Q11)/2)),"N/D")</f>
        <v>2310.0553125</v>
      </c>
      <c r="R52" s="8" t="n">
        <f aca="false">IF(COUNT($C11,$D11,$E11,R11,Q11)=5,IF($C11&gt;EOMONTH(R$8,0),0,IF($C11&gt;=R$8,($D11*$E11+R11)/2*(EOMONTH(R$8,0)-$C11+1)/DAY(EOMONTH(R$8,0)),(Q11+R11)/2)),"N/D")</f>
        <v>2244.84609375</v>
      </c>
      <c r="S52" s="8" t="n">
        <f aca="false">IF(COUNT($C11,$D11,$E11,S11,R11)=5,IF($C11&gt;EOMONTH(S$8,0),0,IF($C11&gt;=S$8,($D11*$E11+S11)/2*(EOMONTH(S$8,0)-$C11+1)/DAY(EOMONTH(S$8,0)),(R11+S11)/2)),"N/D")</f>
        <v>2198.37515625</v>
      </c>
      <c r="T52" s="8" t="n">
        <f aca="false">IF(COUNT($C11,$D11,$E11,T11,S11)=5,IF($C11&gt;EOMONTH(T$8,0),0,IF($C11&gt;=T$8,($D11*$E11+T11)/2*(EOMONTH(T$8,0)-$C11+1)/DAY(EOMONTH(T$8,0)),(S11+T11)/2)),"N/D")</f>
        <v>2159.96674408784</v>
      </c>
      <c r="U52" s="8" t="n">
        <f aca="false">IF(COUNT($C11,$D11,$E11,U11,T11)=5,IF($C11&gt;EOMONTH(U$8,0),0,IF($C11&gt;=U$8,($D11*$E11+U11)/2*(EOMONTH(U$8,0)-$C11+1)/DAY(EOMONTH(U$8,0)),(T11+U11)/2)),"N/D")</f>
        <v>2133.49005912162</v>
      </c>
      <c r="V52" s="8" t="n">
        <f aca="false">IF(COUNT($C11,$D11,$E11,V11,U11)=5,IF($C11&gt;EOMONTH(V$8,0),0,IF($C11&gt;=V$8,($D11*$E11+V11)/2*(EOMONTH(V$8,0)-$C11+1)/DAY(EOMONTH(V$8,0)),(U11+V11)/2)),"N/D")</f>
        <v>2111.24721283784</v>
      </c>
      <c r="W52" s="8" t="n">
        <f aca="false">IF(COUNT($C11,$D11,$E11,W11,V11)=5,IF($C11&gt;EOMONTH(W$8,0),0,IF($C11&gt;=W$8,($D11*$E11+W11)/2*(EOMONTH(W$8,0)-$C11+1)/DAY(EOMONTH(W$8,0)),(V11+W11)/2)),"N/D")</f>
        <v>2089.00436655405</v>
      </c>
    </row>
    <row r="53" customFormat="false" ht="19.5" hidden="false" customHeight="true" outlineLevel="0" collapsed="false">
      <c r="C53" s="31" t="n">
        <f aca="false">C12</f>
        <v>46492</v>
      </c>
      <c r="L53" s="8" t="n">
        <f aca="false">IF(COUNT($C12,$D12,$E12,L12,0)=5,IF($C12&gt;EOMONTH(L$8,0),0,IF($C12&gt;=L$8,($D12*$E12+L12)/2*(EOMONTH(L$8,0)-$C12+1)/DAY(EOMONTH(L$8,0)),(0+L12)/2)),"N/D")</f>
        <v>0</v>
      </c>
      <c r="M53" s="8" t="n">
        <f aca="false">IF(COUNT($C12,$D12,$E12,M12,L12)=5,IF($C12&gt;EOMONTH(M$8,0),0,IF($C12&gt;=M$8,($D12*$E12+M12)/2*(EOMONTH(M$8,0)-$C12+1)/DAY(EOMONTH(M$8,0)),(L12+M12)/2)),"N/D")</f>
        <v>0</v>
      </c>
      <c r="N53" s="8" t="n">
        <f aca="false">IF(COUNT($C12,$D12,$E12,N12,M12)=5,IF($C12&gt;EOMONTH(N$8,0),0,IF($C12&gt;=N$8,($D12*$E12+N12)/2*(EOMONTH(N$8,0)-$C12+1)/DAY(EOMONTH(N$8,0)),(M12+N12)/2)),"N/D")</f>
        <v>0</v>
      </c>
      <c r="O53" s="8" t="n">
        <f aca="false">IF(COUNT($C12,$D12,$E12,O12,N12)=5,IF($C12&gt;EOMONTH(O$8,0),0,IF($C12&gt;=O$8,($D12*$E12+O12)/2*(EOMONTH(O$8,0)-$C12+1)/DAY(EOMONTH(O$8,0)),(N12+O12)/2)),"N/D")</f>
        <v>2368.51875</v>
      </c>
      <c r="P53" s="8" t="n">
        <f aca="false">IF(COUNT($C12,$D12,$E12,P12,O12)=5,IF($C12&gt;EOMONTH(P$8,0),0,IF($C12&gt;=P$8,($D12*$E12+P12)/2*(EOMONTH(P$8,0)-$C12+1)/DAY(EOMONTH(P$8,0)),(O12+P12)/2)),"N/D")</f>
        <v>4268.58046875</v>
      </c>
      <c r="Q53" s="8" t="n">
        <f aca="false">IF(COUNT($C12,$D12,$E12,Q12,P12)=5,IF($C12&gt;EOMONTH(Q$8,0),0,IF($C12&gt;=Q$8,($D12*$E12+Q12)/2*(EOMONTH(Q$8,0)-$C12+1)/DAY(EOMONTH(Q$8,0)),(P12+Q12)/2)),"N/D")</f>
        <v>4039.9734375</v>
      </c>
      <c r="R53" s="8" t="n">
        <f aca="false">IF(COUNT($C12,$D12,$E12,R12,Q12)=5,IF($C12&gt;EOMONTH(R$8,0),0,IF($C12&gt;=R$8,($D12*$E12+R12)/2*(EOMONTH(R$8,0)-$C12+1)/DAY(EOMONTH(R$8,0)),(Q12+R12)/2)),"N/D")</f>
        <v>3853.83984375</v>
      </c>
      <c r="S53" s="8" t="n">
        <f aca="false">IF(COUNT($C12,$D12,$E12,S12,R12)=5,IF($C12&gt;EOMONTH(S$8,0),0,IF($C12&gt;=S$8,($D12*$E12+S12)/2*(EOMONTH(S$8,0)-$C12+1)/DAY(EOMONTH(S$8,0)),(R12+S12)/2)),"N/D")</f>
        <v>3741.41015625</v>
      </c>
      <c r="T53" s="8" t="n">
        <f aca="false">IF(COUNT($C12,$D12,$E12,T12,S12)=5,IF($C12&gt;EOMONTH(T$8,0),0,IF($C12&gt;=T$8,($D12*$E12+T12)/2*(EOMONTH(T$8,0)-$C12+1)/DAY(EOMONTH(T$8,0)),(S12+T12)/2)),"N/D")</f>
        <v>3665.2078125</v>
      </c>
      <c r="U53" s="8" t="n">
        <f aca="false">IF(COUNT($C12,$D12,$E12,U12,T12)=5,IF($C12&gt;EOMONTH(U$8,0),0,IF($C12&gt;=U$8,($D12*$E12+U12)/2*(EOMONTH(U$8,0)-$C12+1)/DAY(EOMONTH(U$8,0)),(T12+U12)/2)),"N/D")</f>
        <v>3601.19379222973</v>
      </c>
      <c r="V53" s="8" t="n">
        <f aca="false">IF(COUNT($C12,$D12,$E12,V12,U12)=5,IF($C12&gt;EOMONTH(V$8,0),0,IF($C12&gt;=V$8,($D12*$E12+V12)/2*(EOMONTH(V$8,0)-$C12+1)/DAY(EOMONTH(V$8,0)),(U12+V12)/2)),"N/D")</f>
        <v>3556.42449324324</v>
      </c>
      <c r="W53" s="8" t="n">
        <f aca="false">IF(COUNT($C12,$D12,$E12,W12,V12)=5,IF($C12&gt;EOMONTH(W$8,0),0,IF($C12&gt;=W$8,($D12*$E12+W12)/2*(EOMONTH(W$8,0)-$C12+1)/DAY(EOMONTH(W$8,0)),(V12+W12)/2)),"N/D")</f>
        <v>3519.35308277027</v>
      </c>
    </row>
    <row r="54" customFormat="false" ht="19.5" hidden="false" customHeight="true" outlineLevel="0" collapsed="false">
      <c r="C54" s="31" t="n">
        <f aca="false">C13</f>
        <v>46522</v>
      </c>
      <c r="L54" s="8" t="n">
        <f aca="false">IF(COUNT($C13,$D13,$E13,L13,0)=5,IF($C13&gt;EOMONTH(L$8,0),0,IF($C13&gt;=L$8,($D13*$E13+L13)/2*(EOMONTH(L$8,0)-$C13+1)/DAY(EOMONTH(L$8,0)),(0+L13)/2)),"N/D")</f>
        <v>0</v>
      </c>
      <c r="M54" s="8" t="n">
        <f aca="false">IF(COUNT($C13,$D13,$E13,M13,L13)=5,IF($C13&gt;EOMONTH(M$8,0),0,IF($C13&gt;=M$8,($D13*$E13+M13)/2*(EOMONTH(M$8,0)-$C13+1)/DAY(EOMONTH(M$8,0)),(L13+M13)/2)),"N/D")</f>
        <v>0</v>
      </c>
      <c r="N54" s="8" t="n">
        <f aca="false">IF(COUNT($C13,$D13,$E13,N13,M13)=5,IF($C13&gt;EOMONTH(N$8,0),0,IF($C13&gt;=N$8,($D13*$E13+N13)/2*(EOMONTH(N$8,0)-$C13+1)/DAY(EOMONTH(N$8,0)),(M13+N13)/2)),"N/D")</f>
        <v>0</v>
      </c>
      <c r="O54" s="8" t="n">
        <f aca="false">IF(COUNT($C13,$D13,$E13,O13,N13)=5,IF($C13&gt;EOMONTH(O$8,0),0,IF($C13&gt;=O$8,($D13*$E13+O13)/2*(EOMONTH(O$8,0)-$C13+1)/DAY(EOMONTH(O$8,0)),(N13+O13)/2)),"N/D")</f>
        <v>0</v>
      </c>
      <c r="P54" s="8" t="n">
        <f aca="false">IF(COUNT($C13,$D13,$E13,P13,O13)=5,IF($C13&gt;EOMONTH(P$8,0),0,IF($C13&gt;=P$8,($D13*$E13+P13)/2*(EOMONTH(P$8,0)-$C13+1)/DAY(EOMONTH(P$8,0)),(O13+P13)/2)),"N/D")</f>
        <v>3649.97540322581</v>
      </c>
      <c r="Q54" s="8" t="n">
        <f aca="false">IF(COUNT($C13,$D13,$E13,Q13,P13)=5,IF($C13&gt;EOMONTH(Q$8,0),0,IF($C13&gt;=Q$8,($D13*$E13+Q13)/2*(EOMONTH(Q$8,0)-$C13+1)/DAY(EOMONTH(Q$8,0)),(P13+Q13)/2)),"N/D")</f>
        <v>6397.24921875</v>
      </c>
      <c r="R54" s="8" t="n">
        <f aca="false">IF(COUNT($C13,$D13,$E13,R13,Q13)=5,IF($C13&gt;EOMONTH(R$8,0),0,IF($C13&gt;=R$8,($D13*$E13+R13)/2*(EOMONTH(R$8,0)-$C13+1)/DAY(EOMONTH(R$8,0)),(Q13+R13)/2)),"N/D")</f>
        <v>6054.338671875</v>
      </c>
      <c r="S54" s="8" t="n">
        <f aca="false">IF(COUNT($C13,$D13,$E13,S13,R13)=5,IF($C13&gt;EOMONTH(S$8,0),0,IF($C13&gt;=S$8,($D13*$E13+S13)/2*(EOMONTH(S$8,0)-$C13+1)/DAY(EOMONTH(S$8,0)),(R13+S13)/2)),"N/D")</f>
        <v>5773.264453125</v>
      </c>
      <c r="T54" s="8" t="n">
        <f aca="false">IF(COUNT($C13,$D13,$E13,T13,S13)=5,IF($C13&gt;EOMONTH(T$8,0),0,IF($C13&gt;=T$8,($D13*$E13+T13)/2*(EOMONTH(T$8,0)-$C13+1)/DAY(EOMONTH(T$8,0)),(S13+T13)/2)),"N/D")</f>
        <v>5610.24140625</v>
      </c>
      <c r="U54" s="8" t="n">
        <f aca="false">IF(COUNT($C13,$D13,$E13,U13,T13)=5,IF($C13&gt;EOMONTH(U$8,0),0,IF($C13&gt;=U$8,($D13*$E13+U13)/2*(EOMONTH(U$8,0)-$C13+1)/DAY(EOMONTH(U$8,0)),(T13+U13)/2)),"N/D")</f>
        <v>5495.937890625</v>
      </c>
      <c r="V54" s="8" t="n">
        <f aca="false">IF(COUNT($C13,$D13,$E13,V13,U13)=5,IF($C13&gt;EOMONTH(V$8,0),0,IF($C13&gt;=V$8,($D13*$E13+V13)/2*(EOMONTH(V$8,0)-$C13+1)/DAY(EOMONTH(V$8,0)),(U13+V13)/2)),"N/D")</f>
        <v>5399.9168602196</v>
      </c>
      <c r="W54" s="8" t="n">
        <f aca="false">IF(COUNT($C13,$D13,$E13,W13,V13)=5,IF($C13&gt;EOMONTH(W$8,0),0,IF($C13&gt;=W$8,($D13*$E13+W13)/2*(EOMONTH(W$8,0)-$C13+1)/DAY(EOMONTH(W$8,0)),(V13+W13)/2)),"N/D")</f>
        <v>5333.72514780406</v>
      </c>
    </row>
    <row r="55" customFormat="false" ht="19.5" hidden="false" customHeight="true" outlineLevel="0" collapsed="false">
      <c r="C55" s="31" t="n">
        <f aca="false">C14</f>
        <v>46553</v>
      </c>
      <c r="L55" s="8" t="n">
        <f aca="false">IF(COUNT($C14,$D14,$E14,L14,0)=5,IF($C14&gt;EOMONTH(L$8,0),0,IF($C14&gt;=L$8,($D14*$E14+L14)/2*(EOMONTH(L$8,0)-$C14+1)/DAY(EOMONTH(L$8,0)),(0+L14)/2)),"N/D")</f>
        <v>0</v>
      </c>
      <c r="M55" s="8" t="n">
        <f aca="false">IF(COUNT($C14,$D14,$E14,M14,L14)=5,IF($C14&gt;EOMONTH(M$8,0),0,IF($C14&gt;=M$8,($D14*$E14+M14)/2*(EOMONTH(M$8,0)-$C14+1)/DAY(EOMONTH(M$8,0)),(L14+M14)/2)),"N/D")</f>
        <v>0</v>
      </c>
      <c r="N55" s="8" t="n">
        <f aca="false">IF(COUNT($C14,$D14,$E14,N14,M14)=5,IF($C14&gt;EOMONTH(N$8,0),0,IF($C14&gt;=N$8,($D14*$E14+N14)/2*(EOMONTH(N$8,0)-$C14+1)/DAY(EOMONTH(N$8,0)),(M14+N14)/2)),"N/D")</f>
        <v>0</v>
      </c>
      <c r="O55" s="8" t="n">
        <f aca="false">IF(COUNT($C14,$D14,$E14,O14,N14)=5,IF($C14&gt;EOMONTH(O$8,0),0,IF($C14&gt;=O$8,($D14*$E14+O14)/2*(EOMONTH(O$8,0)-$C14+1)/DAY(EOMONTH(O$8,0)),(N14+O14)/2)),"N/D")</f>
        <v>0</v>
      </c>
      <c r="P55" s="8" t="n">
        <f aca="false">IF(COUNT($C14,$D14,$E14,P14,O14)=5,IF($C14&gt;EOMONTH(P$8,0),0,IF($C14&gt;=P$8,($D14*$E14+P14)/2*(EOMONTH(P$8,0)-$C14+1)/DAY(EOMONTH(P$8,0)),(O14+P14)/2)),"N/D")</f>
        <v>0</v>
      </c>
      <c r="Q55" s="8" t="n">
        <f aca="false">IF(COUNT($C14,$D14,$E14,Q14,P14)=5,IF($C14&gt;EOMONTH(Q$8,0),0,IF($C14&gt;=Q$8,($D14*$E14+Q14)/2*(EOMONTH(Q$8,0)-$C14+1)/DAY(EOMONTH(Q$8,0)),(P14+Q14)/2)),"N/D")</f>
        <v>4737.0375</v>
      </c>
      <c r="R55" s="8" t="n">
        <f aca="false">IF(COUNT($C14,$D14,$E14,R14,Q14)=5,IF($C14&gt;EOMONTH(R$8,0),0,IF($C14&gt;=R$8,($D14*$E14+R14)/2*(EOMONTH(R$8,0)-$C14+1)/DAY(EOMONTH(R$8,0)),(Q14+R14)/2)),"N/D")</f>
        <v>8537.1609375</v>
      </c>
      <c r="S55" s="8" t="n">
        <f aca="false">IF(COUNT($C14,$D14,$E14,S14,R14)=5,IF($C14&gt;EOMONTH(S$8,0),0,IF($C14&gt;=S$8,($D14*$E14+S14)/2*(EOMONTH(S$8,0)-$C14+1)/DAY(EOMONTH(S$8,0)),(R14+S14)/2)),"N/D")</f>
        <v>8072.4515625</v>
      </c>
      <c r="T55" s="8" t="n">
        <f aca="false">IF(COUNT($C14,$D14,$E14,T14,S14)=5,IF($C14&gt;EOMONTH(T$8,0),0,IF($C14&gt;=T$8,($D14*$E14+T14)/2*(EOMONTH(T$8,0)-$C14+1)/DAY(EOMONTH(T$8,0)),(S14+T14)/2)),"N/D")</f>
        <v>7700.184375</v>
      </c>
      <c r="U55" s="8" t="n">
        <f aca="false">IF(COUNT($C14,$D14,$E14,U14,T14)=5,IF($C14&gt;EOMONTH(U$8,0),0,IF($C14&gt;=U$8,($D14*$E14+U14)/2*(EOMONTH(U$8,0)-$C14+1)/DAY(EOMONTH(U$8,0)),(T14+U14)/2)),"N/D")</f>
        <v>7482.8203125</v>
      </c>
      <c r="V55" s="8" t="n">
        <f aca="false">IF(COUNT($C14,$D14,$E14,V14,U14)=5,IF($C14&gt;EOMONTH(V$8,0),0,IF($C14&gt;=V$8,($D14*$E14+V14)/2*(EOMONTH(V$8,0)-$C14+1)/DAY(EOMONTH(V$8,0)),(U14+V14)/2)),"N/D")</f>
        <v>7330.415625</v>
      </c>
      <c r="W55" s="8" t="n">
        <f aca="false">IF(COUNT($C14,$D14,$E14,W14,V14)=5,IF($C14&gt;EOMONTH(W$8,0),0,IF($C14&gt;=W$8,($D14*$E14+W14)/2*(EOMONTH(W$8,0)-$C14+1)/DAY(EOMONTH(W$8,0)),(V14+W14)/2)),"N/D")</f>
        <v>7202.38758445946</v>
      </c>
    </row>
    <row r="56" customFormat="false" ht="19.5" hidden="false" customHeight="true" outlineLevel="0" collapsed="false">
      <c r="C56" s="31" t="n">
        <f aca="false">C15</f>
        <v>46583</v>
      </c>
      <c r="L56" s="8" t="n">
        <f aca="false">IF(COUNT($C15,$D15,$E15,L15,0)=5,IF($C15&gt;EOMONTH(L$8,0),0,IF($C15&gt;=L$8,($D15*$E15+L15)/2*(EOMONTH(L$8,0)-$C15+1)/DAY(EOMONTH(L$8,0)),(0+L15)/2)),"N/D")</f>
        <v>0</v>
      </c>
      <c r="M56" s="8" t="n">
        <f aca="false">IF(COUNT($C15,$D15,$E15,M15,L15)=5,IF($C15&gt;EOMONTH(M$8,0),0,IF($C15&gt;=M$8,($D15*$E15+M15)/2*(EOMONTH(M$8,0)-$C15+1)/DAY(EOMONTH(M$8,0)),(L15+M15)/2)),"N/D")</f>
        <v>0</v>
      </c>
      <c r="N56" s="8" t="n">
        <f aca="false">IF(COUNT($C15,$D15,$E15,N15,M15)=5,IF($C15&gt;EOMONTH(N$8,0),0,IF($C15&gt;=N$8,($D15*$E15+N15)/2*(EOMONTH(N$8,0)-$C15+1)/DAY(EOMONTH(N$8,0)),(M15+N15)/2)),"N/D")</f>
        <v>0</v>
      </c>
      <c r="O56" s="8" t="n">
        <f aca="false">IF(COUNT($C15,$D15,$E15,O15,N15)=5,IF($C15&gt;EOMONTH(O$8,0),0,IF($C15&gt;=O$8,($D15*$E15+O15)/2*(EOMONTH(O$8,0)-$C15+1)/DAY(EOMONTH(O$8,0)),(N15+O15)/2)),"N/D")</f>
        <v>0</v>
      </c>
      <c r="P56" s="8" t="n">
        <f aca="false">IF(COUNT($C15,$D15,$E15,P15,O15)=5,IF($C15&gt;EOMONTH(P$8,0),0,IF($C15&gt;=P$8,($D15*$E15+P15)/2*(EOMONTH(P$8,0)-$C15+1)/DAY(EOMONTH(P$8,0)),(O15+P15)/2)),"N/D")</f>
        <v>0</v>
      </c>
      <c r="Q56" s="8" t="n">
        <f aca="false">IF(COUNT($C15,$D15,$E15,Q15,P15)=5,IF($C15&gt;EOMONTH(Q$8,0),0,IF($C15&gt;=Q$8,($D15*$E15+Q15)/2*(EOMONTH(Q$8,0)-$C15+1)/DAY(EOMONTH(Q$8,0)),(P15+Q15)/2)),"N/D")</f>
        <v>0</v>
      </c>
      <c r="R56" s="8" t="n">
        <f aca="false">IF(COUNT($C15,$D15,$E15,R15,Q15)=5,IF($C15&gt;EOMONTH(R$8,0),0,IF($C15&gt;=R$8,($D15*$E15+R15)/2*(EOMONTH(R$8,0)-$C15+1)/DAY(EOMONTH(R$8,0)),(Q15+R15)/2)),"N/D")</f>
        <v>6083.29233870968</v>
      </c>
      <c r="S56" s="8" t="n">
        <f aca="false">IF(COUNT($C15,$D15,$E15,S15,R15)=5,IF($C15&gt;EOMONTH(S$8,0),0,IF($C15&gt;=S$8,($D15*$E15+S15)/2*(EOMONTH(S$8,0)-$C15+1)/DAY(EOMONTH(S$8,0)),(R15+S15)/2)),"N/D")</f>
        <v>10652.712890625</v>
      </c>
      <c r="T56" s="8" t="n">
        <f aca="false">IF(COUNT($C15,$D15,$E15,T15,S15)=5,IF($C15&gt;EOMONTH(T$8,0),0,IF($C15&gt;=T$8,($D15*$E15+T15)/2*(EOMONTH(T$8,0)-$C15+1)/DAY(EOMONTH(T$8,0)),(S15+T15)/2)),"N/D")</f>
        <v>10081.1953125</v>
      </c>
      <c r="U56" s="8" t="n">
        <f aca="false">IF(COUNT($C15,$D15,$E15,U15,T15)=5,IF($C15&gt;EOMONTH(U$8,0),0,IF($C15&gt;=U$8,($D15*$E15+U15)/2*(EOMONTH(U$8,0)-$C15+1)/DAY(EOMONTH(U$8,0)),(T15+U15)/2)),"N/D")</f>
        <v>9622.107421875</v>
      </c>
      <c r="V56" s="8" t="n">
        <f aca="false">IF(COUNT($C15,$D15,$E15,V15,U15)=5,IF($C15&gt;EOMONTH(V$8,0),0,IF($C15&gt;=V$8,($D15*$E15+V15)/2*(EOMONTH(V$8,0)-$C15+1)/DAY(EOMONTH(V$8,0)),(U15+V15)/2)),"N/D")</f>
        <v>9350.40234375</v>
      </c>
      <c r="W56" s="8" t="n">
        <f aca="false">IF(COUNT($C15,$D15,$E15,W15,V15)=5,IF($C15&gt;EOMONTH(W$8,0),0,IF($C15&gt;=W$8,($D15*$E15+W15)/2*(EOMONTH(W$8,0)-$C15+1)/DAY(EOMONTH(W$8,0)),(V15+W15)/2)),"N/D")</f>
        <v>9159.896484375</v>
      </c>
    </row>
    <row r="57" customFormat="false" ht="19.5" hidden="false" customHeight="true" outlineLevel="0" collapsed="false">
      <c r="C57" s="31" t="n">
        <f aca="false">C16</f>
        <v>46614</v>
      </c>
      <c r="L57" s="8" t="n">
        <f aca="false">IF(COUNT($C16,$D16,$E16,L16,0)=5,IF($C16&gt;EOMONTH(L$8,0),0,IF($C16&gt;=L$8,($D16*$E16+L16)/2*(EOMONTH(L$8,0)-$C16+1)/DAY(EOMONTH(L$8,0)),(0+L16)/2)),"N/D")</f>
        <v>0</v>
      </c>
      <c r="M57" s="8" t="n">
        <f aca="false">IF(COUNT($C16,$D16,$E16,M16,L16)=5,IF($C16&gt;EOMONTH(M$8,0),0,IF($C16&gt;=M$8,($D16*$E16+M16)/2*(EOMONTH(M$8,0)-$C16+1)/DAY(EOMONTH(M$8,0)),(L16+M16)/2)),"N/D")</f>
        <v>0</v>
      </c>
      <c r="N57" s="8" t="n">
        <f aca="false">IF(COUNT($C16,$D16,$E16,N16,M16)=5,IF($C16&gt;EOMONTH(N$8,0),0,IF($C16&gt;=N$8,($D16*$E16+N16)/2*(EOMONTH(N$8,0)-$C16+1)/DAY(EOMONTH(N$8,0)),(M16+N16)/2)),"N/D")</f>
        <v>0</v>
      </c>
      <c r="O57" s="8" t="n">
        <f aca="false">IF(COUNT($C16,$D16,$E16,O16,N16)=5,IF($C16&gt;EOMONTH(O$8,0),0,IF($C16&gt;=O$8,($D16*$E16+O16)/2*(EOMONTH(O$8,0)-$C16+1)/DAY(EOMONTH(O$8,0)),(N16+O16)/2)),"N/D")</f>
        <v>0</v>
      </c>
      <c r="P57" s="8" t="n">
        <f aca="false">IF(COUNT($C16,$D16,$E16,P16,O16)=5,IF($C16&gt;EOMONTH(P$8,0),0,IF($C16&gt;=P$8,($D16*$E16+P16)/2*(EOMONTH(P$8,0)-$C16+1)/DAY(EOMONTH(P$8,0)),(O16+P16)/2)),"N/D")</f>
        <v>0</v>
      </c>
      <c r="Q57" s="8" t="n">
        <f aca="false">IF(COUNT($C16,$D16,$E16,Q16,P16)=5,IF($C16&gt;EOMONTH(Q$8,0),0,IF($C16&gt;=Q$8,($D16*$E16+Q16)/2*(EOMONTH(Q$8,0)-$C16+1)/DAY(EOMONTH(Q$8,0)),(P16+Q16)/2)),"N/D")</f>
        <v>0</v>
      </c>
      <c r="R57" s="8" t="n">
        <f aca="false">IF(COUNT($C16,$D16,$E16,R16,Q16)=5,IF($C16&gt;EOMONTH(R$8,0),0,IF($C16&gt;=R$8,($D16*$E16+R16)/2*(EOMONTH(R$8,0)-$C16+1)/DAY(EOMONTH(R$8,0)),(Q16+R16)/2)),"N/D")</f>
        <v>0</v>
      </c>
      <c r="S57" s="8" t="n">
        <f aca="false">IF(COUNT($C16,$D16,$E16,S16,R16)=5,IF($C16&gt;EOMONTH(S$8,0),0,IF($C16&gt;=S$8,($D16*$E16+S16)/2*(EOMONTH(S$8,0)-$C16+1)/DAY(EOMONTH(S$8,0)),(R16+S16)/2)),"N/D")</f>
        <v>7299.95080645161</v>
      </c>
      <c r="T57" s="8" t="n">
        <f aca="false">IF(COUNT($C16,$D16,$E16,T16,S16)=5,IF($C16&gt;EOMONTH(T$8,0),0,IF($C16&gt;=T$8,($D16*$E16+T16)/2*(EOMONTH(T$8,0)-$C16+1)/DAY(EOMONTH(T$8,0)),(S16+T16)/2)),"N/D")</f>
        <v>12794.4984375</v>
      </c>
      <c r="U57" s="8" t="n">
        <f aca="false">IF(COUNT($C16,$D16,$E16,U16,T16)=5,IF($C16&gt;EOMONTH(U$8,0),0,IF($C16&gt;=U$8,($D16*$E16+U16)/2*(EOMONTH(U$8,0)-$C16+1)/DAY(EOMONTH(U$8,0)),(T16+U16)/2)),"N/D")</f>
        <v>12108.67734375</v>
      </c>
      <c r="V57" s="8" t="n">
        <f aca="false">IF(COUNT($C16,$D16,$E16,V16,U16)=5,IF($C16&gt;EOMONTH(V$8,0),0,IF($C16&gt;=V$8,($D16*$E16+V16)/2*(EOMONTH(V$8,0)-$C16+1)/DAY(EOMONTH(V$8,0)),(U16+V16)/2)),"N/D")</f>
        <v>11550.2765625</v>
      </c>
      <c r="W57" s="8" t="n">
        <f aca="false">IF(COUNT($C16,$D16,$E16,W16,V16)=5,IF($C16&gt;EOMONTH(W$8,0),0,IF($C16&gt;=W$8,($D16*$E16+W16)/2*(EOMONTH(W$8,0)-$C16+1)/DAY(EOMONTH(W$8,0)),(V16+W16)/2)),"N/D")</f>
        <v>11224.23046875</v>
      </c>
    </row>
    <row r="58" customFormat="false" ht="19.5" hidden="false" customHeight="true" outlineLevel="0" collapsed="false">
      <c r="C58" s="31" t="n">
        <f aca="false">C17</f>
        <v>46645</v>
      </c>
      <c r="L58" s="8" t="n">
        <f aca="false">IF(COUNT($C17,$D17,$E17,L17,0)=5,IF($C17&gt;EOMONTH(L$8,0),0,IF($C17&gt;=L$8,($D17*$E17+L17)/2*(EOMONTH(L$8,0)-$C17+1)/DAY(EOMONTH(L$8,0)),(0+L17)/2)),"N/D")</f>
        <v>0</v>
      </c>
      <c r="M58" s="8" t="n">
        <f aca="false">IF(COUNT($C17,$D17,$E17,M17,L17)=5,IF($C17&gt;EOMONTH(M$8,0),0,IF($C17&gt;=M$8,($D17*$E17+M17)/2*(EOMONTH(M$8,0)-$C17+1)/DAY(EOMONTH(M$8,0)),(L17+M17)/2)),"N/D")</f>
        <v>0</v>
      </c>
      <c r="N58" s="8" t="n">
        <f aca="false">IF(COUNT($C17,$D17,$E17,N17,M17)=5,IF($C17&gt;EOMONTH(N$8,0),0,IF($C17&gt;=N$8,($D17*$E17+N17)/2*(EOMONTH(N$8,0)-$C17+1)/DAY(EOMONTH(N$8,0)),(M17+N17)/2)),"N/D")</f>
        <v>0</v>
      </c>
      <c r="O58" s="8" t="n">
        <f aca="false">IF(COUNT($C17,$D17,$E17,O17,N17)=5,IF($C17&gt;EOMONTH(O$8,0),0,IF($C17&gt;=O$8,($D17*$E17+O17)/2*(EOMONTH(O$8,0)-$C17+1)/DAY(EOMONTH(O$8,0)),(N17+O17)/2)),"N/D")</f>
        <v>0</v>
      </c>
      <c r="P58" s="8" t="n">
        <f aca="false">IF(COUNT($C17,$D17,$E17,P17,O17)=5,IF($C17&gt;EOMONTH(P$8,0),0,IF($C17&gt;=P$8,($D17*$E17+P17)/2*(EOMONTH(P$8,0)-$C17+1)/DAY(EOMONTH(P$8,0)),(O17+P17)/2)),"N/D")</f>
        <v>0</v>
      </c>
      <c r="Q58" s="8" t="n">
        <f aca="false">IF(COUNT($C17,$D17,$E17,Q17,P17)=5,IF($C17&gt;EOMONTH(Q$8,0),0,IF($C17&gt;=Q$8,($D17*$E17+Q17)/2*(EOMONTH(Q$8,0)-$C17+1)/DAY(EOMONTH(Q$8,0)),(P17+Q17)/2)),"N/D")</f>
        <v>0</v>
      </c>
      <c r="R58" s="8" t="n">
        <f aca="false">IF(COUNT($C17,$D17,$E17,R17,Q17)=5,IF($C17&gt;EOMONTH(R$8,0),0,IF($C17&gt;=R$8,($D17*$E17+R17)/2*(EOMONTH(R$8,0)-$C17+1)/DAY(EOMONTH(R$8,0)),(Q17+R17)/2)),"N/D")</f>
        <v>0</v>
      </c>
      <c r="S58" s="8" t="n">
        <f aca="false">IF(COUNT($C17,$D17,$E17,S17,R17)=5,IF($C17&gt;EOMONTH(S$8,0),0,IF($C17&gt;=S$8,($D17*$E17+S17)/2*(EOMONTH(S$8,0)-$C17+1)/DAY(EOMONTH(S$8,0)),(R17+S17)/2)),"N/D")</f>
        <v>0</v>
      </c>
      <c r="T58" s="8" t="n">
        <f aca="false">IF(COUNT($C17,$D17,$E17,T17,S17)=5,IF($C17&gt;EOMONTH(T$8,0),0,IF($C17&gt;=T$8,($D17*$E17+T17)/2*(EOMONTH(T$8,0)-$C17+1)/DAY(EOMONTH(T$8,0)),(S17+T17)/2)),"N/D")</f>
        <v>8289.815625</v>
      </c>
      <c r="U58" s="8" t="n">
        <f aca="false">IF(COUNT($C17,$D17,$E17,U17,T17)=5,IF($C17&gt;EOMONTH(U$8,0),0,IF($C17&gt;=U$8,($D17*$E17+U17)/2*(EOMONTH(U$8,0)-$C17+1)/DAY(EOMONTH(U$8,0)),(T17+U17)/2)),"N/D")</f>
        <v>14940.031640625</v>
      </c>
      <c r="V58" s="8" t="n">
        <f aca="false">IF(COUNT($C17,$D17,$E17,V17,U17)=5,IF($C17&gt;EOMONTH(V$8,0),0,IF($C17&gt;=V$8,($D17*$E17+V17)/2*(EOMONTH(V$8,0)-$C17+1)/DAY(EOMONTH(V$8,0)),(U17+V17)/2)),"N/D")</f>
        <v>14139.90703125</v>
      </c>
      <c r="W58" s="8" t="n">
        <f aca="false">IF(COUNT($C17,$D17,$E17,W17,V17)=5,IF($C17&gt;EOMONTH(W$8,0),0,IF($C17&gt;=W$8,($D17*$E17+W17)/2*(EOMONTH(W$8,0)-$C17+1)/DAY(EOMONTH(W$8,0)),(V17+W17)/2)),"N/D")</f>
        <v>13488.439453125</v>
      </c>
    </row>
    <row r="59" customFormat="false" ht="19.5" hidden="false" customHeight="true" outlineLevel="0" collapsed="false">
      <c r="C59" s="31" t="n">
        <f aca="false">C18</f>
        <v>46675</v>
      </c>
      <c r="L59" s="8" t="n">
        <f aca="false">IF(COUNT($C18,$D18,$E18,L18,0)=5,IF($C18&gt;EOMONTH(L$8,0),0,IF($C18&gt;=L$8,($D18*$E18+L18)/2*(EOMONTH(L$8,0)-$C18+1)/DAY(EOMONTH(L$8,0)),(0+L18)/2)),"N/D")</f>
        <v>0</v>
      </c>
      <c r="M59" s="8" t="n">
        <f aca="false">IF(COUNT($C18,$D18,$E18,M18,L18)=5,IF($C18&gt;EOMONTH(M$8,0),0,IF($C18&gt;=M$8,($D18*$E18+M18)/2*(EOMONTH(M$8,0)-$C18+1)/DAY(EOMONTH(M$8,0)),(L18+M18)/2)),"N/D")</f>
        <v>0</v>
      </c>
      <c r="N59" s="8" t="n">
        <f aca="false">IF(COUNT($C18,$D18,$E18,N18,M18)=5,IF($C18&gt;EOMONTH(N$8,0),0,IF($C18&gt;=N$8,($D18*$E18+N18)/2*(EOMONTH(N$8,0)-$C18+1)/DAY(EOMONTH(N$8,0)),(M18+N18)/2)),"N/D")</f>
        <v>0</v>
      </c>
      <c r="O59" s="8" t="n">
        <f aca="false">IF(COUNT($C18,$D18,$E18,O18,N18)=5,IF($C18&gt;EOMONTH(O$8,0),0,IF($C18&gt;=O$8,($D18*$E18+O18)/2*(EOMONTH(O$8,0)-$C18+1)/DAY(EOMONTH(O$8,0)),(N18+O18)/2)),"N/D")</f>
        <v>0</v>
      </c>
      <c r="P59" s="8" t="n">
        <f aca="false">IF(COUNT($C18,$D18,$E18,P18,O18)=5,IF($C18&gt;EOMONTH(P$8,0),0,IF($C18&gt;=P$8,($D18*$E18+P18)/2*(EOMONTH(P$8,0)-$C18+1)/DAY(EOMONTH(P$8,0)),(O18+P18)/2)),"N/D")</f>
        <v>0</v>
      </c>
      <c r="Q59" s="8" t="n">
        <f aca="false">IF(COUNT($C18,$D18,$E18,Q18,P18)=5,IF($C18&gt;EOMONTH(Q$8,0),0,IF($C18&gt;=Q$8,($D18*$E18+Q18)/2*(EOMONTH(Q$8,0)-$C18+1)/DAY(EOMONTH(Q$8,0)),(P18+Q18)/2)),"N/D")</f>
        <v>0</v>
      </c>
      <c r="R59" s="8" t="n">
        <f aca="false">IF(COUNT($C18,$D18,$E18,R18,Q18)=5,IF($C18&gt;EOMONTH(R$8,0),0,IF($C18&gt;=R$8,($D18*$E18+R18)/2*(EOMONTH(R$8,0)-$C18+1)/DAY(EOMONTH(R$8,0)),(Q18+R18)/2)),"N/D")</f>
        <v>0</v>
      </c>
      <c r="S59" s="8" t="n">
        <f aca="false">IF(COUNT($C18,$D18,$E18,S18,R18)=5,IF($C18&gt;EOMONTH(S$8,0),0,IF($C18&gt;=S$8,($D18*$E18+S18)/2*(EOMONTH(S$8,0)-$C18+1)/DAY(EOMONTH(S$8,0)),(R18+S18)/2)),"N/D")</f>
        <v>0</v>
      </c>
      <c r="T59" s="8" t="n">
        <f aca="false">IF(COUNT($C18,$D18,$E18,T18,S18)=5,IF($C18&gt;EOMONTH(T$8,0),0,IF($C18&gt;=T$8,($D18*$E18+T18)/2*(EOMONTH(T$8,0)-$C18+1)/DAY(EOMONTH(T$8,0)),(S18+T18)/2)),"N/D")</f>
        <v>0</v>
      </c>
      <c r="U59" s="8" t="n">
        <f aca="false">IF(COUNT($C18,$D18,$E18,U18,T18)=5,IF($C18&gt;EOMONTH(U$8,0),0,IF($C18&gt;=U$8,($D18*$E18+U18)/2*(EOMONTH(U$8,0)-$C18+1)/DAY(EOMONTH(U$8,0)),(T18+U18)/2)),"N/D")</f>
        <v>9733.26774193549</v>
      </c>
      <c r="V59" s="8" t="n">
        <f aca="false">IF(COUNT($C18,$D18,$E18,V18,U18)=5,IF($C18&gt;EOMONTH(V$8,0),0,IF($C18&gt;=V$8,($D18*$E18+V18)/2*(EOMONTH(V$8,0)-$C18+1)/DAY(EOMONTH(V$8,0)),(U18+V18)/2)),"N/D")</f>
        <v>17059.33125</v>
      </c>
      <c r="W59" s="8" t="n">
        <f aca="false">IF(COUNT($C18,$D18,$E18,W18,V18)=5,IF($C18&gt;EOMONTH(W$8,0),0,IF($C18&gt;=W$8,($D18*$E18+W18)/2*(EOMONTH(W$8,0)-$C18+1)/DAY(EOMONTH(W$8,0)),(V18+W18)/2)),"N/D")</f>
        <v>16144.903125</v>
      </c>
    </row>
    <row r="60" customFormat="false" ht="19.5" hidden="false" customHeight="true" outlineLevel="0" collapsed="false">
      <c r="C60" s="31" t="n">
        <f aca="false">C19</f>
        <v>46706</v>
      </c>
      <c r="L60" s="8" t="n">
        <f aca="false">IF(COUNT($C19,$D19,$E19,L19,0)=5,IF($C19&gt;EOMONTH(L$8,0),0,IF($C19&gt;=L$8,($D19*$E19+L19)/2*(EOMONTH(L$8,0)-$C19+1)/DAY(EOMONTH(L$8,0)),(0+L19)/2)),"N/D")</f>
        <v>0</v>
      </c>
      <c r="M60" s="8" t="n">
        <f aca="false">IF(COUNT($C19,$D19,$E19,M19,L19)=5,IF($C19&gt;EOMONTH(M$8,0),0,IF($C19&gt;=M$8,($D19*$E19+M19)/2*(EOMONTH(M$8,0)-$C19+1)/DAY(EOMONTH(M$8,0)),(L19+M19)/2)),"N/D")</f>
        <v>0</v>
      </c>
      <c r="N60" s="8" t="n">
        <f aca="false">IF(COUNT($C19,$D19,$E19,N19,M19)=5,IF($C19&gt;EOMONTH(N$8,0),0,IF($C19&gt;=N$8,($D19*$E19+N19)/2*(EOMONTH(N$8,0)-$C19+1)/DAY(EOMONTH(N$8,0)),(M19+N19)/2)),"N/D")</f>
        <v>0</v>
      </c>
      <c r="O60" s="8" t="n">
        <f aca="false">IF(COUNT($C19,$D19,$E19,O19,N19)=5,IF($C19&gt;EOMONTH(O$8,0),0,IF($C19&gt;=O$8,($D19*$E19+O19)/2*(EOMONTH(O$8,0)-$C19+1)/DAY(EOMONTH(O$8,0)),(N19+O19)/2)),"N/D")</f>
        <v>0</v>
      </c>
      <c r="P60" s="8" t="n">
        <f aca="false">IF(COUNT($C19,$D19,$E19,P19,O19)=5,IF($C19&gt;EOMONTH(P$8,0),0,IF($C19&gt;=P$8,($D19*$E19+P19)/2*(EOMONTH(P$8,0)-$C19+1)/DAY(EOMONTH(P$8,0)),(O19+P19)/2)),"N/D")</f>
        <v>0</v>
      </c>
      <c r="Q60" s="8" t="n">
        <f aca="false">IF(COUNT($C19,$D19,$E19,Q19,P19)=5,IF($C19&gt;EOMONTH(Q$8,0),0,IF($C19&gt;=Q$8,($D19*$E19+Q19)/2*(EOMONTH(Q$8,0)-$C19+1)/DAY(EOMONTH(Q$8,0)),(P19+Q19)/2)),"N/D")</f>
        <v>0</v>
      </c>
      <c r="R60" s="8" t="n">
        <f aca="false">IF(COUNT($C19,$D19,$E19,R19,Q19)=5,IF($C19&gt;EOMONTH(R$8,0),0,IF($C19&gt;=R$8,($D19*$E19+R19)/2*(EOMONTH(R$8,0)-$C19+1)/DAY(EOMONTH(R$8,0)),(Q19+R19)/2)),"N/D")</f>
        <v>0</v>
      </c>
      <c r="S60" s="8" t="n">
        <f aca="false">IF(COUNT($C19,$D19,$E19,S19,R19)=5,IF($C19&gt;EOMONTH(S$8,0),0,IF($C19&gt;=S$8,($D19*$E19+S19)/2*(EOMONTH(S$8,0)-$C19+1)/DAY(EOMONTH(S$8,0)),(R19+S19)/2)),"N/D")</f>
        <v>0</v>
      </c>
      <c r="T60" s="8" t="n">
        <f aca="false">IF(COUNT($C19,$D19,$E19,T19,S19)=5,IF($C19&gt;EOMONTH(T$8,0),0,IF($C19&gt;=T$8,($D19*$E19+T19)/2*(EOMONTH(T$8,0)-$C19+1)/DAY(EOMONTH(T$8,0)),(S19+T19)/2)),"N/D")</f>
        <v>0</v>
      </c>
      <c r="U60" s="8" t="n">
        <f aca="false">IF(COUNT($C19,$D19,$E19,U19,T19)=5,IF($C19&gt;EOMONTH(U$8,0),0,IF($C19&gt;=U$8,($D19*$E19+U19)/2*(EOMONTH(U$8,0)-$C19+1)/DAY(EOMONTH(U$8,0)),(T19+U19)/2)),"N/D")</f>
        <v>0</v>
      </c>
      <c r="V60" s="8" t="n">
        <f aca="false">IF(COUNT($C19,$D19,$E19,V19,U19)=5,IF($C19&gt;EOMONTH(V$8,0),0,IF($C19&gt;=V$8,($D19*$E19+V19)/2*(EOMONTH(V$8,0)-$C19+1)/DAY(EOMONTH(V$8,0)),(U19+V19)/2)),"N/D")</f>
        <v>10658.334375</v>
      </c>
      <c r="W60" s="8" t="n">
        <f aca="false">IF(COUNT($C19,$D19,$E19,W19,V19)=5,IF($C19&gt;EOMONTH(W$8,0),0,IF($C19&gt;=W$8,($D19*$E19+W19)/2*(EOMONTH(W$8,0)-$C19+1)/DAY(EOMONTH(W$8,0)),(V19+W19)/2)),"N/D")</f>
        <v>19208.612109375</v>
      </c>
    </row>
    <row r="61" customFormat="false" ht="19.5" hidden="false" customHeight="true" outlineLevel="0" collapsed="false">
      <c r="C61" s="31" t="n">
        <f aca="false">C20</f>
        <v>46736</v>
      </c>
      <c r="L61" s="8" t="n">
        <f aca="false">IF(COUNT($C20,$D20,$E20,L20,0)=5,IF($C20&gt;EOMONTH(L$8,0),0,IF($C20&gt;=L$8,($D20*$E20+L20)/2*(EOMONTH(L$8,0)-$C20+1)/DAY(EOMONTH(L$8,0)),(0+L20)/2)),"N/D")</f>
        <v>0</v>
      </c>
      <c r="M61" s="8" t="n">
        <f aca="false">IF(COUNT($C20,$D20,$E20,M20,L20)=5,IF($C20&gt;EOMONTH(M$8,0),0,IF($C20&gt;=M$8,($D20*$E20+M20)/2*(EOMONTH(M$8,0)-$C20+1)/DAY(EOMONTH(M$8,0)),(L20+M20)/2)),"N/D")</f>
        <v>0</v>
      </c>
      <c r="N61" s="8" t="n">
        <f aca="false">IF(COUNT($C20,$D20,$E20,N20,M20)=5,IF($C20&gt;EOMONTH(N$8,0),0,IF($C20&gt;=N$8,($D20*$E20+N20)/2*(EOMONTH(N$8,0)-$C20+1)/DAY(EOMONTH(N$8,0)),(M20+N20)/2)),"N/D")</f>
        <v>0</v>
      </c>
      <c r="O61" s="8" t="n">
        <f aca="false">IF(COUNT($C20,$D20,$E20,O20,N20)=5,IF($C20&gt;EOMONTH(O$8,0),0,IF($C20&gt;=O$8,($D20*$E20+O20)/2*(EOMONTH(O$8,0)-$C20+1)/DAY(EOMONTH(O$8,0)),(N20+O20)/2)),"N/D")</f>
        <v>0</v>
      </c>
      <c r="P61" s="8" t="n">
        <f aca="false">IF(COUNT($C20,$D20,$E20,P20,O20)=5,IF($C20&gt;EOMONTH(P$8,0),0,IF($C20&gt;=P$8,($D20*$E20+P20)/2*(EOMONTH(P$8,0)-$C20+1)/DAY(EOMONTH(P$8,0)),(O20+P20)/2)),"N/D")</f>
        <v>0</v>
      </c>
      <c r="Q61" s="8" t="n">
        <f aca="false">IF(COUNT($C20,$D20,$E20,Q20,P20)=5,IF($C20&gt;EOMONTH(Q$8,0),0,IF($C20&gt;=Q$8,($D20*$E20+Q20)/2*(EOMONTH(Q$8,0)-$C20+1)/DAY(EOMONTH(Q$8,0)),(P20+Q20)/2)),"N/D")</f>
        <v>0</v>
      </c>
      <c r="R61" s="8" t="n">
        <f aca="false">IF(COUNT($C20,$D20,$E20,R20,Q20)=5,IF($C20&gt;EOMONTH(R$8,0),0,IF($C20&gt;=R$8,($D20*$E20+R20)/2*(EOMONTH(R$8,0)-$C20+1)/DAY(EOMONTH(R$8,0)),(Q20+R20)/2)),"N/D")</f>
        <v>0</v>
      </c>
      <c r="S61" s="8" t="n">
        <f aca="false">IF(COUNT($C20,$D20,$E20,S20,R20)=5,IF($C20&gt;EOMONTH(S$8,0),0,IF($C20&gt;=S$8,($D20*$E20+S20)/2*(EOMONTH(S$8,0)-$C20+1)/DAY(EOMONTH(S$8,0)),(R20+S20)/2)),"N/D")</f>
        <v>0</v>
      </c>
      <c r="T61" s="8" t="n">
        <f aca="false">IF(COUNT($C20,$D20,$E20,T20,S20)=5,IF($C20&gt;EOMONTH(T$8,0),0,IF($C20&gt;=T$8,($D20*$E20+T20)/2*(EOMONTH(T$8,0)-$C20+1)/DAY(EOMONTH(T$8,0)),(S20+T20)/2)),"N/D")</f>
        <v>0</v>
      </c>
      <c r="U61" s="8" t="n">
        <f aca="false">IF(COUNT($C20,$D20,$E20,U20,T20)=5,IF($C20&gt;EOMONTH(U$8,0),0,IF($C20&gt;=U$8,($D20*$E20+U20)/2*(EOMONTH(U$8,0)-$C20+1)/DAY(EOMONTH(U$8,0)),(T20+U20)/2)),"N/D")</f>
        <v>0</v>
      </c>
      <c r="V61" s="8" t="n">
        <f aca="false">IF(COUNT($C20,$D20,$E20,V20,U20)=5,IF($C20&gt;EOMONTH(V$8,0),0,IF($C20&gt;=V$8,($D20*$E20+V20)/2*(EOMONTH(V$8,0)-$C20+1)/DAY(EOMONTH(V$8,0)),(U20+V20)/2)),"N/D")</f>
        <v>0</v>
      </c>
      <c r="W61" s="8" t="n">
        <f aca="false">IF(COUNT($C20,$D20,$E20,W20,V20)=5,IF($C20&gt;EOMONTH(W$8,0),0,IF($C20&gt;=W$8,($D20*$E20+W20)/2*(EOMONTH(W$8,0)-$C20+1)/DAY(EOMONTH(W$8,0)),(V20+W20)/2)),"N/D")</f>
        <v>12166.5846774194</v>
      </c>
    </row>
    <row r="62" customFormat="false" ht="19.5" hidden="false" customHeight="true" outlineLevel="0" collapsed="false"/>
    <row r="63" customFormat="false" ht="19.5" hidden="false" customHeight="true" outlineLevel="0" collapsed="false">
      <c r="C63" s="2" t="s">
        <v>159</v>
      </c>
      <c r="L63" s="8" t="n">
        <f aca="false">IF(COUNT(L50:L61)=12,SUM(L50:L61),"N/D")</f>
        <v>243.331693548387</v>
      </c>
      <c r="M63" s="8" t="n">
        <f aca="false">IF(COUNT(M50:M61)=12,SUM(M50:M61),"N/D")</f>
        <v>1094.5030078125</v>
      </c>
      <c r="N63" s="8" t="n">
        <f aca="false">IF(COUNT(N50:N61)=12,SUM(N50:N61),"N/D")</f>
        <v>3150.18313004032</v>
      </c>
      <c r="O63" s="8" t="n">
        <f aca="false">IF(COUNT(O50:O61)=12,SUM(O50:O61),"N/D")</f>
        <v>6529.91625</v>
      </c>
      <c r="P63" s="8" t="n">
        <f aca="false">IF(COUNT(P50:P61)=12,SUM(P50:P61),"N/D")</f>
        <v>11874.0821219758</v>
      </c>
      <c r="Q63" s="8" t="n">
        <f aca="false">IF(COUNT(Q50:Q61)=12,SUM(Q50:Q61),"N/D")</f>
        <v>18975.6328125</v>
      </c>
      <c r="R63" s="8" t="n">
        <f aca="false">IF(COUNT(R50:R61)=12,SUM(R50:R61),"N/D")</f>
        <v>28235.4048260408</v>
      </c>
      <c r="S63" s="8" t="n">
        <f aca="false">IF(COUNT(S50:S61)=12,SUM(S50:S61),"N/D")</f>
        <v>39175.4620986813</v>
      </c>
      <c r="T63" s="8" t="n">
        <f aca="false">IF(COUNT(T50:T61)=12,SUM(T50:T61),"N/D")</f>
        <v>51720.8839611487</v>
      </c>
      <c r="U63" s="8" t="n">
        <f aca="false">IF(COUNT(U50:U61)=12,SUM(U50:U61),"N/D")</f>
        <v>66522.4718867835</v>
      </c>
      <c r="V63" s="8" t="n">
        <f aca="false">IF(COUNT(V50:V61)=12,SUM(V50:V61),"N/D")</f>
        <v>82546.3728737331</v>
      </c>
      <c r="W63" s="8" t="n">
        <f aca="false">IF(COUNT(W50:W61)=12,SUM(W50:W61),"N/D")</f>
        <v>100912.425055375</v>
      </c>
    </row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30" hidden="false" customHeight="true" outlineLevel="0" collapsed="false">
      <c r="C68" s="30" t="s">
        <v>160</v>
      </c>
      <c r="D68" s="30"/>
      <c r="E68" s="30"/>
      <c r="F68" s="30"/>
      <c r="G68" s="30"/>
      <c r="H68" s="30"/>
      <c r="I68" s="30"/>
      <c r="J68" s="30"/>
      <c r="K68" s="30"/>
      <c r="L68" s="5" t="s">
        <v>144</v>
      </c>
      <c r="M68" s="5" t="s">
        <v>145</v>
      </c>
      <c r="N68" s="5" t="s">
        <v>146</v>
      </c>
      <c r="O68" s="5" t="s">
        <v>147</v>
      </c>
      <c r="P68" s="5" t="s">
        <v>148</v>
      </c>
      <c r="Q68" s="5" t="s">
        <v>149</v>
      </c>
      <c r="R68" s="5" t="s">
        <v>150</v>
      </c>
      <c r="S68" s="5" t="s">
        <v>151</v>
      </c>
      <c r="T68" s="5" t="s">
        <v>152</v>
      </c>
      <c r="U68" s="5" t="s">
        <v>153</v>
      </c>
      <c r="V68" s="5" t="s">
        <v>154</v>
      </c>
      <c r="W68" s="5" t="s">
        <v>155</v>
      </c>
    </row>
    <row r="69" customFormat="false" ht="19.5" hidden="false" customHeight="true" outlineLevel="0" collapsed="false"/>
    <row r="70" customFormat="false" ht="19.5" hidden="false" customHeight="true" outlineLevel="0" collapsed="false">
      <c r="C70" s="31" t="n">
        <f aca="false">C9</f>
        <v>46402</v>
      </c>
      <c r="L70" s="8" t="n">
        <f aca="false">IF(COUNT(L50,$F9)=2,L50*$F9,"N/D")</f>
        <v>170.332185483871</v>
      </c>
      <c r="M70" s="8" t="n">
        <f aca="false">IF(COUNT(M50,$F9)=2,M50*$F9,"N/D")</f>
        <v>299.06296875</v>
      </c>
      <c r="N70" s="8" t="n">
        <f aca="false">IF(COUNT(N50,$F9)=2,N50*$F9,"N/D")</f>
        <v>283.5851484375</v>
      </c>
      <c r="O70" s="8" t="n">
        <f aca="false">IF(COUNT(O50,$F9)=2,O50*$F9,"N/D")</f>
        <v>270.206015625</v>
      </c>
      <c r="P70" s="8" t="n">
        <f aca="false">IF(COUNT(P50,$F9)=2,P50*$F9,"N/D")</f>
        <v>262.2484921875</v>
      </c>
      <c r="Q70" s="8" t="n">
        <f aca="false">IF(COUNT(Q50,$F9)=2,Q50*$F9,"N/D")</f>
        <v>256.914328125</v>
      </c>
      <c r="R70" s="8" t="n">
        <f aca="false">IF(COUNT(R50,$F9)=2,R50*$F9,"N/D")</f>
        <v>252.343538006757</v>
      </c>
      <c r="S70" s="8" t="n">
        <f aca="false">IF(COUNT(S50,$F9)=2,S50*$F9,"N/D")</f>
        <v>249.077337415541</v>
      </c>
      <c r="T70" s="8" t="n">
        <f aca="false">IF(COUNT(T50,$F9)=2,T50*$F9,"N/D")</f>
        <v>246.482338682432</v>
      </c>
      <c r="U70" s="8" t="n">
        <f aca="false">IF(COUNT(U50,$F9)=2,U50*$F9,"N/D")</f>
        <v>243.887339949324</v>
      </c>
      <c r="V70" s="8" t="n">
        <f aca="false">IF(COUNT(V50,$F9)=2,V50*$F9,"N/D")</f>
        <v>241.292341216216</v>
      </c>
      <c r="W70" s="8" t="n">
        <f aca="false">IF(COUNT(W50,$F9)=2,W50*$F9,"N/D")</f>
        <v>238.697342483108</v>
      </c>
    </row>
    <row r="71" customFormat="false" ht="19.5" hidden="false" customHeight="true" outlineLevel="0" collapsed="false">
      <c r="C71" s="31" t="n">
        <f aca="false">C10</f>
        <v>46433</v>
      </c>
      <c r="L71" s="8" t="n">
        <f aca="false">IF(COUNT(L51,$F10)=2,L51*$F10,"N/D")</f>
        <v>0</v>
      </c>
      <c r="M71" s="8" t="n">
        <f aca="false">IF(COUNT(M51,$F10)=2,M51*$F10,"N/D")</f>
        <v>467.08913671875</v>
      </c>
      <c r="N71" s="8" t="n">
        <f aca="false">IF(COUNT(N51,$F10)=2,N51*$F10,"N/D")</f>
        <v>899.5499296875</v>
      </c>
      <c r="O71" s="8" t="n">
        <f aca="false">IF(COUNT(O51,$F10)=2,O51*$F10,"N/D")</f>
        <v>851.542453125</v>
      </c>
      <c r="P71" s="8" t="n">
        <f aca="false">IF(COUNT(P51,$F10)=2,P51*$F10,"N/D")</f>
        <v>811.4050546875</v>
      </c>
      <c r="Q71" s="8" t="n">
        <f aca="false">IF(COUNT(Q51,$F10)=2,Q51*$F10,"N/D")</f>
        <v>787.0078125</v>
      </c>
      <c r="R71" s="8" t="n">
        <f aca="false">IF(COUNT(R51,$F10)=2,R51*$F10,"N/D")</f>
        <v>771.0053203125</v>
      </c>
      <c r="S71" s="8" t="n">
        <f aca="false">IF(COUNT(S51,$F10)=2,S51*$F10,"N/D")</f>
        <v>757.03061402027</v>
      </c>
      <c r="T71" s="8" t="n">
        <f aca="false">IF(COUNT(T51,$F10)=2,T51*$F10,"N/D")</f>
        <v>747.359635135135</v>
      </c>
      <c r="U71" s="8" t="n">
        <f aca="false">IF(COUNT(U51,$F10)=2,U51*$F10,"N/D")</f>
        <v>739.574638935811</v>
      </c>
      <c r="V71" s="8" t="n">
        <f aca="false">IF(COUNT(V51,$F10)=2,V51*$F10,"N/D")</f>
        <v>731.789642736486</v>
      </c>
      <c r="W71" s="8" t="n">
        <f aca="false">IF(COUNT(W51,$F10)=2,W51*$F10,"N/D")</f>
        <v>724.004646537162</v>
      </c>
    </row>
    <row r="72" customFormat="false" ht="19.5" hidden="false" customHeight="true" outlineLevel="0" collapsed="false">
      <c r="C72" s="31" t="n">
        <f aca="false">C11</f>
        <v>46461</v>
      </c>
      <c r="L72" s="8" t="n">
        <f aca="false">IF(COUNT(L52,$F11)=2,L52*$F11,"N/D")</f>
        <v>0</v>
      </c>
      <c r="M72" s="8" t="n">
        <f aca="false">IF(COUNT(M52,$F11)=2,M52*$F11,"N/D")</f>
        <v>0</v>
      </c>
      <c r="N72" s="8" t="n">
        <f aca="false">IF(COUNT(N52,$F11)=2,N52*$F11,"N/D")</f>
        <v>1021.99311290323</v>
      </c>
      <c r="O72" s="8" t="n">
        <f aca="false">IF(COUNT(O52,$F11)=2,O52*$F11,"N/D")</f>
        <v>1791.22978125</v>
      </c>
      <c r="P72" s="8" t="n">
        <f aca="false">IF(COUNT(P52,$F11)=2,P52*$F11,"N/D")</f>
        <v>1695.214828125</v>
      </c>
      <c r="Q72" s="8" t="n">
        <f aca="false">IF(COUNT(Q52,$F11)=2,Q52*$F11,"N/D")</f>
        <v>1617.03871875</v>
      </c>
      <c r="R72" s="8" t="n">
        <f aca="false">IF(COUNT(R52,$F11)=2,R52*$F11,"N/D")</f>
        <v>1571.392265625</v>
      </c>
      <c r="S72" s="8" t="n">
        <f aca="false">IF(COUNT(S52,$F11)=2,S52*$F11,"N/D")</f>
        <v>1538.862609375</v>
      </c>
      <c r="T72" s="8" t="n">
        <f aca="false">IF(COUNT(T52,$F11)=2,T52*$F11,"N/D")</f>
        <v>1511.97672086149</v>
      </c>
      <c r="U72" s="8" t="n">
        <f aca="false">IF(COUNT(U52,$F11)=2,U52*$F11,"N/D")</f>
        <v>1493.44304138514</v>
      </c>
      <c r="V72" s="8" t="n">
        <f aca="false">IF(COUNT(V52,$F11)=2,V52*$F11,"N/D")</f>
        <v>1477.87304898649</v>
      </c>
      <c r="W72" s="8" t="n">
        <f aca="false">IF(COUNT(W52,$F11)=2,W52*$F11,"N/D")</f>
        <v>1462.30305658784</v>
      </c>
    </row>
    <row r="73" customFormat="false" ht="19.5" hidden="false" customHeight="true" outlineLevel="0" collapsed="false">
      <c r="C73" s="31" t="n">
        <f aca="false">C12</f>
        <v>46492</v>
      </c>
      <c r="L73" s="8" t="n">
        <f aca="false">IF(COUNT(L53,$F12)=2,L53*$F12,"N/D")</f>
        <v>0</v>
      </c>
      <c r="M73" s="8" t="n">
        <f aca="false">IF(COUNT(M53,$F12)=2,M53*$F12,"N/D")</f>
        <v>0</v>
      </c>
      <c r="N73" s="8" t="n">
        <f aca="false">IF(COUNT(N53,$F12)=2,N53*$F12,"N/D")</f>
        <v>0</v>
      </c>
      <c r="O73" s="8" t="n">
        <f aca="false">IF(COUNT(O53,$F12)=2,O53*$F12,"N/D")</f>
        <v>1657.963125</v>
      </c>
      <c r="P73" s="8" t="n">
        <f aca="false">IF(COUNT(P53,$F12)=2,P53*$F12,"N/D")</f>
        <v>2988.006328125</v>
      </c>
      <c r="Q73" s="8" t="n">
        <f aca="false">IF(COUNT(Q53,$F12)=2,Q53*$F12,"N/D")</f>
        <v>2827.98140625</v>
      </c>
      <c r="R73" s="8" t="n">
        <f aca="false">IF(COUNT(R53,$F12)=2,R53*$F12,"N/D")</f>
        <v>2697.687890625</v>
      </c>
      <c r="S73" s="8" t="n">
        <f aca="false">IF(COUNT(S53,$F12)=2,S53*$F12,"N/D")</f>
        <v>2618.987109375</v>
      </c>
      <c r="T73" s="8" t="n">
        <f aca="false">IF(COUNT(T53,$F12)=2,T53*$F12,"N/D")</f>
        <v>2565.64546875</v>
      </c>
      <c r="U73" s="8" t="n">
        <f aca="false">IF(COUNT(U53,$F12)=2,U53*$F12,"N/D")</f>
        <v>2520.83565456081</v>
      </c>
      <c r="V73" s="8" t="n">
        <f aca="false">IF(COUNT(V53,$F12)=2,V53*$F12,"N/D")</f>
        <v>2489.49714527027</v>
      </c>
      <c r="W73" s="8" t="n">
        <f aca="false">IF(COUNT(W53,$F12)=2,W53*$F12,"N/D")</f>
        <v>2463.54715793919</v>
      </c>
    </row>
    <row r="74" customFormat="false" ht="19.5" hidden="false" customHeight="true" outlineLevel="0" collapsed="false">
      <c r="C74" s="31" t="n">
        <f aca="false">C13</f>
        <v>46522</v>
      </c>
      <c r="L74" s="8" t="n">
        <f aca="false">IF(COUNT(L54,$F13)=2,L54*$F13,"N/D")</f>
        <v>0</v>
      </c>
      <c r="M74" s="8" t="n">
        <f aca="false">IF(COUNT(M54,$F13)=2,M54*$F13,"N/D")</f>
        <v>0</v>
      </c>
      <c r="N74" s="8" t="n">
        <f aca="false">IF(COUNT(N54,$F13)=2,N54*$F13,"N/D")</f>
        <v>0</v>
      </c>
      <c r="O74" s="8" t="n">
        <f aca="false">IF(COUNT(O54,$F13)=2,O54*$F13,"N/D")</f>
        <v>0</v>
      </c>
      <c r="P74" s="8" t="n">
        <f aca="false">IF(COUNT(P54,$F13)=2,P54*$F13,"N/D")</f>
        <v>2554.98278225806</v>
      </c>
      <c r="Q74" s="8" t="n">
        <f aca="false">IF(COUNT(Q54,$F13)=2,Q54*$F13,"N/D")</f>
        <v>4478.074453125</v>
      </c>
      <c r="R74" s="8" t="n">
        <f aca="false">IF(COUNT(R54,$F13)=2,R54*$F13,"N/D")</f>
        <v>4238.0370703125</v>
      </c>
      <c r="S74" s="8" t="n">
        <f aca="false">IF(COUNT(S54,$F13)=2,S54*$F13,"N/D")</f>
        <v>4041.2851171875</v>
      </c>
      <c r="T74" s="8" t="n">
        <f aca="false">IF(COUNT(T54,$F13)=2,T54*$F13,"N/D")</f>
        <v>3927.168984375</v>
      </c>
      <c r="U74" s="8" t="n">
        <f aca="false">IF(COUNT(U54,$F13)=2,U54*$F13,"N/D")</f>
        <v>3847.1565234375</v>
      </c>
      <c r="V74" s="8" t="n">
        <f aca="false">IF(COUNT(V54,$F13)=2,V54*$F13,"N/D")</f>
        <v>3779.94180215372</v>
      </c>
      <c r="W74" s="8" t="n">
        <f aca="false">IF(COUNT(W54,$F13)=2,W54*$F13,"N/D")</f>
        <v>3733.60760346284</v>
      </c>
    </row>
    <row r="75" customFormat="false" ht="19.5" hidden="false" customHeight="true" outlineLevel="0" collapsed="false">
      <c r="C75" s="31" t="n">
        <f aca="false">C14</f>
        <v>46553</v>
      </c>
      <c r="L75" s="8" t="n">
        <f aca="false">IF(COUNT(L55,$F14)=2,L55*$F14,"N/D")</f>
        <v>0</v>
      </c>
      <c r="M75" s="8" t="n">
        <f aca="false">IF(COUNT(M55,$F14)=2,M55*$F14,"N/D")</f>
        <v>0</v>
      </c>
      <c r="N75" s="8" t="n">
        <f aca="false">IF(COUNT(N55,$F14)=2,N55*$F14,"N/D")</f>
        <v>0</v>
      </c>
      <c r="O75" s="8" t="n">
        <f aca="false">IF(COUNT(O55,$F14)=2,O55*$F14,"N/D")</f>
        <v>0</v>
      </c>
      <c r="P75" s="8" t="n">
        <f aca="false">IF(COUNT(P55,$F14)=2,P55*$F14,"N/D")</f>
        <v>0</v>
      </c>
      <c r="Q75" s="8" t="n">
        <f aca="false">IF(COUNT(Q55,$F14)=2,Q55*$F14,"N/D")</f>
        <v>3315.92625</v>
      </c>
      <c r="R75" s="8" t="n">
        <f aca="false">IF(COUNT(R55,$F14)=2,R55*$F14,"N/D")</f>
        <v>5976.01265625</v>
      </c>
      <c r="S75" s="8" t="n">
        <f aca="false">IF(COUNT(S55,$F14)=2,S55*$F14,"N/D")</f>
        <v>5650.71609375</v>
      </c>
      <c r="T75" s="8" t="n">
        <f aca="false">IF(COUNT(T55,$F14)=2,T55*$F14,"N/D")</f>
        <v>5390.1290625</v>
      </c>
      <c r="U75" s="8" t="n">
        <f aca="false">IF(COUNT(U55,$F14)=2,U55*$F14,"N/D")</f>
        <v>5237.97421875</v>
      </c>
      <c r="V75" s="8" t="n">
        <f aca="false">IF(COUNT(V55,$F14)=2,V55*$F14,"N/D")</f>
        <v>5131.2909375</v>
      </c>
      <c r="W75" s="8" t="n">
        <f aca="false">IF(COUNT(W55,$F14)=2,W55*$F14,"N/D")</f>
        <v>5041.67130912162</v>
      </c>
    </row>
    <row r="76" customFormat="false" ht="19.5" hidden="false" customHeight="true" outlineLevel="0" collapsed="false">
      <c r="C76" s="31" t="n">
        <f aca="false">C15</f>
        <v>46583</v>
      </c>
      <c r="L76" s="8" t="n">
        <f aca="false">IF(COUNT(L56,$F15)=2,L56*$F15,"N/D")</f>
        <v>0</v>
      </c>
      <c r="M76" s="8" t="n">
        <f aca="false">IF(COUNT(M56,$F15)=2,M56*$F15,"N/D")</f>
        <v>0</v>
      </c>
      <c r="N76" s="8" t="n">
        <f aca="false">IF(COUNT(N56,$F15)=2,N56*$F15,"N/D")</f>
        <v>0</v>
      </c>
      <c r="O76" s="8" t="n">
        <f aca="false">IF(COUNT(O56,$F15)=2,O56*$F15,"N/D")</f>
        <v>0</v>
      </c>
      <c r="P76" s="8" t="n">
        <f aca="false">IF(COUNT(P56,$F15)=2,P56*$F15,"N/D")</f>
        <v>0</v>
      </c>
      <c r="Q76" s="8" t="n">
        <f aca="false">IF(COUNT(Q56,$F15)=2,Q56*$F15,"N/D")</f>
        <v>0</v>
      </c>
      <c r="R76" s="8" t="n">
        <f aca="false">IF(COUNT(R56,$F15)=2,R56*$F15,"N/D")</f>
        <v>4258.30463709677</v>
      </c>
      <c r="S76" s="8" t="n">
        <f aca="false">IF(COUNT(S56,$F15)=2,S56*$F15,"N/D")</f>
        <v>7456.8990234375</v>
      </c>
      <c r="T76" s="8" t="n">
        <f aca="false">IF(COUNT(T56,$F15)=2,T56*$F15,"N/D")</f>
        <v>7056.83671875</v>
      </c>
      <c r="U76" s="8" t="n">
        <f aca="false">IF(COUNT(U56,$F15)=2,U56*$F15,"N/D")</f>
        <v>6735.4751953125</v>
      </c>
      <c r="V76" s="8" t="n">
        <f aca="false">IF(COUNT(V56,$F15)=2,V56*$F15,"N/D")</f>
        <v>6545.281640625</v>
      </c>
      <c r="W76" s="8" t="n">
        <f aca="false">IF(COUNT(W56,$F15)=2,W56*$F15,"N/D")</f>
        <v>6411.9275390625</v>
      </c>
    </row>
    <row r="77" customFormat="false" ht="19.5" hidden="false" customHeight="true" outlineLevel="0" collapsed="false">
      <c r="C77" s="31" t="n">
        <f aca="false">C16</f>
        <v>46614</v>
      </c>
      <c r="L77" s="8" t="n">
        <f aca="false">IF(COUNT(L57,$F16)=2,L57*$F16,"N/D")</f>
        <v>0</v>
      </c>
      <c r="M77" s="8" t="n">
        <f aca="false">IF(COUNT(M57,$F16)=2,M57*$F16,"N/D")</f>
        <v>0</v>
      </c>
      <c r="N77" s="8" t="n">
        <f aca="false">IF(COUNT(N57,$F16)=2,N57*$F16,"N/D")</f>
        <v>0</v>
      </c>
      <c r="O77" s="8" t="n">
        <f aca="false">IF(COUNT(O57,$F16)=2,O57*$F16,"N/D")</f>
        <v>0</v>
      </c>
      <c r="P77" s="8" t="n">
        <f aca="false">IF(COUNT(P57,$F16)=2,P57*$F16,"N/D")</f>
        <v>0</v>
      </c>
      <c r="Q77" s="8" t="n">
        <f aca="false">IF(COUNT(Q57,$F16)=2,Q57*$F16,"N/D")</f>
        <v>0</v>
      </c>
      <c r="R77" s="8" t="n">
        <f aca="false">IF(COUNT(R57,$F16)=2,R57*$F16,"N/D")</f>
        <v>0</v>
      </c>
      <c r="S77" s="8" t="n">
        <f aca="false">IF(COUNT(S57,$F16)=2,S57*$F16,"N/D")</f>
        <v>5109.96556451613</v>
      </c>
      <c r="T77" s="8" t="n">
        <f aca="false">IF(COUNT(T57,$F16)=2,T57*$F16,"N/D")</f>
        <v>8956.14890625</v>
      </c>
      <c r="U77" s="8" t="n">
        <f aca="false">IF(COUNT(U57,$F16)=2,U57*$F16,"N/D")</f>
        <v>8476.074140625</v>
      </c>
      <c r="V77" s="8" t="n">
        <f aca="false">IF(COUNT(V57,$F16)=2,V57*$F16,"N/D")</f>
        <v>8085.19359375</v>
      </c>
      <c r="W77" s="8" t="n">
        <f aca="false">IF(COUNT(W57,$F16)=2,W57*$F16,"N/D")</f>
        <v>7856.961328125</v>
      </c>
    </row>
    <row r="78" customFormat="false" ht="19.5" hidden="false" customHeight="true" outlineLevel="0" collapsed="false">
      <c r="C78" s="31" t="n">
        <f aca="false">C17</f>
        <v>46645</v>
      </c>
      <c r="L78" s="8" t="n">
        <f aca="false">IF(COUNT(L58,$F17)=2,L58*$F17,"N/D")</f>
        <v>0</v>
      </c>
      <c r="M78" s="8" t="n">
        <f aca="false">IF(COUNT(M58,$F17)=2,M58*$F17,"N/D")</f>
        <v>0</v>
      </c>
      <c r="N78" s="8" t="n">
        <f aca="false">IF(COUNT(N58,$F17)=2,N58*$F17,"N/D")</f>
        <v>0</v>
      </c>
      <c r="O78" s="8" t="n">
        <f aca="false">IF(COUNT(O58,$F17)=2,O58*$F17,"N/D")</f>
        <v>0</v>
      </c>
      <c r="P78" s="8" t="n">
        <f aca="false">IF(COUNT(P58,$F17)=2,P58*$F17,"N/D")</f>
        <v>0</v>
      </c>
      <c r="Q78" s="8" t="n">
        <f aca="false">IF(COUNT(Q58,$F17)=2,Q58*$F17,"N/D")</f>
        <v>0</v>
      </c>
      <c r="R78" s="8" t="n">
        <f aca="false">IF(COUNT(R58,$F17)=2,R58*$F17,"N/D")</f>
        <v>0</v>
      </c>
      <c r="S78" s="8" t="n">
        <f aca="false">IF(COUNT(S58,$F17)=2,S58*$F17,"N/D")</f>
        <v>0</v>
      </c>
      <c r="T78" s="8" t="n">
        <f aca="false">IF(COUNT(T58,$F17)=2,T58*$F17,"N/D")</f>
        <v>5802.8709375</v>
      </c>
      <c r="U78" s="8" t="n">
        <f aca="false">IF(COUNT(U58,$F17)=2,U58*$F17,"N/D")</f>
        <v>10458.0221484375</v>
      </c>
      <c r="V78" s="8" t="n">
        <f aca="false">IF(COUNT(V58,$F17)=2,V58*$F17,"N/D")</f>
        <v>9897.934921875</v>
      </c>
      <c r="W78" s="8" t="n">
        <f aca="false">IF(COUNT(W58,$F17)=2,W58*$F17,"N/D")</f>
        <v>9441.9076171875</v>
      </c>
    </row>
    <row r="79" customFormat="false" ht="19.5" hidden="false" customHeight="true" outlineLevel="0" collapsed="false">
      <c r="C79" s="31" t="n">
        <f aca="false">C18</f>
        <v>46675</v>
      </c>
      <c r="L79" s="8" t="n">
        <f aca="false">IF(COUNT(L59,$F18)=2,L59*$F18,"N/D")</f>
        <v>0</v>
      </c>
      <c r="M79" s="8" t="n">
        <f aca="false">IF(COUNT(M59,$F18)=2,M59*$F18,"N/D")</f>
        <v>0</v>
      </c>
      <c r="N79" s="8" t="n">
        <f aca="false">IF(COUNT(N59,$F18)=2,N59*$F18,"N/D")</f>
        <v>0</v>
      </c>
      <c r="O79" s="8" t="n">
        <f aca="false">IF(COUNT(O59,$F18)=2,O59*$F18,"N/D")</f>
        <v>0</v>
      </c>
      <c r="P79" s="8" t="n">
        <f aca="false">IF(COUNT(P59,$F18)=2,P59*$F18,"N/D")</f>
        <v>0</v>
      </c>
      <c r="Q79" s="8" t="n">
        <f aca="false">IF(COUNT(Q59,$F18)=2,Q59*$F18,"N/D")</f>
        <v>0</v>
      </c>
      <c r="R79" s="8" t="n">
        <f aca="false">IF(COUNT(R59,$F18)=2,R59*$F18,"N/D")</f>
        <v>0</v>
      </c>
      <c r="S79" s="8" t="n">
        <f aca="false">IF(COUNT(S59,$F18)=2,S59*$F18,"N/D")</f>
        <v>0</v>
      </c>
      <c r="T79" s="8" t="n">
        <f aca="false">IF(COUNT(T59,$F18)=2,T59*$F18,"N/D")</f>
        <v>0</v>
      </c>
      <c r="U79" s="8" t="n">
        <f aca="false">IF(COUNT(U59,$F18)=2,U59*$F18,"N/D")</f>
        <v>6813.28741935484</v>
      </c>
      <c r="V79" s="8" t="n">
        <f aca="false">IF(COUNT(V59,$F18)=2,V59*$F18,"N/D")</f>
        <v>11941.531875</v>
      </c>
      <c r="W79" s="8" t="n">
        <f aca="false">IF(COUNT(W59,$F18)=2,W59*$F18,"N/D")</f>
        <v>11301.4321875</v>
      </c>
    </row>
    <row r="80" customFormat="false" ht="19.5" hidden="false" customHeight="true" outlineLevel="0" collapsed="false">
      <c r="C80" s="31" t="n">
        <f aca="false">C19</f>
        <v>46706</v>
      </c>
      <c r="L80" s="8" t="n">
        <f aca="false">IF(COUNT(L60,$F19)=2,L60*$F19,"N/D")</f>
        <v>0</v>
      </c>
      <c r="M80" s="8" t="n">
        <f aca="false">IF(COUNT(M60,$F19)=2,M60*$F19,"N/D")</f>
        <v>0</v>
      </c>
      <c r="N80" s="8" t="n">
        <f aca="false">IF(COUNT(N60,$F19)=2,N60*$F19,"N/D")</f>
        <v>0</v>
      </c>
      <c r="O80" s="8" t="n">
        <f aca="false">IF(COUNT(O60,$F19)=2,O60*$F19,"N/D")</f>
        <v>0</v>
      </c>
      <c r="P80" s="8" t="n">
        <f aca="false">IF(COUNT(P60,$F19)=2,P60*$F19,"N/D")</f>
        <v>0</v>
      </c>
      <c r="Q80" s="8" t="n">
        <f aca="false">IF(COUNT(Q60,$F19)=2,Q60*$F19,"N/D")</f>
        <v>0</v>
      </c>
      <c r="R80" s="8" t="n">
        <f aca="false">IF(COUNT(R60,$F19)=2,R60*$F19,"N/D")</f>
        <v>0</v>
      </c>
      <c r="S80" s="8" t="n">
        <f aca="false">IF(COUNT(S60,$F19)=2,S60*$F19,"N/D")</f>
        <v>0</v>
      </c>
      <c r="T80" s="8" t="n">
        <f aca="false">IF(COUNT(T60,$F19)=2,T60*$F19,"N/D")</f>
        <v>0</v>
      </c>
      <c r="U80" s="8" t="n">
        <f aca="false">IF(COUNT(U60,$F19)=2,U60*$F19,"N/D")</f>
        <v>0</v>
      </c>
      <c r="V80" s="8" t="n">
        <f aca="false">IF(COUNT(V60,$F19)=2,V60*$F19,"N/D")</f>
        <v>7460.8340625</v>
      </c>
      <c r="W80" s="8" t="n">
        <f aca="false">IF(COUNT(W60,$F19)=2,W60*$F19,"N/D")</f>
        <v>13446.0284765625</v>
      </c>
    </row>
    <row r="81" customFormat="false" ht="19.5" hidden="false" customHeight="true" outlineLevel="0" collapsed="false">
      <c r="C81" s="31" t="n">
        <f aca="false">C20</f>
        <v>46736</v>
      </c>
      <c r="L81" s="8" t="n">
        <f aca="false">IF(COUNT(L61,$F20)=2,L61*$F20,"N/D")</f>
        <v>0</v>
      </c>
      <c r="M81" s="8" t="n">
        <f aca="false">IF(COUNT(M61,$F20)=2,M61*$F20,"N/D")</f>
        <v>0</v>
      </c>
      <c r="N81" s="8" t="n">
        <f aca="false">IF(COUNT(N61,$F20)=2,N61*$F20,"N/D")</f>
        <v>0</v>
      </c>
      <c r="O81" s="8" t="n">
        <f aca="false">IF(COUNT(O61,$F20)=2,O61*$F20,"N/D")</f>
        <v>0</v>
      </c>
      <c r="P81" s="8" t="n">
        <f aca="false">IF(COUNT(P61,$F20)=2,P61*$F20,"N/D")</f>
        <v>0</v>
      </c>
      <c r="Q81" s="8" t="n">
        <f aca="false">IF(COUNT(Q61,$F20)=2,Q61*$F20,"N/D")</f>
        <v>0</v>
      </c>
      <c r="R81" s="8" t="n">
        <f aca="false">IF(COUNT(R61,$F20)=2,R61*$F20,"N/D")</f>
        <v>0</v>
      </c>
      <c r="S81" s="8" t="n">
        <f aca="false">IF(COUNT(S61,$F20)=2,S61*$F20,"N/D")</f>
        <v>0</v>
      </c>
      <c r="T81" s="8" t="n">
        <f aca="false">IF(COUNT(T61,$F20)=2,T61*$F20,"N/D")</f>
        <v>0</v>
      </c>
      <c r="U81" s="8" t="n">
        <f aca="false">IF(COUNT(U61,$F20)=2,U61*$F20,"N/D")</f>
        <v>0</v>
      </c>
      <c r="V81" s="8" t="n">
        <f aca="false">IF(COUNT(V61,$F20)=2,V61*$F20,"N/D")</f>
        <v>0</v>
      </c>
      <c r="W81" s="8" t="n">
        <f aca="false">IF(COUNT(W61,$F20)=2,W61*$F20,"N/D")</f>
        <v>8516.60927419355</v>
      </c>
    </row>
    <row r="82" customFormat="false" ht="19.5" hidden="false" customHeight="true" outlineLevel="0" collapsed="false"/>
    <row r="83" customFormat="false" ht="19.5" hidden="false" customHeight="true" outlineLevel="0" collapsed="false">
      <c r="C83" s="2" t="s">
        <v>161</v>
      </c>
      <c r="L83" s="8" t="n">
        <f aca="false">IF(COUNT(L70:L81)=12,SUM(L70:L81),"N/D")</f>
        <v>170.332185483871</v>
      </c>
      <c r="M83" s="8" t="n">
        <f aca="false">IF(COUNT(M70:M81)=12,SUM(M70:M81),"N/D")</f>
        <v>766.15210546875</v>
      </c>
      <c r="N83" s="8" t="n">
        <f aca="false">IF(COUNT(N70:N81)=12,SUM(N70:N81),"N/D")</f>
        <v>2205.12819102823</v>
      </c>
      <c r="O83" s="8" t="n">
        <f aca="false">IF(COUNT(O70:O81)=12,SUM(O70:O81),"N/D")</f>
        <v>4570.941375</v>
      </c>
      <c r="P83" s="8" t="n">
        <f aca="false">IF(COUNT(P70:P81)=12,SUM(P70:P81),"N/D")</f>
        <v>8311.85748538307</v>
      </c>
      <c r="Q83" s="8" t="n">
        <f aca="false">IF(COUNT(Q70:Q81)=12,SUM(Q70:Q81),"N/D")</f>
        <v>13282.94296875</v>
      </c>
      <c r="R83" s="8" t="n">
        <f aca="false">IF(COUNT(R70:R81)=12,SUM(R70:R81),"N/D")</f>
        <v>19764.7833782285</v>
      </c>
      <c r="S83" s="8" t="n">
        <f aca="false">IF(COUNT(S70:S81)=12,SUM(S70:S81),"N/D")</f>
        <v>27422.8234690769</v>
      </c>
      <c r="T83" s="8" t="n">
        <f aca="false">IF(COUNT(T70:T81)=12,SUM(T70:T81),"N/D")</f>
        <v>36204.6187728041</v>
      </c>
      <c r="U83" s="8" t="n">
        <f aca="false">IF(COUNT(U70:U81)=12,SUM(U70:U81),"N/D")</f>
        <v>46565.7303207484</v>
      </c>
      <c r="V83" s="8" t="n">
        <f aca="false">IF(COUNT(V70:V81)=12,SUM(V70:V81),"N/D")</f>
        <v>57782.4610116132</v>
      </c>
      <c r="W83" s="8" t="n">
        <f aca="false">IF(COUNT(W70:W81)=12,SUM(W70:W81),"N/D")</f>
        <v>70638.6975387628</v>
      </c>
    </row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30" hidden="false" customHeight="true" outlineLevel="0" collapsed="false">
      <c r="C87" s="5" t="s">
        <v>135</v>
      </c>
      <c r="D87" s="5" t="s">
        <v>136</v>
      </c>
      <c r="E87" s="5" t="s">
        <v>162</v>
      </c>
      <c r="F87" s="5" t="s">
        <v>163</v>
      </c>
      <c r="G87" s="5" t="s">
        <v>164</v>
      </c>
      <c r="H87" s="5" t="s">
        <v>165</v>
      </c>
      <c r="I87" s="5" t="s">
        <v>166</v>
      </c>
    </row>
    <row r="88" customFormat="false" ht="19.5" hidden="false" customHeight="true" outlineLevel="0" collapsed="false">
      <c r="C88" s="31" t="n">
        <f aca="false">C9</f>
        <v>46402</v>
      </c>
      <c r="D88" s="6" t="n">
        <f aca="false">D9</f>
        <v>0.1798875</v>
      </c>
      <c r="E88" s="26" t="n">
        <f aca="false">IF(COUNT($C9)=1,IF($C9+30&gt;EOMONTH(Supuestos!$Q$21,0),"Fuera2027",IF(COUNT($D9,$E9,$G9)=3,$D9*$E9*$G9,"N/D")),"N/D")</f>
        <v>427.2328125</v>
      </c>
      <c r="F88" s="26" t="n">
        <f aca="false">IF(COUNT($C9)=1,IF($C9+60&gt;EOMONTH(Supuestos!$Q$21,0),"Fuera2027",IF(COUNT($D9,$E9,$H9)=3,$D9*$E9*$H9,"N/D")),"N/D")</f>
        <v>404.746875</v>
      </c>
      <c r="G88" s="26" t="n">
        <f aca="false">IF(COUNT($C9)=1,IF($C9+90&gt;EOMONTH(Supuestos!$Q$21,0),"Fuera2027",IF(COUNT($D9,$E9,$I9)=3,$D9*$E9*$I9,"N/D")),"N/D")</f>
        <v>382.2609375</v>
      </c>
      <c r="H88" s="26" t="n">
        <f aca="false">IF(COUNT($C9)=1,IF($C9+180&gt;EOMONTH(Supuestos!$Q$21,0),"Fuera2027",IF(COUNT($D9,$E9,$J9)=3,$D9*$E9*$J9,"N/D")),"N/D")</f>
        <v>359.775</v>
      </c>
      <c r="I88" s="26" t="str">
        <f aca="false">IF(COUNT($C9)=1,IF($C9+365&gt;EOMONTH(Supuestos!$Q$21,0),"Fuera2027",IF(COUNT($D9,$E9,$K9)=3,$D9*$E9*$K9,"N/D")),"N/D")</f>
        <v>Fuera2027</v>
      </c>
    </row>
    <row r="89" customFormat="false" ht="19.5" hidden="false" customHeight="true" outlineLevel="0" collapsed="false">
      <c r="C89" s="31" t="n">
        <f aca="false">C10</f>
        <v>46433</v>
      </c>
      <c r="D89" s="6" t="n">
        <f aca="false">D10</f>
        <v>0.5396625</v>
      </c>
      <c r="E89" s="26" t="n">
        <f aca="false">IF(COUNT($C10)=1,IF($C10+30&gt;EOMONTH(Supuestos!$Q$21,0),"Fuera2027",IF(COUNT($D10,$E10,$G10)=3,$D10*$E10*$G10,"N/D")),"N/D")</f>
        <v>1281.6984375</v>
      </c>
      <c r="F89" s="26" t="n">
        <f aca="false">IF(COUNT($C10)=1,IF($C10+60&gt;EOMONTH(Supuestos!$Q$21,0),"Fuera2027",IF(COUNT($D10,$E10,$H10)=3,$D10*$E10*$H10,"N/D")),"N/D")</f>
        <v>1214.240625</v>
      </c>
      <c r="G89" s="26" t="n">
        <f aca="false">IF(COUNT($C10)=1,IF($C10+90&gt;EOMONTH(Supuestos!$Q$21,0),"Fuera2027",IF(COUNT($D10,$E10,$I10)=3,$D10*$E10*$I10,"N/D")),"N/D")</f>
        <v>1146.7828125</v>
      </c>
      <c r="H89" s="26" t="n">
        <f aca="false">IF(COUNT($C10)=1,IF($C10+180&gt;EOMONTH(Supuestos!$Q$21,0),"Fuera2027",IF(COUNT($D10,$E10,$J10)=3,$D10*$E10*$J10,"N/D")),"N/D")</f>
        <v>1079.325</v>
      </c>
      <c r="I89" s="26" t="str">
        <f aca="false">IF(COUNT($C10)=1,IF($C10+365&gt;EOMONTH(Supuestos!$Q$21,0),"Fuera2027",IF(COUNT($D10,$E10,$K10)=3,$D10*$E10*$K10,"N/D")),"N/D")</f>
        <v>Fuera2027</v>
      </c>
    </row>
    <row r="90" customFormat="false" ht="19.5" hidden="false" customHeight="true" outlineLevel="0" collapsed="false">
      <c r="C90" s="31" t="n">
        <f aca="false">C11</f>
        <v>46461</v>
      </c>
      <c r="D90" s="6" t="n">
        <f aca="false">D11</f>
        <v>1.079325</v>
      </c>
      <c r="E90" s="26" t="n">
        <f aca="false">IF(COUNT($C11)=1,IF($C11+30&gt;EOMONTH(Supuestos!$Q$21,0),"Fuera2027",IF(COUNT($D11,$E11,$G11)=3,$D11*$E11*$G11,"N/D")),"N/D")</f>
        <v>2563.396875</v>
      </c>
      <c r="F90" s="26" t="n">
        <f aca="false">IF(COUNT($C11)=1,IF($C11+60&gt;EOMONTH(Supuestos!$Q$21,0),"Fuera2027",IF(COUNT($D11,$E11,$H11)=3,$D11*$E11*$H11,"N/D")),"N/D")</f>
        <v>2428.48125</v>
      </c>
      <c r="G90" s="26" t="n">
        <f aca="false">IF(COUNT($C11)=1,IF($C11+90&gt;EOMONTH(Supuestos!$Q$21,0),"Fuera2027",IF(COUNT($D11,$E11,$I11)=3,$D11*$E11*$I11,"N/D")),"N/D")</f>
        <v>2293.565625</v>
      </c>
      <c r="H90" s="26" t="n">
        <f aca="false">IF(COUNT($C11)=1,IF($C11+180&gt;EOMONTH(Supuestos!$Q$21,0),"Fuera2027",IF(COUNT($D11,$E11,$J11)=3,$D11*$E11*$J11,"N/D")),"N/D")</f>
        <v>2158.65</v>
      </c>
      <c r="I90" s="26" t="str">
        <f aca="false">IF(COUNT($C11)=1,IF($C11+365&gt;EOMONTH(Supuestos!$Q$21,0),"Fuera2027",IF(COUNT($D11,$E11,$K11)=3,$D11*$E11*$K11,"N/D")),"N/D")</f>
        <v>Fuera2027</v>
      </c>
    </row>
    <row r="91" customFormat="false" ht="19.5" hidden="false" customHeight="true" outlineLevel="0" collapsed="false">
      <c r="C91" s="31" t="n">
        <f aca="false">C12</f>
        <v>46492</v>
      </c>
      <c r="D91" s="6" t="n">
        <f aca="false">D12</f>
        <v>1.798875</v>
      </c>
      <c r="E91" s="26" t="n">
        <f aca="false">IF(COUNT($C12)=1,IF($C12+30&gt;EOMONTH(Supuestos!$Q$21,0),"Fuera2027",IF(COUNT($D12,$E12,$G12)=3,$D12*$E12*$G12,"N/D")),"N/D")</f>
        <v>4272.328125</v>
      </c>
      <c r="F91" s="26" t="n">
        <f aca="false">IF(COUNT($C12)=1,IF($C12+60&gt;EOMONTH(Supuestos!$Q$21,0),"Fuera2027",IF(COUNT($D12,$E12,$H12)=3,$D12*$E12*$H12,"N/D")),"N/D")</f>
        <v>4047.46875</v>
      </c>
      <c r="G91" s="26" t="n">
        <f aca="false">IF(COUNT($C12)=1,IF($C12+90&gt;EOMONTH(Supuestos!$Q$21,0),"Fuera2027",IF(COUNT($D12,$E12,$I12)=3,$D12*$E12*$I12,"N/D")),"N/D")</f>
        <v>3822.609375</v>
      </c>
      <c r="H91" s="26" t="n">
        <f aca="false">IF(COUNT($C12)=1,IF($C12+180&gt;EOMONTH(Supuestos!$Q$21,0),"Fuera2027",IF(COUNT($D12,$E12,$J12)=3,$D12*$E12*$J12,"N/D")),"N/D")</f>
        <v>3597.75</v>
      </c>
      <c r="I91" s="26" t="str">
        <f aca="false">IF(COUNT($C12)=1,IF($C12+365&gt;EOMONTH(Supuestos!$Q$21,0),"Fuera2027",IF(COUNT($D12,$E12,$K12)=3,$D12*$E12*$K12,"N/D")),"N/D")</f>
        <v>Fuera2027</v>
      </c>
    </row>
    <row r="92" customFormat="false" ht="19.5" hidden="false" customHeight="true" outlineLevel="0" collapsed="false">
      <c r="C92" s="31" t="n">
        <f aca="false">C13</f>
        <v>46522</v>
      </c>
      <c r="D92" s="6" t="n">
        <f aca="false">D13</f>
        <v>2.6983125</v>
      </c>
      <c r="E92" s="26" t="n">
        <f aca="false">IF(COUNT($C13)=1,IF($C13+30&gt;EOMONTH(Supuestos!$Q$21,0),"Fuera2027",IF(COUNT($D13,$E13,$G13)=3,$D13*$E13*$G13,"N/D")),"N/D")</f>
        <v>6408.4921875</v>
      </c>
      <c r="F92" s="26" t="n">
        <f aca="false">IF(COUNT($C13)=1,IF($C13+60&gt;EOMONTH(Supuestos!$Q$21,0),"Fuera2027",IF(COUNT($D13,$E13,$H13)=3,$D13*$E13*$H13,"N/D")),"N/D")</f>
        <v>6071.203125</v>
      </c>
      <c r="G92" s="26" t="n">
        <f aca="false">IF(COUNT($C13)=1,IF($C13+90&gt;EOMONTH(Supuestos!$Q$21,0),"Fuera2027",IF(COUNT($D13,$E13,$I13)=3,$D13*$E13*$I13,"N/D")),"N/D")</f>
        <v>5733.9140625</v>
      </c>
      <c r="H92" s="26" t="n">
        <f aca="false">IF(COUNT($C13)=1,IF($C13+180&gt;EOMONTH(Supuestos!$Q$21,0),"Fuera2027",IF(COUNT($D13,$E13,$J13)=3,$D13*$E13*$J13,"N/D")),"N/D")</f>
        <v>5396.625</v>
      </c>
      <c r="I92" s="26" t="str">
        <f aca="false">IF(COUNT($C13)=1,IF($C13+365&gt;EOMONTH(Supuestos!$Q$21,0),"Fuera2027",IF(COUNT($D13,$E13,$K13)=3,$D13*$E13*$K13,"N/D")),"N/D")</f>
        <v>Fuera2027</v>
      </c>
    </row>
    <row r="93" customFormat="false" ht="19.5" hidden="false" customHeight="true" outlineLevel="0" collapsed="false">
      <c r="C93" s="31" t="n">
        <f aca="false">C14</f>
        <v>46553</v>
      </c>
      <c r="D93" s="6" t="n">
        <f aca="false">D14</f>
        <v>3.59775</v>
      </c>
      <c r="E93" s="26" t="n">
        <f aca="false">IF(COUNT($C14)=1,IF($C14+30&gt;EOMONTH(Supuestos!$Q$21,0),"Fuera2027",IF(COUNT($D14,$E14,$G14)=3,$D14*$E14*$G14,"N/D")),"N/D")</f>
        <v>8544.65625</v>
      </c>
      <c r="F93" s="26" t="n">
        <f aca="false">IF(COUNT($C14)=1,IF($C14+60&gt;EOMONTH(Supuestos!$Q$21,0),"Fuera2027",IF(COUNT($D14,$E14,$H14)=3,$D14*$E14*$H14,"N/D")),"N/D")</f>
        <v>8094.9375</v>
      </c>
      <c r="G93" s="26" t="n">
        <f aca="false">IF(COUNT($C14)=1,IF($C14+90&gt;EOMONTH(Supuestos!$Q$21,0),"Fuera2027",IF(COUNT($D14,$E14,$I14)=3,$D14*$E14*$I14,"N/D")),"N/D")</f>
        <v>7645.21875</v>
      </c>
      <c r="H93" s="26" t="n">
        <f aca="false">IF(COUNT($C14)=1,IF($C14+180&gt;EOMONTH(Supuestos!$Q$21,0),"Fuera2027",IF(COUNT($D14,$E14,$J14)=3,$D14*$E14*$J14,"N/D")),"N/D")</f>
        <v>7195.5</v>
      </c>
      <c r="I93" s="26" t="str">
        <f aca="false">IF(COUNT($C14)=1,IF($C14+365&gt;EOMONTH(Supuestos!$Q$21,0),"Fuera2027",IF(COUNT($D14,$E14,$K14)=3,$D14*$E14*$K14,"N/D")),"N/D")</f>
        <v>Fuera2027</v>
      </c>
    </row>
    <row r="94" customFormat="false" ht="19.5" hidden="false" customHeight="true" outlineLevel="0" collapsed="false">
      <c r="C94" s="31" t="n">
        <f aca="false">C15</f>
        <v>46583</v>
      </c>
      <c r="D94" s="6" t="n">
        <f aca="false">D15</f>
        <v>4.4971875</v>
      </c>
      <c r="E94" s="26" t="n">
        <f aca="false">IF(COUNT($C15)=1,IF($C15+30&gt;EOMONTH(Supuestos!$Q$21,0),"Fuera2027",IF(COUNT($D15,$E15,$G15)=3,$D15*$E15*$G15,"N/D")),"N/D")</f>
        <v>10680.8203125</v>
      </c>
      <c r="F94" s="26" t="n">
        <f aca="false">IF(COUNT($C15)=1,IF($C15+60&gt;EOMONTH(Supuestos!$Q$21,0),"Fuera2027",IF(COUNT($D15,$E15,$H15)=3,$D15*$E15*$H15,"N/D")),"N/D")</f>
        <v>10118.671875</v>
      </c>
      <c r="G94" s="26" t="n">
        <f aca="false">IF(COUNT($C15)=1,IF($C15+90&gt;EOMONTH(Supuestos!$Q$21,0),"Fuera2027",IF(COUNT($D15,$E15,$I15)=3,$D15*$E15*$I15,"N/D")),"N/D")</f>
        <v>9556.5234375</v>
      </c>
      <c r="H94" s="26" t="str">
        <f aca="false">IF(COUNT($C15)=1,IF($C15+180&gt;EOMONTH(Supuestos!$Q$21,0),"Fuera2027",IF(COUNT($D15,$E15,$J15)=3,$D15*$E15*$J15,"N/D")),"N/D")</f>
        <v>Fuera2027</v>
      </c>
      <c r="I94" s="26" t="str">
        <f aca="false">IF(COUNT($C15)=1,IF($C15+365&gt;EOMONTH(Supuestos!$Q$21,0),"Fuera2027",IF(COUNT($D15,$E15,$K15)=3,$D15*$E15*$K15,"N/D")),"N/D")</f>
        <v>Fuera2027</v>
      </c>
    </row>
    <row r="95" customFormat="false" ht="19.5" hidden="false" customHeight="true" outlineLevel="0" collapsed="false">
      <c r="C95" s="31" t="n">
        <f aca="false">C16</f>
        <v>46614</v>
      </c>
      <c r="D95" s="6" t="n">
        <f aca="false">D16</f>
        <v>5.396625</v>
      </c>
      <c r="E95" s="26" t="n">
        <f aca="false">IF(COUNT($C16)=1,IF($C16+30&gt;EOMONTH(Supuestos!$Q$21,0),"Fuera2027",IF(COUNT($D16,$E16,$G16)=3,$D16*$E16*$G16,"N/D")),"N/D")</f>
        <v>12816.984375</v>
      </c>
      <c r="F95" s="26" t="n">
        <f aca="false">IF(COUNT($C16)=1,IF($C16+60&gt;EOMONTH(Supuestos!$Q$21,0),"Fuera2027",IF(COUNT($D16,$E16,$H16)=3,$D16*$E16*$H16,"N/D")),"N/D")</f>
        <v>12142.40625</v>
      </c>
      <c r="G95" s="26" t="n">
        <f aca="false">IF(COUNT($C16)=1,IF($C16+90&gt;EOMONTH(Supuestos!$Q$21,0),"Fuera2027",IF(COUNT($D16,$E16,$I16)=3,$D16*$E16*$I16,"N/D")),"N/D")</f>
        <v>11467.828125</v>
      </c>
      <c r="H95" s="26" t="str">
        <f aca="false">IF(COUNT($C16)=1,IF($C16+180&gt;EOMONTH(Supuestos!$Q$21,0),"Fuera2027",IF(COUNT($D16,$E16,$J16)=3,$D16*$E16*$J16,"N/D")),"N/D")</f>
        <v>Fuera2027</v>
      </c>
      <c r="I95" s="26" t="str">
        <f aca="false">IF(COUNT($C16)=1,IF($C16+365&gt;EOMONTH(Supuestos!$Q$21,0),"Fuera2027",IF(COUNT($D16,$E16,$K16)=3,$D16*$E16*$K16,"N/D")),"N/D")</f>
        <v>Fuera2027</v>
      </c>
    </row>
    <row r="96" customFormat="false" ht="19.5" hidden="false" customHeight="true" outlineLevel="0" collapsed="false">
      <c r="C96" s="31" t="n">
        <f aca="false">C17</f>
        <v>46645</v>
      </c>
      <c r="D96" s="6" t="n">
        <f aca="false">D17</f>
        <v>6.2960625</v>
      </c>
      <c r="E96" s="26" t="n">
        <f aca="false">IF(COUNT($C17)=1,IF($C17+30&gt;EOMONTH(Supuestos!$Q$21,0),"Fuera2027",IF(COUNT($D17,$E17,$G17)=3,$D17*$E17*$G17,"N/D")),"N/D")</f>
        <v>14953.1484375</v>
      </c>
      <c r="F96" s="26" t="n">
        <f aca="false">IF(COUNT($C17)=1,IF($C17+60&gt;EOMONTH(Supuestos!$Q$21,0),"Fuera2027",IF(COUNT($D17,$E17,$H17)=3,$D17*$E17*$H17,"N/D")),"N/D")</f>
        <v>14166.140625</v>
      </c>
      <c r="G96" s="26" t="n">
        <f aca="false">IF(COUNT($C17)=1,IF($C17+90&gt;EOMONTH(Supuestos!$Q$21,0),"Fuera2027",IF(COUNT($D17,$E17,$I17)=3,$D17*$E17*$I17,"N/D")),"N/D")</f>
        <v>13379.1328125</v>
      </c>
      <c r="H96" s="26" t="str">
        <f aca="false">IF(COUNT($C17)=1,IF($C17+180&gt;EOMONTH(Supuestos!$Q$21,0),"Fuera2027",IF(COUNT($D17,$E17,$J17)=3,$D17*$E17*$J17,"N/D")),"N/D")</f>
        <v>Fuera2027</v>
      </c>
      <c r="I96" s="26" t="str">
        <f aca="false">IF(COUNT($C17)=1,IF($C17+365&gt;EOMONTH(Supuestos!$Q$21,0),"Fuera2027",IF(COUNT($D17,$E17,$K17)=3,$D17*$E17*$K17,"N/D")),"N/D")</f>
        <v>Fuera2027</v>
      </c>
    </row>
    <row r="97" customFormat="false" ht="19.5" hidden="false" customHeight="true" outlineLevel="0" collapsed="false">
      <c r="C97" s="31" t="n">
        <f aca="false">C18</f>
        <v>46675</v>
      </c>
      <c r="D97" s="6" t="n">
        <f aca="false">D18</f>
        <v>7.1955</v>
      </c>
      <c r="E97" s="26" t="n">
        <f aca="false">IF(COUNT($C18)=1,IF($C18+30&gt;EOMONTH(Supuestos!$Q$21,0),"Fuera2027",IF(COUNT($D18,$E18,$G18)=3,$D18*$E18*$G18,"N/D")),"N/D")</f>
        <v>17089.3125</v>
      </c>
      <c r="F97" s="26" t="n">
        <f aca="false">IF(COUNT($C18)=1,IF($C18+60&gt;EOMONTH(Supuestos!$Q$21,0),"Fuera2027",IF(COUNT($D18,$E18,$H18)=3,$D18*$E18*$H18,"N/D")),"N/D")</f>
        <v>16189.875</v>
      </c>
      <c r="G97" s="26" t="str">
        <f aca="false">IF(COUNT($C18)=1,IF($C18+90&gt;EOMONTH(Supuestos!$Q$21,0),"Fuera2027",IF(COUNT($D18,$E18,$I18)=3,$D18*$E18*$I18,"N/D")),"N/D")</f>
        <v>Fuera2027</v>
      </c>
      <c r="H97" s="26" t="str">
        <f aca="false">IF(COUNT($C18)=1,IF($C18+180&gt;EOMONTH(Supuestos!$Q$21,0),"Fuera2027",IF(COUNT($D18,$E18,$J18)=3,$D18*$E18*$J18,"N/D")),"N/D")</f>
        <v>Fuera2027</v>
      </c>
      <c r="I97" s="26" t="str">
        <f aca="false">IF(COUNT($C18)=1,IF($C18+365&gt;EOMONTH(Supuestos!$Q$21,0),"Fuera2027",IF(COUNT($D18,$E18,$K18)=3,$D18*$E18*$K18,"N/D")),"N/D")</f>
        <v>Fuera2027</v>
      </c>
    </row>
    <row r="98" customFormat="false" ht="19.5" hidden="false" customHeight="true" outlineLevel="0" collapsed="false">
      <c r="C98" s="31" t="n">
        <f aca="false">C19</f>
        <v>46706</v>
      </c>
      <c r="D98" s="6" t="n">
        <f aca="false">D19</f>
        <v>8.0949375</v>
      </c>
      <c r="E98" s="26" t="n">
        <f aca="false">IF(COUNT($C19)=1,IF($C19+30&gt;EOMONTH(Supuestos!$Q$21,0),"Fuera2027",IF(COUNT($D19,$E19,$G19)=3,$D19*$E19*$G19,"N/D")),"N/D")</f>
        <v>19225.4765625</v>
      </c>
      <c r="F98" s="26" t="str">
        <f aca="false">IF(COUNT($C19)=1,IF($C19+60&gt;EOMONTH(Supuestos!$Q$21,0),"Fuera2027",IF(COUNT($D19,$E19,$H19)=3,$D19*$E19*$H19,"N/D")),"N/D")</f>
        <v>Fuera2027</v>
      </c>
      <c r="G98" s="26" t="str">
        <f aca="false">IF(COUNT($C19)=1,IF($C19+90&gt;EOMONTH(Supuestos!$Q$21,0),"Fuera2027",IF(COUNT($D19,$E19,$I19)=3,$D19*$E19*$I19,"N/D")),"N/D")</f>
        <v>Fuera2027</v>
      </c>
      <c r="H98" s="26" t="str">
        <f aca="false">IF(COUNT($C19)=1,IF($C19+180&gt;EOMONTH(Supuestos!$Q$21,0),"Fuera2027",IF(COUNT($D19,$E19,$J19)=3,$D19*$E19*$J19,"N/D")),"N/D")</f>
        <v>Fuera2027</v>
      </c>
      <c r="I98" s="26" t="str">
        <f aca="false">IF(COUNT($C19)=1,IF($C19+365&gt;EOMONTH(Supuestos!$Q$21,0),"Fuera2027",IF(COUNT($D19,$E19,$K19)=3,$D19*$E19*$K19,"N/D")),"N/D")</f>
        <v>Fuera2027</v>
      </c>
    </row>
    <row r="99" customFormat="false" ht="19.5" hidden="false" customHeight="true" outlineLevel="0" collapsed="false">
      <c r="C99" s="31" t="n">
        <f aca="false">C20</f>
        <v>46736</v>
      </c>
      <c r="D99" s="6" t="n">
        <f aca="false">D20</f>
        <v>8.994375</v>
      </c>
      <c r="E99" s="26" t="str">
        <f aca="false">IF(COUNT($C20)=1,IF($C20+30&gt;EOMONTH(Supuestos!$Q$21,0),"Fuera2027",IF(COUNT($D20,$E20,$G20)=3,$D20*$E20*$G20,"N/D")),"N/D")</f>
        <v>Fuera2027</v>
      </c>
      <c r="F99" s="26" t="str">
        <f aca="false">IF(COUNT($C20)=1,IF($C20+60&gt;EOMONTH(Supuestos!$Q$21,0),"Fuera2027",IF(COUNT($D20,$E20,$H20)=3,$D20*$E20*$H20,"N/D")),"N/D")</f>
        <v>Fuera2027</v>
      </c>
      <c r="G99" s="26" t="str">
        <f aca="false">IF(COUNT($C20)=1,IF($C20+90&gt;EOMONTH(Supuestos!$Q$21,0),"Fuera2027",IF(COUNT($D20,$E20,$I20)=3,$D20*$E20*$I20,"N/D")),"N/D")</f>
        <v>Fuera2027</v>
      </c>
      <c r="H99" s="26" t="str">
        <f aca="false">IF(COUNT($C20)=1,IF($C20+180&gt;EOMONTH(Supuestos!$Q$21,0),"Fuera2027",IF(COUNT($D20,$E20,$J20)=3,$D20*$E20*$J20,"N/D")),"N/D")</f>
        <v>Fuera2027</v>
      </c>
      <c r="I99" s="26" t="str">
        <f aca="false">IF(COUNT($C20)=1,IF($C20+365&gt;EOMONTH(Supuestos!$Q$21,0),"Fuera2027",IF(COUNT($D20,$E20,$K20)=3,$D20*$E20*$K20,"N/D")),"N/D")</f>
        <v>Fuera2027</v>
      </c>
    </row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30" hidden="false" customHeight="true" outlineLevel="0" collapsed="false">
      <c r="C102" s="4" t="s">
        <v>167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customFormat="false" ht="30" hidden="false" customHeight="true" outlineLevel="0" collapsed="false">
      <c r="C103" s="4" t="s">
        <v>168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customFormat="false" ht="30" hidden="false" customHeight="true" outlineLevel="0" collapsed="false">
      <c r="C104" s="4" t="s">
        <v>169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30" hidden="false" customHeight="true" outlineLevel="0" collapsed="false">
      <c r="C108" s="30" t="s">
        <v>170</v>
      </c>
      <c r="D108" s="30"/>
      <c r="E108" s="30"/>
      <c r="F108" s="30"/>
      <c r="G108" s="30"/>
      <c r="H108" s="30"/>
      <c r="I108" s="30"/>
      <c r="J108" s="30"/>
      <c r="K108" s="30"/>
      <c r="L108" s="5" t="s">
        <v>144</v>
      </c>
      <c r="M108" s="5" t="s">
        <v>145</v>
      </c>
      <c r="N108" s="5" t="s">
        <v>146</v>
      </c>
      <c r="O108" s="5" t="s">
        <v>147</v>
      </c>
      <c r="P108" s="5" t="s">
        <v>148</v>
      </c>
      <c r="Q108" s="5" t="s">
        <v>149</v>
      </c>
      <c r="R108" s="5" t="s">
        <v>150</v>
      </c>
      <c r="S108" s="5" t="s">
        <v>151</v>
      </c>
      <c r="T108" s="5" t="s">
        <v>152</v>
      </c>
      <c r="U108" s="5" t="s">
        <v>153</v>
      </c>
      <c r="V108" s="5" t="s">
        <v>154</v>
      </c>
      <c r="W108" s="5" t="s">
        <v>155</v>
      </c>
    </row>
    <row r="109" customFormat="false" ht="19.5" hidden="false" customHeight="true" outlineLevel="0" collapsed="false"/>
    <row r="110" customFormat="false" ht="19.5" hidden="false" customHeight="true" outlineLevel="0" collapsed="false">
      <c r="C110" s="31" t="n">
        <f aca="false">C9</f>
        <v>46402</v>
      </c>
      <c r="L110" s="28" t="n">
        <f aca="false">IF(COUNT($C9)=1,EOMONTH(L$8,0)-$C9,"N/D")</f>
        <v>16</v>
      </c>
      <c r="M110" s="28" t="n">
        <f aca="false">IF(COUNT($C9)=1,EOMONTH(M$8,0)-$C9,"N/D")</f>
        <v>44</v>
      </c>
      <c r="N110" s="28" t="n">
        <f aca="false">IF(COUNT($C9)=1,EOMONTH(N$8,0)-$C9,"N/D")</f>
        <v>75</v>
      </c>
      <c r="O110" s="28" t="n">
        <f aca="false">IF(COUNT($C9)=1,EOMONTH(O$8,0)-$C9,"N/D")</f>
        <v>105</v>
      </c>
      <c r="P110" s="28" t="n">
        <f aca="false">IF(COUNT($C9)=1,EOMONTH(P$8,0)-$C9,"N/D")</f>
        <v>136</v>
      </c>
      <c r="Q110" s="28" t="n">
        <f aca="false">IF(COUNT($C9)=1,EOMONTH(Q$8,0)-$C9,"N/D")</f>
        <v>166</v>
      </c>
      <c r="R110" s="28" t="n">
        <f aca="false">IF(COUNT($C9)=1,EOMONTH(R$8,0)-$C9,"N/D")</f>
        <v>197</v>
      </c>
      <c r="S110" s="28" t="n">
        <f aca="false">IF(COUNT($C9)=1,EOMONTH(S$8,0)-$C9,"N/D")</f>
        <v>228</v>
      </c>
      <c r="T110" s="28" t="n">
        <f aca="false">IF(COUNT($C9)=1,EOMONTH(T$8,0)-$C9,"N/D")</f>
        <v>258</v>
      </c>
      <c r="U110" s="28" t="n">
        <f aca="false">IF(COUNT($C9)=1,EOMONTH(U$8,0)-$C9,"N/D")</f>
        <v>289</v>
      </c>
      <c r="V110" s="28" t="n">
        <f aca="false">IF(COUNT($C9)=1,EOMONTH(V$8,0)-$C9,"N/D")</f>
        <v>319</v>
      </c>
      <c r="W110" s="28" t="n">
        <f aca="false">IF(COUNT($C9)=1,EOMONTH(W$8,0)-$C9,"N/D")</f>
        <v>350</v>
      </c>
    </row>
    <row r="111" customFormat="false" ht="19.5" hidden="false" customHeight="true" outlineLevel="0" collapsed="false">
      <c r="C111" s="31" t="n">
        <f aca="false">C10</f>
        <v>46433</v>
      </c>
      <c r="L111" s="28" t="n">
        <f aca="false">IF(COUNT($C10)=1,EOMONTH(L$8,0)-$C10,"N/D")</f>
        <v>-15</v>
      </c>
      <c r="M111" s="28" t="n">
        <f aca="false">IF(COUNT($C10)=1,EOMONTH(M$8,0)-$C10,"N/D")</f>
        <v>13</v>
      </c>
      <c r="N111" s="28" t="n">
        <f aca="false">IF(COUNT($C10)=1,EOMONTH(N$8,0)-$C10,"N/D")</f>
        <v>44</v>
      </c>
      <c r="O111" s="28" t="n">
        <f aca="false">IF(COUNT($C10)=1,EOMONTH(O$8,0)-$C10,"N/D")</f>
        <v>74</v>
      </c>
      <c r="P111" s="28" t="n">
        <f aca="false">IF(COUNT($C10)=1,EOMONTH(P$8,0)-$C10,"N/D")</f>
        <v>105</v>
      </c>
      <c r="Q111" s="28" t="n">
        <f aca="false">IF(COUNT($C10)=1,EOMONTH(Q$8,0)-$C10,"N/D")</f>
        <v>135</v>
      </c>
      <c r="R111" s="28" t="n">
        <f aca="false">IF(COUNT($C10)=1,EOMONTH(R$8,0)-$C10,"N/D")</f>
        <v>166</v>
      </c>
      <c r="S111" s="28" t="n">
        <f aca="false">IF(COUNT($C10)=1,EOMONTH(S$8,0)-$C10,"N/D")</f>
        <v>197</v>
      </c>
      <c r="T111" s="28" t="n">
        <f aca="false">IF(COUNT($C10)=1,EOMONTH(T$8,0)-$C10,"N/D")</f>
        <v>227</v>
      </c>
      <c r="U111" s="28" t="n">
        <f aca="false">IF(COUNT($C10)=1,EOMONTH(U$8,0)-$C10,"N/D")</f>
        <v>258</v>
      </c>
      <c r="V111" s="28" t="n">
        <f aca="false">IF(COUNT($C10)=1,EOMONTH(V$8,0)-$C10,"N/D")</f>
        <v>288</v>
      </c>
      <c r="W111" s="28" t="n">
        <f aca="false">IF(COUNT($C10)=1,EOMONTH(W$8,0)-$C10,"N/D")</f>
        <v>319</v>
      </c>
    </row>
    <row r="112" customFormat="false" ht="19.5" hidden="false" customHeight="true" outlineLevel="0" collapsed="false">
      <c r="C112" s="31" t="n">
        <f aca="false">C11</f>
        <v>46461</v>
      </c>
      <c r="L112" s="28" t="n">
        <f aca="false">IF(COUNT($C11)=1,EOMONTH(L$8,0)-$C11,"N/D")</f>
        <v>-43</v>
      </c>
      <c r="M112" s="28" t="n">
        <f aca="false">IF(COUNT($C11)=1,EOMONTH(M$8,0)-$C11,"N/D")</f>
        <v>-15</v>
      </c>
      <c r="N112" s="28" t="n">
        <f aca="false">IF(COUNT($C11)=1,EOMONTH(N$8,0)-$C11,"N/D")</f>
        <v>16</v>
      </c>
      <c r="O112" s="28" t="n">
        <f aca="false">IF(COUNT($C11)=1,EOMONTH(O$8,0)-$C11,"N/D")</f>
        <v>46</v>
      </c>
      <c r="P112" s="28" t="n">
        <f aca="false">IF(COUNT($C11)=1,EOMONTH(P$8,0)-$C11,"N/D")</f>
        <v>77</v>
      </c>
      <c r="Q112" s="28" t="n">
        <f aca="false">IF(COUNT($C11)=1,EOMONTH(Q$8,0)-$C11,"N/D")</f>
        <v>107</v>
      </c>
      <c r="R112" s="28" t="n">
        <f aca="false">IF(COUNT($C11)=1,EOMONTH(R$8,0)-$C11,"N/D")</f>
        <v>138</v>
      </c>
      <c r="S112" s="28" t="n">
        <f aca="false">IF(COUNT($C11)=1,EOMONTH(S$8,0)-$C11,"N/D")</f>
        <v>169</v>
      </c>
      <c r="T112" s="28" t="n">
        <f aca="false">IF(COUNT($C11)=1,EOMONTH(T$8,0)-$C11,"N/D")</f>
        <v>199</v>
      </c>
      <c r="U112" s="28" t="n">
        <f aca="false">IF(COUNT($C11)=1,EOMONTH(U$8,0)-$C11,"N/D")</f>
        <v>230</v>
      </c>
      <c r="V112" s="28" t="n">
        <f aca="false">IF(COUNT($C11)=1,EOMONTH(V$8,0)-$C11,"N/D")</f>
        <v>260</v>
      </c>
      <c r="W112" s="28" t="n">
        <f aca="false">IF(COUNT($C11)=1,EOMONTH(W$8,0)-$C11,"N/D")</f>
        <v>291</v>
      </c>
    </row>
    <row r="113" customFormat="false" ht="19.5" hidden="false" customHeight="true" outlineLevel="0" collapsed="false">
      <c r="C113" s="31" t="n">
        <f aca="false">C12</f>
        <v>46492</v>
      </c>
      <c r="L113" s="28" t="n">
        <f aca="false">IF(COUNT($C12)=1,EOMONTH(L$8,0)-$C12,"N/D")</f>
        <v>-74</v>
      </c>
      <c r="M113" s="28" t="n">
        <f aca="false">IF(COUNT($C12)=1,EOMONTH(M$8,0)-$C12,"N/D")</f>
        <v>-46</v>
      </c>
      <c r="N113" s="28" t="n">
        <f aca="false">IF(COUNT($C12)=1,EOMONTH(N$8,0)-$C12,"N/D")</f>
        <v>-15</v>
      </c>
      <c r="O113" s="28" t="n">
        <f aca="false">IF(COUNT($C12)=1,EOMONTH(O$8,0)-$C12,"N/D")</f>
        <v>15</v>
      </c>
      <c r="P113" s="28" t="n">
        <f aca="false">IF(COUNT($C12)=1,EOMONTH(P$8,0)-$C12,"N/D")</f>
        <v>46</v>
      </c>
      <c r="Q113" s="28" t="n">
        <f aca="false">IF(COUNT($C12)=1,EOMONTH(Q$8,0)-$C12,"N/D")</f>
        <v>76</v>
      </c>
      <c r="R113" s="28" t="n">
        <f aca="false">IF(COUNT($C12)=1,EOMONTH(R$8,0)-$C12,"N/D")</f>
        <v>107</v>
      </c>
      <c r="S113" s="28" t="n">
        <f aca="false">IF(COUNT($C12)=1,EOMONTH(S$8,0)-$C12,"N/D")</f>
        <v>138</v>
      </c>
      <c r="T113" s="28" t="n">
        <f aca="false">IF(COUNT($C12)=1,EOMONTH(T$8,0)-$C12,"N/D")</f>
        <v>168</v>
      </c>
      <c r="U113" s="28" t="n">
        <f aca="false">IF(COUNT($C12)=1,EOMONTH(U$8,0)-$C12,"N/D")</f>
        <v>199</v>
      </c>
      <c r="V113" s="28" t="n">
        <f aca="false">IF(COUNT($C12)=1,EOMONTH(V$8,0)-$C12,"N/D")</f>
        <v>229</v>
      </c>
      <c r="W113" s="28" t="n">
        <f aca="false">IF(COUNT($C12)=1,EOMONTH(W$8,0)-$C12,"N/D")</f>
        <v>260</v>
      </c>
    </row>
    <row r="114" customFormat="false" ht="19.5" hidden="false" customHeight="true" outlineLevel="0" collapsed="false">
      <c r="C114" s="31" t="n">
        <f aca="false">C13</f>
        <v>46522</v>
      </c>
      <c r="L114" s="28" t="n">
        <f aca="false">IF(COUNT($C13)=1,EOMONTH(L$8,0)-$C13,"N/D")</f>
        <v>-104</v>
      </c>
      <c r="M114" s="28" t="n">
        <f aca="false">IF(COUNT($C13)=1,EOMONTH(M$8,0)-$C13,"N/D")</f>
        <v>-76</v>
      </c>
      <c r="N114" s="28" t="n">
        <f aca="false">IF(COUNT($C13)=1,EOMONTH(N$8,0)-$C13,"N/D")</f>
        <v>-45</v>
      </c>
      <c r="O114" s="28" t="n">
        <f aca="false">IF(COUNT($C13)=1,EOMONTH(O$8,0)-$C13,"N/D")</f>
        <v>-15</v>
      </c>
      <c r="P114" s="28" t="n">
        <f aca="false">IF(COUNT($C13)=1,EOMONTH(P$8,0)-$C13,"N/D")</f>
        <v>16</v>
      </c>
      <c r="Q114" s="28" t="n">
        <f aca="false">IF(COUNT($C13)=1,EOMONTH(Q$8,0)-$C13,"N/D")</f>
        <v>46</v>
      </c>
      <c r="R114" s="28" t="n">
        <f aca="false">IF(COUNT($C13)=1,EOMONTH(R$8,0)-$C13,"N/D")</f>
        <v>77</v>
      </c>
      <c r="S114" s="28" t="n">
        <f aca="false">IF(COUNT($C13)=1,EOMONTH(S$8,0)-$C13,"N/D")</f>
        <v>108</v>
      </c>
      <c r="T114" s="28" t="n">
        <f aca="false">IF(COUNT($C13)=1,EOMONTH(T$8,0)-$C13,"N/D")</f>
        <v>138</v>
      </c>
      <c r="U114" s="28" t="n">
        <f aca="false">IF(COUNT($C13)=1,EOMONTH(U$8,0)-$C13,"N/D")</f>
        <v>169</v>
      </c>
      <c r="V114" s="28" t="n">
        <f aca="false">IF(COUNT($C13)=1,EOMONTH(V$8,0)-$C13,"N/D")</f>
        <v>199</v>
      </c>
      <c r="W114" s="28" t="n">
        <f aca="false">IF(COUNT($C13)=1,EOMONTH(W$8,0)-$C13,"N/D")</f>
        <v>230</v>
      </c>
    </row>
    <row r="115" customFormat="false" ht="19.5" hidden="false" customHeight="true" outlineLevel="0" collapsed="false">
      <c r="C115" s="31" t="n">
        <f aca="false">C14</f>
        <v>46553</v>
      </c>
      <c r="L115" s="28" t="n">
        <f aca="false">IF(COUNT($C14)=1,EOMONTH(L$8,0)-$C14,"N/D")</f>
        <v>-135</v>
      </c>
      <c r="M115" s="28" t="n">
        <f aca="false">IF(COUNT($C14)=1,EOMONTH(M$8,0)-$C14,"N/D")</f>
        <v>-107</v>
      </c>
      <c r="N115" s="28" t="n">
        <f aca="false">IF(COUNT($C14)=1,EOMONTH(N$8,0)-$C14,"N/D")</f>
        <v>-76</v>
      </c>
      <c r="O115" s="28" t="n">
        <f aca="false">IF(COUNT($C14)=1,EOMONTH(O$8,0)-$C14,"N/D")</f>
        <v>-46</v>
      </c>
      <c r="P115" s="28" t="n">
        <f aca="false">IF(COUNT($C14)=1,EOMONTH(P$8,0)-$C14,"N/D")</f>
        <v>-15</v>
      </c>
      <c r="Q115" s="28" t="n">
        <f aca="false">IF(COUNT($C14)=1,EOMONTH(Q$8,0)-$C14,"N/D")</f>
        <v>15</v>
      </c>
      <c r="R115" s="28" t="n">
        <f aca="false">IF(COUNT($C14)=1,EOMONTH(R$8,0)-$C14,"N/D")</f>
        <v>46</v>
      </c>
      <c r="S115" s="28" t="n">
        <f aca="false">IF(COUNT($C14)=1,EOMONTH(S$8,0)-$C14,"N/D")</f>
        <v>77</v>
      </c>
      <c r="T115" s="28" t="n">
        <f aca="false">IF(COUNT($C14)=1,EOMONTH(T$8,0)-$C14,"N/D")</f>
        <v>107</v>
      </c>
      <c r="U115" s="28" t="n">
        <f aca="false">IF(COUNT($C14)=1,EOMONTH(U$8,0)-$C14,"N/D")</f>
        <v>138</v>
      </c>
      <c r="V115" s="28" t="n">
        <f aca="false">IF(COUNT($C14)=1,EOMONTH(V$8,0)-$C14,"N/D")</f>
        <v>168</v>
      </c>
      <c r="W115" s="28" t="n">
        <f aca="false">IF(COUNT($C14)=1,EOMONTH(W$8,0)-$C14,"N/D")</f>
        <v>199</v>
      </c>
    </row>
    <row r="116" customFormat="false" ht="19.5" hidden="false" customHeight="true" outlineLevel="0" collapsed="false">
      <c r="C116" s="31" t="n">
        <f aca="false">C15</f>
        <v>46583</v>
      </c>
      <c r="L116" s="28" t="n">
        <f aca="false">IF(COUNT($C15)=1,EOMONTH(L$8,0)-$C15,"N/D")</f>
        <v>-165</v>
      </c>
      <c r="M116" s="28" t="n">
        <f aca="false">IF(COUNT($C15)=1,EOMONTH(M$8,0)-$C15,"N/D")</f>
        <v>-137</v>
      </c>
      <c r="N116" s="28" t="n">
        <f aca="false">IF(COUNT($C15)=1,EOMONTH(N$8,0)-$C15,"N/D")</f>
        <v>-106</v>
      </c>
      <c r="O116" s="28" t="n">
        <f aca="false">IF(COUNT($C15)=1,EOMONTH(O$8,0)-$C15,"N/D")</f>
        <v>-76</v>
      </c>
      <c r="P116" s="28" t="n">
        <f aca="false">IF(COUNT($C15)=1,EOMONTH(P$8,0)-$C15,"N/D")</f>
        <v>-45</v>
      </c>
      <c r="Q116" s="28" t="n">
        <f aca="false">IF(COUNT($C15)=1,EOMONTH(Q$8,0)-$C15,"N/D")</f>
        <v>-15</v>
      </c>
      <c r="R116" s="28" t="n">
        <f aca="false">IF(COUNT($C15)=1,EOMONTH(R$8,0)-$C15,"N/D")</f>
        <v>16</v>
      </c>
      <c r="S116" s="28" t="n">
        <f aca="false">IF(COUNT($C15)=1,EOMONTH(S$8,0)-$C15,"N/D")</f>
        <v>47</v>
      </c>
      <c r="T116" s="28" t="n">
        <f aca="false">IF(COUNT($C15)=1,EOMONTH(T$8,0)-$C15,"N/D")</f>
        <v>77</v>
      </c>
      <c r="U116" s="28" t="n">
        <f aca="false">IF(COUNT($C15)=1,EOMONTH(U$8,0)-$C15,"N/D")</f>
        <v>108</v>
      </c>
      <c r="V116" s="28" t="n">
        <f aca="false">IF(COUNT($C15)=1,EOMONTH(V$8,0)-$C15,"N/D")</f>
        <v>138</v>
      </c>
      <c r="W116" s="28" t="n">
        <f aca="false">IF(COUNT($C15)=1,EOMONTH(W$8,0)-$C15,"N/D")</f>
        <v>169</v>
      </c>
    </row>
    <row r="117" customFormat="false" ht="19.5" hidden="false" customHeight="true" outlineLevel="0" collapsed="false">
      <c r="C117" s="31" t="n">
        <f aca="false">C16</f>
        <v>46614</v>
      </c>
      <c r="L117" s="28" t="n">
        <f aca="false">IF(COUNT($C16)=1,EOMONTH(L$8,0)-$C16,"N/D")</f>
        <v>-196</v>
      </c>
      <c r="M117" s="28" t="n">
        <f aca="false">IF(COUNT($C16)=1,EOMONTH(M$8,0)-$C16,"N/D")</f>
        <v>-168</v>
      </c>
      <c r="N117" s="28" t="n">
        <f aca="false">IF(COUNT($C16)=1,EOMONTH(N$8,0)-$C16,"N/D")</f>
        <v>-137</v>
      </c>
      <c r="O117" s="28" t="n">
        <f aca="false">IF(COUNT($C16)=1,EOMONTH(O$8,0)-$C16,"N/D")</f>
        <v>-107</v>
      </c>
      <c r="P117" s="28" t="n">
        <f aca="false">IF(COUNT($C16)=1,EOMONTH(P$8,0)-$C16,"N/D")</f>
        <v>-76</v>
      </c>
      <c r="Q117" s="28" t="n">
        <f aca="false">IF(COUNT($C16)=1,EOMONTH(Q$8,0)-$C16,"N/D")</f>
        <v>-46</v>
      </c>
      <c r="R117" s="28" t="n">
        <f aca="false">IF(COUNT($C16)=1,EOMONTH(R$8,0)-$C16,"N/D")</f>
        <v>-15</v>
      </c>
      <c r="S117" s="28" t="n">
        <f aca="false">IF(COUNT($C16)=1,EOMONTH(S$8,0)-$C16,"N/D")</f>
        <v>16</v>
      </c>
      <c r="T117" s="28" t="n">
        <f aca="false">IF(COUNT($C16)=1,EOMONTH(T$8,0)-$C16,"N/D")</f>
        <v>46</v>
      </c>
      <c r="U117" s="28" t="n">
        <f aca="false">IF(COUNT($C16)=1,EOMONTH(U$8,0)-$C16,"N/D")</f>
        <v>77</v>
      </c>
      <c r="V117" s="28" t="n">
        <f aca="false">IF(COUNT($C16)=1,EOMONTH(V$8,0)-$C16,"N/D")</f>
        <v>107</v>
      </c>
      <c r="W117" s="28" t="n">
        <f aca="false">IF(COUNT($C16)=1,EOMONTH(W$8,0)-$C16,"N/D")</f>
        <v>138</v>
      </c>
    </row>
    <row r="118" customFormat="false" ht="19.5" hidden="false" customHeight="true" outlineLevel="0" collapsed="false">
      <c r="C118" s="31" t="n">
        <f aca="false">C17</f>
        <v>46645</v>
      </c>
      <c r="L118" s="28" t="n">
        <f aca="false">IF(COUNT($C17)=1,EOMONTH(L$8,0)-$C17,"N/D")</f>
        <v>-227</v>
      </c>
      <c r="M118" s="28" t="n">
        <f aca="false">IF(COUNT($C17)=1,EOMONTH(M$8,0)-$C17,"N/D")</f>
        <v>-199</v>
      </c>
      <c r="N118" s="28" t="n">
        <f aca="false">IF(COUNT($C17)=1,EOMONTH(N$8,0)-$C17,"N/D")</f>
        <v>-168</v>
      </c>
      <c r="O118" s="28" t="n">
        <f aca="false">IF(COUNT($C17)=1,EOMONTH(O$8,0)-$C17,"N/D")</f>
        <v>-138</v>
      </c>
      <c r="P118" s="28" t="n">
        <f aca="false">IF(COUNT($C17)=1,EOMONTH(P$8,0)-$C17,"N/D")</f>
        <v>-107</v>
      </c>
      <c r="Q118" s="28" t="n">
        <f aca="false">IF(COUNT($C17)=1,EOMONTH(Q$8,0)-$C17,"N/D")</f>
        <v>-77</v>
      </c>
      <c r="R118" s="28" t="n">
        <f aca="false">IF(COUNT($C17)=1,EOMONTH(R$8,0)-$C17,"N/D")</f>
        <v>-46</v>
      </c>
      <c r="S118" s="28" t="n">
        <f aca="false">IF(COUNT($C17)=1,EOMONTH(S$8,0)-$C17,"N/D")</f>
        <v>-15</v>
      </c>
      <c r="T118" s="28" t="n">
        <f aca="false">IF(COUNT($C17)=1,EOMONTH(T$8,0)-$C17,"N/D")</f>
        <v>15</v>
      </c>
      <c r="U118" s="28" t="n">
        <f aca="false">IF(COUNT($C17)=1,EOMONTH(U$8,0)-$C17,"N/D")</f>
        <v>46</v>
      </c>
      <c r="V118" s="28" t="n">
        <f aca="false">IF(COUNT($C17)=1,EOMONTH(V$8,0)-$C17,"N/D")</f>
        <v>76</v>
      </c>
      <c r="W118" s="28" t="n">
        <f aca="false">IF(COUNT($C17)=1,EOMONTH(W$8,0)-$C17,"N/D")</f>
        <v>107</v>
      </c>
    </row>
    <row r="119" customFormat="false" ht="19.5" hidden="false" customHeight="true" outlineLevel="0" collapsed="false">
      <c r="C119" s="31" t="n">
        <f aca="false">C18</f>
        <v>46675</v>
      </c>
      <c r="L119" s="28" t="n">
        <f aca="false">IF(COUNT($C18)=1,EOMONTH(L$8,0)-$C18,"N/D")</f>
        <v>-257</v>
      </c>
      <c r="M119" s="28" t="n">
        <f aca="false">IF(COUNT($C18)=1,EOMONTH(M$8,0)-$C18,"N/D")</f>
        <v>-229</v>
      </c>
      <c r="N119" s="28" t="n">
        <f aca="false">IF(COUNT($C18)=1,EOMONTH(N$8,0)-$C18,"N/D")</f>
        <v>-198</v>
      </c>
      <c r="O119" s="28" t="n">
        <f aca="false">IF(COUNT($C18)=1,EOMONTH(O$8,0)-$C18,"N/D")</f>
        <v>-168</v>
      </c>
      <c r="P119" s="28" t="n">
        <f aca="false">IF(COUNT($C18)=1,EOMONTH(P$8,0)-$C18,"N/D")</f>
        <v>-137</v>
      </c>
      <c r="Q119" s="28" t="n">
        <f aca="false">IF(COUNT($C18)=1,EOMONTH(Q$8,0)-$C18,"N/D")</f>
        <v>-107</v>
      </c>
      <c r="R119" s="28" t="n">
        <f aca="false">IF(COUNT($C18)=1,EOMONTH(R$8,0)-$C18,"N/D")</f>
        <v>-76</v>
      </c>
      <c r="S119" s="28" t="n">
        <f aca="false">IF(COUNT($C18)=1,EOMONTH(S$8,0)-$C18,"N/D")</f>
        <v>-45</v>
      </c>
      <c r="T119" s="28" t="n">
        <f aca="false">IF(COUNT($C18)=1,EOMONTH(T$8,0)-$C18,"N/D")</f>
        <v>-15</v>
      </c>
      <c r="U119" s="28" t="n">
        <f aca="false">IF(COUNT($C18)=1,EOMONTH(U$8,0)-$C18,"N/D")</f>
        <v>16</v>
      </c>
      <c r="V119" s="28" t="n">
        <f aca="false">IF(COUNT($C18)=1,EOMONTH(V$8,0)-$C18,"N/D")</f>
        <v>46</v>
      </c>
      <c r="W119" s="28" t="n">
        <f aca="false">IF(COUNT($C18)=1,EOMONTH(W$8,0)-$C18,"N/D")</f>
        <v>77</v>
      </c>
    </row>
    <row r="120" customFormat="false" ht="19.5" hidden="false" customHeight="true" outlineLevel="0" collapsed="false">
      <c r="C120" s="31" t="n">
        <f aca="false">C19</f>
        <v>46706</v>
      </c>
      <c r="L120" s="28" t="n">
        <f aca="false">IF(COUNT($C19)=1,EOMONTH(L$8,0)-$C19,"N/D")</f>
        <v>-288</v>
      </c>
      <c r="M120" s="28" t="n">
        <f aca="false">IF(COUNT($C19)=1,EOMONTH(M$8,0)-$C19,"N/D")</f>
        <v>-260</v>
      </c>
      <c r="N120" s="28" t="n">
        <f aca="false">IF(COUNT($C19)=1,EOMONTH(N$8,0)-$C19,"N/D")</f>
        <v>-229</v>
      </c>
      <c r="O120" s="28" t="n">
        <f aca="false">IF(COUNT($C19)=1,EOMONTH(O$8,0)-$C19,"N/D")</f>
        <v>-199</v>
      </c>
      <c r="P120" s="28" t="n">
        <f aca="false">IF(COUNT($C19)=1,EOMONTH(P$8,0)-$C19,"N/D")</f>
        <v>-168</v>
      </c>
      <c r="Q120" s="28" t="n">
        <f aca="false">IF(COUNT($C19)=1,EOMONTH(Q$8,0)-$C19,"N/D")</f>
        <v>-138</v>
      </c>
      <c r="R120" s="28" t="n">
        <f aca="false">IF(COUNT($C19)=1,EOMONTH(R$8,0)-$C19,"N/D")</f>
        <v>-107</v>
      </c>
      <c r="S120" s="28" t="n">
        <f aca="false">IF(COUNT($C19)=1,EOMONTH(S$8,0)-$C19,"N/D")</f>
        <v>-76</v>
      </c>
      <c r="T120" s="28" t="n">
        <f aca="false">IF(COUNT($C19)=1,EOMONTH(T$8,0)-$C19,"N/D")</f>
        <v>-46</v>
      </c>
      <c r="U120" s="28" t="n">
        <f aca="false">IF(COUNT($C19)=1,EOMONTH(U$8,0)-$C19,"N/D")</f>
        <v>-15</v>
      </c>
      <c r="V120" s="28" t="n">
        <f aca="false">IF(COUNT($C19)=1,EOMONTH(V$8,0)-$C19,"N/D")</f>
        <v>15</v>
      </c>
      <c r="W120" s="28" t="n">
        <f aca="false">IF(COUNT($C19)=1,EOMONTH(W$8,0)-$C19,"N/D")</f>
        <v>46</v>
      </c>
    </row>
    <row r="121" customFormat="false" ht="19.5" hidden="false" customHeight="true" outlineLevel="0" collapsed="false">
      <c r="C121" s="31" t="n">
        <f aca="false">C20</f>
        <v>46736</v>
      </c>
      <c r="L121" s="28" t="n">
        <f aca="false">IF(COUNT($C20)=1,EOMONTH(L$8,0)-$C20,"N/D")</f>
        <v>-318</v>
      </c>
      <c r="M121" s="28" t="n">
        <f aca="false">IF(COUNT($C20)=1,EOMONTH(M$8,0)-$C20,"N/D")</f>
        <v>-290</v>
      </c>
      <c r="N121" s="28" t="n">
        <f aca="false">IF(COUNT($C20)=1,EOMONTH(N$8,0)-$C20,"N/D")</f>
        <v>-259</v>
      </c>
      <c r="O121" s="28" t="n">
        <f aca="false">IF(COUNT($C20)=1,EOMONTH(O$8,0)-$C20,"N/D")</f>
        <v>-229</v>
      </c>
      <c r="P121" s="28" t="n">
        <f aca="false">IF(COUNT($C20)=1,EOMONTH(P$8,0)-$C20,"N/D")</f>
        <v>-198</v>
      </c>
      <c r="Q121" s="28" t="n">
        <f aca="false">IF(COUNT($C20)=1,EOMONTH(Q$8,0)-$C20,"N/D")</f>
        <v>-168</v>
      </c>
      <c r="R121" s="28" t="n">
        <f aca="false">IF(COUNT($C20)=1,EOMONTH(R$8,0)-$C20,"N/D")</f>
        <v>-137</v>
      </c>
      <c r="S121" s="28" t="n">
        <f aca="false">IF(COUNT($C20)=1,EOMONTH(S$8,0)-$C20,"N/D")</f>
        <v>-106</v>
      </c>
      <c r="T121" s="28" t="n">
        <f aca="false">IF(COUNT($C20)=1,EOMONTH(T$8,0)-$C20,"N/D")</f>
        <v>-76</v>
      </c>
      <c r="U121" s="28" t="n">
        <f aca="false">IF(COUNT($C20)=1,EOMONTH(U$8,0)-$C20,"N/D")</f>
        <v>-45</v>
      </c>
      <c r="V121" s="28" t="n">
        <f aca="false">IF(COUNT($C20)=1,EOMONTH(V$8,0)-$C20,"N/D")</f>
        <v>-15</v>
      </c>
      <c r="W121" s="28" t="n">
        <f aca="false">IF(COUNT($C20)=1,EOMONTH(W$8,0)-$C20,"N/D")</f>
        <v>16</v>
      </c>
    </row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30" hidden="false" customHeight="true" outlineLevel="0" collapsed="false">
      <c r="C127" s="30" t="s">
        <v>171</v>
      </c>
      <c r="D127" s="30"/>
      <c r="E127" s="30"/>
      <c r="F127" s="30"/>
      <c r="G127" s="30"/>
      <c r="H127" s="30"/>
      <c r="I127" s="30"/>
      <c r="J127" s="30"/>
      <c r="K127" s="30"/>
      <c r="L127" s="5" t="s">
        <v>144</v>
      </c>
      <c r="M127" s="5" t="s">
        <v>145</v>
      </c>
      <c r="N127" s="5" t="s">
        <v>146</v>
      </c>
      <c r="O127" s="5" t="s">
        <v>147</v>
      </c>
      <c r="P127" s="5" t="s">
        <v>148</v>
      </c>
      <c r="Q127" s="5" t="s">
        <v>149</v>
      </c>
      <c r="R127" s="5" t="s">
        <v>150</v>
      </c>
      <c r="S127" s="5" t="s">
        <v>151</v>
      </c>
      <c r="T127" s="5" t="s">
        <v>152</v>
      </c>
      <c r="U127" s="5" t="s">
        <v>153</v>
      </c>
      <c r="V127" s="5" t="s">
        <v>154</v>
      </c>
      <c r="W127" s="5" t="s">
        <v>155</v>
      </c>
    </row>
    <row r="128" customFormat="false" ht="19.5" hidden="false" customHeight="true" outlineLevel="0" collapsed="false"/>
    <row r="129" customFormat="false" ht="19.5" hidden="false" customHeight="true" outlineLevel="0" collapsed="false">
      <c r="C129" s="31" t="n">
        <f aca="false">C9</f>
        <v>46402</v>
      </c>
      <c r="L129" s="10" t="n">
        <f aca="false">IF(COUNT(L110,$G9:$K9)=6,IF(L110&lt;0,0,IF(L110&lt;30,1+($G9-1)*L110/30,IF(L110&lt;60,$G9+($H9-$G9)*(L110-30)/30,IF(L110&lt;90,$H9+($I9-$H9)*(L110-60)/30,IF(L110&lt;180,$I9+($J9-$I9)*(L110-90)/90,IF(L110&lt;=365,$J9+($K9-$J9)*(L110-180)/185,$K9)))))),"N/D")</f>
        <v>0.973333333333333</v>
      </c>
      <c r="M129" s="10" t="n">
        <f aca="false">IF(COUNT(M110,$G9:$K9)=6,IF(M110&lt;0,0,IF(M110&lt;30,1+($G9-1)*M110/30,IF(M110&lt;60,$G9+($H9-$G9)*(M110-30)/30,IF(M110&lt;90,$H9+($I9-$H9)*(M110-60)/30,IF(M110&lt;180,$I9+($J9-$I9)*(M110-90)/90,IF(M110&lt;=365,$J9+($K9-$J9)*(M110-180)/185,$K9)))))),"N/D")</f>
        <v>0.926666666666667</v>
      </c>
      <c r="N129" s="10" t="n">
        <f aca="false">IF(COUNT(N110,$G9:$K9)=6,IF(N110&lt;0,0,IF(N110&lt;30,1+($G9-1)*N110/30,IF(N110&lt;60,$G9+($H9-$G9)*(N110-30)/30,IF(N110&lt;90,$H9+($I9-$H9)*(N110-60)/30,IF(N110&lt;180,$I9+($J9-$I9)*(N110-90)/90,IF(N110&lt;=365,$J9+($K9-$J9)*(N110-180)/185,$K9)))))),"N/D")</f>
        <v>0.875</v>
      </c>
      <c r="O129" s="10" t="n">
        <f aca="false">IF(COUNT(O110,$G9:$K9)=6,IF(O110&lt;0,0,IF(O110&lt;30,1+($G9-1)*O110/30,IF(O110&lt;60,$G9+($H9-$G9)*(O110-30)/30,IF(O110&lt;90,$H9+($I9-$H9)*(O110-60)/30,IF(O110&lt;180,$I9+($J9-$I9)*(O110-90)/90,IF(O110&lt;=365,$J9+($K9-$J9)*(O110-180)/185,$K9)))))),"N/D")</f>
        <v>0.841666666666667</v>
      </c>
      <c r="P129" s="10" t="n">
        <f aca="false">IF(COUNT(P110,$G9:$K9)=6,IF(P110&lt;0,0,IF(P110&lt;30,1+($G9-1)*P110/30,IF(P110&lt;60,$G9+($H9-$G9)*(P110-30)/30,IF(P110&lt;90,$H9+($I9-$H9)*(P110-60)/30,IF(P110&lt;180,$I9+($J9-$I9)*(P110-90)/90,IF(P110&lt;=365,$J9+($K9-$J9)*(P110-180)/185,$K9)))))),"N/D")</f>
        <v>0.824444444444444</v>
      </c>
      <c r="Q129" s="10" t="n">
        <f aca="false">IF(COUNT(Q110,$G9:$K9)=6,IF(Q110&lt;0,0,IF(Q110&lt;30,1+($G9-1)*Q110/30,IF(Q110&lt;60,$G9+($H9-$G9)*(Q110-30)/30,IF(Q110&lt;90,$H9+($I9-$H9)*(Q110-60)/30,IF(Q110&lt;180,$I9+($J9-$I9)*(Q110-90)/90,IF(Q110&lt;=365,$J9+($K9-$J9)*(Q110-180)/185,$K9)))))),"N/D")</f>
        <v>0.807777777777778</v>
      </c>
      <c r="R129" s="10" t="n">
        <f aca="false">IF(COUNT(R110,$G9:$K9)=6,IF(R110&lt;0,0,IF(R110&lt;30,1+($G9-1)*R110/30,IF(R110&lt;60,$G9+($H9-$G9)*(R110-30)/30,IF(R110&lt;90,$H9+($I9-$H9)*(R110-60)/30,IF(R110&lt;180,$I9+($J9-$I9)*(R110-90)/90,IF(R110&lt;=365,$J9+($K9-$J9)*(R110-180)/185,$K9)))))),"N/D")</f>
        <v>0.795405405405406</v>
      </c>
      <c r="S129" s="10" t="n">
        <f aca="false">IF(COUNT(S110,$G9:$K9)=6,IF(S110&lt;0,0,IF(S110&lt;30,1+($G9-1)*S110/30,IF(S110&lt;60,$G9+($H9-$G9)*(S110-30)/30,IF(S110&lt;90,$H9+($I9-$H9)*(S110-60)/30,IF(S110&lt;180,$I9+($J9-$I9)*(S110-90)/90,IF(S110&lt;=365,$J9+($K9-$J9)*(S110-180)/185,$K9)))))),"N/D")</f>
        <v>0.787027027027027</v>
      </c>
      <c r="T129" s="10" t="n">
        <f aca="false">IF(COUNT(T110,$G9:$K9)=6,IF(T110&lt;0,0,IF(T110&lt;30,1+($G9-1)*T110/30,IF(T110&lt;60,$G9+($H9-$G9)*(T110-30)/30,IF(T110&lt;90,$H9+($I9-$H9)*(T110-60)/30,IF(T110&lt;180,$I9+($J9-$I9)*(T110-90)/90,IF(T110&lt;=365,$J9+($K9-$J9)*(T110-180)/185,$K9)))))),"N/D")</f>
        <v>0.778918918918919</v>
      </c>
      <c r="U129" s="10" t="n">
        <f aca="false">IF(COUNT(U110,$G9:$K9)=6,IF(U110&lt;0,0,IF(U110&lt;30,1+($G9-1)*U110/30,IF(U110&lt;60,$G9+($H9-$G9)*(U110-30)/30,IF(U110&lt;90,$H9+($I9-$H9)*(U110-60)/30,IF(U110&lt;180,$I9+($J9-$I9)*(U110-90)/90,IF(U110&lt;=365,$J9+($K9-$J9)*(U110-180)/185,$K9)))))),"N/D")</f>
        <v>0.770540540540541</v>
      </c>
      <c r="V129" s="10" t="n">
        <f aca="false">IF(COUNT(V110,$G9:$K9)=6,IF(V110&lt;0,0,IF(V110&lt;30,1+($G9-1)*V110/30,IF(V110&lt;60,$G9+($H9-$G9)*(V110-30)/30,IF(V110&lt;90,$H9+($I9-$H9)*(V110-60)/30,IF(V110&lt;180,$I9+($J9-$I9)*(V110-90)/90,IF(V110&lt;=365,$J9+($K9-$J9)*(V110-180)/185,$K9)))))),"N/D")</f>
        <v>0.762432432432432</v>
      </c>
      <c r="W129" s="10" t="n">
        <f aca="false">IF(COUNT(W110,$G9:$K9)=6,IF(W110&lt;0,0,IF(W110&lt;30,1+($G9-1)*W110/30,IF(W110&lt;60,$G9+($H9-$G9)*(W110-30)/30,IF(W110&lt;90,$H9+($I9-$H9)*(W110-60)/30,IF(W110&lt;180,$I9+($J9-$I9)*(W110-90)/90,IF(W110&lt;=365,$J9+($K9-$J9)*(W110-180)/185,$K9)))))),"N/D")</f>
        <v>0.754054054054054</v>
      </c>
    </row>
    <row r="130" customFormat="false" ht="19.5" hidden="false" customHeight="true" outlineLevel="0" collapsed="false">
      <c r="C130" s="31" t="n">
        <f aca="false">C10</f>
        <v>46433</v>
      </c>
      <c r="L130" s="10" t="n">
        <f aca="false">IF(COUNT(L111,$G10:$K10)=6,IF(L111&lt;0,0,IF(L111&lt;30,1+($G10-1)*L111/30,IF(L111&lt;60,$G10+($H10-$G10)*(L111-30)/30,IF(L111&lt;90,$H10+($I10-$H10)*(L111-60)/30,IF(L111&lt;180,$I10+($J10-$I10)*(L111-90)/90,IF(L111&lt;=365,$J10+($K10-$J10)*(L111-180)/185,$K10)))))),"N/D")</f>
        <v>0</v>
      </c>
      <c r="M130" s="10" t="n">
        <f aca="false">IF(COUNT(M111,$G10:$K10)=6,IF(M111&lt;0,0,IF(M111&lt;30,1+($G10-1)*M111/30,IF(M111&lt;60,$G10+($H10-$G10)*(M111-30)/30,IF(M111&lt;90,$H10+($I10-$H10)*(M111-60)/30,IF(M111&lt;180,$I10+($J10-$I10)*(M111-90)/90,IF(M111&lt;=365,$J10+($K10-$J10)*(M111-180)/185,$K10)))))),"N/D")</f>
        <v>0.978333333333333</v>
      </c>
      <c r="N130" s="10" t="n">
        <f aca="false">IF(COUNT(N111,$G10:$K10)=6,IF(N111&lt;0,0,IF(N111&lt;30,1+($G10-1)*N111/30,IF(N111&lt;60,$G10+($H10-$G10)*(N111-30)/30,IF(N111&lt;90,$H10+($I10-$H10)*(N111-60)/30,IF(N111&lt;180,$I10+($J10-$I10)*(N111-90)/90,IF(N111&lt;=365,$J10+($K10-$J10)*(N111-180)/185,$K10)))))),"N/D")</f>
        <v>0.926666666666667</v>
      </c>
      <c r="O130" s="10" t="n">
        <f aca="false">IF(COUNT(O111,$G10:$K10)=6,IF(O111&lt;0,0,IF(O111&lt;30,1+($G10-1)*O111/30,IF(O111&lt;60,$G10+($H10-$G10)*(O111-30)/30,IF(O111&lt;90,$H10+($I10-$H10)*(O111-60)/30,IF(O111&lt;180,$I10+($J10-$I10)*(O111-90)/90,IF(O111&lt;=365,$J10+($K10-$J10)*(O111-180)/185,$K10)))))),"N/D")</f>
        <v>0.876666666666667</v>
      </c>
      <c r="P130" s="10" t="n">
        <f aca="false">IF(COUNT(P111,$G10:$K10)=6,IF(P111&lt;0,0,IF(P111&lt;30,1+($G10-1)*P111/30,IF(P111&lt;60,$G10+($H10-$G10)*(P111-30)/30,IF(P111&lt;90,$H10+($I10-$H10)*(P111-60)/30,IF(P111&lt;180,$I10+($J10-$I10)*(P111-90)/90,IF(P111&lt;=365,$J10+($K10-$J10)*(P111-180)/185,$K10)))))),"N/D")</f>
        <v>0.841666666666667</v>
      </c>
      <c r="Q130" s="10" t="n">
        <f aca="false">IF(COUNT(Q111,$G10:$K10)=6,IF(Q111&lt;0,0,IF(Q111&lt;30,1+($G10-1)*Q111/30,IF(Q111&lt;60,$G10+($H10-$G10)*(Q111-30)/30,IF(Q111&lt;90,$H10+($I10-$H10)*(Q111-60)/30,IF(Q111&lt;180,$I10+($J10-$I10)*(Q111-90)/90,IF(Q111&lt;=365,$J10+($K10-$J10)*(Q111-180)/185,$K10)))))),"N/D")</f>
        <v>0.825</v>
      </c>
      <c r="R130" s="10" t="n">
        <f aca="false">IF(COUNT(R111,$G10:$K10)=6,IF(R111&lt;0,0,IF(R111&lt;30,1+($G10-1)*R111/30,IF(R111&lt;60,$G10+($H10-$G10)*(R111-30)/30,IF(R111&lt;90,$H10+($I10-$H10)*(R111-60)/30,IF(R111&lt;180,$I10+($J10-$I10)*(R111-90)/90,IF(R111&lt;=365,$J10+($K10-$J10)*(R111-180)/185,$K10)))))),"N/D")</f>
        <v>0.807777777777778</v>
      </c>
      <c r="S130" s="10" t="n">
        <f aca="false">IF(COUNT(S111,$G10:$K10)=6,IF(S111&lt;0,0,IF(S111&lt;30,1+($G10-1)*S111/30,IF(S111&lt;60,$G10+($H10-$G10)*(S111-30)/30,IF(S111&lt;90,$H10+($I10-$H10)*(S111-60)/30,IF(S111&lt;180,$I10+($J10-$I10)*(S111-90)/90,IF(S111&lt;=365,$J10+($K10-$J10)*(S111-180)/185,$K10)))))),"N/D")</f>
        <v>0.795405405405406</v>
      </c>
      <c r="T130" s="10" t="n">
        <f aca="false">IF(COUNT(T111,$G10:$K10)=6,IF(T111&lt;0,0,IF(T111&lt;30,1+($G10-1)*T111/30,IF(T111&lt;60,$G10+($H10-$G10)*(T111-30)/30,IF(T111&lt;90,$H10+($I10-$H10)*(T111-60)/30,IF(T111&lt;180,$I10+($J10-$I10)*(T111-90)/90,IF(T111&lt;=365,$J10+($K10-$J10)*(T111-180)/185,$K10)))))),"N/D")</f>
        <v>0.787297297297297</v>
      </c>
      <c r="U130" s="10" t="n">
        <f aca="false">IF(COUNT(U111,$G10:$K10)=6,IF(U111&lt;0,0,IF(U111&lt;30,1+($G10-1)*U111/30,IF(U111&lt;60,$G10+($H10-$G10)*(U111-30)/30,IF(U111&lt;90,$H10+($I10-$H10)*(U111-60)/30,IF(U111&lt;180,$I10+($J10-$I10)*(U111-90)/90,IF(U111&lt;=365,$J10+($K10-$J10)*(U111-180)/185,$K10)))))),"N/D")</f>
        <v>0.778918918918919</v>
      </c>
      <c r="V130" s="10" t="n">
        <f aca="false">IF(COUNT(V111,$G10:$K10)=6,IF(V111&lt;0,0,IF(V111&lt;30,1+($G10-1)*V111/30,IF(V111&lt;60,$G10+($H10-$G10)*(V111-30)/30,IF(V111&lt;90,$H10+($I10-$H10)*(V111-60)/30,IF(V111&lt;180,$I10+($J10-$I10)*(V111-90)/90,IF(V111&lt;=365,$J10+($K10-$J10)*(V111-180)/185,$K10)))))),"N/D")</f>
        <v>0.770810810810811</v>
      </c>
      <c r="W130" s="10" t="n">
        <f aca="false">IF(COUNT(W111,$G10:$K10)=6,IF(W111&lt;0,0,IF(W111&lt;30,1+($G10-1)*W111/30,IF(W111&lt;60,$G10+($H10-$G10)*(W111-30)/30,IF(W111&lt;90,$H10+($I10-$H10)*(W111-60)/30,IF(W111&lt;180,$I10+($J10-$I10)*(W111-90)/90,IF(W111&lt;=365,$J10+($K10-$J10)*(W111-180)/185,$K10)))))),"N/D")</f>
        <v>0.762432432432432</v>
      </c>
    </row>
    <row r="131" customFormat="false" ht="19.5" hidden="false" customHeight="true" outlineLevel="0" collapsed="false">
      <c r="C131" s="31" t="n">
        <f aca="false">C11</f>
        <v>46461</v>
      </c>
      <c r="L131" s="10" t="n">
        <f aca="false">IF(COUNT(L112,$G11:$K11)=6,IF(L112&lt;0,0,IF(L112&lt;30,1+($G11-1)*L112/30,IF(L112&lt;60,$G11+($H11-$G11)*(L112-30)/30,IF(L112&lt;90,$H11+($I11-$H11)*(L112-60)/30,IF(L112&lt;180,$I11+($J11-$I11)*(L112-90)/90,IF(L112&lt;=365,$J11+($K11-$J11)*(L112-180)/185,$K11)))))),"N/D")</f>
        <v>0</v>
      </c>
      <c r="M131" s="10" t="n">
        <f aca="false">IF(COUNT(M112,$G11:$K11)=6,IF(M112&lt;0,0,IF(M112&lt;30,1+($G11-1)*M112/30,IF(M112&lt;60,$G11+($H11-$G11)*(M112-30)/30,IF(M112&lt;90,$H11+($I11-$H11)*(M112-60)/30,IF(M112&lt;180,$I11+($J11-$I11)*(M112-90)/90,IF(M112&lt;=365,$J11+($K11-$J11)*(M112-180)/185,$K11)))))),"N/D")</f>
        <v>0</v>
      </c>
      <c r="N131" s="10" t="n">
        <f aca="false">IF(COUNT(N112,$G11:$K11)=6,IF(N112&lt;0,0,IF(N112&lt;30,1+($G11-1)*N112/30,IF(N112&lt;60,$G11+($H11-$G11)*(N112-30)/30,IF(N112&lt;90,$H11+($I11-$H11)*(N112-60)/30,IF(N112&lt;180,$I11+($J11-$I11)*(N112-90)/90,IF(N112&lt;=365,$J11+($K11-$J11)*(N112-180)/185,$K11)))))),"N/D")</f>
        <v>0.973333333333333</v>
      </c>
      <c r="O131" s="10" t="n">
        <f aca="false">IF(COUNT(O112,$G11:$K11)=6,IF(O112&lt;0,0,IF(O112&lt;30,1+($G11-1)*O112/30,IF(O112&lt;60,$G11+($H11-$G11)*(O112-30)/30,IF(O112&lt;90,$H11+($I11-$H11)*(O112-60)/30,IF(O112&lt;180,$I11+($J11-$I11)*(O112-90)/90,IF(O112&lt;=365,$J11+($K11-$J11)*(O112-180)/185,$K11)))))),"N/D")</f>
        <v>0.923333333333333</v>
      </c>
      <c r="P131" s="10" t="n">
        <f aca="false">IF(COUNT(P112,$G11:$K11)=6,IF(P112&lt;0,0,IF(P112&lt;30,1+($G11-1)*P112/30,IF(P112&lt;60,$G11+($H11-$G11)*(P112-30)/30,IF(P112&lt;90,$H11+($I11-$H11)*(P112-60)/30,IF(P112&lt;180,$I11+($J11-$I11)*(P112-90)/90,IF(P112&lt;=365,$J11+($K11-$J11)*(P112-180)/185,$K11)))))),"N/D")</f>
        <v>0.871666666666667</v>
      </c>
      <c r="Q131" s="10" t="n">
        <f aca="false">IF(COUNT(Q112,$G11:$K11)=6,IF(Q112&lt;0,0,IF(Q112&lt;30,1+($G11-1)*Q112/30,IF(Q112&lt;60,$G11+($H11-$G11)*(Q112-30)/30,IF(Q112&lt;90,$H11+($I11-$H11)*(Q112-60)/30,IF(Q112&lt;180,$I11+($J11-$I11)*(Q112-90)/90,IF(Q112&lt;=365,$J11+($K11-$J11)*(Q112-180)/185,$K11)))))),"N/D")</f>
        <v>0.840555555555556</v>
      </c>
      <c r="R131" s="10" t="n">
        <f aca="false">IF(COUNT(R112,$G11:$K11)=6,IF(R112&lt;0,0,IF(R112&lt;30,1+($G11-1)*R112/30,IF(R112&lt;60,$G11+($H11-$G11)*(R112-30)/30,IF(R112&lt;90,$H11+($I11-$H11)*(R112-60)/30,IF(R112&lt;180,$I11+($J11-$I11)*(R112-90)/90,IF(R112&lt;=365,$J11+($K11-$J11)*(R112-180)/185,$K11)))))),"N/D")</f>
        <v>0.823333333333333</v>
      </c>
      <c r="S131" s="10" t="n">
        <f aca="false">IF(COUNT(S112,$G11:$K11)=6,IF(S112&lt;0,0,IF(S112&lt;30,1+($G11-1)*S112/30,IF(S112&lt;60,$G11+($H11-$G11)*(S112-30)/30,IF(S112&lt;90,$H11+($I11-$H11)*(S112-60)/30,IF(S112&lt;180,$I11+($J11-$I11)*(S112-90)/90,IF(S112&lt;=365,$J11+($K11-$J11)*(S112-180)/185,$K11)))))),"N/D")</f>
        <v>0.806111111111111</v>
      </c>
      <c r="T131" s="10" t="n">
        <f aca="false">IF(COUNT(T112,$G11:$K11)=6,IF(T112&lt;0,0,IF(T112&lt;30,1+($G11-1)*T112/30,IF(T112&lt;60,$G11+($H11-$G11)*(T112-30)/30,IF(T112&lt;90,$H11+($I11-$H11)*(T112-60)/30,IF(T112&lt;180,$I11+($J11-$I11)*(T112-90)/90,IF(T112&lt;=365,$J11+($K11-$J11)*(T112-180)/185,$K11)))))),"N/D")</f>
        <v>0.794864864864865</v>
      </c>
      <c r="U131" s="10" t="n">
        <f aca="false">IF(COUNT(U112,$G11:$K11)=6,IF(U112&lt;0,0,IF(U112&lt;30,1+($G11-1)*U112/30,IF(U112&lt;60,$G11+($H11-$G11)*(U112-30)/30,IF(U112&lt;90,$H11+($I11-$H11)*(U112-60)/30,IF(U112&lt;180,$I11+($J11-$I11)*(U112-90)/90,IF(U112&lt;=365,$J11+($K11-$J11)*(U112-180)/185,$K11)))))),"N/D")</f>
        <v>0.786486486486487</v>
      </c>
      <c r="V131" s="10" t="n">
        <f aca="false">IF(COUNT(V112,$G11:$K11)=6,IF(V112&lt;0,0,IF(V112&lt;30,1+($G11-1)*V112/30,IF(V112&lt;60,$G11+($H11-$G11)*(V112-30)/30,IF(V112&lt;90,$H11+($I11-$H11)*(V112-60)/30,IF(V112&lt;180,$I11+($J11-$I11)*(V112-90)/90,IF(V112&lt;=365,$J11+($K11-$J11)*(V112-180)/185,$K11)))))),"N/D")</f>
        <v>0.778378378378378</v>
      </c>
      <c r="W131" s="10" t="n">
        <f aca="false">IF(COUNT(W112,$G11:$K11)=6,IF(W112&lt;0,0,IF(W112&lt;30,1+($G11-1)*W112/30,IF(W112&lt;60,$G11+($H11-$G11)*(W112-30)/30,IF(W112&lt;90,$H11+($I11-$H11)*(W112-60)/30,IF(W112&lt;180,$I11+($J11-$I11)*(W112-90)/90,IF(W112&lt;=365,$J11+($K11-$J11)*(W112-180)/185,$K11)))))),"N/D")</f>
        <v>0.77</v>
      </c>
    </row>
    <row r="132" customFormat="false" ht="19.5" hidden="false" customHeight="true" outlineLevel="0" collapsed="false">
      <c r="C132" s="31" t="n">
        <f aca="false">C12</f>
        <v>46492</v>
      </c>
      <c r="L132" s="10" t="n">
        <f aca="false">IF(COUNT(L113,$G12:$K12)=6,IF(L113&lt;0,0,IF(L113&lt;30,1+($G12-1)*L113/30,IF(L113&lt;60,$G12+($H12-$G12)*(L113-30)/30,IF(L113&lt;90,$H12+($I12-$H12)*(L113-60)/30,IF(L113&lt;180,$I12+($J12-$I12)*(L113-90)/90,IF(L113&lt;=365,$J12+($K12-$J12)*(L113-180)/185,$K12)))))),"N/D")</f>
        <v>0</v>
      </c>
      <c r="M132" s="10" t="n">
        <f aca="false">IF(COUNT(M113,$G12:$K12)=6,IF(M113&lt;0,0,IF(M113&lt;30,1+($G12-1)*M113/30,IF(M113&lt;60,$G12+($H12-$G12)*(M113-30)/30,IF(M113&lt;90,$H12+($I12-$H12)*(M113-60)/30,IF(M113&lt;180,$I12+($J12-$I12)*(M113-90)/90,IF(M113&lt;=365,$J12+($K12-$J12)*(M113-180)/185,$K12)))))),"N/D")</f>
        <v>0</v>
      </c>
      <c r="N132" s="10" t="n">
        <f aca="false">IF(COUNT(N113,$G12:$K12)=6,IF(N113&lt;0,0,IF(N113&lt;30,1+($G12-1)*N113/30,IF(N113&lt;60,$G12+($H12-$G12)*(N113-30)/30,IF(N113&lt;90,$H12+($I12-$H12)*(N113-60)/30,IF(N113&lt;180,$I12+($J12-$I12)*(N113-90)/90,IF(N113&lt;=365,$J12+($K12-$J12)*(N113-180)/185,$K12)))))),"N/D")</f>
        <v>0</v>
      </c>
      <c r="O132" s="10" t="n">
        <f aca="false">IF(COUNT(O113,$G12:$K12)=6,IF(O113&lt;0,0,IF(O113&lt;30,1+($G12-1)*O113/30,IF(O113&lt;60,$G12+($H12-$G12)*(O113-30)/30,IF(O113&lt;90,$H12+($I12-$H12)*(O113-60)/30,IF(O113&lt;180,$I12+($J12-$I12)*(O113-90)/90,IF(O113&lt;=365,$J12+($K12-$J12)*(O113-180)/185,$K12)))))),"N/D")</f>
        <v>0.975</v>
      </c>
      <c r="P132" s="10" t="n">
        <f aca="false">IF(COUNT(P113,$G12:$K12)=6,IF(P113&lt;0,0,IF(P113&lt;30,1+($G12-1)*P113/30,IF(P113&lt;60,$G12+($H12-$G12)*(P113-30)/30,IF(P113&lt;90,$H12+($I12-$H12)*(P113-60)/30,IF(P113&lt;180,$I12+($J12-$I12)*(P113-90)/90,IF(P113&lt;=365,$J12+($K12-$J12)*(P113-180)/185,$K12)))))),"N/D")</f>
        <v>0.923333333333333</v>
      </c>
      <c r="Q132" s="10" t="n">
        <f aca="false">IF(COUNT(Q113,$G12:$K12)=6,IF(Q113&lt;0,0,IF(Q113&lt;30,1+($G12-1)*Q113/30,IF(Q113&lt;60,$G12+($H12-$G12)*(Q113-30)/30,IF(Q113&lt;90,$H12+($I12-$H12)*(Q113-60)/30,IF(Q113&lt;180,$I12+($J12-$I12)*(Q113-90)/90,IF(Q113&lt;=365,$J12+($K12-$J12)*(Q113-180)/185,$K12)))))),"N/D")</f>
        <v>0.873333333333333</v>
      </c>
      <c r="R132" s="10" t="n">
        <f aca="false">IF(COUNT(R113,$G12:$K12)=6,IF(R113&lt;0,0,IF(R113&lt;30,1+($G12-1)*R113/30,IF(R113&lt;60,$G12+($H12-$G12)*(R113-30)/30,IF(R113&lt;90,$H12+($I12-$H12)*(R113-60)/30,IF(R113&lt;180,$I12+($J12-$I12)*(R113-90)/90,IF(R113&lt;=365,$J12+($K12-$J12)*(R113-180)/185,$K12)))))),"N/D")</f>
        <v>0.840555555555556</v>
      </c>
      <c r="S132" s="10" t="n">
        <f aca="false">IF(COUNT(S113,$G12:$K12)=6,IF(S113&lt;0,0,IF(S113&lt;30,1+($G12-1)*S113/30,IF(S113&lt;60,$G12+($H12-$G12)*(S113-30)/30,IF(S113&lt;90,$H12+($I12-$H12)*(S113-60)/30,IF(S113&lt;180,$I12+($J12-$I12)*(S113-90)/90,IF(S113&lt;=365,$J12+($K12-$J12)*(S113-180)/185,$K12)))))),"N/D")</f>
        <v>0.823333333333333</v>
      </c>
      <c r="T132" s="10" t="n">
        <f aca="false">IF(COUNT(T113,$G12:$K12)=6,IF(T113&lt;0,0,IF(T113&lt;30,1+($G12-1)*T113/30,IF(T113&lt;60,$G12+($H12-$G12)*(T113-30)/30,IF(T113&lt;90,$H12+($I12-$H12)*(T113-60)/30,IF(T113&lt;180,$I12+($J12-$I12)*(T113-90)/90,IF(T113&lt;=365,$J12+($K12-$J12)*(T113-180)/185,$K12)))))),"N/D")</f>
        <v>0.806666666666667</v>
      </c>
      <c r="U132" s="10" t="n">
        <f aca="false">IF(COUNT(U113,$G12:$K12)=6,IF(U113&lt;0,0,IF(U113&lt;30,1+($G12-1)*U113/30,IF(U113&lt;60,$G12+($H12-$G12)*(U113-30)/30,IF(U113&lt;90,$H12+($I12-$H12)*(U113-60)/30,IF(U113&lt;180,$I12+($J12-$I12)*(U113-90)/90,IF(U113&lt;=365,$J12+($K12-$J12)*(U113-180)/185,$K12)))))),"N/D")</f>
        <v>0.794864864864865</v>
      </c>
      <c r="V132" s="10" t="n">
        <f aca="false">IF(COUNT(V113,$G12:$K12)=6,IF(V113&lt;0,0,IF(V113&lt;30,1+($G12-1)*V113/30,IF(V113&lt;60,$G12+($H12-$G12)*(V113-30)/30,IF(V113&lt;90,$H12+($I12-$H12)*(V113-60)/30,IF(V113&lt;180,$I12+($J12-$I12)*(V113-90)/90,IF(V113&lt;=365,$J12+($K12-$J12)*(V113-180)/185,$K12)))))),"N/D")</f>
        <v>0.786756756756757</v>
      </c>
      <c r="W132" s="10" t="n">
        <f aca="false">IF(COUNT(W113,$G12:$K12)=6,IF(W113&lt;0,0,IF(W113&lt;30,1+($G12-1)*W113/30,IF(W113&lt;60,$G12+($H12-$G12)*(W113-30)/30,IF(W113&lt;90,$H12+($I12-$H12)*(W113-60)/30,IF(W113&lt;180,$I12+($J12-$I12)*(W113-90)/90,IF(W113&lt;=365,$J12+($K12-$J12)*(W113-180)/185,$K12)))))),"N/D")</f>
        <v>0.778378378378378</v>
      </c>
    </row>
    <row r="133" customFormat="false" ht="19.5" hidden="false" customHeight="true" outlineLevel="0" collapsed="false">
      <c r="C133" s="31" t="n">
        <f aca="false">C13</f>
        <v>46522</v>
      </c>
      <c r="L133" s="10" t="n">
        <f aca="false">IF(COUNT(L114,$G13:$K13)=6,IF(L114&lt;0,0,IF(L114&lt;30,1+($G13-1)*L114/30,IF(L114&lt;60,$G13+($H13-$G13)*(L114-30)/30,IF(L114&lt;90,$H13+($I13-$H13)*(L114-60)/30,IF(L114&lt;180,$I13+($J13-$I13)*(L114-90)/90,IF(L114&lt;=365,$J13+($K13-$J13)*(L114-180)/185,$K13)))))),"N/D")</f>
        <v>0</v>
      </c>
      <c r="M133" s="10" t="n">
        <f aca="false">IF(COUNT(M114,$G13:$K13)=6,IF(M114&lt;0,0,IF(M114&lt;30,1+($G13-1)*M114/30,IF(M114&lt;60,$G13+($H13-$G13)*(M114-30)/30,IF(M114&lt;90,$H13+($I13-$H13)*(M114-60)/30,IF(M114&lt;180,$I13+($J13-$I13)*(M114-90)/90,IF(M114&lt;=365,$J13+($K13-$J13)*(M114-180)/185,$K13)))))),"N/D")</f>
        <v>0</v>
      </c>
      <c r="N133" s="10" t="n">
        <f aca="false">IF(COUNT(N114,$G13:$K13)=6,IF(N114&lt;0,0,IF(N114&lt;30,1+($G13-1)*N114/30,IF(N114&lt;60,$G13+($H13-$G13)*(N114-30)/30,IF(N114&lt;90,$H13+($I13-$H13)*(N114-60)/30,IF(N114&lt;180,$I13+($J13-$I13)*(N114-90)/90,IF(N114&lt;=365,$J13+($K13-$J13)*(N114-180)/185,$K13)))))),"N/D")</f>
        <v>0</v>
      </c>
      <c r="O133" s="10" t="n">
        <f aca="false">IF(COUNT(O114,$G13:$K13)=6,IF(O114&lt;0,0,IF(O114&lt;30,1+($G13-1)*O114/30,IF(O114&lt;60,$G13+($H13-$G13)*(O114-30)/30,IF(O114&lt;90,$H13+($I13-$H13)*(O114-60)/30,IF(O114&lt;180,$I13+($J13-$I13)*(O114-90)/90,IF(O114&lt;=365,$J13+($K13-$J13)*(O114-180)/185,$K13)))))),"N/D")</f>
        <v>0</v>
      </c>
      <c r="P133" s="10" t="n">
        <f aca="false">IF(COUNT(P114,$G13:$K13)=6,IF(P114&lt;0,0,IF(P114&lt;30,1+($G13-1)*P114/30,IF(P114&lt;60,$G13+($H13-$G13)*(P114-30)/30,IF(P114&lt;90,$H13+($I13-$H13)*(P114-60)/30,IF(P114&lt;180,$I13+($J13-$I13)*(P114-90)/90,IF(P114&lt;=365,$J13+($K13-$J13)*(P114-180)/185,$K13)))))),"N/D")</f>
        <v>0.973333333333333</v>
      </c>
      <c r="Q133" s="10" t="n">
        <f aca="false">IF(COUNT(Q114,$G13:$K13)=6,IF(Q114&lt;0,0,IF(Q114&lt;30,1+($G13-1)*Q114/30,IF(Q114&lt;60,$G13+($H13-$G13)*(Q114-30)/30,IF(Q114&lt;90,$H13+($I13-$H13)*(Q114-60)/30,IF(Q114&lt;180,$I13+($J13-$I13)*(Q114-90)/90,IF(Q114&lt;=365,$J13+($K13-$J13)*(Q114-180)/185,$K13)))))),"N/D")</f>
        <v>0.923333333333333</v>
      </c>
      <c r="R133" s="10" t="n">
        <f aca="false">IF(COUNT(R114,$G13:$K13)=6,IF(R114&lt;0,0,IF(R114&lt;30,1+($G13-1)*R114/30,IF(R114&lt;60,$G13+($H13-$G13)*(R114-30)/30,IF(R114&lt;90,$H13+($I13-$H13)*(R114-60)/30,IF(R114&lt;180,$I13+($J13-$I13)*(R114-90)/90,IF(R114&lt;=365,$J13+($K13-$J13)*(R114-180)/185,$K13)))))),"N/D")</f>
        <v>0.871666666666667</v>
      </c>
      <c r="S133" s="10" t="n">
        <f aca="false">IF(COUNT(S114,$G13:$K13)=6,IF(S114&lt;0,0,IF(S114&lt;30,1+($G13-1)*S114/30,IF(S114&lt;60,$G13+($H13-$G13)*(S114-30)/30,IF(S114&lt;90,$H13+($I13-$H13)*(S114-60)/30,IF(S114&lt;180,$I13+($J13-$I13)*(S114-90)/90,IF(S114&lt;=365,$J13+($K13-$J13)*(S114-180)/185,$K13)))))),"N/D")</f>
        <v>0.84</v>
      </c>
      <c r="T133" s="10" t="n">
        <f aca="false">IF(COUNT(T114,$G13:$K13)=6,IF(T114&lt;0,0,IF(T114&lt;30,1+($G13-1)*T114/30,IF(T114&lt;60,$G13+($H13-$G13)*(T114-30)/30,IF(T114&lt;90,$H13+($I13-$H13)*(T114-60)/30,IF(T114&lt;180,$I13+($J13-$I13)*(T114-90)/90,IF(T114&lt;=365,$J13+($K13-$J13)*(T114-180)/185,$K13)))))),"N/D")</f>
        <v>0.823333333333333</v>
      </c>
      <c r="U133" s="10" t="n">
        <f aca="false">IF(COUNT(U114,$G13:$K13)=6,IF(U114&lt;0,0,IF(U114&lt;30,1+($G13-1)*U114/30,IF(U114&lt;60,$G13+($H13-$G13)*(U114-30)/30,IF(U114&lt;90,$H13+($I13-$H13)*(U114-60)/30,IF(U114&lt;180,$I13+($J13-$I13)*(U114-90)/90,IF(U114&lt;=365,$J13+($K13-$J13)*(U114-180)/185,$K13)))))),"N/D")</f>
        <v>0.806111111111111</v>
      </c>
      <c r="V133" s="10" t="n">
        <f aca="false">IF(COUNT(V114,$G13:$K13)=6,IF(V114&lt;0,0,IF(V114&lt;30,1+($G13-1)*V114/30,IF(V114&lt;60,$G13+($H13-$G13)*(V114-30)/30,IF(V114&lt;90,$H13+($I13-$H13)*(V114-60)/30,IF(V114&lt;180,$I13+($J13-$I13)*(V114-90)/90,IF(V114&lt;=365,$J13+($K13-$J13)*(V114-180)/185,$K13)))))),"N/D")</f>
        <v>0.794864864864865</v>
      </c>
      <c r="W133" s="10" t="n">
        <f aca="false">IF(COUNT(W114,$G13:$K13)=6,IF(W114&lt;0,0,IF(W114&lt;30,1+($G13-1)*W114/30,IF(W114&lt;60,$G13+($H13-$G13)*(W114-30)/30,IF(W114&lt;90,$H13+($I13-$H13)*(W114-60)/30,IF(W114&lt;180,$I13+($J13-$I13)*(W114-90)/90,IF(W114&lt;=365,$J13+($K13-$J13)*(W114-180)/185,$K13)))))),"N/D")</f>
        <v>0.786486486486487</v>
      </c>
    </row>
    <row r="134" customFormat="false" ht="19.5" hidden="false" customHeight="true" outlineLevel="0" collapsed="false">
      <c r="C134" s="31" t="n">
        <f aca="false">C14</f>
        <v>46553</v>
      </c>
      <c r="L134" s="10" t="n">
        <f aca="false">IF(COUNT(L115,$G14:$K14)=6,IF(L115&lt;0,0,IF(L115&lt;30,1+($G14-1)*L115/30,IF(L115&lt;60,$G14+($H14-$G14)*(L115-30)/30,IF(L115&lt;90,$H14+($I14-$H14)*(L115-60)/30,IF(L115&lt;180,$I14+($J14-$I14)*(L115-90)/90,IF(L115&lt;=365,$J14+($K14-$J14)*(L115-180)/185,$K14)))))),"N/D")</f>
        <v>0</v>
      </c>
      <c r="M134" s="10" t="n">
        <f aca="false">IF(COUNT(M115,$G14:$K14)=6,IF(M115&lt;0,0,IF(M115&lt;30,1+($G14-1)*M115/30,IF(M115&lt;60,$G14+($H14-$G14)*(M115-30)/30,IF(M115&lt;90,$H14+($I14-$H14)*(M115-60)/30,IF(M115&lt;180,$I14+($J14-$I14)*(M115-90)/90,IF(M115&lt;=365,$J14+($K14-$J14)*(M115-180)/185,$K14)))))),"N/D")</f>
        <v>0</v>
      </c>
      <c r="N134" s="10" t="n">
        <f aca="false">IF(COUNT(N115,$G14:$K14)=6,IF(N115&lt;0,0,IF(N115&lt;30,1+($G14-1)*N115/30,IF(N115&lt;60,$G14+($H14-$G14)*(N115-30)/30,IF(N115&lt;90,$H14+($I14-$H14)*(N115-60)/30,IF(N115&lt;180,$I14+($J14-$I14)*(N115-90)/90,IF(N115&lt;=365,$J14+($K14-$J14)*(N115-180)/185,$K14)))))),"N/D")</f>
        <v>0</v>
      </c>
      <c r="O134" s="10" t="n">
        <f aca="false">IF(COUNT(O115,$G14:$K14)=6,IF(O115&lt;0,0,IF(O115&lt;30,1+($G14-1)*O115/30,IF(O115&lt;60,$G14+($H14-$G14)*(O115-30)/30,IF(O115&lt;90,$H14+($I14-$H14)*(O115-60)/30,IF(O115&lt;180,$I14+($J14-$I14)*(O115-90)/90,IF(O115&lt;=365,$J14+($K14-$J14)*(O115-180)/185,$K14)))))),"N/D")</f>
        <v>0</v>
      </c>
      <c r="P134" s="10" t="n">
        <f aca="false">IF(COUNT(P115,$G14:$K14)=6,IF(P115&lt;0,0,IF(P115&lt;30,1+($G14-1)*P115/30,IF(P115&lt;60,$G14+($H14-$G14)*(P115-30)/30,IF(P115&lt;90,$H14+($I14-$H14)*(P115-60)/30,IF(P115&lt;180,$I14+($J14-$I14)*(P115-90)/90,IF(P115&lt;=365,$J14+($K14-$J14)*(P115-180)/185,$K14)))))),"N/D")</f>
        <v>0</v>
      </c>
      <c r="Q134" s="10" t="n">
        <f aca="false">IF(COUNT(Q115,$G14:$K14)=6,IF(Q115&lt;0,0,IF(Q115&lt;30,1+($G14-1)*Q115/30,IF(Q115&lt;60,$G14+($H14-$G14)*(Q115-30)/30,IF(Q115&lt;90,$H14+($I14-$H14)*(Q115-60)/30,IF(Q115&lt;180,$I14+($J14-$I14)*(Q115-90)/90,IF(Q115&lt;=365,$J14+($K14-$J14)*(Q115-180)/185,$K14)))))),"N/D")</f>
        <v>0.975</v>
      </c>
      <c r="R134" s="10" t="n">
        <f aca="false">IF(COUNT(R115,$G14:$K14)=6,IF(R115&lt;0,0,IF(R115&lt;30,1+($G14-1)*R115/30,IF(R115&lt;60,$G14+($H14-$G14)*(R115-30)/30,IF(R115&lt;90,$H14+($I14-$H14)*(R115-60)/30,IF(R115&lt;180,$I14+($J14-$I14)*(R115-90)/90,IF(R115&lt;=365,$J14+($K14-$J14)*(R115-180)/185,$K14)))))),"N/D")</f>
        <v>0.923333333333333</v>
      </c>
      <c r="S134" s="10" t="n">
        <f aca="false">IF(COUNT(S115,$G14:$K14)=6,IF(S115&lt;0,0,IF(S115&lt;30,1+($G14-1)*S115/30,IF(S115&lt;60,$G14+($H14-$G14)*(S115-30)/30,IF(S115&lt;90,$H14+($I14-$H14)*(S115-60)/30,IF(S115&lt;180,$I14+($J14-$I14)*(S115-90)/90,IF(S115&lt;=365,$J14+($K14-$J14)*(S115-180)/185,$K14)))))),"N/D")</f>
        <v>0.871666666666667</v>
      </c>
      <c r="T134" s="10" t="n">
        <f aca="false">IF(COUNT(T115,$G14:$K14)=6,IF(T115&lt;0,0,IF(T115&lt;30,1+($G14-1)*T115/30,IF(T115&lt;60,$G14+($H14-$G14)*(T115-30)/30,IF(T115&lt;90,$H14+($I14-$H14)*(T115-60)/30,IF(T115&lt;180,$I14+($J14-$I14)*(T115-90)/90,IF(T115&lt;=365,$J14+($K14-$J14)*(T115-180)/185,$K14)))))),"N/D")</f>
        <v>0.840555555555556</v>
      </c>
      <c r="U134" s="10" t="n">
        <f aca="false">IF(COUNT(U115,$G14:$K14)=6,IF(U115&lt;0,0,IF(U115&lt;30,1+($G14-1)*U115/30,IF(U115&lt;60,$G14+($H14-$G14)*(U115-30)/30,IF(U115&lt;90,$H14+($I14-$H14)*(U115-60)/30,IF(U115&lt;180,$I14+($J14-$I14)*(U115-90)/90,IF(U115&lt;=365,$J14+($K14-$J14)*(U115-180)/185,$K14)))))),"N/D")</f>
        <v>0.823333333333333</v>
      </c>
      <c r="V134" s="10" t="n">
        <f aca="false">IF(COUNT(V115,$G14:$K14)=6,IF(V115&lt;0,0,IF(V115&lt;30,1+($G14-1)*V115/30,IF(V115&lt;60,$G14+($H14-$G14)*(V115-30)/30,IF(V115&lt;90,$H14+($I14-$H14)*(V115-60)/30,IF(V115&lt;180,$I14+($J14-$I14)*(V115-90)/90,IF(V115&lt;=365,$J14+($K14-$J14)*(V115-180)/185,$K14)))))),"N/D")</f>
        <v>0.806666666666667</v>
      </c>
      <c r="W134" s="10" t="n">
        <f aca="false">IF(COUNT(W115,$G14:$K14)=6,IF(W115&lt;0,0,IF(W115&lt;30,1+($G14-1)*W115/30,IF(W115&lt;60,$G14+($H14-$G14)*(W115-30)/30,IF(W115&lt;90,$H14+($I14-$H14)*(W115-60)/30,IF(W115&lt;180,$I14+($J14-$I14)*(W115-90)/90,IF(W115&lt;=365,$J14+($K14-$J14)*(W115-180)/185,$K14)))))),"N/D")</f>
        <v>0.794864864864865</v>
      </c>
    </row>
    <row r="135" customFormat="false" ht="19.5" hidden="false" customHeight="true" outlineLevel="0" collapsed="false">
      <c r="C135" s="31" t="n">
        <f aca="false">C15</f>
        <v>46583</v>
      </c>
      <c r="L135" s="10" t="n">
        <f aca="false">IF(COUNT(L116,$G15:$K15)=6,IF(L116&lt;0,0,IF(L116&lt;30,1+($G15-1)*L116/30,IF(L116&lt;60,$G15+($H15-$G15)*(L116-30)/30,IF(L116&lt;90,$H15+($I15-$H15)*(L116-60)/30,IF(L116&lt;180,$I15+($J15-$I15)*(L116-90)/90,IF(L116&lt;=365,$J15+($K15-$J15)*(L116-180)/185,$K15)))))),"N/D")</f>
        <v>0</v>
      </c>
      <c r="M135" s="10" t="n">
        <f aca="false">IF(COUNT(M116,$G15:$K15)=6,IF(M116&lt;0,0,IF(M116&lt;30,1+($G15-1)*M116/30,IF(M116&lt;60,$G15+($H15-$G15)*(M116-30)/30,IF(M116&lt;90,$H15+($I15-$H15)*(M116-60)/30,IF(M116&lt;180,$I15+($J15-$I15)*(M116-90)/90,IF(M116&lt;=365,$J15+($K15-$J15)*(M116-180)/185,$K15)))))),"N/D")</f>
        <v>0</v>
      </c>
      <c r="N135" s="10" t="n">
        <f aca="false">IF(COUNT(N116,$G15:$K15)=6,IF(N116&lt;0,0,IF(N116&lt;30,1+($G15-1)*N116/30,IF(N116&lt;60,$G15+($H15-$G15)*(N116-30)/30,IF(N116&lt;90,$H15+($I15-$H15)*(N116-60)/30,IF(N116&lt;180,$I15+($J15-$I15)*(N116-90)/90,IF(N116&lt;=365,$J15+($K15-$J15)*(N116-180)/185,$K15)))))),"N/D")</f>
        <v>0</v>
      </c>
      <c r="O135" s="10" t="n">
        <f aca="false">IF(COUNT(O116,$G15:$K15)=6,IF(O116&lt;0,0,IF(O116&lt;30,1+($G15-1)*O116/30,IF(O116&lt;60,$G15+($H15-$G15)*(O116-30)/30,IF(O116&lt;90,$H15+($I15-$H15)*(O116-60)/30,IF(O116&lt;180,$I15+($J15-$I15)*(O116-90)/90,IF(O116&lt;=365,$J15+($K15-$J15)*(O116-180)/185,$K15)))))),"N/D")</f>
        <v>0</v>
      </c>
      <c r="P135" s="10" t="n">
        <f aca="false">IF(COUNT(P116,$G15:$K15)=6,IF(P116&lt;0,0,IF(P116&lt;30,1+($G15-1)*P116/30,IF(P116&lt;60,$G15+($H15-$G15)*(P116-30)/30,IF(P116&lt;90,$H15+($I15-$H15)*(P116-60)/30,IF(P116&lt;180,$I15+($J15-$I15)*(P116-90)/90,IF(P116&lt;=365,$J15+($K15-$J15)*(P116-180)/185,$K15)))))),"N/D")</f>
        <v>0</v>
      </c>
      <c r="Q135" s="10" t="n">
        <f aca="false">IF(COUNT(Q116,$G15:$K15)=6,IF(Q116&lt;0,0,IF(Q116&lt;30,1+($G15-1)*Q116/30,IF(Q116&lt;60,$G15+($H15-$G15)*(Q116-30)/30,IF(Q116&lt;90,$H15+($I15-$H15)*(Q116-60)/30,IF(Q116&lt;180,$I15+($J15-$I15)*(Q116-90)/90,IF(Q116&lt;=365,$J15+($K15-$J15)*(Q116-180)/185,$K15)))))),"N/D")</f>
        <v>0</v>
      </c>
      <c r="R135" s="10" t="n">
        <f aca="false">IF(COUNT(R116,$G15:$K15)=6,IF(R116&lt;0,0,IF(R116&lt;30,1+($G15-1)*R116/30,IF(R116&lt;60,$G15+($H15-$G15)*(R116-30)/30,IF(R116&lt;90,$H15+($I15-$H15)*(R116-60)/30,IF(R116&lt;180,$I15+($J15-$I15)*(R116-90)/90,IF(R116&lt;=365,$J15+($K15-$J15)*(R116-180)/185,$K15)))))),"N/D")</f>
        <v>0.973333333333333</v>
      </c>
      <c r="S135" s="10" t="n">
        <f aca="false">IF(COUNT(S116,$G15:$K15)=6,IF(S116&lt;0,0,IF(S116&lt;30,1+($G15-1)*S116/30,IF(S116&lt;60,$G15+($H15-$G15)*(S116-30)/30,IF(S116&lt;90,$H15+($I15-$H15)*(S116-60)/30,IF(S116&lt;180,$I15+($J15-$I15)*(S116-90)/90,IF(S116&lt;=365,$J15+($K15-$J15)*(S116-180)/185,$K15)))))),"N/D")</f>
        <v>0.921666666666667</v>
      </c>
      <c r="T135" s="10" t="n">
        <f aca="false">IF(COUNT(T116,$G15:$K15)=6,IF(T116&lt;0,0,IF(T116&lt;30,1+($G15-1)*T116/30,IF(T116&lt;60,$G15+($H15-$G15)*(T116-30)/30,IF(T116&lt;90,$H15+($I15-$H15)*(T116-60)/30,IF(T116&lt;180,$I15+($J15-$I15)*(T116-90)/90,IF(T116&lt;=365,$J15+($K15-$J15)*(T116-180)/185,$K15)))))),"N/D")</f>
        <v>0.871666666666667</v>
      </c>
      <c r="U135" s="10" t="n">
        <f aca="false">IF(COUNT(U116,$G15:$K15)=6,IF(U116&lt;0,0,IF(U116&lt;30,1+($G15-1)*U116/30,IF(U116&lt;60,$G15+($H15-$G15)*(U116-30)/30,IF(U116&lt;90,$H15+($I15-$H15)*(U116-60)/30,IF(U116&lt;180,$I15+($J15-$I15)*(U116-90)/90,IF(U116&lt;=365,$J15+($K15-$J15)*(U116-180)/185,$K15)))))),"N/D")</f>
        <v>0.84</v>
      </c>
      <c r="V135" s="10" t="n">
        <f aca="false">IF(COUNT(V116,$G15:$K15)=6,IF(V116&lt;0,0,IF(V116&lt;30,1+($G15-1)*V116/30,IF(V116&lt;60,$G15+($H15-$G15)*(V116-30)/30,IF(V116&lt;90,$H15+($I15-$H15)*(V116-60)/30,IF(V116&lt;180,$I15+($J15-$I15)*(V116-90)/90,IF(V116&lt;=365,$J15+($K15-$J15)*(V116-180)/185,$K15)))))),"N/D")</f>
        <v>0.823333333333333</v>
      </c>
      <c r="W135" s="10" t="n">
        <f aca="false">IF(COUNT(W116,$G15:$K15)=6,IF(W116&lt;0,0,IF(W116&lt;30,1+($G15-1)*W116/30,IF(W116&lt;60,$G15+($H15-$G15)*(W116-30)/30,IF(W116&lt;90,$H15+($I15-$H15)*(W116-60)/30,IF(W116&lt;180,$I15+($J15-$I15)*(W116-90)/90,IF(W116&lt;=365,$J15+($K15-$J15)*(W116-180)/185,$K15)))))),"N/D")</f>
        <v>0.806111111111111</v>
      </c>
    </row>
    <row r="136" customFormat="false" ht="19.5" hidden="false" customHeight="true" outlineLevel="0" collapsed="false">
      <c r="C136" s="31" t="n">
        <f aca="false">C16</f>
        <v>46614</v>
      </c>
      <c r="L136" s="10" t="n">
        <f aca="false">IF(COUNT(L117,$G16:$K16)=6,IF(L117&lt;0,0,IF(L117&lt;30,1+($G16-1)*L117/30,IF(L117&lt;60,$G16+($H16-$G16)*(L117-30)/30,IF(L117&lt;90,$H16+($I16-$H16)*(L117-60)/30,IF(L117&lt;180,$I16+($J16-$I16)*(L117-90)/90,IF(L117&lt;=365,$J16+($K16-$J16)*(L117-180)/185,$K16)))))),"N/D")</f>
        <v>0</v>
      </c>
      <c r="M136" s="10" t="n">
        <f aca="false">IF(COUNT(M117,$G16:$K16)=6,IF(M117&lt;0,0,IF(M117&lt;30,1+($G16-1)*M117/30,IF(M117&lt;60,$G16+($H16-$G16)*(M117-30)/30,IF(M117&lt;90,$H16+($I16-$H16)*(M117-60)/30,IF(M117&lt;180,$I16+($J16-$I16)*(M117-90)/90,IF(M117&lt;=365,$J16+($K16-$J16)*(M117-180)/185,$K16)))))),"N/D")</f>
        <v>0</v>
      </c>
      <c r="N136" s="10" t="n">
        <f aca="false">IF(COUNT(N117,$G16:$K16)=6,IF(N117&lt;0,0,IF(N117&lt;30,1+($G16-1)*N117/30,IF(N117&lt;60,$G16+($H16-$G16)*(N117-30)/30,IF(N117&lt;90,$H16+($I16-$H16)*(N117-60)/30,IF(N117&lt;180,$I16+($J16-$I16)*(N117-90)/90,IF(N117&lt;=365,$J16+($K16-$J16)*(N117-180)/185,$K16)))))),"N/D")</f>
        <v>0</v>
      </c>
      <c r="O136" s="10" t="n">
        <f aca="false">IF(COUNT(O117,$G16:$K16)=6,IF(O117&lt;0,0,IF(O117&lt;30,1+($G16-1)*O117/30,IF(O117&lt;60,$G16+($H16-$G16)*(O117-30)/30,IF(O117&lt;90,$H16+($I16-$H16)*(O117-60)/30,IF(O117&lt;180,$I16+($J16-$I16)*(O117-90)/90,IF(O117&lt;=365,$J16+($K16-$J16)*(O117-180)/185,$K16)))))),"N/D")</f>
        <v>0</v>
      </c>
      <c r="P136" s="10" t="n">
        <f aca="false">IF(COUNT(P117,$G16:$K16)=6,IF(P117&lt;0,0,IF(P117&lt;30,1+($G16-1)*P117/30,IF(P117&lt;60,$G16+($H16-$G16)*(P117-30)/30,IF(P117&lt;90,$H16+($I16-$H16)*(P117-60)/30,IF(P117&lt;180,$I16+($J16-$I16)*(P117-90)/90,IF(P117&lt;=365,$J16+($K16-$J16)*(P117-180)/185,$K16)))))),"N/D")</f>
        <v>0</v>
      </c>
      <c r="Q136" s="10" t="n">
        <f aca="false">IF(COUNT(Q117,$G16:$K16)=6,IF(Q117&lt;0,0,IF(Q117&lt;30,1+($G16-1)*Q117/30,IF(Q117&lt;60,$G16+($H16-$G16)*(Q117-30)/30,IF(Q117&lt;90,$H16+($I16-$H16)*(Q117-60)/30,IF(Q117&lt;180,$I16+($J16-$I16)*(Q117-90)/90,IF(Q117&lt;=365,$J16+($K16-$J16)*(Q117-180)/185,$K16)))))),"N/D")</f>
        <v>0</v>
      </c>
      <c r="R136" s="10" t="n">
        <f aca="false">IF(COUNT(R117,$G16:$K16)=6,IF(R117&lt;0,0,IF(R117&lt;30,1+($G16-1)*R117/30,IF(R117&lt;60,$G16+($H16-$G16)*(R117-30)/30,IF(R117&lt;90,$H16+($I16-$H16)*(R117-60)/30,IF(R117&lt;180,$I16+($J16-$I16)*(R117-90)/90,IF(R117&lt;=365,$J16+($K16-$J16)*(R117-180)/185,$K16)))))),"N/D")</f>
        <v>0</v>
      </c>
      <c r="S136" s="10" t="n">
        <f aca="false">IF(COUNT(S117,$G16:$K16)=6,IF(S117&lt;0,0,IF(S117&lt;30,1+($G16-1)*S117/30,IF(S117&lt;60,$G16+($H16-$G16)*(S117-30)/30,IF(S117&lt;90,$H16+($I16-$H16)*(S117-60)/30,IF(S117&lt;180,$I16+($J16-$I16)*(S117-90)/90,IF(S117&lt;=365,$J16+($K16-$J16)*(S117-180)/185,$K16)))))),"N/D")</f>
        <v>0.973333333333333</v>
      </c>
      <c r="T136" s="10" t="n">
        <f aca="false">IF(COUNT(T117,$G16:$K16)=6,IF(T117&lt;0,0,IF(T117&lt;30,1+($G16-1)*T117/30,IF(T117&lt;60,$G16+($H16-$G16)*(T117-30)/30,IF(T117&lt;90,$H16+($I16-$H16)*(T117-60)/30,IF(T117&lt;180,$I16+($J16-$I16)*(T117-90)/90,IF(T117&lt;=365,$J16+($K16-$J16)*(T117-180)/185,$K16)))))),"N/D")</f>
        <v>0.923333333333333</v>
      </c>
      <c r="U136" s="10" t="n">
        <f aca="false">IF(COUNT(U117,$G16:$K16)=6,IF(U117&lt;0,0,IF(U117&lt;30,1+($G16-1)*U117/30,IF(U117&lt;60,$G16+($H16-$G16)*(U117-30)/30,IF(U117&lt;90,$H16+($I16-$H16)*(U117-60)/30,IF(U117&lt;180,$I16+($J16-$I16)*(U117-90)/90,IF(U117&lt;=365,$J16+($K16-$J16)*(U117-180)/185,$K16)))))),"N/D")</f>
        <v>0.871666666666667</v>
      </c>
      <c r="V136" s="10" t="n">
        <f aca="false">IF(COUNT(V117,$G16:$K16)=6,IF(V117&lt;0,0,IF(V117&lt;30,1+($G16-1)*V117/30,IF(V117&lt;60,$G16+($H16-$G16)*(V117-30)/30,IF(V117&lt;90,$H16+($I16-$H16)*(V117-60)/30,IF(V117&lt;180,$I16+($J16-$I16)*(V117-90)/90,IF(V117&lt;=365,$J16+($K16-$J16)*(V117-180)/185,$K16)))))),"N/D")</f>
        <v>0.840555555555556</v>
      </c>
      <c r="W136" s="10" t="n">
        <f aca="false">IF(COUNT(W117,$G16:$K16)=6,IF(W117&lt;0,0,IF(W117&lt;30,1+($G16-1)*W117/30,IF(W117&lt;60,$G16+($H16-$G16)*(W117-30)/30,IF(W117&lt;90,$H16+($I16-$H16)*(W117-60)/30,IF(W117&lt;180,$I16+($J16-$I16)*(W117-90)/90,IF(W117&lt;=365,$J16+($K16-$J16)*(W117-180)/185,$K16)))))),"N/D")</f>
        <v>0.823333333333333</v>
      </c>
    </row>
    <row r="137" customFormat="false" ht="19.5" hidden="false" customHeight="true" outlineLevel="0" collapsed="false">
      <c r="C137" s="31" t="n">
        <f aca="false">C17</f>
        <v>46645</v>
      </c>
      <c r="L137" s="10" t="n">
        <f aca="false">IF(COUNT(L118,$G17:$K17)=6,IF(L118&lt;0,0,IF(L118&lt;30,1+($G17-1)*L118/30,IF(L118&lt;60,$G17+($H17-$G17)*(L118-30)/30,IF(L118&lt;90,$H17+($I17-$H17)*(L118-60)/30,IF(L118&lt;180,$I17+($J17-$I17)*(L118-90)/90,IF(L118&lt;=365,$J17+($K17-$J17)*(L118-180)/185,$K17)))))),"N/D")</f>
        <v>0</v>
      </c>
      <c r="M137" s="10" t="n">
        <f aca="false">IF(COUNT(M118,$G17:$K17)=6,IF(M118&lt;0,0,IF(M118&lt;30,1+($G17-1)*M118/30,IF(M118&lt;60,$G17+($H17-$G17)*(M118-30)/30,IF(M118&lt;90,$H17+($I17-$H17)*(M118-60)/30,IF(M118&lt;180,$I17+($J17-$I17)*(M118-90)/90,IF(M118&lt;=365,$J17+($K17-$J17)*(M118-180)/185,$K17)))))),"N/D")</f>
        <v>0</v>
      </c>
      <c r="N137" s="10" t="n">
        <f aca="false">IF(COUNT(N118,$G17:$K17)=6,IF(N118&lt;0,0,IF(N118&lt;30,1+($G17-1)*N118/30,IF(N118&lt;60,$G17+($H17-$G17)*(N118-30)/30,IF(N118&lt;90,$H17+($I17-$H17)*(N118-60)/30,IF(N118&lt;180,$I17+($J17-$I17)*(N118-90)/90,IF(N118&lt;=365,$J17+($K17-$J17)*(N118-180)/185,$K17)))))),"N/D")</f>
        <v>0</v>
      </c>
      <c r="O137" s="10" t="n">
        <f aca="false">IF(COUNT(O118,$G17:$K17)=6,IF(O118&lt;0,0,IF(O118&lt;30,1+($G17-1)*O118/30,IF(O118&lt;60,$G17+($H17-$G17)*(O118-30)/30,IF(O118&lt;90,$H17+($I17-$H17)*(O118-60)/30,IF(O118&lt;180,$I17+($J17-$I17)*(O118-90)/90,IF(O118&lt;=365,$J17+($K17-$J17)*(O118-180)/185,$K17)))))),"N/D")</f>
        <v>0</v>
      </c>
      <c r="P137" s="10" t="n">
        <f aca="false">IF(COUNT(P118,$G17:$K17)=6,IF(P118&lt;0,0,IF(P118&lt;30,1+($G17-1)*P118/30,IF(P118&lt;60,$G17+($H17-$G17)*(P118-30)/30,IF(P118&lt;90,$H17+($I17-$H17)*(P118-60)/30,IF(P118&lt;180,$I17+($J17-$I17)*(P118-90)/90,IF(P118&lt;=365,$J17+($K17-$J17)*(P118-180)/185,$K17)))))),"N/D")</f>
        <v>0</v>
      </c>
      <c r="Q137" s="10" t="n">
        <f aca="false">IF(COUNT(Q118,$G17:$K17)=6,IF(Q118&lt;0,0,IF(Q118&lt;30,1+($G17-1)*Q118/30,IF(Q118&lt;60,$G17+($H17-$G17)*(Q118-30)/30,IF(Q118&lt;90,$H17+($I17-$H17)*(Q118-60)/30,IF(Q118&lt;180,$I17+($J17-$I17)*(Q118-90)/90,IF(Q118&lt;=365,$J17+($K17-$J17)*(Q118-180)/185,$K17)))))),"N/D")</f>
        <v>0</v>
      </c>
      <c r="R137" s="10" t="n">
        <f aca="false">IF(COUNT(R118,$G17:$K17)=6,IF(R118&lt;0,0,IF(R118&lt;30,1+($G17-1)*R118/30,IF(R118&lt;60,$G17+($H17-$G17)*(R118-30)/30,IF(R118&lt;90,$H17+($I17-$H17)*(R118-60)/30,IF(R118&lt;180,$I17+($J17-$I17)*(R118-90)/90,IF(R118&lt;=365,$J17+($K17-$J17)*(R118-180)/185,$K17)))))),"N/D")</f>
        <v>0</v>
      </c>
      <c r="S137" s="10" t="n">
        <f aca="false">IF(COUNT(S118,$G17:$K17)=6,IF(S118&lt;0,0,IF(S118&lt;30,1+($G17-1)*S118/30,IF(S118&lt;60,$G17+($H17-$G17)*(S118-30)/30,IF(S118&lt;90,$H17+($I17-$H17)*(S118-60)/30,IF(S118&lt;180,$I17+($J17-$I17)*(S118-90)/90,IF(S118&lt;=365,$J17+($K17-$J17)*(S118-180)/185,$K17)))))),"N/D")</f>
        <v>0</v>
      </c>
      <c r="T137" s="10" t="n">
        <f aca="false">IF(COUNT(T118,$G17:$K17)=6,IF(T118&lt;0,0,IF(T118&lt;30,1+($G17-1)*T118/30,IF(T118&lt;60,$G17+($H17-$G17)*(T118-30)/30,IF(T118&lt;90,$H17+($I17-$H17)*(T118-60)/30,IF(T118&lt;180,$I17+($J17-$I17)*(T118-90)/90,IF(T118&lt;=365,$J17+($K17-$J17)*(T118-180)/185,$K17)))))),"N/D")</f>
        <v>0.975</v>
      </c>
      <c r="U137" s="10" t="n">
        <f aca="false">IF(COUNT(U118,$G17:$K17)=6,IF(U118&lt;0,0,IF(U118&lt;30,1+($G17-1)*U118/30,IF(U118&lt;60,$G17+($H17-$G17)*(U118-30)/30,IF(U118&lt;90,$H17+($I17-$H17)*(U118-60)/30,IF(U118&lt;180,$I17+($J17-$I17)*(U118-90)/90,IF(U118&lt;=365,$J17+($K17-$J17)*(U118-180)/185,$K17)))))),"N/D")</f>
        <v>0.923333333333333</v>
      </c>
      <c r="V137" s="10" t="n">
        <f aca="false">IF(COUNT(V118,$G17:$K17)=6,IF(V118&lt;0,0,IF(V118&lt;30,1+($G17-1)*V118/30,IF(V118&lt;60,$G17+($H17-$G17)*(V118-30)/30,IF(V118&lt;90,$H17+($I17-$H17)*(V118-60)/30,IF(V118&lt;180,$I17+($J17-$I17)*(V118-90)/90,IF(V118&lt;=365,$J17+($K17-$J17)*(V118-180)/185,$K17)))))),"N/D")</f>
        <v>0.873333333333333</v>
      </c>
      <c r="W137" s="10" t="n">
        <f aca="false">IF(COUNT(W118,$G17:$K17)=6,IF(W118&lt;0,0,IF(W118&lt;30,1+($G17-1)*W118/30,IF(W118&lt;60,$G17+($H17-$G17)*(W118-30)/30,IF(W118&lt;90,$H17+($I17-$H17)*(W118-60)/30,IF(W118&lt;180,$I17+($J17-$I17)*(W118-90)/90,IF(W118&lt;=365,$J17+($K17-$J17)*(W118-180)/185,$K17)))))),"N/D")</f>
        <v>0.840555555555556</v>
      </c>
    </row>
    <row r="138" customFormat="false" ht="19.5" hidden="false" customHeight="true" outlineLevel="0" collapsed="false">
      <c r="C138" s="31" t="n">
        <f aca="false">C18</f>
        <v>46675</v>
      </c>
      <c r="L138" s="10" t="n">
        <f aca="false">IF(COUNT(L119,$G18:$K18)=6,IF(L119&lt;0,0,IF(L119&lt;30,1+($G18-1)*L119/30,IF(L119&lt;60,$G18+($H18-$G18)*(L119-30)/30,IF(L119&lt;90,$H18+($I18-$H18)*(L119-60)/30,IF(L119&lt;180,$I18+($J18-$I18)*(L119-90)/90,IF(L119&lt;=365,$J18+($K18-$J18)*(L119-180)/185,$K18)))))),"N/D")</f>
        <v>0</v>
      </c>
      <c r="M138" s="10" t="n">
        <f aca="false">IF(COUNT(M119,$G18:$K18)=6,IF(M119&lt;0,0,IF(M119&lt;30,1+($G18-1)*M119/30,IF(M119&lt;60,$G18+($H18-$G18)*(M119-30)/30,IF(M119&lt;90,$H18+($I18-$H18)*(M119-60)/30,IF(M119&lt;180,$I18+($J18-$I18)*(M119-90)/90,IF(M119&lt;=365,$J18+($K18-$J18)*(M119-180)/185,$K18)))))),"N/D")</f>
        <v>0</v>
      </c>
      <c r="N138" s="10" t="n">
        <f aca="false">IF(COUNT(N119,$G18:$K18)=6,IF(N119&lt;0,0,IF(N119&lt;30,1+($G18-1)*N119/30,IF(N119&lt;60,$G18+($H18-$G18)*(N119-30)/30,IF(N119&lt;90,$H18+($I18-$H18)*(N119-60)/30,IF(N119&lt;180,$I18+($J18-$I18)*(N119-90)/90,IF(N119&lt;=365,$J18+($K18-$J18)*(N119-180)/185,$K18)))))),"N/D")</f>
        <v>0</v>
      </c>
      <c r="O138" s="10" t="n">
        <f aca="false">IF(COUNT(O119,$G18:$K18)=6,IF(O119&lt;0,0,IF(O119&lt;30,1+($G18-1)*O119/30,IF(O119&lt;60,$G18+($H18-$G18)*(O119-30)/30,IF(O119&lt;90,$H18+($I18-$H18)*(O119-60)/30,IF(O119&lt;180,$I18+($J18-$I18)*(O119-90)/90,IF(O119&lt;=365,$J18+($K18-$J18)*(O119-180)/185,$K18)))))),"N/D")</f>
        <v>0</v>
      </c>
      <c r="P138" s="10" t="n">
        <f aca="false">IF(COUNT(P119,$G18:$K18)=6,IF(P119&lt;0,0,IF(P119&lt;30,1+($G18-1)*P119/30,IF(P119&lt;60,$G18+($H18-$G18)*(P119-30)/30,IF(P119&lt;90,$H18+($I18-$H18)*(P119-60)/30,IF(P119&lt;180,$I18+($J18-$I18)*(P119-90)/90,IF(P119&lt;=365,$J18+($K18-$J18)*(P119-180)/185,$K18)))))),"N/D")</f>
        <v>0</v>
      </c>
      <c r="Q138" s="10" t="n">
        <f aca="false">IF(COUNT(Q119,$G18:$K18)=6,IF(Q119&lt;0,0,IF(Q119&lt;30,1+($G18-1)*Q119/30,IF(Q119&lt;60,$G18+($H18-$G18)*(Q119-30)/30,IF(Q119&lt;90,$H18+($I18-$H18)*(Q119-60)/30,IF(Q119&lt;180,$I18+($J18-$I18)*(Q119-90)/90,IF(Q119&lt;=365,$J18+($K18-$J18)*(Q119-180)/185,$K18)))))),"N/D")</f>
        <v>0</v>
      </c>
      <c r="R138" s="10" t="n">
        <f aca="false">IF(COUNT(R119,$G18:$K18)=6,IF(R119&lt;0,0,IF(R119&lt;30,1+($G18-1)*R119/30,IF(R119&lt;60,$G18+($H18-$G18)*(R119-30)/30,IF(R119&lt;90,$H18+($I18-$H18)*(R119-60)/30,IF(R119&lt;180,$I18+($J18-$I18)*(R119-90)/90,IF(R119&lt;=365,$J18+($K18-$J18)*(R119-180)/185,$K18)))))),"N/D")</f>
        <v>0</v>
      </c>
      <c r="S138" s="10" t="n">
        <f aca="false">IF(COUNT(S119,$G18:$K18)=6,IF(S119&lt;0,0,IF(S119&lt;30,1+($G18-1)*S119/30,IF(S119&lt;60,$G18+($H18-$G18)*(S119-30)/30,IF(S119&lt;90,$H18+($I18-$H18)*(S119-60)/30,IF(S119&lt;180,$I18+($J18-$I18)*(S119-90)/90,IF(S119&lt;=365,$J18+($K18-$J18)*(S119-180)/185,$K18)))))),"N/D")</f>
        <v>0</v>
      </c>
      <c r="T138" s="10" t="n">
        <f aca="false">IF(COUNT(T119,$G18:$K18)=6,IF(T119&lt;0,0,IF(T119&lt;30,1+($G18-1)*T119/30,IF(T119&lt;60,$G18+($H18-$G18)*(T119-30)/30,IF(T119&lt;90,$H18+($I18-$H18)*(T119-60)/30,IF(T119&lt;180,$I18+($J18-$I18)*(T119-90)/90,IF(T119&lt;=365,$J18+($K18-$J18)*(T119-180)/185,$K18)))))),"N/D")</f>
        <v>0</v>
      </c>
      <c r="U138" s="10" t="n">
        <f aca="false">IF(COUNT(U119,$G18:$K18)=6,IF(U119&lt;0,0,IF(U119&lt;30,1+($G18-1)*U119/30,IF(U119&lt;60,$G18+($H18-$G18)*(U119-30)/30,IF(U119&lt;90,$H18+($I18-$H18)*(U119-60)/30,IF(U119&lt;180,$I18+($J18-$I18)*(U119-90)/90,IF(U119&lt;=365,$J18+($K18-$J18)*(U119-180)/185,$K18)))))),"N/D")</f>
        <v>0.973333333333333</v>
      </c>
      <c r="V138" s="10" t="n">
        <f aca="false">IF(COUNT(V119,$G18:$K18)=6,IF(V119&lt;0,0,IF(V119&lt;30,1+($G18-1)*V119/30,IF(V119&lt;60,$G18+($H18-$G18)*(V119-30)/30,IF(V119&lt;90,$H18+($I18-$H18)*(V119-60)/30,IF(V119&lt;180,$I18+($J18-$I18)*(V119-90)/90,IF(V119&lt;=365,$J18+($K18-$J18)*(V119-180)/185,$K18)))))),"N/D")</f>
        <v>0.923333333333333</v>
      </c>
      <c r="W138" s="10" t="n">
        <f aca="false">IF(COUNT(W119,$G18:$K18)=6,IF(W119&lt;0,0,IF(W119&lt;30,1+($G18-1)*W119/30,IF(W119&lt;60,$G18+($H18-$G18)*(W119-30)/30,IF(W119&lt;90,$H18+($I18-$H18)*(W119-60)/30,IF(W119&lt;180,$I18+($J18-$I18)*(W119-90)/90,IF(W119&lt;=365,$J18+($K18-$J18)*(W119-180)/185,$K18)))))),"N/D")</f>
        <v>0.871666666666667</v>
      </c>
    </row>
    <row r="139" customFormat="false" ht="19.5" hidden="false" customHeight="true" outlineLevel="0" collapsed="false">
      <c r="C139" s="31" t="n">
        <f aca="false">C19</f>
        <v>46706</v>
      </c>
      <c r="L139" s="10" t="n">
        <f aca="false">IF(COUNT(L120,$G19:$K19)=6,IF(L120&lt;0,0,IF(L120&lt;30,1+($G19-1)*L120/30,IF(L120&lt;60,$G19+($H19-$G19)*(L120-30)/30,IF(L120&lt;90,$H19+($I19-$H19)*(L120-60)/30,IF(L120&lt;180,$I19+($J19-$I19)*(L120-90)/90,IF(L120&lt;=365,$J19+($K19-$J19)*(L120-180)/185,$K19)))))),"N/D")</f>
        <v>0</v>
      </c>
      <c r="M139" s="10" t="n">
        <f aca="false">IF(COUNT(M120,$G19:$K19)=6,IF(M120&lt;0,0,IF(M120&lt;30,1+($G19-1)*M120/30,IF(M120&lt;60,$G19+($H19-$G19)*(M120-30)/30,IF(M120&lt;90,$H19+($I19-$H19)*(M120-60)/30,IF(M120&lt;180,$I19+($J19-$I19)*(M120-90)/90,IF(M120&lt;=365,$J19+($K19-$J19)*(M120-180)/185,$K19)))))),"N/D")</f>
        <v>0</v>
      </c>
      <c r="N139" s="10" t="n">
        <f aca="false">IF(COUNT(N120,$G19:$K19)=6,IF(N120&lt;0,0,IF(N120&lt;30,1+($G19-1)*N120/30,IF(N120&lt;60,$G19+($H19-$G19)*(N120-30)/30,IF(N120&lt;90,$H19+($I19-$H19)*(N120-60)/30,IF(N120&lt;180,$I19+($J19-$I19)*(N120-90)/90,IF(N120&lt;=365,$J19+($K19-$J19)*(N120-180)/185,$K19)))))),"N/D")</f>
        <v>0</v>
      </c>
      <c r="O139" s="10" t="n">
        <f aca="false">IF(COUNT(O120,$G19:$K19)=6,IF(O120&lt;0,0,IF(O120&lt;30,1+($G19-1)*O120/30,IF(O120&lt;60,$G19+($H19-$G19)*(O120-30)/30,IF(O120&lt;90,$H19+($I19-$H19)*(O120-60)/30,IF(O120&lt;180,$I19+($J19-$I19)*(O120-90)/90,IF(O120&lt;=365,$J19+($K19-$J19)*(O120-180)/185,$K19)))))),"N/D")</f>
        <v>0</v>
      </c>
      <c r="P139" s="10" t="n">
        <f aca="false">IF(COUNT(P120,$G19:$K19)=6,IF(P120&lt;0,0,IF(P120&lt;30,1+($G19-1)*P120/30,IF(P120&lt;60,$G19+($H19-$G19)*(P120-30)/30,IF(P120&lt;90,$H19+($I19-$H19)*(P120-60)/30,IF(P120&lt;180,$I19+($J19-$I19)*(P120-90)/90,IF(P120&lt;=365,$J19+($K19-$J19)*(P120-180)/185,$K19)))))),"N/D")</f>
        <v>0</v>
      </c>
      <c r="Q139" s="10" t="n">
        <f aca="false">IF(COUNT(Q120,$G19:$K19)=6,IF(Q120&lt;0,0,IF(Q120&lt;30,1+($G19-1)*Q120/30,IF(Q120&lt;60,$G19+($H19-$G19)*(Q120-30)/30,IF(Q120&lt;90,$H19+($I19-$H19)*(Q120-60)/30,IF(Q120&lt;180,$I19+($J19-$I19)*(Q120-90)/90,IF(Q120&lt;=365,$J19+($K19-$J19)*(Q120-180)/185,$K19)))))),"N/D")</f>
        <v>0</v>
      </c>
      <c r="R139" s="10" t="n">
        <f aca="false">IF(COUNT(R120,$G19:$K19)=6,IF(R120&lt;0,0,IF(R120&lt;30,1+($G19-1)*R120/30,IF(R120&lt;60,$G19+($H19-$G19)*(R120-30)/30,IF(R120&lt;90,$H19+($I19-$H19)*(R120-60)/30,IF(R120&lt;180,$I19+($J19-$I19)*(R120-90)/90,IF(R120&lt;=365,$J19+($K19-$J19)*(R120-180)/185,$K19)))))),"N/D")</f>
        <v>0</v>
      </c>
      <c r="S139" s="10" t="n">
        <f aca="false">IF(COUNT(S120,$G19:$K19)=6,IF(S120&lt;0,0,IF(S120&lt;30,1+($G19-1)*S120/30,IF(S120&lt;60,$G19+($H19-$G19)*(S120-30)/30,IF(S120&lt;90,$H19+($I19-$H19)*(S120-60)/30,IF(S120&lt;180,$I19+($J19-$I19)*(S120-90)/90,IF(S120&lt;=365,$J19+($K19-$J19)*(S120-180)/185,$K19)))))),"N/D")</f>
        <v>0</v>
      </c>
      <c r="T139" s="10" t="n">
        <f aca="false">IF(COUNT(T120,$G19:$K19)=6,IF(T120&lt;0,0,IF(T120&lt;30,1+($G19-1)*T120/30,IF(T120&lt;60,$G19+($H19-$G19)*(T120-30)/30,IF(T120&lt;90,$H19+($I19-$H19)*(T120-60)/30,IF(T120&lt;180,$I19+($J19-$I19)*(T120-90)/90,IF(T120&lt;=365,$J19+($K19-$J19)*(T120-180)/185,$K19)))))),"N/D")</f>
        <v>0</v>
      </c>
      <c r="U139" s="10" t="n">
        <f aca="false">IF(COUNT(U120,$G19:$K19)=6,IF(U120&lt;0,0,IF(U120&lt;30,1+($G19-1)*U120/30,IF(U120&lt;60,$G19+($H19-$G19)*(U120-30)/30,IF(U120&lt;90,$H19+($I19-$H19)*(U120-60)/30,IF(U120&lt;180,$I19+($J19-$I19)*(U120-90)/90,IF(U120&lt;=365,$J19+($K19-$J19)*(U120-180)/185,$K19)))))),"N/D")</f>
        <v>0</v>
      </c>
      <c r="V139" s="10" t="n">
        <f aca="false">IF(COUNT(V120,$G19:$K19)=6,IF(V120&lt;0,0,IF(V120&lt;30,1+($G19-1)*V120/30,IF(V120&lt;60,$G19+($H19-$G19)*(V120-30)/30,IF(V120&lt;90,$H19+($I19-$H19)*(V120-60)/30,IF(V120&lt;180,$I19+($J19-$I19)*(V120-90)/90,IF(V120&lt;=365,$J19+($K19-$J19)*(V120-180)/185,$K19)))))),"N/D")</f>
        <v>0.975</v>
      </c>
      <c r="W139" s="10" t="n">
        <f aca="false">IF(COUNT(W120,$G19:$K19)=6,IF(W120&lt;0,0,IF(W120&lt;30,1+($G19-1)*W120/30,IF(W120&lt;60,$G19+($H19-$G19)*(W120-30)/30,IF(W120&lt;90,$H19+($I19-$H19)*(W120-60)/30,IF(W120&lt;180,$I19+($J19-$I19)*(W120-90)/90,IF(W120&lt;=365,$J19+($K19-$J19)*(W120-180)/185,$K19)))))),"N/D")</f>
        <v>0.923333333333333</v>
      </c>
    </row>
    <row r="140" customFormat="false" ht="19.5" hidden="false" customHeight="true" outlineLevel="0" collapsed="false">
      <c r="C140" s="31" t="n">
        <f aca="false">C20</f>
        <v>46736</v>
      </c>
      <c r="L140" s="10" t="n">
        <f aca="false">IF(COUNT(L121,$G20:$K20)=6,IF(L121&lt;0,0,IF(L121&lt;30,1+($G20-1)*L121/30,IF(L121&lt;60,$G20+($H20-$G20)*(L121-30)/30,IF(L121&lt;90,$H20+($I20-$H20)*(L121-60)/30,IF(L121&lt;180,$I20+($J20-$I20)*(L121-90)/90,IF(L121&lt;=365,$J20+($K20-$J20)*(L121-180)/185,$K20)))))),"N/D")</f>
        <v>0</v>
      </c>
      <c r="M140" s="10" t="n">
        <f aca="false">IF(COUNT(M121,$G20:$K20)=6,IF(M121&lt;0,0,IF(M121&lt;30,1+($G20-1)*M121/30,IF(M121&lt;60,$G20+($H20-$G20)*(M121-30)/30,IF(M121&lt;90,$H20+($I20-$H20)*(M121-60)/30,IF(M121&lt;180,$I20+($J20-$I20)*(M121-90)/90,IF(M121&lt;=365,$J20+($K20-$J20)*(M121-180)/185,$K20)))))),"N/D")</f>
        <v>0</v>
      </c>
      <c r="N140" s="10" t="n">
        <f aca="false">IF(COUNT(N121,$G20:$K20)=6,IF(N121&lt;0,0,IF(N121&lt;30,1+($G20-1)*N121/30,IF(N121&lt;60,$G20+($H20-$G20)*(N121-30)/30,IF(N121&lt;90,$H20+($I20-$H20)*(N121-60)/30,IF(N121&lt;180,$I20+($J20-$I20)*(N121-90)/90,IF(N121&lt;=365,$J20+($K20-$J20)*(N121-180)/185,$K20)))))),"N/D")</f>
        <v>0</v>
      </c>
      <c r="O140" s="10" t="n">
        <f aca="false">IF(COUNT(O121,$G20:$K20)=6,IF(O121&lt;0,0,IF(O121&lt;30,1+($G20-1)*O121/30,IF(O121&lt;60,$G20+($H20-$G20)*(O121-30)/30,IF(O121&lt;90,$H20+($I20-$H20)*(O121-60)/30,IF(O121&lt;180,$I20+($J20-$I20)*(O121-90)/90,IF(O121&lt;=365,$J20+($K20-$J20)*(O121-180)/185,$K20)))))),"N/D")</f>
        <v>0</v>
      </c>
      <c r="P140" s="10" t="n">
        <f aca="false">IF(COUNT(P121,$G20:$K20)=6,IF(P121&lt;0,0,IF(P121&lt;30,1+($G20-1)*P121/30,IF(P121&lt;60,$G20+($H20-$G20)*(P121-30)/30,IF(P121&lt;90,$H20+($I20-$H20)*(P121-60)/30,IF(P121&lt;180,$I20+($J20-$I20)*(P121-90)/90,IF(P121&lt;=365,$J20+($K20-$J20)*(P121-180)/185,$K20)))))),"N/D")</f>
        <v>0</v>
      </c>
      <c r="Q140" s="10" t="n">
        <f aca="false">IF(COUNT(Q121,$G20:$K20)=6,IF(Q121&lt;0,0,IF(Q121&lt;30,1+($G20-1)*Q121/30,IF(Q121&lt;60,$G20+($H20-$G20)*(Q121-30)/30,IF(Q121&lt;90,$H20+($I20-$H20)*(Q121-60)/30,IF(Q121&lt;180,$I20+($J20-$I20)*(Q121-90)/90,IF(Q121&lt;=365,$J20+($K20-$J20)*(Q121-180)/185,$K20)))))),"N/D")</f>
        <v>0</v>
      </c>
      <c r="R140" s="10" t="n">
        <f aca="false">IF(COUNT(R121,$G20:$K20)=6,IF(R121&lt;0,0,IF(R121&lt;30,1+($G20-1)*R121/30,IF(R121&lt;60,$G20+($H20-$G20)*(R121-30)/30,IF(R121&lt;90,$H20+($I20-$H20)*(R121-60)/30,IF(R121&lt;180,$I20+($J20-$I20)*(R121-90)/90,IF(R121&lt;=365,$J20+($K20-$J20)*(R121-180)/185,$K20)))))),"N/D")</f>
        <v>0</v>
      </c>
      <c r="S140" s="10" t="n">
        <f aca="false">IF(COUNT(S121,$G20:$K20)=6,IF(S121&lt;0,0,IF(S121&lt;30,1+($G20-1)*S121/30,IF(S121&lt;60,$G20+($H20-$G20)*(S121-30)/30,IF(S121&lt;90,$H20+($I20-$H20)*(S121-60)/30,IF(S121&lt;180,$I20+($J20-$I20)*(S121-90)/90,IF(S121&lt;=365,$J20+($K20-$J20)*(S121-180)/185,$K20)))))),"N/D")</f>
        <v>0</v>
      </c>
      <c r="T140" s="10" t="n">
        <f aca="false">IF(COUNT(T121,$G20:$K20)=6,IF(T121&lt;0,0,IF(T121&lt;30,1+($G20-1)*T121/30,IF(T121&lt;60,$G20+($H20-$G20)*(T121-30)/30,IF(T121&lt;90,$H20+($I20-$H20)*(T121-60)/30,IF(T121&lt;180,$I20+($J20-$I20)*(T121-90)/90,IF(T121&lt;=365,$J20+($K20-$J20)*(T121-180)/185,$K20)))))),"N/D")</f>
        <v>0</v>
      </c>
      <c r="U140" s="10" t="n">
        <f aca="false">IF(COUNT(U121,$G20:$K20)=6,IF(U121&lt;0,0,IF(U121&lt;30,1+($G20-1)*U121/30,IF(U121&lt;60,$G20+($H20-$G20)*(U121-30)/30,IF(U121&lt;90,$H20+($I20-$H20)*(U121-60)/30,IF(U121&lt;180,$I20+($J20-$I20)*(U121-90)/90,IF(U121&lt;=365,$J20+($K20-$J20)*(U121-180)/185,$K20)))))),"N/D")</f>
        <v>0</v>
      </c>
      <c r="V140" s="10" t="n">
        <f aca="false">IF(COUNT(V121,$G20:$K20)=6,IF(V121&lt;0,0,IF(V121&lt;30,1+($G20-1)*V121/30,IF(V121&lt;60,$G20+($H20-$G20)*(V121-30)/30,IF(V121&lt;90,$H20+($I20-$H20)*(V121-60)/30,IF(V121&lt;180,$I20+($J20-$I20)*(V121-90)/90,IF(V121&lt;=365,$J20+($K20-$J20)*(V121-180)/185,$K20)))))),"N/D")</f>
        <v>0</v>
      </c>
      <c r="W140" s="10" t="n">
        <f aca="false">IF(COUNT(W121,$G20:$K20)=6,IF(W121&lt;0,0,IF(W121&lt;30,1+($G20-1)*W121/30,IF(W121&lt;60,$G20+($H20-$G20)*(W121-30)/30,IF(W121&lt;90,$H20+($I20-$H20)*(W121-60)/30,IF(W121&lt;180,$I20+($J20-$I20)*(W121-90)/90,IF(W121&lt;=365,$J20+($K20-$J20)*(W121-180)/185,$K20)))))),"N/D")</f>
        <v>0.973333333333333</v>
      </c>
    </row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</sheetData>
  <mergeCells count="8">
    <mergeCell ref="C28:K28"/>
    <mergeCell ref="C48:K48"/>
    <mergeCell ref="C68:K68"/>
    <mergeCell ref="C102:W102"/>
    <mergeCell ref="C103:W103"/>
    <mergeCell ref="C104:W104"/>
    <mergeCell ref="C108:K108"/>
    <mergeCell ref="C127:K127"/>
  </mergeCells>
  <printOptions headings="false" gridLines="false" gridLinesSet="true" horizontalCentered="true" verticalCentered="false"/>
  <pageMargins left="0.2" right="0.2" top="0.25" bottom="0.25" header="0.511811023622047" footer="0.511811023622047"/>
  <pageSetup paperSize="8" scale="100" fitToWidth="1" fitToHeight="3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9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11" min="6" style="0" width="14"/>
  </cols>
  <sheetData>
    <row r="2" customFormat="false" ht="24.75" hidden="false" customHeight="true" outlineLevel="0" collapsed="false">
      <c r="C2" s="1" t="s">
        <v>172</v>
      </c>
    </row>
    <row r="4" customFormat="false" ht="15" hidden="false" customHeight="false" outlineLevel="0" collapsed="false">
      <c r="C4" s="2" t="s">
        <v>1</v>
      </c>
      <c r="D4" s="3" t="str">
        <f aca="false">Supuestos!D5</f>
        <v>Base</v>
      </c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30" hidden="false" customHeight="true" outlineLevel="0" collapsed="false">
      <c r="C7" s="5" t="s">
        <v>173</v>
      </c>
      <c r="D7" s="5" t="s">
        <v>174</v>
      </c>
      <c r="E7" s="5" t="s">
        <v>175</v>
      </c>
      <c r="F7" s="5" t="s">
        <v>176</v>
      </c>
    </row>
    <row r="8" customFormat="false" ht="19.5" hidden="false" customHeight="true" outlineLevel="0" collapsed="false">
      <c r="C8" s="16" t="n">
        <v>0.01</v>
      </c>
      <c r="D8" s="20" t="n">
        <f aca="false">C8*Supuestos!D8</f>
        <v>152</v>
      </c>
      <c r="E8" s="20" t="n">
        <f aca="false">IF(COUNT(Supuestos!F40,Supuestos!F45)=2,IF(Supuestos!F40*Supuestos!F45&gt;0,D8/(Supuestos!F40*Supuestos!F45),"N/D"),"N/D")</f>
        <v>11692.3076923077</v>
      </c>
      <c r="F8" s="26" t="n">
        <f aca="false">D8*Supuestos!D10</f>
        <v>380000</v>
      </c>
    </row>
    <row r="9" customFormat="false" ht="19.5" hidden="false" customHeight="true" outlineLevel="0" collapsed="false">
      <c r="C9" s="16" t="n">
        <v>0.05</v>
      </c>
      <c r="D9" s="20" t="n">
        <f aca="false">C9*Supuestos!D8</f>
        <v>760</v>
      </c>
      <c r="E9" s="20" t="n">
        <f aca="false">IF(COUNT(Supuestos!F40,Supuestos!F45)=2,IF(Supuestos!F40*Supuestos!F45&gt;0,D9/(Supuestos!F40*Supuestos!F45),"N/D"),"N/D")</f>
        <v>58461.5384615385</v>
      </c>
      <c r="F9" s="26" t="n">
        <f aca="false">D9*Supuestos!D10</f>
        <v>1900000</v>
      </c>
    </row>
    <row r="10" customFormat="false" ht="19.5" hidden="false" customHeight="true" outlineLevel="0" collapsed="false">
      <c r="C10" s="16" t="n">
        <v>0.1</v>
      </c>
      <c r="D10" s="20" t="n">
        <f aca="false">C10*Supuestos!D8</f>
        <v>1520</v>
      </c>
      <c r="E10" s="20" t="n">
        <f aca="false">IF(COUNT(Supuestos!F40,Supuestos!F45)=2,IF(Supuestos!F40*Supuestos!F45&gt;0,D10/(Supuestos!F40*Supuestos!F45),"N/D"),"N/D")</f>
        <v>116923.076923077</v>
      </c>
      <c r="F10" s="26" t="n">
        <f aca="false">D10*Supuestos!D10</f>
        <v>3800000</v>
      </c>
    </row>
    <row r="11" customFormat="false" ht="19.5" hidden="false" customHeight="true" outlineLevel="0" collapsed="false"/>
    <row r="12" customFormat="false" ht="30" hidden="false" customHeight="true" outlineLevel="0" collapsed="false">
      <c r="C12" s="4" t="s">
        <v>177</v>
      </c>
      <c r="D12" s="4"/>
      <c r="E12" s="4"/>
      <c r="F12" s="4"/>
      <c r="G12" s="4"/>
      <c r="H12" s="4"/>
      <c r="I12" s="4"/>
      <c r="J12" s="4"/>
      <c r="K12" s="4"/>
    </row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30" hidden="false" customHeight="true" outlineLevel="0" collapsed="false">
      <c r="C15" s="5" t="s">
        <v>178</v>
      </c>
      <c r="D15" s="5"/>
      <c r="E15" s="5"/>
      <c r="F15" s="32" t="n">
        <v>0.4</v>
      </c>
      <c r="G15" s="32" t="n">
        <v>0.5</v>
      </c>
      <c r="H15" s="32" t="n">
        <v>0.65</v>
      </c>
      <c r="I15" s="32" t="n">
        <v>0.75</v>
      </c>
      <c r="J15" s="32" t="n">
        <v>0.85</v>
      </c>
    </row>
    <row r="16" customFormat="false" ht="19.5" hidden="false" customHeight="true" outlineLevel="0" collapsed="false">
      <c r="C16" s="16" t="n">
        <v>0.01</v>
      </c>
      <c r="F16" s="20" t="n">
        <f aca="false">IF(COUNT(Mensual!$F$16:$Q$16)=12,SUM(Mensual!$F$16:$Q$16)*$C16*F$15,"N/D")</f>
        <v>15.498</v>
      </c>
      <c r="G16" s="20" t="n">
        <f aca="false">IF(COUNT(Mensual!$F$16:$Q$16)=12,SUM(Mensual!$F$16:$Q$16)*$C16*G$15,"N/D")</f>
        <v>19.3725</v>
      </c>
      <c r="H16" s="20" t="n">
        <f aca="false">IF(COUNT(Mensual!$F$16:$Q$16)=12,SUM(Mensual!$F$16:$Q$16)*$C16*H$15,"N/D")</f>
        <v>25.18425</v>
      </c>
      <c r="I16" s="20" t="n">
        <f aca="false">IF(COUNT(Mensual!$F$16:$Q$16)=12,SUM(Mensual!$F$16:$Q$16)*$C16*I$15,"N/D")</f>
        <v>29.05875</v>
      </c>
      <c r="J16" s="20" t="n">
        <f aca="false">IF(COUNT(Mensual!$F$16:$Q$16)=12,SUM(Mensual!$F$16:$Q$16)*$C16*J$15,"N/D")</f>
        <v>32.93325</v>
      </c>
    </row>
    <row r="17" customFormat="false" ht="19.5" hidden="false" customHeight="true" outlineLevel="0" collapsed="false">
      <c r="C17" s="16" t="n">
        <v>0.015</v>
      </c>
      <c r="F17" s="20" t="n">
        <f aca="false">IF(COUNT(Mensual!$F$16:$Q$16)=12,SUM(Mensual!$F$16:$Q$16)*$C17*F$15,"N/D")</f>
        <v>23.247</v>
      </c>
      <c r="G17" s="20" t="n">
        <f aca="false">IF(COUNT(Mensual!$F$16:$Q$16)=12,SUM(Mensual!$F$16:$Q$16)*$C17*G$15,"N/D")</f>
        <v>29.05875</v>
      </c>
      <c r="H17" s="20" t="n">
        <f aca="false">IF(COUNT(Mensual!$F$16:$Q$16)=12,SUM(Mensual!$F$16:$Q$16)*$C17*H$15,"N/D")</f>
        <v>37.776375</v>
      </c>
      <c r="I17" s="20" t="n">
        <f aca="false">IF(COUNT(Mensual!$F$16:$Q$16)=12,SUM(Mensual!$F$16:$Q$16)*$C17*I$15,"N/D")</f>
        <v>43.588125</v>
      </c>
      <c r="J17" s="20" t="n">
        <f aca="false">IF(COUNT(Mensual!$F$16:$Q$16)=12,SUM(Mensual!$F$16:$Q$16)*$C17*J$15,"N/D")</f>
        <v>49.399875</v>
      </c>
    </row>
    <row r="18" customFormat="false" ht="19.5" hidden="false" customHeight="true" outlineLevel="0" collapsed="false">
      <c r="C18" s="16" t="n">
        <v>0.02</v>
      </c>
      <c r="F18" s="20" t="n">
        <f aca="false">IF(COUNT(Mensual!$F$16:$Q$16)=12,SUM(Mensual!$F$16:$Q$16)*$C18*F$15,"N/D")</f>
        <v>30.996</v>
      </c>
      <c r="G18" s="20" t="n">
        <f aca="false">IF(COUNT(Mensual!$F$16:$Q$16)=12,SUM(Mensual!$F$16:$Q$16)*$C18*G$15,"N/D")</f>
        <v>38.745</v>
      </c>
      <c r="H18" s="20" t="n">
        <f aca="false">IF(COUNT(Mensual!$F$16:$Q$16)=12,SUM(Mensual!$F$16:$Q$16)*$C18*H$15,"N/D")</f>
        <v>50.3685</v>
      </c>
      <c r="I18" s="20" t="n">
        <f aca="false">IF(COUNT(Mensual!$F$16:$Q$16)=12,SUM(Mensual!$F$16:$Q$16)*$C18*I$15,"N/D")</f>
        <v>58.1175</v>
      </c>
      <c r="J18" s="20" t="n">
        <f aca="false">IF(COUNT(Mensual!$F$16:$Q$16)=12,SUM(Mensual!$F$16:$Q$16)*$C18*J$15,"N/D")</f>
        <v>65.8665</v>
      </c>
    </row>
    <row r="19" customFormat="false" ht="19.5" hidden="false" customHeight="true" outlineLevel="0" collapsed="false">
      <c r="C19" s="16" t="n">
        <v>0.025</v>
      </c>
      <c r="F19" s="20" t="n">
        <f aca="false">IF(COUNT(Mensual!$F$16:$Q$16)=12,SUM(Mensual!$F$16:$Q$16)*$C19*F$15,"N/D")</f>
        <v>38.745</v>
      </c>
      <c r="G19" s="20" t="n">
        <f aca="false">IF(COUNT(Mensual!$F$16:$Q$16)=12,SUM(Mensual!$F$16:$Q$16)*$C19*G$15,"N/D")</f>
        <v>48.43125</v>
      </c>
      <c r="H19" s="20" t="n">
        <f aca="false">IF(COUNT(Mensual!$F$16:$Q$16)=12,SUM(Mensual!$F$16:$Q$16)*$C19*H$15,"N/D")</f>
        <v>62.960625</v>
      </c>
      <c r="I19" s="20" t="n">
        <f aca="false">IF(COUNT(Mensual!$F$16:$Q$16)=12,SUM(Mensual!$F$16:$Q$16)*$C19*I$15,"N/D")</f>
        <v>72.646875</v>
      </c>
      <c r="J19" s="20" t="n">
        <f aca="false">IF(COUNT(Mensual!$F$16:$Q$16)=12,SUM(Mensual!$F$16:$Q$16)*$C19*J$15,"N/D")</f>
        <v>82.333125</v>
      </c>
    </row>
    <row r="20" customFormat="false" ht="19.5" hidden="false" customHeight="true" outlineLevel="0" collapsed="false">
      <c r="C20" s="16" t="n">
        <v>0.03</v>
      </c>
      <c r="F20" s="20" t="n">
        <f aca="false">IF(COUNT(Mensual!$F$16:$Q$16)=12,SUM(Mensual!$F$16:$Q$16)*$C20*F$15,"N/D")</f>
        <v>46.494</v>
      </c>
      <c r="G20" s="20" t="n">
        <f aca="false">IF(COUNT(Mensual!$F$16:$Q$16)=12,SUM(Mensual!$F$16:$Q$16)*$C20*G$15,"N/D")</f>
        <v>58.1175</v>
      </c>
      <c r="H20" s="20" t="n">
        <f aca="false">IF(COUNT(Mensual!$F$16:$Q$16)=12,SUM(Mensual!$F$16:$Q$16)*$C20*H$15,"N/D")</f>
        <v>75.55275</v>
      </c>
      <c r="I20" s="20" t="n">
        <f aca="false">IF(COUNT(Mensual!$F$16:$Q$16)=12,SUM(Mensual!$F$16:$Q$16)*$C20*I$15,"N/D")</f>
        <v>87.17625</v>
      </c>
      <c r="J20" s="20" t="n">
        <f aca="false">IF(COUNT(Mensual!$F$16:$Q$16)=12,SUM(Mensual!$F$16:$Q$16)*$C20*J$15,"N/D")</f>
        <v>98.79975</v>
      </c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30" hidden="false" customHeight="true" outlineLevel="0" collapsed="false">
      <c r="C23" s="5" t="s">
        <v>179</v>
      </c>
      <c r="D23" s="5" t="s">
        <v>180</v>
      </c>
      <c r="E23" s="5" t="s">
        <v>181</v>
      </c>
    </row>
    <row r="24" customFormat="false" ht="19.5" hidden="false" customHeight="true" outlineLevel="0" collapsed="false">
      <c r="C24" s="19" t="n">
        <v>0</v>
      </c>
      <c r="D24" s="20" t="n">
        <f aca="false">IF(AND(COUNT(Mensual!$F$25:$Q$25)=12,C24&gt;=0,C24&lt;12),SUM(Mensual!$F$25:INDEX(Mensual!$F$25:$Q$25,1,12-C24)),"N/D")</f>
        <v>50.3685</v>
      </c>
      <c r="E24" s="20" t="n">
        <f aca="false">IF(COUNT(D24)=1,SUM(Mensual!$F$25:$Q$25)-D24,"N/D")</f>
        <v>0</v>
      </c>
    </row>
    <row r="25" customFormat="false" ht="19.5" hidden="false" customHeight="true" outlineLevel="0" collapsed="false">
      <c r="C25" s="19" t="n">
        <v>1</v>
      </c>
      <c r="D25" s="20" t="n">
        <f aca="false">IF(AND(COUNT(Mensual!$F$25:$Q$25)=12,C25&gt;=0,C25&lt;12),SUM(Mensual!$F$25:INDEX(Mensual!$F$25:$Q$25,1,12-C25)),"N/D")</f>
        <v>41.374125</v>
      </c>
      <c r="E25" s="20" t="n">
        <f aca="false">IF(COUNT(D25)=1,SUM(Mensual!$F$25:$Q$25)-D25,"N/D")</f>
        <v>8.994375</v>
      </c>
    </row>
    <row r="26" customFormat="false" ht="19.5" hidden="false" customHeight="true" outlineLevel="0" collapsed="false">
      <c r="C26" s="19" t="n">
        <v>2</v>
      </c>
      <c r="D26" s="20" t="n">
        <f aca="false">IF(AND(COUNT(Mensual!$F$25:$Q$25)=12,C26&gt;=0,C26&lt;12),SUM(Mensual!$F$25:INDEX(Mensual!$F$25:$Q$25,1,12-C26)),"N/D")</f>
        <v>33.2791875</v>
      </c>
      <c r="E26" s="20" t="n">
        <f aca="false">IF(COUNT(D26)=1,SUM(Mensual!$F$25:$Q$25)-D26,"N/D")</f>
        <v>17.0893125</v>
      </c>
    </row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30" hidden="false" customHeight="true" outlineLevel="0" collapsed="false">
      <c r="C29" s="5" t="s">
        <v>182</v>
      </c>
      <c r="D29" s="5" t="s">
        <v>183</v>
      </c>
      <c r="E29" s="5" t="s">
        <v>184</v>
      </c>
    </row>
    <row r="30" customFormat="false" ht="19.5" hidden="false" customHeight="true" outlineLevel="0" collapsed="false">
      <c r="C30" s="14" t="n">
        <v>10000</v>
      </c>
      <c r="D30" s="26" t="n">
        <f aca="false">IF(AND(COUNT(Resumen!$D$10)=1,Resumen!$D$10&gt;0),C30/Resumen!$D$10,"N/D")</f>
        <v>198.536783902638</v>
      </c>
      <c r="E30" s="2" t="s">
        <v>185</v>
      </c>
    </row>
    <row r="31" customFormat="false" ht="19.5" hidden="false" customHeight="true" outlineLevel="0" collapsed="false">
      <c r="C31" s="14" t="n">
        <v>25000</v>
      </c>
      <c r="D31" s="26" t="n">
        <f aca="false">IF(AND(COUNT(Resumen!$D$10)=1,Resumen!$D$10&gt;0),C31/Resumen!$D$10,"N/D")</f>
        <v>496.341959756594</v>
      </c>
      <c r="E31" s="2" t="s">
        <v>185</v>
      </c>
    </row>
    <row r="32" customFormat="false" ht="19.5" hidden="false" customHeight="true" outlineLevel="0" collapsed="false">
      <c r="C32" s="14" t="n">
        <v>50000</v>
      </c>
      <c r="D32" s="26" t="n">
        <f aca="false">IF(AND(COUNT(Resumen!$D$10)=1,Resumen!$D$10&gt;0),C32/Resumen!$D$10,"N/D")</f>
        <v>992.683919513188</v>
      </c>
      <c r="E32" s="2" t="s">
        <v>185</v>
      </c>
    </row>
    <row r="33" customFormat="false" ht="19.5" hidden="false" customHeight="true" outlineLevel="0" collapsed="false"/>
    <row r="34" customFormat="false" ht="30" hidden="false" customHeight="true" outlineLevel="0" collapsed="false">
      <c r="C34" s="4" t="s">
        <v>186</v>
      </c>
      <c r="D34" s="4"/>
      <c r="E34" s="4"/>
      <c r="F34" s="4"/>
      <c r="G34" s="4"/>
      <c r="H34" s="4"/>
      <c r="I34" s="4"/>
      <c r="J34" s="4"/>
      <c r="K34" s="4"/>
    </row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30" hidden="false" customHeight="true" outlineLevel="0" collapsed="false">
      <c r="C37" s="5" t="s">
        <v>187</v>
      </c>
      <c r="D37" s="5" t="s">
        <v>188</v>
      </c>
    </row>
    <row r="38" customFormat="false" ht="19.5" hidden="false" customHeight="true" outlineLevel="0" collapsed="false">
      <c r="C38" s="16" t="n">
        <v>0.4</v>
      </c>
      <c r="D38" s="26" t="n">
        <f aca="false">IF(COUNT(Mensual!$Q$35)=1,Mensual!$Q$35*C38,"N/D")</f>
        <v>43621.8706317568</v>
      </c>
    </row>
    <row r="39" customFormat="false" ht="19.5" hidden="false" customHeight="true" outlineLevel="0" collapsed="false">
      <c r="C39" s="16" t="n">
        <v>0.7</v>
      </c>
      <c r="D39" s="26" t="n">
        <f aca="false">IF(COUNT(Mensual!$Q$35)=1,Mensual!$Q$35*C39,"N/D")</f>
        <v>76338.2736055743</v>
      </c>
    </row>
    <row r="40" customFormat="false" ht="19.5" hidden="false" customHeight="true" outlineLevel="0" collapsed="false">
      <c r="C40" s="16" t="n">
        <v>1</v>
      </c>
      <c r="D40" s="26" t="n">
        <f aca="false">IF(COUNT(Mensual!$Q$35)=1,Mensual!$Q$35*C40,"N/D")</f>
        <v>109054.676579392</v>
      </c>
    </row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30" hidden="false" customHeight="true" outlineLevel="0" collapsed="false">
      <c r="C43" s="4" t="s">
        <v>189</v>
      </c>
      <c r="D43" s="4"/>
      <c r="E43" s="4"/>
      <c r="F43" s="4"/>
      <c r="G43" s="4"/>
      <c r="H43" s="4"/>
      <c r="I43" s="4"/>
      <c r="J43" s="4"/>
      <c r="K43" s="4"/>
    </row>
    <row r="44" customFormat="false" ht="30" hidden="false" customHeight="true" outlineLevel="0" collapsed="false">
      <c r="C44" s="4" t="s">
        <v>190</v>
      </c>
      <c r="D44" s="4"/>
      <c r="E44" s="4"/>
      <c r="F44" s="4"/>
      <c r="G44" s="4"/>
      <c r="H44" s="4"/>
      <c r="I44" s="4"/>
      <c r="J44" s="4"/>
      <c r="K44" s="4"/>
    </row>
    <row r="45" customFormat="false" ht="19.5" hidden="false" customHeight="true" outlineLevel="0" collapsed="false"/>
    <row r="46" customFormat="false" ht="19.5" hidden="false" customHeight="true" outlineLevel="0" collapsed="false"/>
  </sheetData>
  <mergeCells count="4">
    <mergeCell ref="C12:K12"/>
    <mergeCell ref="C34:K34"/>
    <mergeCell ref="C43:K43"/>
    <mergeCell ref="C44:K44"/>
  </mergeCells>
  <printOptions headings="false" gridLines="false" gridLinesSet="true" horizontalCentered="tru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25"/>
    <col collapsed="false" customWidth="true" hidden="false" outlineLevel="0" max="4" min="4" style="0" width="5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11" min="8" style="0" width="14"/>
  </cols>
  <sheetData>
    <row r="2" customFormat="false" ht="24.75" hidden="false" customHeight="true" outlineLevel="0" collapsed="false">
      <c r="C2" s="1" t="s">
        <v>191</v>
      </c>
    </row>
    <row r="4" customFormat="false" ht="15" hidden="false" customHeight="false" outlineLevel="0" collapsed="false">
      <c r="C4" s="2" t="s">
        <v>1</v>
      </c>
      <c r="D4" s="3" t="str">
        <f aca="false">Supuestos!D5</f>
        <v>Base</v>
      </c>
    </row>
    <row r="5" customFormat="false" ht="19.5" hidden="false" customHeight="true" outlineLevel="0" collapsed="false">
      <c r="I5" s="2" t="s">
        <v>192</v>
      </c>
      <c r="J5" s="6" t="n">
        <f aca="false">G21</f>
        <v>3690</v>
      </c>
    </row>
    <row r="6" customFormat="false" ht="19.5" hidden="false" customHeight="true" outlineLevel="0" collapsed="false"/>
    <row r="7" customFormat="false" ht="30" hidden="false" customHeight="true" outlineLevel="0" collapsed="false">
      <c r="C7" s="5" t="s">
        <v>193</v>
      </c>
      <c r="D7" s="5" t="s">
        <v>194</v>
      </c>
      <c r="E7" s="5" t="s">
        <v>195</v>
      </c>
      <c r="F7" s="5" t="s">
        <v>196</v>
      </c>
      <c r="G7" s="5" t="s">
        <v>197</v>
      </c>
    </row>
    <row r="8" customFormat="false" ht="19.5" hidden="false" customHeight="true" outlineLevel="0" collapsed="false">
      <c r="C8" s="2" t="s">
        <v>198</v>
      </c>
      <c r="D8" s="2" t="s">
        <v>199</v>
      </c>
      <c r="E8" s="6" t="n">
        <v>2900</v>
      </c>
      <c r="F8" s="2" t="s">
        <v>200</v>
      </c>
      <c r="G8" s="6" t="n">
        <v>2900</v>
      </c>
    </row>
    <row r="9" customFormat="false" ht="19.5" hidden="false" customHeight="true" outlineLevel="0" collapsed="false">
      <c r="C9" s="2" t="s">
        <v>201</v>
      </c>
      <c r="D9" s="2" t="s">
        <v>202</v>
      </c>
      <c r="E9" s="6" t="n">
        <v>320</v>
      </c>
      <c r="F9" s="2" t="s">
        <v>200</v>
      </c>
      <c r="G9" s="6" t="n">
        <v>320</v>
      </c>
    </row>
    <row r="10" customFormat="false" ht="19.5" hidden="false" customHeight="true" outlineLevel="0" collapsed="false">
      <c r="C10" s="2" t="s">
        <v>203</v>
      </c>
      <c r="D10" s="2" t="s">
        <v>204</v>
      </c>
      <c r="E10" s="6" t="n">
        <v>210</v>
      </c>
      <c r="F10" s="2" t="s">
        <v>200</v>
      </c>
      <c r="G10" s="6" t="n">
        <v>210</v>
      </c>
    </row>
    <row r="11" customFormat="false" ht="19.5" hidden="false" customHeight="true" outlineLevel="0" collapsed="false">
      <c r="C11" s="2" t="s">
        <v>205</v>
      </c>
      <c r="D11" s="2" t="s">
        <v>206</v>
      </c>
      <c r="E11" s="6" t="n">
        <v>210</v>
      </c>
      <c r="F11" s="2" t="s">
        <v>200</v>
      </c>
      <c r="G11" s="6" t="n">
        <v>210</v>
      </c>
    </row>
    <row r="12" customFormat="false" ht="19.5" hidden="false" customHeight="true" outlineLevel="0" collapsed="false">
      <c r="C12" s="2" t="s">
        <v>207</v>
      </c>
      <c r="D12" s="2" t="s">
        <v>208</v>
      </c>
      <c r="E12" s="6" t="n">
        <v>50</v>
      </c>
      <c r="F12" s="2" t="s">
        <v>200</v>
      </c>
      <c r="G12" s="6" t="n">
        <v>50</v>
      </c>
    </row>
    <row r="13" customFormat="false" ht="19.5" hidden="false" customHeight="true" outlineLevel="0" collapsed="false">
      <c r="C13" s="2" t="s">
        <v>209</v>
      </c>
      <c r="D13" s="2" t="s">
        <v>210</v>
      </c>
      <c r="E13" s="6" t="n">
        <v>1300</v>
      </c>
      <c r="F13" s="2" t="s">
        <v>211</v>
      </c>
      <c r="G13" s="6" t="n">
        <v>0</v>
      </c>
    </row>
    <row r="14" customFormat="false" ht="19.5" hidden="false" customHeight="true" outlineLevel="0" collapsed="false">
      <c r="C14" s="2" t="s">
        <v>212</v>
      </c>
      <c r="D14" s="2" t="s">
        <v>213</v>
      </c>
      <c r="E14" s="6" t="n">
        <v>390</v>
      </c>
      <c r="F14" s="2" t="s">
        <v>211</v>
      </c>
      <c r="G14" s="6" t="n">
        <v>0</v>
      </c>
    </row>
    <row r="15" customFormat="false" ht="19.5" hidden="false" customHeight="true" outlineLevel="0" collapsed="false">
      <c r="C15" s="2" t="s">
        <v>214</v>
      </c>
      <c r="D15" s="2" t="s">
        <v>215</v>
      </c>
      <c r="E15" s="6" t="n">
        <v>1600</v>
      </c>
      <c r="F15" s="2" t="s">
        <v>216</v>
      </c>
      <c r="G15" s="6" t="n">
        <v>0</v>
      </c>
    </row>
    <row r="16" customFormat="false" ht="19.5" hidden="false" customHeight="true" outlineLevel="0" collapsed="false">
      <c r="C16" s="2" t="s">
        <v>217</v>
      </c>
      <c r="D16" s="2" t="s">
        <v>218</v>
      </c>
      <c r="E16" s="6" t="n">
        <v>880</v>
      </c>
      <c r="F16" s="2" t="s">
        <v>216</v>
      </c>
      <c r="G16" s="6" t="n">
        <v>0</v>
      </c>
    </row>
    <row r="17" customFormat="false" ht="19.5" hidden="false" customHeight="true" outlineLevel="0" collapsed="false">
      <c r="C17" s="2" t="s">
        <v>219</v>
      </c>
      <c r="D17" s="2" t="s">
        <v>220</v>
      </c>
      <c r="E17" s="6" t="n">
        <v>1000</v>
      </c>
      <c r="F17" s="2" t="s">
        <v>216</v>
      </c>
      <c r="G17" s="6" t="n">
        <v>0</v>
      </c>
    </row>
    <row r="18" customFormat="false" ht="19.5" hidden="false" customHeight="true" outlineLevel="0" collapsed="false">
      <c r="C18" s="2" t="s">
        <v>221</v>
      </c>
      <c r="D18" s="2" t="s">
        <v>222</v>
      </c>
      <c r="E18" s="6" t="n">
        <v>590</v>
      </c>
      <c r="F18" s="2" t="s">
        <v>216</v>
      </c>
      <c r="G18" s="6" t="n">
        <v>0</v>
      </c>
    </row>
    <row r="19" customFormat="false" ht="19.5" hidden="false" customHeight="true" outlineLevel="0" collapsed="false">
      <c r="C19" s="2" t="s">
        <v>223</v>
      </c>
      <c r="D19" s="2" t="s">
        <v>224</v>
      </c>
      <c r="E19" s="6" t="n">
        <v>480</v>
      </c>
      <c r="F19" s="2" t="s">
        <v>225</v>
      </c>
      <c r="G19" s="6" t="n">
        <v>0</v>
      </c>
    </row>
    <row r="20" customFormat="false" ht="19.5" hidden="false" customHeight="true" outlineLevel="0" collapsed="false"/>
    <row r="21" customFormat="false" ht="19.5" hidden="false" customHeight="true" outlineLevel="0" collapsed="false">
      <c r="C21" s="2" t="s">
        <v>226</v>
      </c>
      <c r="G21" s="6" t="n">
        <f aca="false">SUM(G8:G19)</f>
        <v>3690</v>
      </c>
    </row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30" hidden="false" customHeight="true" outlineLevel="0" collapsed="false">
      <c r="C24" s="4" t="s">
        <v>227</v>
      </c>
      <c r="D24" s="4"/>
      <c r="E24" s="4"/>
      <c r="F24" s="4"/>
      <c r="G24" s="4"/>
      <c r="H24" s="4"/>
      <c r="I24" s="4"/>
      <c r="J24" s="4"/>
      <c r="K24" s="4"/>
    </row>
    <row r="25" customFormat="false" ht="30" hidden="false" customHeight="true" outlineLevel="0" collapsed="false">
      <c r="C25" s="4" t="s">
        <v>228</v>
      </c>
      <c r="D25" s="4"/>
      <c r="E25" s="4"/>
      <c r="F25" s="4"/>
      <c r="G25" s="4"/>
      <c r="H25" s="4"/>
      <c r="I25" s="4"/>
      <c r="J25" s="4"/>
      <c r="K25" s="4"/>
    </row>
    <row r="26" customFormat="false" ht="30" hidden="false" customHeight="true" outlineLevel="0" collapsed="false">
      <c r="C26" s="4" t="s">
        <v>229</v>
      </c>
      <c r="D26" s="4"/>
      <c r="E26" s="4"/>
      <c r="F26" s="4"/>
      <c r="G26" s="4"/>
      <c r="H26" s="4"/>
      <c r="I26" s="4"/>
      <c r="J26" s="4"/>
      <c r="K26" s="4"/>
    </row>
    <row r="27" customFormat="false" ht="30" hidden="false" customHeight="true" outlineLevel="0" collapsed="false">
      <c r="C27" s="4" t="s">
        <v>230</v>
      </c>
      <c r="D27" s="4"/>
      <c r="E27" s="4"/>
      <c r="F27" s="4"/>
      <c r="G27" s="4"/>
      <c r="H27" s="4"/>
      <c r="I27" s="4"/>
      <c r="J27" s="4"/>
      <c r="K27" s="4"/>
    </row>
    <row r="28" customFormat="false" ht="30" hidden="false" customHeight="true" outlineLevel="0" collapsed="false">
      <c r="C28" s="4" t="s">
        <v>231</v>
      </c>
      <c r="D28" s="4"/>
      <c r="E28" s="4"/>
      <c r="F28" s="4"/>
      <c r="G28" s="4"/>
      <c r="H28" s="4"/>
      <c r="I28" s="4"/>
      <c r="J28" s="4"/>
      <c r="K28" s="4"/>
    </row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30" hidden="false" customHeight="true" outlineLevel="0" collapsed="false">
      <c r="C39" s="4" t="s">
        <v>232</v>
      </c>
      <c r="D39" s="4"/>
      <c r="E39" s="4"/>
      <c r="F39" s="4"/>
      <c r="G39" s="4"/>
      <c r="H39" s="4"/>
      <c r="I39" s="4"/>
      <c r="J39" s="4"/>
      <c r="K39" s="4"/>
    </row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</sheetData>
  <mergeCells count="6">
    <mergeCell ref="C24:K24"/>
    <mergeCell ref="C25:K25"/>
    <mergeCell ref="C26:K26"/>
    <mergeCell ref="C27:K27"/>
    <mergeCell ref="C28:K28"/>
    <mergeCell ref="C39:K39"/>
  </mergeCells>
  <printOptions headings="false" gridLines="false" gridLinesSet="true" horizontalCentered="tru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Q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9"/>
    <col collapsed="false" customWidth="true" hidden="false" outlineLevel="0" max="4" min="4" style="0" width="17"/>
    <col collapsed="false" customWidth="true" hidden="false" outlineLevel="0" max="5" min="5" style="0" width="3"/>
    <col collapsed="false" customWidth="true" hidden="false" outlineLevel="0" max="17" min="6" style="0" width="14"/>
  </cols>
  <sheetData>
    <row r="2" customFormat="false" ht="24.75" hidden="false" customHeight="true" outlineLevel="0" collapsed="false">
      <c r="C2" s="1" t="s">
        <v>233</v>
      </c>
    </row>
    <row r="4" customFormat="false" ht="15" hidden="false" customHeight="false" outlineLevel="0" collapsed="false">
      <c r="C4" s="2" t="s">
        <v>1</v>
      </c>
      <c r="D4" s="3" t="str">
        <f aca="false">Supuestos!D5</f>
        <v>Base</v>
      </c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30" hidden="false" customHeight="true" outlineLevel="0" collapsed="false">
      <c r="C7" s="5" t="s">
        <v>234</v>
      </c>
      <c r="D7" s="5" t="s">
        <v>5</v>
      </c>
      <c r="E7" s="5"/>
      <c r="F7" s="5" t="s">
        <v>235</v>
      </c>
      <c r="G7" s="5" t="s">
        <v>236</v>
      </c>
      <c r="H7" s="5" t="s">
        <v>237</v>
      </c>
      <c r="I7" s="5" t="s">
        <v>238</v>
      </c>
      <c r="J7" s="5" t="s">
        <v>239</v>
      </c>
      <c r="K7" s="5" t="s">
        <v>240</v>
      </c>
      <c r="L7" s="5" t="s">
        <v>241</v>
      </c>
      <c r="M7" s="5" t="s">
        <v>242</v>
      </c>
      <c r="N7" s="5" t="s">
        <v>243</v>
      </c>
      <c r="O7" s="5" t="s">
        <v>244</v>
      </c>
      <c r="P7" s="5" t="s">
        <v>245</v>
      </c>
      <c r="Q7" s="5" t="s">
        <v>246</v>
      </c>
    </row>
    <row r="8" customFormat="false" ht="19.5" hidden="false" customHeight="true" outlineLevel="0" collapsed="false"/>
    <row r="9" customFormat="false" ht="19.5" hidden="false" customHeight="true" outlineLevel="0" collapsed="false">
      <c r="C9" s="2" t="s">
        <v>247</v>
      </c>
      <c r="D9" s="2" t="s">
        <v>97</v>
      </c>
      <c r="F9" s="6" t="n">
        <v>4370</v>
      </c>
      <c r="G9" s="6" t="n">
        <v>3690</v>
      </c>
      <c r="H9" s="6" t="n">
        <v>4860</v>
      </c>
      <c r="I9" s="6" t="n">
        <v>4440</v>
      </c>
      <c r="J9" s="6" t="n">
        <v>3710</v>
      </c>
      <c r="K9" s="6" t="n">
        <v>2960</v>
      </c>
      <c r="L9" s="6" t="n">
        <v>3530</v>
      </c>
      <c r="M9" s="6" t="n">
        <v>3490</v>
      </c>
      <c r="N9" s="6" t="n">
        <v>4630</v>
      </c>
      <c r="O9" s="6" t="n">
        <v>4550</v>
      </c>
      <c r="P9" s="6" t="n">
        <v>4330</v>
      </c>
      <c r="Q9" s="6" t="n">
        <v>3620</v>
      </c>
    </row>
    <row r="10" customFormat="false" ht="19.5" hidden="false" customHeight="true" outlineLevel="0" collapsed="false">
      <c r="C10" s="2" t="s">
        <v>248</v>
      </c>
      <c r="D10" s="2" t="s">
        <v>249</v>
      </c>
    </row>
    <row r="11" customFormat="false" ht="19.5" hidden="false" customHeight="true" outlineLevel="0" collapsed="false">
      <c r="C11" s="2" t="s">
        <v>250</v>
      </c>
      <c r="D11" s="2" t="s">
        <v>98</v>
      </c>
      <c r="F11" s="23" t="n">
        <f aca="false">IF(COUNT(F9:Q9)=12,IF(AVERAGE(F9:Q9)&gt;0,F9/AVERAGE(F9:Q9),"N/D"),"N/D")</f>
        <v>1.08841843088418</v>
      </c>
      <c r="G11" s="23" t="n">
        <f aca="false">IF(COUNT(F9:Q9)=12,IF(AVERAGE(F9:Q9)&gt;0,G9/AVERAGE(F9:Q9),"N/D"),"N/D")</f>
        <v>0.919053549190536</v>
      </c>
      <c r="H11" s="23" t="n">
        <f aca="false">IF(COUNT(F9:Q9)=12,IF(AVERAGE(F9:Q9)&gt;0,H9/AVERAGE(F9:Q9),"N/D"),"N/D")</f>
        <v>1.21046077210461</v>
      </c>
      <c r="I11" s="23" t="n">
        <f aca="false">IF(COUNT(F9:Q9)=12,IF(AVERAGE(F9:Q9)&gt;0,I9/AVERAGE(F9:Q9),"N/D"),"N/D")</f>
        <v>1.10585305105853</v>
      </c>
      <c r="J11" s="23" t="n">
        <f aca="false">IF(COUNT(F9:Q9)=12,IF(AVERAGE(F9:Q9)&gt;0,J9/AVERAGE(F9:Q9),"N/D"),"N/D")</f>
        <v>0.924034869240349</v>
      </c>
      <c r="K11" s="23" t="n">
        <f aca="false">IF(COUNT(F9:Q9)=12,IF(AVERAGE(F9:Q9)&gt;0,K9/AVERAGE(F9:Q9),"N/D"),"N/D")</f>
        <v>0.737235367372354</v>
      </c>
      <c r="L11" s="23" t="n">
        <f aca="false">IF(COUNT(F9:Q9)=12,IF(AVERAGE(F9:Q9)&gt;0,L9/AVERAGE(F9:Q9),"N/D"),"N/D")</f>
        <v>0.87920298879203</v>
      </c>
      <c r="M11" s="23" t="n">
        <f aca="false">IF(COUNT(F9:Q9)=12,IF(AVERAGE(F9:Q9)&gt;0,M9/AVERAGE(F9:Q9),"N/D"),"N/D")</f>
        <v>0.869240348692404</v>
      </c>
      <c r="N11" s="23" t="n">
        <f aca="false">IF(COUNT(F9:Q9)=12,IF(AVERAGE(F9:Q9)&gt;0,N9/AVERAGE(F9:Q9),"N/D"),"N/D")</f>
        <v>1.15317559153176</v>
      </c>
      <c r="O11" s="23" t="n">
        <f aca="false">IF(COUNT(F9:Q9)=12,IF(AVERAGE(F9:Q9)&gt;0,O9/AVERAGE(F9:Q9),"N/D"),"N/D")</f>
        <v>1.1332503113325</v>
      </c>
      <c r="P11" s="23" t="n">
        <f aca="false">IF(COUNT(F9:Q9)=12,IF(AVERAGE(F9:Q9)&gt;0,P9/AVERAGE(F9:Q9),"N/D"),"N/D")</f>
        <v>1.07845579078456</v>
      </c>
      <c r="Q11" s="23" t="n">
        <f aca="false">IF(COUNT(F9:Q9)=12,IF(AVERAGE(F9:Q9)&gt;0,Q9/AVERAGE(F9:Q9),"N/D"),"N/D")</f>
        <v>0.901618929016189</v>
      </c>
    </row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30" hidden="false" customHeight="true" outlineLevel="0" collapsed="false">
      <c r="C14" s="4" t="s">
        <v>251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customFormat="false" ht="30" hidden="false" customHeight="true" outlineLevel="0" collapsed="false">
      <c r="C15" s="4" t="s">
        <v>252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customFormat="false" ht="30" hidden="false" customHeight="true" outlineLevel="0" collapsed="false">
      <c r="C16" s="4" t="s">
        <v>253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</sheetData>
  <mergeCells count="3">
    <mergeCell ref="C14:Q14"/>
    <mergeCell ref="C15:Q15"/>
    <mergeCell ref="C16:Q16"/>
  </mergeCells>
  <printOptions headings="false" gridLines="false" gridLinesSet="true" horizontalCentered="tru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9"/>
    <col collapsed="false" customWidth="true" hidden="false" outlineLevel="0" max="4" min="4" style="0" width="31"/>
    <col collapsed="false" customWidth="true" hidden="false" outlineLevel="0" max="5" min="5" style="0" width="62"/>
    <col collapsed="false" customWidth="true" hidden="false" outlineLevel="0" max="6" min="6" style="0" width="68"/>
    <col collapsed="false" customWidth="true" hidden="false" outlineLevel="0" max="7" min="7" style="0" width="28"/>
    <col collapsed="false" customWidth="true" hidden="false" outlineLevel="0" max="11" min="8" style="0" width="14"/>
  </cols>
  <sheetData>
    <row r="2" customFormat="false" ht="24.75" hidden="false" customHeight="true" outlineLevel="0" collapsed="false">
      <c r="C2" s="1" t="s">
        <v>254</v>
      </c>
    </row>
    <row r="4" customFormat="false" ht="15" hidden="false" customHeight="false" outlineLevel="0" collapsed="false">
      <c r="C4" s="2" t="s">
        <v>1</v>
      </c>
      <c r="D4" s="3" t="str">
        <f aca="false">Supuestos!D5</f>
        <v>Base</v>
      </c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30" hidden="false" customHeight="true" outlineLevel="0" collapsed="false">
      <c r="C7" s="5" t="s">
        <v>255</v>
      </c>
      <c r="D7" s="5" t="s">
        <v>184</v>
      </c>
      <c r="E7" s="5" t="s">
        <v>256</v>
      </c>
      <c r="F7" s="5" t="s">
        <v>257</v>
      </c>
      <c r="G7" s="5" t="s">
        <v>258</v>
      </c>
    </row>
    <row r="8" customFormat="false" ht="45" hidden="false" customHeight="true" outlineLevel="0" collapsed="false">
      <c r="C8" s="33" t="s">
        <v>259</v>
      </c>
      <c r="D8" s="33" t="s">
        <v>260</v>
      </c>
      <c r="E8" s="33" t="s">
        <v>261</v>
      </c>
      <c r="F8" s="33" t="s">
        <v>262</v>
      </c>
      <c r="G8" s="33" t="s">
        <v>263</v>
      </c>
    </row>
    <row r="9" customFormat="false" ht="45" hidden="false" customHeight="true" outlineLevel="0" collapsed="false">
      <c r="C9" s="33" t="s">
        <v>264</v>
      </c>
      <c r="D9" s="33" t="s">
        <v>265</v>
      </c>
      <c r="E9" s="33" t="s">
        <v>266</v>
      </c>
      <c r="F9" s="33" t="s">
        <v>267</v>
      </c>
      <c r="G9" s="33" t="s">
        <v>268</v>
      </c>
    </row>
    <row r="10" customFormat="false" ht="45" hidden="false" customHeight="true" outlineLevel="0" collapsed="false">
      <c r="C10" s="33" t="s">
        <v>269</v>
      </c>
      <c r="D10" s="33" t="s">
        <v>270</v>
      </c>
      <c r="E10" s="33" t="s">
        <v>271</v>
      </c>
      <c r="F10" s="33" t="s">
        <v>272</v>
      </c>
      <c r="G10" s="33" t="s">
        <v>273</v>
      </c>
    </row>
    <row r="11" customFormat="false" ht="45" hidden="false" customHeight="true" outlineLevel="0" collapsed="false">
      <c r="C11" s="33" t="s">
        <v>274</v>
      </c>
      <c r="D11" s="33" t="s">
        <v>275</v>
      </c>
      <c r="E11" s="33" t="s">
        <v>276</v>
      </c>
      <c r="F11" s="33" t="s">
        <v>277</v>
      </c>
      <c r="G11" s="33" t="s">
        <v>278</v>
      </c>
    </row>
    <row r="12" customFormat="false" ht="45" hidden="false" customHeight="true" outlineLevel="0" collapsed="false">
      <c r="C12" s="33" t="s">
        <v>279</v>
      </c>
      <c r="D12" s="33" t="s">
        <v>280</v>
      </c>
      <c r="E12" s="33" t="s">
        <v>276</v>
      </c>
      <c r="F12" s="33" t="s">
        <v>281</v>
      </c>
      <c r="G12" s="33" t="s">
        <v>278</v>
      </c>
    </row>
    <row r="13" customFormat="false" ht="45" hidden="false" customHeight="true" outlineLevel="0" collapsed="false">
      <c r="C13" s="33" t="s">
        <v>282</v>
      </c>
      <c r="D13" s="33" t="s">
        <v>283</v>
      </c>
      <c r="E13" s="33" t="s">
        <v>284</v>
      </c>
      <c r="F13" s="33" t="s">
        <v>285</v>
      </c>
      <c r="G13" s="33" t="s">
        <v>286</v>
      </c>
    </row>
    <row r="14" customFormat="false" ht="45" hidden="false" customHeight="true" outlineLevel="0" collapsed="false">
      <c r="C14" s="33" t="s">
        <v>287</v>
      </c>
      <c r="D14" s="33" t="s">
        <v>288</v>
      </c>
      <c r="E14" s="33" t="s">
        <v>289</v>
      </c>
      <c r="F14" s="33" t="s">
        <v>290</v>
      </c>
      <c r="G14" s="33" t="s">
        <v>291</v>
      </c>
    </row>
    <row r="15" customFormat="false" ht="45" hidden="false" customHeight="true" outlineLevel="0" collapsed="false">
      <c r="C15" s="33" t="s">
        <v>292</v>
      </c>
      <c r="D15" s="33" t="s">
        <v>293</v>
      </c>
      <c r="E15" s="33" t="s">
        <v>294</v>
      </c>
      <c r="F15" s="33" t="s">
        <v>295</v>
      </c>
      <c r="G15" s="33" t="s">
        <v>291</v>
      </c>
    </row>
    <row r="16" customFormat="false" ht="45" hidden="false" customHeight="true" outlineLevel="0" collapsed="false">
      <c r="C16" s="33" t="s">
        <v>296</v>
      </c>
      <c r="D16" s="33" t="s">
        <v>297</v>
      </c>
      <c r="E16" s="33" t="s">
        <v>298</v>
      </c>
      <c r="F16" s="33" t="s">
        <v>299</v>
      </c>
      <c r="G16" s="33" t="s">
        <v>300</v>
      </c>
    </row>
    <row r="17" customFormat="false" ht="45" hidden="false" customHeight="true" outlineLevel="0" collapsed="false">
      <c r="C17" s="33" t="s">
        <v>301</v>
      </c>
      <c r="D17" s="33" t="s">
        <v>302</v>
      </c>
      <c r="E17" s="33" t="s">
        <v>303</v>
      </c>
      <c r="F17" s="33" t="s">
        <v>304</v>
      </c>
      <c r="G17" s="33" t="s">
        <v>305</v>
      </c>
    </row>
    <row r="18" customFormat="false" ht="45" hidden="false" customHeight="true" outlineLevel="0" collapsed="false">
      <c r="C18" s="33" t="s">
        <v>306</v>
      </c>
      <c r="D18" s="33" t="s">
        <v>307</v>
      </c>
      <c r="E18" s="33" t="s">
        <v>308</v>
      </c>
      <c r="F18" s="33" t="s">
        <v>309</v>
      </c>
      <c r="G18" s="33" t="s">
        <v>305</v>
      </c>
    </row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30" hidden="false" customHeight="true" outlineLevel="0" collapsed="false">
      <c r="C22" s="4" t="s">
        <v>310</v>
      </c>
      <c r="D22" s="4"/>
      <c r="E22" s="4"/>
      <c r="F22" s="4"/>
      <c r="G22" s="4"/>
      <c r="H22" s="4"/>
      <c r="I22" s="4"/>
      <c r="J22" s="4"/>
      <c r="K22" s="4"/>
    </row>
    <row r="23" customFormat="false" ht="30" hidden="false" customHeight="true" outlineLevel="0" collapsed="false">
      <c r="C23" s="4" t="s">
        <v>311</v>
      </c>
      <c r="D23" s="4"/>
      <c r="E23" s="4"/>
      <c r="F23" s="4"/>
      <c r="G23" s="4"/>
      <c r="H23" s="4"/>
      <c r="I23" s="4"/>
      <c r="J23" s="4"/>
      <c r="K23" s="4"/>
    </row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</sheetData>
  <mergeCells count="2">
    <mergeCell ref="C22:K22"/>
    <mergeCell ref="C23:K23"/>
  </mergeCells>
  <printOptions headings="false" gridLines="false" gridLinesSet="true" horizontalCentered="tru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2026-10-06T19:24:22Z</dcterms:created>
  <dc:creator>openpyxl</dc:creator>
  <dc:description/>
  <dc:language>es-ES</dc:language>
  <cp:lastModifiedBy/>
  <dcterms:modified xsi:type="dcterms:W3CDTF">2026-10-06T19:24:22Z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